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umaaltoe/Documents/Startup Grafeno/"/>
    </mc:Choice>
  </mc:AlternateContent>
  <xr:revisionPtr revIDLastSave="0" documentId="13_ncr:1_{907983E0-7523-0748-B3B9-DFAC8FF6BCB9}" xr6:coauthVersionLast="47" xr6:coauthVersionMax="47" xr10:uidLastSave="{00000000-0000-0000-0000-000000000000}"/>
  <bookViews>
    <workbookView xWindow="0" yWindow="0" windowWidth="28800" windowHeight="18000" xr2:uid="{5A7C87A5-8917-FF4E-8CA1-D7C22F4BEA48}"/>
  </bookViews>
  <sheets>
    <sheet name="Planilh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1" l="1"/>
  <c r="K66" i="1"/>
  <c r="N66" i="1" s="1"/>
  <c r="N65" i="1"/>
  <c r="K65" i="1"/>
  <c r="N64" i="1"/>
  <c r="K64" i="1"/>
  <c r="N63" i="1"/>
  <c r="K63" i="1"/>
  <c r="N62" i="1"/>
  <c r="K62" i="1"/>
  <c r="N46" i="1"/>
  <c r="K46" i="1"/>
  <c r="G46" i="1"/>
  <c r="K35" i="1"/>
  <c r="N35" i="1" s="1"/>
  <c r="H35" i="1"/>
  <c r="H32" i="1"/>
  <c r="K32" i="1" s="1"/>
  <c r="N32" i="1" s="1"/>
  <c r="H31" i="1"/>
  <c r="K31" i="1" s="1"/>
  <c r="N31" i="1" s="1"/>
  <c r="N29" i="1"/>
  <c r="K29" i="1"/>
  <c r="K28" i="1"/>
  <c r="N28" i="1" s="1"/>
  <c r="H26" i="1"/>
  <c r="K26" i="1" s="1"/>
  <c r="N26" i="1" s="1"/>
  <c r="K25" i="1"/>
  <c r="N25" i="1" s="1"/>
  <c r="H25" i="1"/>
  <c r="H24" i="1"/>
  <c r="K24" i="1" s="1"/>
  <c r="N24" i="1" s="1"/>
  <c r="K23" i="1"/>
  <c r="N23" i="1" s="1"/>
  <c r="H23" i="1"/>
  <c r="H22" i="1"/>
  <c r="K22" i="1" s="1"/>
  <c r="N22" i="1" s="1"/>
  <c r="H21" i="1"/>
  <c r="K21" i="1" s="1"/>
  <c r="N21" i="1" s="1"/>
  <c r="H20" i="1"/>
  <c r="K20" i="1" s="1"/>
  <c r="N20" i="1" s="1"/>
  <c r="H19" i="1"/>
  <c r="K19" i="1" s="1"/>
  <c r="N19" i="1" s="1"/>
  <c r="H18" i="1"/>
  <c r="K18" i="1" s="1"/>
  <c r="N18" i="1" s="1"/>
  <c r="K17" i="1"/>
  <c r="N17" i="1" s="1"/>
  <c r="H17" i="1"/>
  <c r="H16" i="1"/>
  <c r="K16" i="1" s="1"/>
  <c r="N16" i="1" s="1"/>
  <c r="K15" i="1"/>
  <c r="N15" i="1" s="1"/>
  <c r="H15" i="1"/>
  <c r="H14" i="1"/>
  <c r="K14" i="1" s="1"/>
  <c r="N14" i="1" s="1"/>
  <c r="G13" i="1"/>
  <c r="H13" i="1" s="1"/>
  <c r="K13" i="1" s="1"/>
  <c r="N13" i="1" s="1"/>
  <c r="G12" i="1"/>
  <c r="G70" i="1" s="1"/>
  <c r="H11" i="1"/>
  <c r="K11" i="1" s="1"/>
  <c r="N11" i="1" s="1"/>
  <c r="H10" i="1"/>
  <c r="K10" i="1" s="1"/>
  <c r="N10" i="1" s="1"/>
  <c r="H9" i="1"/>
  <c r="K9" i="1" s="1"/>
  <c r="N9" i="1" s="1"/>
  <c r="H8" i="1"/>
  <c r="K8" i="1" s="1"/>
  <c r="N8" i="1" s="1"/>
  <c r="H7" i="1"/>
  <c r="K7" i="1" s="1"/>
  <c r="H12" i="1" l="1"/>
  <c r="K12" i="1" s="1"/>
  <c r="N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Altoe</author>
    <author>tc={D714CADA-921C-1645-B069-6AA096DAB505}</author>
  </authors>
  <commentList>
    <comment ref="E12" authorId="0" shapeId="0" xr:uid="{9F900EFC-B05C-1E43-80AC-496F8C836A69}">
      <text>
        <r>
          <rPr>
            <b/>
            <sz val="9"/>
            <color indexed="81"/>
            <rFont val="Segoe UI"/>
            <family val="2"/>
          </rPr>
          <t>Rodrigo Altoe:</t>
        </r>
        <r>
          <rPr>
            <sz val="9"/>
            <color indexed="81"/>
            <rFont val="Segoe UI"/>
            <family val="2"/>
          </rPr>
          <t xml:space="preserve">
https://www.enel.com.br/pt-saopaulo/Para_Voce/tarifa-energia-eletrica.html</t>
        </r>
      </text>
    </comment>
    <comment ref="G12" authorId="0" shapeId="0" xr:uid="{44EE7C3A-1F51-A443-83ED-948F85924664}">
      <text>
        <r>
          <rPr>
            <b/>
            <sz val="9"/>
            <color indexed="81"/>
            <rFont val="Segoe UI"/>
            <family val="2"/>
          </rPr>
          <t>Rodrigo Altoe:</t>
        </r>
        <r>
          <rPr>
            <sz val="9"/>
            <color indexed="81"/>
            <rFont val="Segoe UI"/>
            <family val="2"/>
          </rPr>
          <t xml:space="preserve">
=396,03 MWh</t>
        </r>
      </text>
    </comment>
    <comment ref="E13" authorId="0" shapeId="0" xr:uid="{A4A707F1-12F8-DE46-9C45-F821A187DCDA}">
      <text>
        <r>
          <rPr>
            <b/>
            <sz val="9"/>
            <color indexed="81"/>
            <rFont val="Segoe UI"/>
            <family val="2"/>
          </rPr>
          <t>Rodrigo Altoe:</t>
        </r>
        <r>
          <rPr>
            <sz val="9"/>
            <color indexed="81"/>
            <rFont val="Segoe UI"/>
            <family val="2"/>
          </rPr>
          <t xml:space="preserve">
https://www.enel.com.br/pt-saopaulo/Para_Voce/tarifa-energia-eletrica.html</t>
        </r>
      </text>
    </comment>
    <comment ref="G13" authorId="0" shapeId="0" xr:uid="{FADDFF56-EAA6-374A-9CDB-45ECE3B29F4D}">
      <text>
        <r>
          <rPr>
            <b/>
            <sz val="9"/>
            <color indexed="81"/>
            <rFont val="Segoe UI"/>
            <family val="2"/>
          </rPr>
          <t>Rodrigo Altoe:</t>
        </r>
        <r>
          <rPr>
            <sz val="9"/>
            <color indexed="81"/>
            <rFont val="Segoe UI"/>
            <family val="2"/>
          </rPr>
          <t xml:space="preserve">
=396,03 MWh</t>
        </r>
      </text>
    </comment>
    <comment ref="E16" authorId="0" shapeId="0" xr:uid="{896A0F04-016F-AB4B-A12A-10F8E640B41C}">
      <text>
        <r>
          <rPr>
            <b/>
            <sz val="9"/>
            <color indexed="81"/>
            <rFont val="Segoe UI"/>
            <family val="2"/>
          </rPr>
          <t>Rodrigo Altoe:</t>
        </r>
        <r>
          <rPr>
            <sz val="9"/>
            <color indexed="81"/>
            <rFont val="Segoe UI"/>
            <family val="2"/>
          </rPr>
          <t xml:space="preserve">
https://agenciavirtual.sabesp.com.br/tarifas</t>
        </r>
      </text>
    </comment>
    <comment ref="E17" authorId="0" shapeId="0" xr:uid="{0B42AD9F-D03D-A846-A0AF-220D20A8D3A2}">
      <text>
        <r>
          <rPr>
            <b/>
            <sz val="9"/>
            <color indexed="81"/>
            <rFont val="Segoe UI"/>
            <family val="2"/>
          </rPr>
          <t>Rodrigo Altoe:</t>
        </r>
        <r>
          <rPr>
            <sz val="9"/>
            <color indexed="81"/>
            <rFont val="Segoe UI"/>
            <family val="2"/>
          </rPr>
          <t xml:space="preserve">
https://agenciavirtual.sabesp.com.br/tarifas</t>
        </r>
      </text>
    </comment>
    <comment ref="E18" authorId="0" shapeId="0" xr:uid="{E3BD108E-41A8-1D4B-8646-E09B3E33E4C5}">
      <text>
        <r>
          <rPr>
            <b/>
            <sz val="9"/>
            <color indexed="81"/>
            <rFont val="Segoe UI"/>
            <family val="2"/>
          </rPr>
          <t>Rodrigo Altoe:</t>
        </r>
        <r>
          <rPr>
            <sz val="9"/>
            <color indexed="81"/>
            <rFont val="Segoe UI"/>
            <family val="2"/>
          </rPr>
          <t xml:space="preserve">
https://agenciavirtual.sabesp.com.br/tarifas</t>
        </r>
      </text>
    </comment>
    <comment ref="E19" authorId="0" shapeId="0" xr:uid="{DB672CDA-434E-9744-9E19-BB9153C8B66F}">
      <text>
        <r>
          <rPr>
            <b/>
            <i/>
            <sz val="12"/>
            <color rgb="FFFF0000"/>
            <rFont val="Calibri"/>
            <family val="2"/>
            <scheme val="minor"/>
          </rPr>
          <t>Rodrigo Altoe:</t>
        </r>
        <r>
          <rPr>
            <b/>
            <i/>
            <sz val="11"/>
            <rFont val="Calibri"/>
            <family val="2"/>
            <scheme val="minor"/>
          </rPr>
          <t xml:space="preserve">
</t>
        </r>
        <r>
          <rPr>
            <b/>
            <i/>
            <sz val="11"/>
            <rFont val="Calibri"/>
            <family val="2"/>
            <scheme val="minor"/>
          </rPr>
          <t>https://agenciavirtual.sabesp.com.br/tarifas</t>
        </r>
      </text>
    </comment>
    <comment ref="E20" authorId="0" shapeId="0" xr:uid="{603439CD-7E03-9E4F-9F86-605F61D96F15}">
      <text>
        <r>
          <rPr>
            <b/>
            <sz val="9"/>
            <color indexed="81"/>
            <rFont val="Segoe UI"/>
            <family val="2"/>
          </rPr>
          <t>Rodrigo Altoe:</t>
        </r>
        <r>
          <rPr>
            <sz val="9"/>
            <color indexed="81"/>
            <rFont val="Segoe UI"/>
            <family val="2"/>
          </rPr>
          <t xml:space="preserve">
https://agenciavirtual.sabesp.com.br/tarifas</t>
        </r>
      </text>
    </comment>
    <comment ref="E21" authorId="0" shapeId="0" xr:uid="{61DF3B91-2EF6-D04C-98AD-288201FF1F50}">
      <text>
        <r>
          <rPr>
            <b/>
            <sz val="9"/>
            <color indexed="81"/>
            <rFont val="Segoe UI"/>
            <family val="2"/>
          </rPr>
          <t>Rodrigo Altoe:</t>
        </r>
        <r>
          <rPr>
            <sz val="9"/>
            <color indexed="81"/>
            <rFont val="Segoe UI"/>
            <family val="2"/>
          </rPr>
          <t xml:space="preserve">
https://agenciavirtual.sabesp.com.br/tarifas</t>
        </r>
      </text>
    </comment>
    <comment ref="E22" authorId="0" shapeId="0" xr:uid="{E4E14083-542E-3F45-AE40-73C812CF121F}">
      <text>
        <r>
          <rPr>
            <b/>
            <sz val="9"/>
            <color indexed="81"/>
            <rFont val="Segoe UI"/>
            <family val="2"/>
          </rPr>
          <t>Rodrigo Altoe:</t>
        </r>
        <r>
          <rPr>
            <sz val="9"/>
            <color indexed="81"/>
            <rFont val="Segoe UI"/>
            <family val="2"/>
          </rPr>
          <t xml:space="preserve">
https://agenciavirtual.sabesp.com.br/tarifas</t>
        </r>
      </text>
    </comment>
    <comment ref="E23" authorId="0" shapeId="0" xr:uid="{69812095-D8E9-5C4E-ACFD-0780B31662C8}">
      <text>
        <r>
          <rPr>
            <b/>
            <sz val="9"/>
            <color indexed="81"/>
            <rFont val="Segoe UI"/>
            <family val="2"/>
          </rPr>
          <t>Rodrigo Altoe:</t>
        </r>
        <r>
          <rPr>
            <sz val="9"/>
            <color indexed="81"/>
            <rFont val="Segoe UI"/>
            <family val="2"/>
          </rPr>
          <t xml:space="preserve">
https://agenciavirtual.sabesp.com.br/tarifas</t>
        </r>
      </text>
    </comment>
    <comment ref="E24" authorId="0" shapeId="0" xr:uid="{380910A0-12B8-B449-BDC9-A6FB409DE351}">
      <text>
        <r>
          <rPr>
            <b/>
            <sz val="9"/>
            <color indexed="81"/>
            <rFont val="Segoe UI"/>
            <family val="2"/>
          </rPr>
          <t>Rodrigo Altoe:</t>
        </r>
        <r>
          <rPr>
            <sz val="9"/>
            <color indexed="81"/>
            <rFont val="Segoe UI"/>
            <family val="2"/>
          </rPr>
          <t xml:space="preserve">
Val</t>
        </r>
      </text>
    </comment>
    <comment ref="H29" authorId="1" shapeId="0" xr:uid="{D714CADA-921C-1645-B069-6AA096DAB5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Cotação 1200 kg
Responder:
    PW-0X-1-1-500 Graphene Black 0X 96%
</t>
      </text>
    </comment>
  </commentList>
</comments>
</file>

<file path=xl/sharedStrings.xml><?xml version="1.0" encoding="utf-8"?>
<sst xmlns="http://schemas.openxmlformats.org/spreadsheetml/2006/main" count="201" uniqueCount="109">
  <si>
    <t>Atualizado em</t>
  </si>
  <si>
    <t>INSUMOS</t>
  </si>
  <si>
    <t>Cod</t>
  </si>
  <si>
    <t>Nome</t>
  </si>
  <si>
    <t>Supplier</t>
  </si>
  <si>
    <t>Status</t>
  </si>
  <si>
    <t>Quotation Data</t>
  </si>
  <si>
    <t>Original Price</t>
  </si>
  <si>
    <t>USD Price</t>
  </si>
  <si>
    <t>Taxes %</t>
  </si>
  <si>
    <t>Quant.</t>
  </si>
  <si>
    <t>purchase cost USD</t>
  </si>
  <si>
    <t>Unit</t>
  </si>
  <si>
    <t>Quantity/pack</t>
  </si>
  <si>
    <t>Price/Unit</t>
  </si>
  <si>
    <t>Comments</t>
  </si>
  <si>
    <t>Esferas de Zircônia,
Consumível dos moinhos</t>
  </si>
  <si>
    <t>Estimado</t>
  </si>
  <si>
    <t>kg</t>
  </si>
  <si>
    <t>Cilindro N2 10 m3 Refil</t>
  </si>
  <si>
    <t>OxiMinas</t>
  </si>
  <si>
    <t>Consultado</t>
  </si>
  <si>
    <t>m3</t>
  </si>
  <si>
    <t>CO2</t>
  </si>
  <si>
    <t>PET micronizado 1 ton</t>
  </si>
  <si>
    <t>Resipol</t>
  </si>
  <si>
    <t>Aditivo agente de expansão BT Sulfonol Mel bombona 50 kg</t>
  </si>
  <si>
    <t>Tanquimica</t>
  </si>
  <si>
    <t>Energia - Tarifa Sistema de Distrib. (TUSD)</t>
  </si>
  <si>
    <t>ENEL</t>
  </si>
  <si>
    <t>Tabela ENEL SP</t>
  </si>
  <si>
    <t>kWh</t>
  </si>
  <si>
    <t>https://www.enel.com.br/pt-saopaulo/Para_Voce/tarifa-energia-eletrica.html</t>
  </si>
  <si>
    <t>Energia - Tarifa (TE) - BVD</t>
  </si>
  <si>
    <t>Energia Ouro Branco 8 às 17 h</t>
  </si>
  <si>
    <t>Consulta interna</t>
  </si>
  <si>
    <t>Energia Ouro Branco ponta</t>
  </si>
  <si>
    <t>Água Abast. 0 a 10 m³</t>
  </si>
  <si>
    <t>SABESP</t>
  </si>
  <si>
    <t>SABESP SP</t>
  </si>
  <si>
    <t>https://agenciavirtual.sabesp.com.br/tarifas</t>
  </si>
  <si>
    <t>Água Abast. 11 a 20 m³</t>
  </si>
  <si>
    <t>Água Abast. 21 a 50 m³</t>
  </si>
  <si>
    <t>Água Abast. &gt;50 m³</t>
  </si>
  <si>
    <t>Esgoto Abast. 0 a 10 m³</t>
  </si>
  <si>
    <t>Esgoto Abast. 11 a 20 m³</t>
  </si>
  <si>
    <t>Esgoto Abast. 21 a 50 m³</t>
  </si>
  <si>
    <t>Esgoto Abast. &gt;50 m³</t>
  </si>
  <si>
    <t>HH Operador</t>
  </si>
  <si>
    <t>HH Técnico</t>
  </si>
  <si>
    <t>HH Analista</t>
  </si>
  <si>
    <t>HH Pesquisador</t>
  </si>
  <si>
    <t>NanoXplore 0X</t>
  </si>
  <si>
    <t>NanoXplore</t>
  </si>
  <si>
    <t>Valor de Estoque</t>
  </si>
  <si>
    <t>Equivalente a LamaGrafMGg</t>
  </si>
  <si>
    <t>Consulta fornecedor email</t>
  </si>
  <si>
    <t>NanoXplore 3X</t>
  </si>
  <si>
    <t>CAMGRAPH G1 BATCH</t>
  </si>
  <si>
    <t>Levidian</t>
  </si>
  <si>
    <t>Comprado</t>
  </si>
  <si>
    <t>CAMGRAPH G3 BATCH</t>
  </si>
  <si>
    <t>First Graphene</t>
  </si>
  <si>
    <t>Frist Graphene</t>
  </si>
  <si>
    <t>GRAPHINK 2 Binder-Free (anionic)</t>
  </si>
  <si>
    <t>Versarien</t>
  </si>
  <si>
    <t>GRAPHINK 2 Binder-Free (non ionic)</t>
  </si>
  <si>
    <t>Estou assumindo que esta dispersão pode é comparável ao grafAMGg</t>
  </si>
  <si>
    <t>PureGRAPH AQUA 5</t>
  </si>
  <si>
    <t>PureGRAPH AQUA 10</t>
  </si>
  <si>
    <t>PureGRAPH AQUA 20</t>
  </si>
  <si>
    <t>PureGRAPH AQUA 50</t>
  </si>
  <si>
    <t>PureGRAPH 50</t>
  </si>
  <si>
    <t>PureGRAPH 20</t>
  </si>
  <si>
    <t>PureGRAPH 10</t>
  </si>
  <si>
    <t>PureGRAPH 5</t>
  </si>
  <si>
    <t>Elicarb GNP M1P0953 lll GraphCore™ GCT0953 M01P</t>
  </si>
  <si>
    <t>Thomas Swan</t>
  </si>
  <si>
    <t>Elicarb GNP M1P0955</t>
  </si>
  <si>
    <t xml:space="preserve">Elicarb GNP F7P1518 lll GraphCore™ GCP104P-F07P </t>
  </si>
  <si>
    <t>Informado</t>
  </si>
  <si>
    <t>Equivalente ao GrafBMGg</t>
  </si>
  <si>
    <t>EliCarb GNP M1D1507</t>
  </si>
  <si>
    <t>EliCarb GNP F7D1515</t>
  </si>
  <si>
    <t>Elicarb GNP M2539 GCR074-E07P</t>
  </si>
  <si>
    <t>CamGraph Graphene Powder batch #000009</t>
  </si>
  <si>
    <t>Cambridge Nanosystems</t>
  </si>
  <si>
    <t>camGraph Graphene Powder batch #000010</t>
  </si>
  <si>
    <t>CamGraph Graphene Powder batch #000008</t>
  </si>
  <si>
    <t>CamGraph Graphene Powder batch #000007</t>
  </si>
  <si>
    <t>CamGraph Graphene Powder batch #000006</t>
  </si>
  <si>
    <t>Genable 1000</t>
  </si>
  <si>
    <t>AGM</t>
  </si>
  <si>
    <t>Genable 1200</t>
  </si>
  <si>
    <t>Genable 1400</t>
  </si>
  <si>
    <t>Genable 3000</t>
  </si>
  <si>
    <t>Micrograf 99518UJ</t>
  </si>
  <si>
    <t>NG</t>
  </si>
  <si>
    <t>Micrograf 99503UJ</t>
  </si>
  <si>
    <t>Micrograf HC11</t>
  </si>
  <si>
    <t>CR Nano</t>
  </si>
  <si>
    <t>FLG_(1_KG) - FEW LAYER GRAPHENE
Nomenclature douanière ou Code SH: 38011000</t>
  </si>
  <si>
    <t>Graphene Production</t>
  </si>
  <si>
    <t>Cotação</t>
  </si>
  <si>
    <t>Graphene Nano Platelets</t>
  </si>
  <si>
    <t xml:space="preserve">MstnLand </t>
  </si>
  <si>
    <t>Reduced Graphene Oxide</t>
  </si>
  <si>
    <t>Graphene Oxide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</si>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</sst>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16]d\-mmm\-yy;@"/>
    <numFmt numFmtId="165" formatCode="[$R$-416]\ #,##0.00"/>
    <numFmt numFmtId="166" formatCode="[$$-540A]#,##0.00"/>
    <numFmt numFmtId="167" formatCode="&quot;R$&quot;\ #,##0.00"/>
    <numFmt numFmtId="168" formatCode="[$£-809]#,##0.00"/>
  </numFmts>
  <fonts count="2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i/>
      <sz val="12"/>
      <color rgb="FFFF0000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164" fontId="0" fillId="0" borderId="7" xfId="0" applyNumberFormat="1" applyBorder="1" applyAlignment="1">
      <alignment horizontal="center" vertical="center" wrapText="1"/>
    </xf>
    <xf numFmtId="165" fontId="10" fillId="0" borderId="7" xfId="0" applyNumberFormat="1" applyFont="1" applyBorder="1" applyAlignment="1">
      <alignment horizontal="right" vertical="center" wrapText="1"/>
    </xf>
    <xf numFmtId="166" fontId="11" fillId="0" borderId="8" xfId="0" applyNumberFormat="1" applyFont="1" applyBorder="1" applyAlignment="1">
      <alignment horizontal="right" vertical="center" wrapText="1"/>
    </xf>
    <xf numFmtId="10" fontId="4" fillId="0" borderId="7" xfId="0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vertical="center" wrapText="1"/>
    </xf>
    <xf numFmtId="166" fontId="12" fillId="0" borderId="8" xfId="0" applyNumberFormat="1" applyFont="1" applyBorder="1" applyAlignment="1">
      <alignment horizontal="right" vertical="center" wrapText="1"/>
    </xf>
    <xf numFmtId="4" fontId="12" fillId="0" borderId="8" xfId="0" applyNumberFormat="1" applyFont="1" applyBorder="1" applyAlignment="1">
      <alignment horizontal="right" vertical="center" wrapText="1"/>
    </xf>
    <xf numFmtId="167" fontId="13" fillId="0" borderId="7" xfId="0" applyNumberFormat="1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164" fontId="0" fillId="0" borderId="9" xfId="0" applyNumberFormat="1" applyBorder="1" applyAlignment="1">
      <alignment horizontal="center" vertical="center"/>
    </xf>
    <xf numFmtId="165" fontId="10" fillId="0" borderId="8" xfId="0" applyNumberFormat="1" applyFont="1" applyBorder="1" applyAlignment="1">
      <alignment horizontal="right" vertical="center"/>
    </xf>
    <xf numFmtId="10" fontId="4" fillId="0" borderId="9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vertical="center"/>
    </xf>
    <xf numFmtId="167" fontId="13" fillId="0" borderId="7" xfId="0" applyNumberFormat="1" applyFont="1" applyBorder="1" applyAlignment="1">
      <alignment vertical="center"/>
    </xf>
    <xf numFmtId="166" fontId="12" fillId="0" borderId="10" xfId="0" applyNumberFormat="1" applyFont="1" applyBorder="1" applyAlignment="1">
      <alignment horizontal="right" vertical="center" wrapText="1"/>
    </xf>
    <xf numFmtId="4" fontId="12" fillId="0" borderId="10" xfId="0" applyNumberFormat="1" applyFont="1" applyBorder="1" applyAlignment="1">
      <alignment horizontal="right" vertical="center" wrapText="1"/>
    </xf>
    <xf numFmtId="166" fontId="12" fillId="0" borderId="11" xfId="0" applyNumberFormat="1" applyFont="1" applyBorder="1" applyAlignment="1">
      <alignment horizontal="right" vertical="center" wrapText="1"/>
    </xf>
    <xf numFmtId="0" fontId="14" fillId="0" borderId="7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164" fontId="0" fillId="0" borderId="12" xfId="0" applyNumberFormat="1" applyBorder="1" applyAlignment="1">
      <alignment horizontal="center" vertical="center"/>
    </xf>
    <xf numFmtId="167" fontId="2" fillId="0" borderId="7" xfId="1" applyNumberForma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0" fillId="0" borderId="10" xfId="0" applyBorder="1" applyAlignment="1">
      <alignment vertical="center"/>
    </xf>
    <xf numFmtId="165" fontId="10" fillId="0" borderId="10" xfId="0" applyNumberFormat="1" applyFont="1" applyBorder="1" applyAlignment="1">
      <alignment horizontal="right" vertical="center"/>
    </xf>
    <xf numFmtId="167" fontId="15" fillId="0" borderId="7" xfId="1" applyNumberFormat="1" applyFont="1" applyBorder="1" applyAlignment="1">
      <alignment vertical="center"/>
    </xf>
    <xf numFmtId="0" fontId="0" fillId="0" borderId="12" xfId="0" applyBorder="1" applyAlignment="1">
      <alignment vertical="center"/>
    </xf>
    <xf numFmtId="165" fontId="10" fillId="0" borderId="12" xfId="0" applyNumberFormat="1" applyFont="1" applyBorder="1" applyAlignment="1">
      <alignment horizontal="right" vertical="center"/>
    </xf>
    <xf numFmtId="166" fontId="12" fillId="0" borderId="8" xfId="0" applyNumberFormat="1" applyFont="1" applyBorder="1" applyAlignment="1">
      <alignment horizontal="right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167" fontId="12" fillId="0" borderId="7" xfId="0" applyNumberFormat="1" applyFont="1" applyBorder="1" applyAlignment="1">
      <alignment vertical="center"/>
    </xf>
    <xf numFmtId="0" fontId="16" fillId="0" borderId="6" xfId="0" applyFont="1" applyBorder="1" applyAlignment="1">
      <alignment horizontal="left" vertical="center" wrapText="1"/>
    </xf>
    <xf numFmtId="167" fontId="0" fillId="0" borderId="7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166" fontId="12" fillId="4" borderId="8" xfId="0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168" fontId="10" fillId="0" borderId="12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49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164" fontId="0" fillId="0" borderId="15" xfId="0" applyNumberFormat="1" applyBorder="1" applyAlignment="1">
      <alignment horizontal="center" vertical="center" wrapText="1"/>
    </xf>
    <xf numFmtId="165" fontId="10" fillId="0" borderId="14" xfId="0" applyNumberFormat="1" applyFont="1" applyBorder="1" applyAlignment="1">
      <alignment horizontal="right" vertical="center" wrapText="1"/>
    </xf>
    <xf numFmtId="166" fontId="12" fillId="0" borderId="14" xfId="0" applyNumberFormat="1" applyFont="1" applyBorder="1" applyAlignment="1">
      <alignment horizontal="right" vertical="center" wrapText="1"/>
    </xf>
    <xf numFmtId="10" fontId="4" fillId="0" borderId="15" xfId="0" applyNumberFormat="1" applyFont="1" applyBorder="1" applyAlignment="1">
      <alignment horizontal="right" vertical="center" wrapText="1"/>
    </xf>
    <xf numFmtId="4" fontId="12" fillId="0" borderId="14" xfId="0" applyNumberFormat="1" applyFont="1" applyBorder="1" applyAlignment="1">
      <alignment horizontal="right" vertical="center" wrapText="1"/>
    </xf>
    <xf numFmtId="167" fontId="1" fillId="0" borderId="16" xfId="0" applyNumberFormat="1" applyFont="1" applyBorder="1" applyAlignment="1">
      <alignment vertical="center" wrapText="1"/>
    </xf>
    <xf numFmtId="0" fontId="14" fillId="0" borderId="17" xfId="0" applyFont="1" applyBorder="1" applyAlignment="1">
      <alignment vertical="center"/>
    </xf>
    <xf numFmtId="0" fontId="0" fillId="0" borderId="17" xfId="0" applyBorder="1" applyAlignment="1">
      <alignment vertical="center"/>
    </xf>
    <xf numFmtId="164" fontId="0" fillId="0" borderId="17" xfId="0" applyNumberFormat="1" applyBorder="1" applyAlignment="1">
      <alignment horizontal="center" vertical="center"/>
    </xf>
    <xf numFmtId="165" fontId="18" fillId="0" borderId="17" xfId="0" applyNumberFormat="1" applyFont="1" applyBorder="1" applyAlignment="1">
      <alignment horizontal="right" vertical="center"/>
    </xf>
    <xf numFmtId="166" fontId="19" fillId="0" borderId="17" xfId="0" applyNumberFormat="1" applyFont="1" applyBorder="1" applyAlignment="1">
      <alignment horizontal="right" vertical="center"/>
    </xf>
    <xf numFmtId="49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167" fontId="12" fillId="0" borderId="17" xfId="0" applyNumberFormat="1" applyFont="1" applyBorder="1" applyAlignment="1">
      <alignment vertical="center"/>
    </xf>
    <xf numFmtId="4" fontId="12" fillId="0" borderId="17" xfId="0" applyNumberFormat="1" applyFont="1" applyBorder="1" applyAlignment="1">
      <alignment vertical="center"/>
    </xf>
    <xf numFmtId="167" fontId="1" fillId="0" borderId="18" xfId="0" applyNumberFormat="1" applyFont="1" applyBorder="1" applyAlignment="1">
      <alignment vertical="center"/>
    </xf>
  </cellXfs>
  <cellStyles count="2">
    <cellStyle name="Hiperlink" xfId="1" builtinId="8"/>
    <cellStyle name="Normal" xfId="0" builtinId="0"/>
  </cellStyles>
  <dxfs count="32">
    <dxf>
      <font>
        <b/>
      </font>
      <numFmt numFmtId="167" formatCode="&quot;R$&quot;\ #,##0.00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R$&quot;\ #,##0.00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$$-540A]#,##0.00"/>
      <alignment horizontal="right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$$-540A]#,##0.00"/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</font>
      <numFmt numFmtId="167" formatCode="&quot;R$&quot;\ #,##0.00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i/>
      </font>
      <numFmt numFmtId="30" formatCode="@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alignment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kumaaltoe/Downloads/P.Lee_Produc&#807;a&#771;o_v01%20%5bdocumento%20base%5d.xlsx" TargetMode="External"/><Relationship Id="rId1" Type="http://schemas.openxmlformats.org/officeDocument/2006/relationships/externalLinkPath" Target="/Users/okumaaltoe/Downloads/P.Lee_Produc&#807;a&#771;o_v01%20%5bdocumento%20base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tos"/>
      <sheetName val="Insumos"/>
      <sheetName val="Consumíveis"/>
      <sheetName val="Insumos - Lista Anterior"/>
      <sheetName val="Formulação_Martebatch"/>
      <sheetName val="Equipment Catalog"/>
      <sheetName val="Equipments CAPEX"/>
      <sheetName val="HH"/>
      <sheetName val="Inputs &amp; Outputs"/>
      <sheetName val="Production Rates"/>
      <sheetName val="Equipment Depreciation"/>
      <sheetName val="Production Costs Parameters"/>
      <sheetName val="Exchange Rate"/>
      <sheetName val="Graphics"/>
      <sheetName val="Listas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D5">
            <v>1.23</v>
          </cell>
        </row>
        <row r="6">
          <cell r="D6">
            <v>4.9000000000000004</v>
          </cell>
        </row>
      </sheetData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liane Ayumi" id="{46C27698-155F-7F4C-9CDE-E4DE295D865F}" userId="cffbc4ca60a5ad66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7D470-B98F-B840-91DE-D0D27B3D4273}" name="Tabela21743" displayName="Tabela21743" ref="B6:O70" totalsRowShown="0" headerRowDxfId="31" dataDxfId="30" headerRowBorderDxfId="28" tableBorderDxfId="29" totalsRowBorderDxfId="27">
  <autoFilter ref="B6:O70" xr:uid="{9C57D470-B98F-B840-91DE-D0D27B3D4273}"/>
  <sortState xmlns:xlrd2="http://schemas.microsoft.com/office/spreadsheetml/2017/richdata2" ref="B7:N73">
    <sortCondition ref="E3:E70"/>
  </sortState>
  <tableColumns count="14">
    <tableColumn id="1" xr3:uid="{7BAFB577-D8CA-7446-B4B3-44200B98CF0B}" name="Cod" dataDxfId="25" totalsRowDxfId="26"/>
    <tableColumn id="2" xr3:uid="{AA2500E2-72F0-5947-A1C3-82B972413153}" name="Nome" dataDxfId="23" totalsRowDxfId="24"/>
    <tableColumn id="8" xr3:uid="{164F2E4E-7FED-1240-984F-FB3220A14510}" name="Supplier" dataDxfId="21" totalsRowDxfId="22"/>
    <tableColumn id="6" xr3:uid="{08760520-AC48-184E-8A88-7BBCB6053F83}" name="Status" dataDxfId="19" totalsRowDxfId="20"/>
    <tableColumn id="7" xr3:uid="{31C2A5FB-F4F4-434D-82A8-82D7185BFA8B}" name="Quotation Data" dataDxfId="17" totalsRowDxfId="18"/>
    <tableColumn id="12" xr3:uid="{23000DE7-006D-5A41-A998-506408E523AB}" name="Original Price" dataDxfId="16"/>
    <tableColumn id="3" xr3:uid="{80AAA696-63EE-924C-A3CB-270578989C39}" name="USD Price" dataDxfId="14" totalsRowDxfId="15"/>
    <tableColumn id="11" xr3:uid="{AF504790-886E-7843-8203-705BBDB8B660}" name="Taxes %" dataDxfId="12" totalsRowDxfId="13"/>
    <tableColumn id="13" xr3:uid="{B2E5A0EA-A45E-B64C-B8F1-265ACCD70A9C}" name="Quant." dataDxfId="10" totalsRowDxfId="11"/>
    <tableColumn id="4" xr3:uid="{DFE24F35-3430-EC40-B60F-FA23E2D188BE}" name="purchase cost USD" dataDxfId="8" totalsRowDxfId="9"/>
    <tableColumn id="9" xr3:uid="{9555C8A3-AFCE-3642-9794-A63E8C15CC66}" name="Unit" dataDxfId="6" totalsRowDxfId="7"/>
    <tableColumn id="14" xr3:uid="{D4D6EFA7-7EB5-524B-B224-988F7F5FDE65}" name="Quantity/pack" dataDxfId="4" totalsRowDxfId="5"/>
    <tableColumn id="10" xr3:uid="{193D2950-CF3C-3F43-AD4F-07EDBB5AD048}" name="Price/Unit" dataDxfId="2" totalsRowDxfId="3">
      <calculatedColumnFormula>Tabela21743[[#This Row],[purchase cost USD]]/Tabela21743[[#This Row],[Quantity/pack]]</calculatedColumnFormula>
    </tableColumn>
    <tableColumn id="5" xr3:uid="{FC031144-F005-E44D-96DD-82AD5BD7034C}" name="Comments" dataDxfId="0" totalsRow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9" dT="2025-11-28T14:35:44.97" personId="{46C27698-155F-7F4C-9CDE-E4DE295D865F}" id="{D714CADA-921C-1645-B069-6AA096DAB505}">
    <text>Cotação 1200 kg</text>
  </threadedComment>
  <threadedComment ref="H29" dT="2025-11-28T14:36:47.08" personId="{46C27698-155F-7F4C-9CDE-E4DE295D865F}" id="{A5ED0BCA-3C34-9448-B64F-69B948B732AE}" parentId="{D714CADA-921C-1645-B069-6AA096DAB505}">
    <text xml:space="preserve">PW-0X-1-1-500 Graphene Black 0X 96%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genciavirtual.sabesp.com.br/tarifas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genciavirtual.sabesp.com.br/tarifas" TargetMode="External"/><Relationship Id="rId7" Type="http://schemas.openxmlformats.org/officeDocument/2006/relationships/hyperlink" Target="https://agenciavirtual.sabesp.com.br/tarifas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enel.com.br/pt-saopaulo/Para_Voce/tarifa-energia-eletrica.html" TargetMode="External"/><Relationship Id="rId1" Type="http://schemas.openxmlformats.org/officeDocument/2006/relationships/hyperlink" Target="https://www.enel.com.br/pt-saopaulo/Para_Voce/tarifa-energia-eletrica.html" TargetMode="External"/><Relationship Id="rId6" Type="http://schemas.openxmlformats.org/officeDocument/2006/relationships/hyperlink" Target="https://agenciavirtual.sabesp.com.br/tarifas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genciavirtual.sabesp.com.br/tarifas" TargetMode="External"/><Relationship Id="rId10" Type="http://schemas.openxmlformats.org/officeDocument/2006/relationships/hyperlink" Target="https://agenciavirtual.sabesp.com.br/tarifas" TargetMode="External"/><Relationship Id="rId4" Type="http://schemas.openxmlformats.org/officeDocument/2006/relationships/hyperlink" Target="https://agenciavirtual.sabesp.com.br/tarifas" TargetMode="External"/><Relationship Id="rId9" Type="http://schemas.openxmlformats.org/officeDocument/2006/relationships/hyperlink" Target="https://agenciavirtual.sabesp.com.br/tarifas" TargetMode="External"/><Relationship Id="rId1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38FB-6213-7C42-BCA9-CDA5E1F47A6A}">
  <dimension ref="B1:O70"/>
  <sheetViews>
    <sheetView tabSelected="1" workbookViewId="0"/>
  </sheetViews>
  <sheetFormatPr baseColWidth="10" defaultColWidth="8.6640625" defaultRowHeight="16" x14ac:dyDescent="0.2"/>
  <cols>
    <col min="1" max="1" width="1.5" style="1" customWidth="1"/>
    <col min="2" max="2" width="5.83203125" style="1" customWidth="1"/>
    <col min="3" max="4" width="39" style="1" customWidth="1"/>
    <col min="5" max="5" width="17.6640625" style="1" customWidth="1"/>
    <col min="6" max="6" width="15.6640625" style="1" customWidth="1"/>
    <col min="7" max="8" width="16.1640625" style="1" customWidth="1"/>
    <col min="9" max="9" width="11.33203125" style="1" customWidth="1"/>
    <col min="11" max="11" width="19.33203125" style="1" customWidth="1"/>
    <col min="12" max="12" width="7.5" style="1" customWidth="1"/>
    <col min="13" max="13" width="13" style="1" customWidth="1"/>
    <col min="14" max="14" width="14.33203125" style="1" customWidth="1"/>
    <col min="15" max="15" width="97.1640625" style="1" customWidth="1"/>
    <col min="16" max="16" width="31.83203125" style="1" customWidth="1"/>
    <col min="17" max="16384" width="8.6640625" style="1"/>
  </cols>
  <sheetData>
    <row r="1" spans="2:15" ht="8" customHeight="1" x14ac:dyDescent="0.2"/>
    <row r="2" spans="2:15" ht="10" customHeight="1" x14ac:dyDescent="0.2"/>
    <row r="3" spans="2:15" ht="29" customHeight="1" x14ac:dyDescent="0.2">
      <c r="B3" s="2"/>
      <c r="C3" s="3" t="s">
        <v>0</v>
      </c>
      <c r="D3" s="4"/>
      <c r="G3" s="5"/>
      <c r="H3" s="6"/>
      <c r="I3" s="6"/>
    </row>
    <row r="4" spans="2:15" ht="10" customHeight="1" x14ac:dyDescent="0.2">
      <c r="G4" s="5"/>
      <c r="H4" s="6"/>
      <c r="I4" s="6"/>
    </row>
    <row r="5" spans="2:15" ht="36" customHeight="1" x14ac:dyDescent="0.2">
      <c r="B5" s="7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2:15" ht="21" customHeight="1" x14ac:dyDescent="0.2">
      <c r="B6" s="9" t="s">
        <v>2</v>
      </c>
      <c r="C6" s="10" t="s">
        <v>3</v>
      </c>
      <c r="D6" s="10" t="s">
        <v>4</v>
      </c>
      <c r="E6" s="10" t="s">
        <v>5</v>
      </c>
      <c r="F6" s="11" t="s">
        <v>6</v>
      </c>
      <c r="G6" s="10" t="s">
        <v>7</v>
      </c>
      <c r="H6" s="10" t="s">
        <v>8</v>
      </c>
      <c r="I6" s="11" t="s">
        <v>9</v>
      </c>
      <c r="J6" s="10" t="s">
        <v>10</v>
      </c>
      <c r="K6" s="10" t="s">
        <v>11</v>
      </c>
      <c r="L6" s="10" t="s">
        <v>12</v>
      </c>
      <c r="M6" s="10" t="s">
        <v>13</v>
      </c>
      <c r="N6" s="10" t="s">
        <v>14</v>
      </c>
      <c r="O6" s="10" t="s">
        <v>15</v>
      </c>
    </row>
    <row r="7" spans="2:15" s="12" customFormat="1" ht="32" x14ac:dyDescent="0.2">
      <c r="B7" s="13">
        <v>6</v>
      </c>
      <c r="C7" s="14" t="s">
        <v>16</v>
      </c>
      <c r="D7" s="14"/>
      <c r="E7" s="15" t="s">
        <v>17</v>
      </c>
      <c r="F7" s="16">
        <v>45139</v>
      </c>
      <c r="G7" s="17">
        <v>40000</v>
      </c>
      <c r="H7" s="18">
        <f>Tabela21743[[#This Row],[Original Price]]/'[1]Exchange Rate'!$D$6</f>
        <v>8163.2653061224482</v>
      </c>
      <c r="I7" s="19">
        <v>0.2</v>
      </c>
      <c r="J7" s="20">
        <v>1</v>
      </c>
      <c r="K7" s="21">
        <f>(Tabela21743[[#This Row],[USD Price]]+(Tabela21743[[#This Row],[USD Price]]*Tabela21743[[#This Row],[Taxes %]]))*Tabela21743[[#This Row],[Quant.]]</f>
        <v>9795.9183673469379</v>
      </c>
      <c r="L7" s="21" t="s">
        <v>18</v>
      </c>
      <c r="M7" s="22"/>
      <c r="N7" s="21"/>
      <c r="O7" s="23"/>
    </row>
    <row r="8" spans="2:15" s="24" customFormat="1" x14ac:dyDescent="0.2">
      <c r="B8" s="13">
        <v>7</v>
      </c>
      <c r="C8" s="25" t="s">
        <v>19</v>
      </c>
      <c r="D8" s="26" t="s">
        <v>20</v>
      </c>
      <c r="E8" s="27" t="s">
        <v>21</v>
      </c>
      <c r="F8" s="28">
        <v>44896</v>
      </c>
      <c r="G8" s="29">
        <v>160</v>
      </c>
      <c r="H8" s="21">
        <f>Tabela21743[[#This Row],[Original Price]]/'[1]Exchange Rate'!$D$6</f>
        <v>32.653061224489797</v>
      </c>
      <c r="I8" s="30">
        <v>0</v>
      </c>
      <c r="J8" s="31">
        <v>1</v>
      </c>
      <c r="K8" s="21">
        <f>(Tabela21743[[#This Row],[USD Price]]+(Tabela21743[[#This Row],[USD Price]]*Tabela21743[[#This Row],[Taxes %]]))*Tabela21743[[#This Row],[Quant.]]</f>
        <v>32.653061224489797</v>
      </c>
      <c r="L8" s="21" t="s">
        <v>22</v>
      </c>
      <c r="M8" s="22">
        <v>10</v>
      </c>
      <c r="N8" s="21">
        <f>Tabela21743[[#This Row],[purchase cost USD]]/Tabela21743[[#This Row],[Quantity/pack]]</f>
        <v>3.2653061224489797</v>
      </c>
      <c r="O8" s="32"/>
    </row>
    <row r="9" spans="2:15" s="24" customFormat="1" x14ac:dyDescent="0.2">
      <c r="B9" s="13">
        <v>8</v>
      </c>
      <c r="C9" s="25" t="s">
        <v>23</v>
      </c>
      <c r="D9" s="26"/>
      <c r="E9" s="27" t="s">
        <v>21</v>
      </c>
      <c r="F9" s="28">
        <v>45250</v>
      </c>
      <c r="G9" s="29">
        <v>10</v>
      </c>
      <c r="H9" s="21">
        <f>Tabela21743[[#This Row],[Original Price]]/'[1]Exchange Rate'!$D$6</f>
        <v>2.0408163265306123</v>
      </c>
      <c r="I9" s="30">
        <v>0</v>
      </c>
      <c r="J9" s="31">
        <v>1</v>
      </c>
      <c r="K9" s="21">
        <f>(Tabela21743[[#This Row],[USD Price]]+(Tabela21743[[#This Row],[USD Price]]*Tabela21743[[#This Row],[Taxes %]]))*Tabela21743[[#This Row],[Quant.]]</f>
        <v>2.0408163265306123</v>
      </c>
      <c r="L9" s="33" t="s">
        <v>18</v>
      </c>
      <c r="M9" s="34">
        <v>1</v>
      </c>
      <c r="N9" s="35">
        <f>Tabela21743[[#This Row],[purchase cost USD]]/Tabela21743[[#This Row],[Quantity/pack]]</f>
        <v>2.0408163265306123</v>
      </c>
      <c r="O9" s="32"/>
    </row>
    <row r="10" spans="2:15" s="24" customFormat="1" x14ac:dyDescent="0.2">
      <c r="B10" s="13">
        <v>9</v>
      </c>
      <c r="C10" s="25" t="s">
        <v>24</v>
      </c>
      <c r="D10" s="26" t="s">
        <v>25</v>
      </c>
      <c r="E10" s="27" t="s">
        <v>21</v>
      </c>
      <c r="F10" s="28">
        <v>44896</v>
      </c>
      <c r="G10" s="29">
        <v>4500</v>
      </c>
      <c r="H10" s="21">
        <f>Tabela21743[[#This Row],[Original Price]]/'[1]Exchange Rate'!$D$6</f>
        <v>918.36734693877543</v>
      </c>
      <c r="I10" s="30">
        <v>0</v>
      </c>
      <c r="J10" s="31">
        <v>1</v>
      </c>
      <c r="K10" s="21">
        <f>(Tabela21743[[#This Row],[USD Price]]+(Tabela21743[[#This Row],[USD Price]]*Tabela21743[[#This Row],[Taxes %]]))*Tabela21743[[#This Row],[Quant.]]</f>
        <v>918.36734693877543</v>
      </c>
      <c r="L10" s="21" t="s">
        <v>18</v>
      </c>
      <c r="M10" s="22">
        <v>1000</v>
      </c>
      <c r="N10" s="21">
        <f>Tabela21743[[#This Row],[purchase cost USD]]/Tabela21743[[#This Row],[Quantity/pack]]</f>
        <v>0.91836734693877542</v>
      </c>
      <c r="O10" s="32"/>
    </row>
    <row r="11" spans="2:15" s="24" customFormat="1" ht="32" x14ac:dyDescent="0.2">
      <c r="B11" s="13">
        <v>10</v>
      </c>
      <c r="C11" s="36" t="s">
        <v>26</v>
      </c>
      <c r="D11" s="37" t="s">
        <v>27</v>
      </c>
      <c r="E11" s="27" t="s">
        <v>21</v>
      </c>
      <c r="F11" s="28">
        <v>44896</v>
      </c>
      <c r="G11" s="29">
        <v>344.5</v>
      </c>
      <c r="H11" s="21">
        <f>Tabela21743[[#This Row],[Original Price]]/'[1]Exchange Rate'!$D$6</f>
        <v>70.306122448979593</v>
      </c>
      <c r="I11" s="30">
        <v>0</v>
      </c>
      <c r="J11" s="31">
        <v>1</v>
      </c>
      <c r="K11" s="21">
        <f>(Tabela21743[[#This Row],[USD Price]]+(Tabela21743[[#This Row],[USD Price]]*Tabela21743[[#This Row],[Taxes %]]))*Tabela21743[[#This Row],[Quant.]]</f>
        <v>70.306122448979593</v>
      </c>
      <c r="L11" s="21" t="s">
        <v>18</v>
      </c>
      <c r="M11" s="22">
        <v>50</v>
      </c>
      <c r="N11" s="21">
        <f>Tabela21743[[#This Row],[purchase cost USD]]/Tabela21743[[#This Row],[Quantity/pack]]</f>
        <v>1.4061224489795918</v>
      </c>
      <c r="O11" s="32"/>
    </row>
    <row r="12" spans="2:15" s="24" customFormat="1" x14ac:dyDescent="0.2">
      <c r="B12" s="13">
        <v>11</v>
      </c>
      <c r="C12" s="25" t="s">
        <v>28</v>
      </c>
      <c r="D12" s="26" t="s">
        <v>29</v>
      </c>
      <c r="E12" s="27" t="s">
        <v>30</v>
      </c>
      <c r="F12" s="38">
        <v>45250</v>
      </c>
      <c r="G12" s="29">
        <f>396.03/1000</f>
        <v>0.39602999999999999</v>
      </c>
      <c r="H12" s="21">
        <f>Tabela21743[[#This Row],[Original Price]]/'[1]Exchange Rate'!$D$6</f>
        <v>8.0822448979591829E-2</v>
      </c>
      <c r="I12" s="30">
        <v>0</v>
      </c>
      <c r="J12" s="31">
        <v>1</v>
      </c>
      <c r="K12" s="21">
        <f>(Tabela21743[[#This Row],[USD Price]]+(Tabela21743[[#This Row],[USD Price]]*Tabela21743[[#This Row],[Taxes %]]))*Tabela21743[[#This Row],[Quant.]]</f>
        <v>8.0822448979591829E-2</v>
      </c>
      <c r="L12" s="33" t="s">
        <v>31</v>
      </c>
      <c r="M12" s="34">
        <v>1</v>
      </c>
      <c r="N12" s="35">
        <f>Tabela21743[[#This Row],[purchase cost USD]]/Tabela21743[[#This Row],[Quantity/pack]]</f>
        <v>8.0822448979591829E-2</v>
      </c>
      <c r="O12" s="39" t="s">
        <v>32</v>
      </c>
    </row>
    <row r="13" spans="2:15" s="24" customFormat="1" x14ac:dyDescent="0.2">
      <c r="B13" s="13">
        <v>12</v>
      </c>
      <c r="C13" s="25" t="s">
        <v>33</v>
      </c>
      <c r="D13" s="26" t="s">
        <v>29</v>
      </c>
      <c r="E13" s="27" t="s">
        <v>30</v>
      </c>
      <c r="F13" s="38">
        <v>45250</v>
      </c>
      <c r="G13" s="29">
        <f>260.46/1000</f>
        <v>0.26045999999999997</v>
      </c>
      <c r="H13" s="21">
        <f>Tabela21743[[#This Row],[Original Price]]/'[1]Exchange Rate'!$D$6</f>
        <v>5.3155102040816318E-2</v>
      </c>
      <c r="I13" s="30">
        <v>0</v>
      </c>
      <c r="J13" s="31">
        <v>1</v>
      </c>
      <c r="K13" s="21">
        <f>(Tabela21743[[#This Row],[USD Price]]+(Tabela21743[[#This Row],[USD Price]]*Tabela21743[[#This Row],[Taxes %]]))*Tabela21743[[#This Row],[Quant.]]</f>
        <v>5.3155102040816318E-2</v>
      </c>
      <c r="L13" s="33" t="s">
        <v>31</v>
      </c>
      <c r="M13" s="34">
        <v>1</v>
      </c>
      <c r="N13" s="35">
        <f>Tabela21743[[#This Row],[purchase cost USD]]/Tabela21743[[#This Row],[Quantity/pack]]</f>
        <v>5.3155102040816318E-2</v>
      </c>
      <c r="O13" s="39" t="s">
        <v>32</v>
      </c>
    </row>
    <row r="14" spans="2:15" s="24" customFormat="1" x14ac:dyDescent="0.2">
      <c r="B14" s="13">
        <v>13</v>
      </c>
      <c r="C14" s="25" t="s">
        <v>34</v>
      </c>
      <c r="D14" s="40"/>
      <c r="E14" s="41" t="s">
        <v>35</v>
      </c>
      <c r="F14" s="38">
        <v>45265</v>
      </c>
      <c r="G14" s="42">
        <v>0.52</v>
      </c>
      <c r="H14" s="21">
        <f>Tabela21743[[#This Row],[Original Price]]/'[1]Exchange Rate'!$D$6</f>
        <v>0.10612244897959183</v>
      </c>
      <c r="I14" s="30">
        <v>0</v>
      </c>
      <c r="J14" s="31">
        <v>1</v>
      </c>
      <c r="K14" s="21">
        <f>(Tabela21743[[#This Row],[USD Price]]+(Tabela21743[[#This Row],[USD Price]]*Tabela21743[[#This Row],[Taxes %]]))*Tabela21743[[#This Row],[Quant.]]</f>
        <v>0.10612244897959183</v>
      </c>
      <c r="L14" s="33" t="s">
        <v>31</v>
      </c>
      <c r="M14" s="34">
        <v>1</v>
      </c>
      <c r="N14" s="35">
        <f>Tabela21743[[#This Row],[purchase cost USD]]/Tabela21743[[#This Row],[Quantity/pack]]</f>
        <v>0.10612244897959183</v>
      </c>
      <c r="O14" s="43"/>
    </row>
    <row r="15" spans="2:15" s="24" customFormat="1" x14ac:dyDescent="0.2">
      <c r="B15" s="13">
        <v>14</v>
      </c>
      <c r="C15" s="25" t="s">
        <v>36</v>
      </c>
      <c r="D15" s="40"/>
      <c r="E15" s="41" t="s">
        <v>35</v>
      </c>
      <c r="F15" s="38">
        <v>45265</v>
      </c>
      <c r="G15" s="42">
        <v>2.52</v>
      </c>
      <c r="H15" s="21">
        <f>Tabela21743[[#This Row],[Original Price]]/'[1]Exchange Rate'!$D$6</f>
        <v>0.51428571428571423</v>
      </c>
      <c r="I15" s="30">
        <v>0</v>
      </c>
      <c r="J15" s="31">
        <v>1</v>
      </c>
      <c r="K15" s="21">
        <f>(Tabela21743[[#This Row],[USD Price]]+(Tabela21743[[#This Row],[USD Price]]*Tabela21743[[#This Row],[Taxes %]]))*Tabela21743[[#This Row],[Quant.]]</f>
        <v>0.51428571428571423</v>
      </c>
      <c r="L15" s="33" t="s">
        <v>31</v>
      </c>
      <c r="M15" s="34">
        <v>1</v>
      </c>
      <c r="N15" s="35">
        <f>Tabela21743[[#This Row],[purchase cost USD]]/Tabela21743[[#This Row],[Quantity/pack]]</f>
        <v>0.51428571428571423</v>
      </c>
      <c r="O15" s="43"/>
    </row>
    <row r="16" spans="2:15" s="24" customFormat="1" x14ac:dyDescent="0.2">
      <c r="B16" s="13">
        <v>15</v>
      </c>
      <c r="C16" s="25" t="s">
        <v>37</v>
      </c>
      <c r="D16" s="40" t="s">
        <v>38</v>
      </c>
      <c r="E16" s="44" t="s">
        <v>39</v>
      </c>
      <c r="F16" s="38">
        <v>45250</v>
      </c>
      <c r="G16" s="45">
        <v>71.98</v>
      </c>
      <c r="H16" s="21">
        <f>Tabela21743[[#This Row],[Original Price]]/'[1]Exchange Rate'!$D$6</f>
        <v>14.689795918367347</v>
      </c>
      <c r="I16" s="30">
        <v>0</v>
      </c>
      <c r="J16" s="31">
        <v>1</v>
      </c>
      <c r="K16" s="21">
        <f>(Tabela21743[[#This Row],[USD Price]]+(Tabela21743[[#This Row],[USD Price]]*Tabela21743[[#This Row],[Taxes %]]))*Tabela21743[[#This Row],[Quant.]]</f>
        <v>14.689795918367347</v>
      </c>
      <c r="L16" s="33" t="s">
        <v>22</v>
      </c>
      <c r="M16" s="34">
        <v>10</v>
      </c>
      <c r="N16" s="35">
        <f>Tabela21743[[#This Row],[purchase cost USD]]/Tabela21743[[#This Row],[Quantity/pack]]</f>
        <v>1.4689795918367348</v>
      </c>
      <c r="O16" s="39" t="s">
        <v>40</v>
      </c>
    </row>
    <row r="17" spans="2:15" s="24" customFormat="1" x14ac:dyDescent="0.2">
      <c r="B17" s="13">
        <v>16</v>
      </c>
      <c r="C17" s="25" t="s">
        <v>41</v>
      </c>
      <c r="D17" s="40" t="s">
        <v>38</v>
      </c>
      <c r="E17" s="44" t="s">
        <v>39</v>
      </c>
      <c r="F17" s="38">
        <v>45250</v>
      </c>
      <c r="G17" s="45">
        <v>14</v>
      </c>
      <c r="H17" s="21">
        <f>Tabela21743[[#This Row],[Original Price]]/'[1]Exchange Rate'!$D$6</f>
        <v>2.8571428571428568</v>
      </c>
      <c r="I17" s="30">
        <v>0</v>
      </c>
      <c r="J17" s="31">
        <v>1</v>
      </c>
      <c r="K17" s="21">
        <f>(Tabela21743[[#This Row],[USD Price]]+(Tabela21743[[#This Row],[USD Price]]*Tabela21743[[#This Row],[Taxes %]]))*Tabela21743[[#This Row],[Quant.]]</f>
        <v>2.8571428571428568</v>
      </c>
      <c r="L17" s="33" t="s">
        <v>22</v>
      </c>
      <c r="M17" s="34">
        <v>1</v>
      </c>
      <c r="N17" s="35">
        <f>Tabela21743[[#This Row],[purchase cost USD]]/Tabela21743[[#This Row],[Quantity/pack]]</f>
        <v>2.8571428571428568</v>
      </c>
      <c r="O17" s="39" t="s">
        <v>40</v>
      </c>
    </row>
    <row r="18" spans="2:15" s="24" customFormat="1" x14ac:dyDescent="0.2">
      <c r="B18" s="13">
        <v>17</v>
      </c>
      <c r="C18" s="25" t="s">
        <v>42</v>
      </c>
      <c r="D18" s="40" t="s">
        <v>38</v>
      </c>
      <c r="E18" s="44" t="s">
        <v>39</v>
      </c>
      <c r="F18" s="38">
        <v>45250</v>
      </c>
      <c r="G18" s="45">
        <v>26.84</v>
      </c>
      <c r="H18" s="21">
        <f>Tabela21743[[#This Row],[Original Price]]/'[1]Exchange Rate'!$D$6</f>
        <v>5.4775510204081632</v>
      </c>
      <c r="I18" s="30">
        <v>0</v>
      </c>
      <c r="J18" s="31">
        <v>1</v>
      </c>
      <c r="K18" s="21">
        <f>(Tabela21743[[#This Row],[USD Price]]+(Tabela21743[[#This Row],[USD Price]]*Tabela21743[[#This Row],[Taxes %]]))*Tabela21743[[#This Row],[Quant.]]</f>
        <v>5.4775510204081632</v>
      </c>
      <c r="L18" s="33" t="s">
        <v>22</v>
      </c>
      <c r="M18" s="34">
        <v>1</v>
      </c>
      <c r="N18" s="35">
        <f>Tabela21743[[#This Row],[purchase cost USD]]/Tabela21743[[#This Row],[Quantity/pack]]</f>
        <v>5.4775510204081632</v>
      </c>
      <c r="O18" s="39" t="s">
        <v>40</v>
      </c>
    </row>
    <row r="19" spans="2:15" s="24" customFormat="1" x14ac:dyDescent="0.2">
      <c r="B19" s="13">
        <v>18</v>
      </c>
      <c r="C19" s="25" t="s">
        <v>43</v>
      </c>
      <c r="D19" s="40" t="s">
        <v>38</v>
      </c>
      <c r="E19" s="44" t="s">
        <v>39</v>
      </c>
      <c r="F19" s="38">
        <v>45250</v>
      </c>
      <c r="G19" s="45">
        <v>27.96</v>
      </c>
      <c r="H19" s="21">
        <f>Tabela21743[[#This Row],[Original Price]]/'[1]Exchange Rate'!$D$6</f>
        <v>5.7061224489795919</v>
      </c>
      <c r="I19" s="30">
        <v>0</v>
      </c>
      <c r="J19" s="31">
        <v>1</v>
      </c>
      <c r="K19" s="21">
        <f>(Tabela21743[[#This Row],[USD Price]]+(Tabela21743[[#This Row],[USD Price]]*Tabela21743[[#This Row],[Taxes %]]))*Tabela21743[[#This Row],[Quant.]]</f>
        <v>5.7061224489795919</v>
      </c>
      <c r="L19" s="33" t="s">
        <v>22</v>
      </c>
      <c r="M19" s="34">
        <v>1</v>
      </c>
      <c r="N19" s="35">
        <f>Tabela21743[[#This Row],[purchase cost USD]]/Tabela21743[[#This Row],[Quantity/pack]]</f>
        <v>5.7061224489795919</v>
      </c>
      <c r="O19" s="39" t="s">
        <v>40</v>
      </c>
    </row>
    <row r="20" spans="2:15" s="24" customFormat="1" x14ac:dyDescent="0.2">
      <c r="B20" s="13">
        <v>19</v>
      </c>
      <c r="C20" s="25" t="s">
        <v>44</v>
      </c>
      <c r="D20" s="40" t="s">
        <v>38</v>
      </c>
      <c r="E20" s="44" t="s">
        <v>39</v>
      </c>
      <c r="F20" s="38">
        <v>45250</v>
      </c>
      <c r="G20" s="45">
        <v>71.98</v>
      </c>
      <c r="H20" s="21">
        <f>Tabela21743[[#This Row],[Original Price]]/'[1]Exchange Rate'!$D$6</f>
        <v>14.689795918367347</v>
      </c>
      <c r="I20" s="30">
        <v>0</v>
      </c>
      <c r="J20" s="31">
        <v>1</v>
      </c>
      <c r="K20" s="21">
        <f>(Tabela21743[[#This Row],[USD Price]]+(Tabela21743[[#This Row],[USD Price]]*Tabela21743[[#This Row],[Taxes %]]))*Tabela21743[[#This Row],[Quant.]]</f>
        <v>14.689795918367347</v>
      </c>
      <c r="L20" s="33" t="s">
        <v>22</v>
      </c>
      <c r="M20" s="34">
        <v>10</v>
      </c>
      <c r="N20" s="35">
        <f>Tabela21743[[#This Row],[purchase cost USD]]/Tabela21743[[#This Row],[Quantity/pack]]</f>
        <v>1.4689795918367348</v>
      </c>
      <c r="O20" s="39" t="s">
        <v>40</v>
      </c>
    </row>
    <row r="21" spans="2:15" s="24" customFormat="1" x14ac:dyDescent="0.2">
      <c r="B21" s="13">
        <v>20</v>
      </c>
      <c r="C21" s="25" t="s">
        <v>45</v>
      </c>
      <c r="D21" s="40" t="s">
        <v>38</v>
      </c>
      <c r="E21" s="44" t="s">
        <v>39</v>
      </c>
      <c r="F21" s="38">
        <v>45250</v>
      </c>
      <c r="G21" s="45">
        <v>14</v>
      </c>
      <c r="H21" s="21">
        <f>Tabela21743[[#This Row],[Original Price]]/'[1]Exchange Rate'!$D$6</f>
        <v>2.8571428571428568</v>
      </c>
      <c r="I21" s="30">
        <v>0</v>
      </c>
      <c r="J21" s="31">
        <v>1</v>
      </c>
      <c r="K21" s="21">
        <f>(Tabela21743[[#This Row],[USD Price]]+(Tabela21743[[#This Row],[USD Price]]*Tabela21743[[#This Row],[Taxes %]]))*Tabela21743[[#This Row],[Quant.]]</f>
        <v>2.8571428571428568</v>
      </c>
      <c r="L21" s="33" t="s">
        <v>22</v>
      </c>
      <c r="M21" s="34">
        <v>1</v>
      </c>
      <c r="N21" s="35">
        <f>Tabela21743[[#This Row],[purchase cost USD]]/Tabela21743[[#This Row],[Quantity/pack]]</f>
        <v>2.8571428571428568</v>
      </c>
      <c r="O21" s="39" t="s">
        <v>40</v>
      </c>
    </row>
    <row r="22" spans="2:15" s="24" customFormat="1" x14ac:dyDescent="0.2">
      <c r="B22" s="13">
        <v>21</v>
      </c>
      <c r="C22" s="25" t="s">
        <v>46</v>
      </c>
      <c r="D22" s="40" t="s">
        <v>38</v>
      </c>
      <c r="E22" s="44" t="s">
        <v>39</v>
      </c>
      <c r="F22" s="38">
        <v>45250</v>
      </c>
      <c r="G22" s="45">
        <v>26.84</v>
      </c>
      <c r="H22" s="21">
        <f>Tabela21743[[#This Row],[Original Price]]/'[1]Exchange Rate'!$D$6</f>
        <v>5.4775510204081632</v>
      </c>
      <c r="I22" s="30">
        <v>0</v>
      </c>
      <c r="J22" s="31">
        <v>1</v>
      </c>
      <c r="K22" s="21">
        <f>(Tabela21743[[#This Row],[USD Price]]+(Tabela21743[[#This Row],[USD Price]]*Tabela21743[[#This Row],[Taxes %]]))*Tabela21743[[#This Row],[Quant.]]</f>
        <v>5.4775510204081632</v>
      </c>
      <c r="L22" s="33" t="s">
        <v>22</v>
      </c>
      <c r="M22" s="34">
        <v>1</v>
      </c>
      <c r="N22" s="35">
        <f>Tabela21743[[#This Row],[purchase cost USD]]/Tabela21743[[#This Row],[Quantity/pack]]</f>
        <v>5.4775510204081632</v>
      </c>
      <c r="O22" s="39" t="s">
        <v>40</v>
      </c>
    </row>
    <row r="23" spans="2:15" s="24" customFormat="1" x14ac:dyDescent="0.2">
      <c r="B23" s="13">
        <v>22</v>
      </c>
      <c r="C23" s="25" t="s">
        <v>47</v>
      </c>
      <c r="D23" s="40" t="s">
        <v>38</v>
      </c>
      <c r="E23" s="44" t="s">
        <v>39</v>
      </c>
      <c r="F23" s="38">
        <v>45250</v>
      </c>
      <c r="G23" s="45">
        <v>27.96</v>
      </c>
      <c r="H23" s="21">
        <f>Tabela21743[[#This Row],[Original Price]]/'[1]Exchange Rate'!$D$6</f>
        <v>5.7061224489795919</v>
      </c>
      <c r="I23" s="30">
        <v>0</v>
      </c>
      <c r="J23" s="31">
        <v>1</v>
      </c>
      <c r="K23" s="21">
        <f>(Tabela21743[[#This Row],[USD Price]]+(Tabela21743[[#This Row],[USD Price]]*Tabela21743[[#This Row],[Taxes %]]))*Tabela21743[[#This Row],[Quant.]]</f>
        <v>5.7061224489795919</v>
      </c>
      <c r="L23" s="33" t="s">
        <v>22</v>
      </c>
      <c r="M23" s="34">
        <v>1</v>
      </c>
      <c r="N23" s="35">
        <f>Tabela21743[[#This Row],[purchase cost USD]]/Tabela21743[[#This Row],[Quantity/pack]]</f>
        <v>5.7061224489795919</v>
      </c>
      <c r="O23" s="39" t="s">
        <v>40</v>
      </c>
    </row>
    <row r="24" spans="2:15" s="24" customFormat="1" x14ac:dyDescent="0.2">
      <c r="B24" s="13">
        <v>23</v>
      </c>
      <c r="C24" s="25" t="s">
        <v>48</v>
      </c>
      <c r="D24" s="40"/>
      <c r="E24" s="44" t="s">
        <v>35</v>
      </c>
      <c r="F24" s="38">
        <v>45250</v>
      </c>
      <c r="G24" s="45">
        <v>3000</v>
      </c>
      <c r="H24" s="21">
        <f>Tabela21743[[#This Row],[Original Price]]/'[1]Exchange Rate'!$D$6</f>
        <v>612.24489795918362</v>
      </c>
      <c r="I24" s="30">
        <v>1</v>
      </c>
      <c r="J24" s="31">
        <v>1</v>
      </c>
      <c r="K24" s="21">
        <f>(Tabela21743[[#This Row],[USD Price]]+(Tabela21743[[#This Row],[USD Price]]*Tabela21743[[#This Row],[Taxes %]]))*Tabela21743[[#This Row],[Quant.]]</f>
        <v>1224.4897959183672</v>
      </c>
      <c r="L24" s="33"/>
      <c r="M24" s="34">
        <v>1</v>
      </c>
      <c r="N24" s="35">
        <f>Tabela21743[[#This Row],[purchase cost USD]]/Tabela21743[[#This Row],[Quantity/pack]]</f>
        <v>1224.4897959183672</v>
      </c>
      <c r="O24" s="32"/>
    </row>
    <row r="25" spans="2:15" s="24" customFormat="1" x14ac:dyDescent="0.2">
      <c r="B25" s="13">
        <v>24</v>
      </c>
      <c r="C25" s="25" t="s">
        <v>49</v>
      </c>
      <c r="D25" s="40"/>
      <c r="E25" s="44" t="s">
        <v>17</v>
      </c>
      <c r="F25" s="38">
        <v>45250</v>
      </c>
      <c r="G25" s="45">
        <v>6000</v>
      </c>
      <c r="H25" s="21">
        <f>Tabela21743[[#This Row],[Original Price]]/'[1]Exchange Rate'!$D$6</f>
        <v>1224.4897959183672</v>
      </c>
      <c r="I25" s="30">
        <v>1</v>
      </c>
      <c r="J25" s="31">
        <v>1</v>
      </c>
      <c r="K25" s="21">
        <f>(Tabela21743[[#This Row],[USD Price]]+(Tabela21743[[#This Row],[USD Price]]*Tabela21743[[#This Row],[Taxes %]]))*Tabela21743[[#This Row],[Quant.]]</f>
        <v>2448.9795918367345</v>
      </c>
      <c r="L25" s="33"/>
      <c r="M25" s="34">
        <v>1</v>
      </c>
      <c r="N25" s="35">
        <f>Tabela21743[[#This Row],[purchase cost USD]]/Tabela21743[[#This Row],[Quantity/pack]]</f>
        <v>2448.9795918367345</v>
      </c>
      <c r="O25" s="32"/>
    </row>
    <row r="26" spans="2:15" s="24" customFormat="1" x14ac:dyDescent="0.2">
      <c r="B26" s="13">
        <v>25</v>
      </c>
      <c r="C26" s="25" t="s">
        <v>50</v>
      </c>
      <c r="D26" s="40"/>
      <c r="E26" s="44" t="s">
        <v>17</v>
      </c>
      <c r="F26" s="38">
        <v>45250</v>
      </c>
      <c r="G26" s="45">
        <v>8000</v>
      </c>
      <c r="H26" s="21">
        <f>Tabela21743[[#This Row],[Original Price]]/'[1]Exchange Rate'!$D$6</f>
        <v>1632.6530612244896</v>
      </c>
      <c r="I26" s="30">
        <v>1</v>
      </c>
      <c r="J26" s="31">
        <v>1</v>
      </c>
      <c r="K26" s="21">
        <f>(Tabela21743[[#This Row],[USD Price]]+(Tabela21743[[#This Row],[USD Price]]*Tabela21743[[#This Row],[Taxes %]]))*Tabela21743[[#This Row],[Quant.]]</f>
        <v>3265.3061224489793</v>
      </c>
      <c r="L26" s="33"/>
      <c r="M26" s="34">
        <v>1</v>
      </c>
      <c r="N26" s="35">
        <f>Tabela21743[[#This Row],[purchase cost USD]]/Tabela21743[[#This Row],[Quantity/pack]]</f>
        <v>3265.3061224489793</v>
      </c>
      <c r="O26" s="32"/>
    </row>
    <row r="27" spans="2:15" s="24" customFormat="1" x14ac:dyDescent="0.2">
      <c r="B27" s="13">
        <v>26</v>
      </c>
      <c r="C27" s="25" t="s">
        <v>51</v>
      </c>
      <c r="D27" s="40"/>
      <c r="E27" s="44"/>
      <c r="F27" s="38"/>
      <c r="G27" s="45"/>
      <c r="H27" s="46"/>
      <c r="I27" s="47"/>
      <c r="J27" s="48"/>
      <c r="K27" s="49"/>
      <c r="L27" s="33"/>
      <c r="M27" s="34"/>
      <c r="N27" s="35"/>
      <c r="O27" s="32"/>
    </row>
    <row r="28" spans="2:15" s="24" customFormat="1" ht="17" x14ac:dyDescent="0.2">
      <c r="B28" s="13">
        <v>27</v>
      </c>
      <c r="C28" s="50" t="s">
        <v>52</v>
      </c>
      <c r="D28" s="15" t="s">
        <v>53</v>
      </c>
      <c r="E28" s="44" t="s">
        <v>54</v>
      </c>
      <c r="F28" s="38">
        <v>45258</v>
      </c>
      <c r="G28" s="45">
        <v>75.2</v>
      </c>
      <c r="H28" s="46"/>
      <c r="I28" s="30">
        <v>0.2</v>
      </c>
      <c r="J28" s="48">
        <v>1</v>
      </c>
      <c r="K28" s="21">
        <f>(Tabela21743[[#This Row],[USD Price]]+(Tabela21743[[#This Row],[USD Price]]*Tabela21743[[#This Row],[Taxes %]]))*Tabela21743[[#This Row],[Quant.]]</f>
        <v>0</v>
      </c>
      <c r="L28" s="33" t="s">
        <v>18</v>
      </c>
      <c r="M28" s="34">
        <v>1</v>
      </c>
      <c r="N28" s="35">
        <f>Tabela21743[[#This Row],[purchase cost USD]]/Tabela21743[[#This Row],[Quantity/pack]]</f>
        <v>0</v>
      </c>
      <c r="O28" s="51" t="s">
        <v>55</v>
      </c>
    </row>
    <row r="29" spans="2:15" s="24" customFormat="1" x14ac:dyDescent="0.2">
      <c r="B29" s="13">
        <v>28</v>
      </c>
      <c r="C29" s="50" t="s">
        <v>52</v>
      </c>
      <c r="D29" s="52" t="s">
        <v>53</v>
      </c>
      <c r="E29" s="44" t="s">
        <v>56</v>
      </c>
      <c r="F29" s="38">
        <v>45821</v>
      </c>
      <c r="G29" s="45"/>
      <c r="H29" s="53">
        <v>14</v>
      </c>
      <c r="I29" s="30">
        <v>0.2</v>
      </c>
      <c r="J29" s="48">
        <v>1</v>
      </c>
      <c r="K29" s="21">
        <f>(Tabela21743[[#This Row],[USD Price]]+(Tabela21743[[#This Row],[USD Price]]*Tabela21743[[#This Row],[Taxes %]]))*Tabela21743[[#This Row],[Quant.]]</f>
        <v>16.8</v>
      </c>
      <c r="L29" s="33" t="s">
        <v>18</v>
      </c>
      <c r="M29" s="34">
        <v>1</v>
      </c>
      <c r="N29" s="35">
        <f>Tabela21743[[#This Row],[purchase cost USD]]/Tabela21743[[#This Row],[Quantity/pack]]</f>
        <v>16.8</v>
      </c>
      <c r="O29" s="51"/>
    </row>
    <row r="30" spans="2:15" s="24" customFormat="1" ht="17" x14ac:dyDescent="0.2">
      <c r="B30" s="13">
        <v>29</v>
      </c>
      <c r="C30" s="54" t="s">
        <v>57</v>
      </c>
      <c r="D30" s="15" t="s">
        <v>53</v>
      </c>
      <c r="E30" s="44" t="s">
        <v>54</v>
      </c>
      <c r="F30" s="38">
        <v>45258</v>
      </c>
      <c r="G30" s="45">
        <v>78.900000000000006</v>
      </c>
      <c r="H30" s="46"/>
      <c r="I30" s="47"/>
      <c r="J30" s="48"/>
      <c r="K30" s="49"/>
      <c r="L30" s="33"/>
      <c r="M30" s="34"/>
      <c r="N30" s="35"/>
      <c r="O30" s="32"/>
    </row>
    <row r="31" spans="2:15" s="24" customFormat="1" x14ac:dyDescent="0.2">
      <c r="B31" s="13">
        <v>30</v>
      </c>
      <c r="C31" s="55" t="s">
        <v>58</v>
      </c>
      <c r="D31" s="52" t="s">
        <v>59</v>
      </c>
      <c r="E31" s="44" t="s">
        <v>60</v>
      </c>
      <c r="F31" s="38"/>
      <c r="G31" s="56">
        <v>12500</v>
      </c>
      <c r="H31" s="46">
        <f>Tabela21743[[#This Row],[Original Price]]/'[1]Exchange Rate'!D5</f>
        <v>10162.60162601626</v>
      </c>
      <c r="I31" s="30">
        <v>0.2</v>
      </c>
      <c r="J31" s="48">
        <v>1</v>
      </c>
      <c r="K31" s="21">
        <f>(Tabela21743[[#This Row],[USD Price]]+(Tabela21743[[#This Row],[USD Price]]*Tabela21743[[#This Row],[Taxes %]]))*Tabela21743[[#This Row],[Quant.]]</f>
        <v>12195.121951219511</v>
      </c>
      <c r="L31" s="33" t="s">
        <v>18</v>
      </c>
      <c r="M31" s="34">
        <v>1</v>
      </c>
      <c r="N31" s="35">
        <f>Tabela21743[[#This Row],[purchase cost USD]]/Tabela21743[[#This Row],[Quantity/pack]]</f>
        <v>12195.121951219511</v>
      </c>
      <c r="O31" s="32"/>
    </row>
    <row r="32" spans="2:15" s="24" customFormat="1" x14ac:dyDescent="0.2">
      <c r="B32" s="13">
        <v>31</v>
      </c>
      <c r="C32" s="55" t="s">
        <v>61</v>
      </c>
      <c r="D32" s="52" t="s">
        <v>59</v>
      </c>
      <c r="E32" s="44" t="s">
        <v>60</v>
      </c>
      <c r="F32" s="38"/>
      <c r="G32" s="56">
        <v>850</v>
      </c>
      <c r="H32" s="46">
        <f>Tabela21743[[#This Row],[Original Price]]/'[1]Exchange Rate'!D5</f>
        <v>691.05691056910575</v>
      </c>
      <c r="I32" s="30">
        <v>0.2</v>
      </c>
      <c r="J32" s="48">
        <v>1</v>
      </c>
      <c r="K32" s="21">
        <f>(Tabela21743[[#This Row],[USD Price]]+(Tabela21743[[#This Row],[USD Price]]*Tabela21743[[#This Row],[Taxes %]]))*Tabela21743[[#This Row],[Quant.]]</f>
        <v>829.26829268292693</v>
      </c>
      <c r="L32" s="33" t="s">
        <v>18</v>
      </c>
      <c r="M32" s="34">
        <v>1</v>
      </c>
      <c r="N32" s="35">
        <f>Tabela21743[[#This Row],[purchase cost USD]]/Tabela21743[[#This Row],[Quantity/pack]]</f>
        <v>829.26829268292693</v>
      </c>
      <c r="O32" s="32"/>
    </row>
    <row r="33" spans="2:15" s="24" customFormat="1" x14ac:dyDescent="0.2">
      <c r="B33" s="13">
        <v>32</v>
      </c>
      <c r="C33" s="57" t="s">
        <v>62</v>
      </c>
      <c r="D33" s="52" t="s">
        <v>63</v>
      </c>
      <c r="E33" s="44"/>
      <c r="F33" s="38"/>
      <c r="G33" s="45"/>
      <c r="H33" s="46"/>
      <c r="I33" s="47"/>
      <c r="J33" s="48"/>
      <c r="K33" s="49"/>
      <c r="L33" s="33"/>
      <c r="M33" s="34"/>
      <c r="N33" s="35"/>
      <c r="O33" s="32"/>
    </row>
    <row r="34" spans="2:15" s="24" customFormat="1" x14ac:dyDescent="0.2">
      <c r="B34" s="13">
        <v>33</v>
      </c>
      <c r="C34" s="25" t="s">
        <v>64</v>
      </c>
      <c r="D34" s="52" t="s">
        <v>65</v>
      </c>
      <c r="E34" s="44"/>
      <c r="F34" s="38"/>
      <c r="G34" s="45"/>
      <c r="H34" s="46"/>
      <c r="I34" s="47"/>
      <c r="J34" s="48"/>
      <c r="K34" s="49"/>
      <c r="L34" s="33"/>
      <c r="M34" s="34"/>
      <c r="N34" s="35"/>
      <c r="O34" s="32"/>
    </row>
    <row r="35" spans="2:15" s="24" customFormat="1" x14ac:dyDescent="0.2">
      <c r="B35" s="13">
        <v>34</v>
      </c>
      <c r="C35" s="58" t="s">
        <v>66</v>
      </c>
      <c r="D35" s="52" t="s">
        <v>65</v>
      </c>
      <c r="E35" s="44" t="s">
        <v>60</v>
      </c>
      <c r="F35" s="38"/>
      <c r="G35" s="56">
        <v>352.68</v>
      </c>
      <c r="H35" s="46">
        <f>Tabela21743[[#This Row],[Original Price]]/'[1]Exchange Rate'!D5</f>
        <v>286.73170731707319</v>
      </c>
      <c r="I35" s="30">
        <v>0.2</v>
      </c>
      <c r="J35" s="48">
        <v>1</v>
      </c>
      <c r="K35" s="21">
        <f>(Tabela21743[[#This Row],[USD Price]]+(Tabela21743[[#This Row],[USD Price]]*Tabela21743[[#This Row],[Taxes %]]))*Tabela21743[[#This Row],[Quant.]]</f>
        <v>344.07804878048785</v>
      </c>
      <c r="L35" s="33" t="s">
        <v>18</v>
      </c>
      <c r="M35" s="34">
        <v>1</v>
      </c>
      <c r="N35" s="35">
        <f>Tabela21743[[#This Row],[purchase cost USD]]/Tabela21743[[#This Row],[Quantity/pack]]</f>
        <v>344.07804878048785</v>
      </c>
      <c r="O35" s="51" t="s">
        <v>67</v>
      </c>
    </row>
    <row r="36" spans="2:15" s="24" customFormat="1" x14ac:dyDescent="0.2">
      <c r="B36" s="13">
        <v>35</v>
      </c>
      <c r="C36" s="25" t="s">
        <v>68</v>
      </c>
      <c r="D36" s="52" t="s">
        <v>63</v>
      </c>
      <c r="E36" s="44"/>
      <c r="F36" s="38"/>
      <c r="G36" s="45"/>
      <c r="H36" s="46"/>
      <c r="I36" s="47"/>
      <c r="J36" s="48"/>
      <c r="K36" s="49"/>
      <c r="L36" s="33"/>
      <c r="M36" s="34"/>
      <c r="N36" s="35"/>
      <c r="O36" s="32"/>
    </row>
    <row r="37" spans="2:15" s="24" customFormat="1" x14ac:dyDescent="0.2">
      <c r="B37" s="13">
        <v>36</v>
      </c>
      <c r="C37" t="s">
        <v>69</v>
      </c>
      <c r="D37" s="52" t="s">
        <v>63</v>
      </c>
      <c r="E37" s="44"/>
      <c r="F37" s="38"/>
      <c r="G37" s="45"/>
      <c r="H37" s="46"/>
      <c r="I37" s="47"/>
      <c r="J37" s="48"/>
      <c r="K37" s="49"/>
      <c r="L37" s="33"/>
      <c r="M37" s="34"/>
      <c r="N37" s="35"/>
      <c r="O37" s="32"/>
    </row>
    <row r="38" spans="2:15" s="24" customFormat="1" x14ac:dyDescent="0.2">
      <c r="B38" s="13">
        <v>37</v>
      </c>
      <c r="C38" t="s">
        <v>70</v>
      </c>
      <c r="D38" s="52" t="s">
        <v>63</v>
      </c>
      <c r="E38" s="44"/>
      <c r="F38" s="38"/>
      <c r="G38" s="45"/>
      <c r="H38" s="46"/>
      <c r="I38" s="47"/>
      <c r="J38" s="48"/>
      <c r="K38" s="49"/>
      <c r="L38" s="33"/>
      <c r="M38" s="34"/>
      <c r="N38" s="35"/>
      <c r="O38" s="32"/>
    </row>
    <row r="39" spans="2:15" s="24" customFormat="1" x14ac:dyDescent="0.2">
      <c r="B39" s="13">
        <v>38</v>
      </c>
      <c r="C39" t="s">
        <v>71</v>
      </c>
      <c r="D39" s="52" t="s">
        <v>63</v>
      </c>
      <c r="E39" s="44"/>
      <c r="F39" s="38"/>
      <c r="G39" s="45"/>
      <c r="H39" s="46"/>
      <c r="I39" s="47"/>
      <c r="J39" s="48"/>
      <c r="K39" s="49"/>
      <c r="L39" s="33"/>
      <c r="M39" s="34"/>
      <c r="N39" s="35"/>
      <c r="O39" s="32"/>
    </row>
    <row r="40" spans="2:15" s="24" customFormat="1" x14ac:dyDescent="0.2">
      <c r="B40" s="13">
        <v>39</v>
      </c>
      <c r="C40" t="s">
        <v>72</v>
      </c>
      <c r="D40" s="52" t="s">
        <v>63</v>
      </c>
      <c r="E40" s="44"/>
      <c r="F40" s="38"/>
      <c r="G40" s="45"/>
      <c r="H40" s="46"/>
      <c r="I40" s="47"/>
      <c r="J40" s="48"/>
      <c r="K40" s="49"/>
      <c r="L40" s="33"/>
      <c r="M40" s="34"/>
      <c r="N40" s="35"/>
      <c r="O40" s="32"/>
    </row>
    <row r="41" spans="2:15" s="24" customFormat="1" x14ac:dyDescent="0.2">
      <c r="B41" s="13">
        <v>40</v>
      </c>
      <c r="C41" t="s">
        <v>73</v>
      </c>
      <c r="D41" s="52" t="s">
        <v>63</v>
      </c>
      <c r="E41" s="44"/>
      <c r="F41" s="38"/>
      <c r="G41" s="45"/>
      <c r="H41" s="46"/>
      <c r="I41" s="47"/>
      <c r="J41" s="48"/>
      <c r="K41" s="49"/>
      <c r="L41" s="33"/>
      <c r="M41" s="34"/>
      <c r="N41" s="35"/>
      <c r="O41" s="32"/>
    </row>
    <row r="42" spans="2:15" s="24" customFormat="1" x14ac:dyDescent="0.2">
      <c r="B42" s="13">
        <v>41</v>
      </c>
      <c r="C42" t="s">
        <v>74</v>
      </c>
      <c r="D42" s="52" t="s">
        <v>63</v>
      </c>
      <c r="E42" s="44"/>
      <c r="F42" s="38"/>
      <c r="G42" s="45"/>
      <c r="H42" s="46"/>
      <c r="I42" s="47"/>
      <c r="J42" s="48"/>
      <c r="K42" s="49"/>
      <c r="L42" s="33"/>
      <c r="M42" s="34"/>
      <c r="N42" s="35"/>
      <c r="O42" s="32"/>
    </row>
    <row r="43" spans="2:15" s="24" customFormat="1" x14ac:dyDescent="0.2">
      <c r="B43" s="13">
        <v>42</v>
      </c>
      <c r="C43" t="s">
        <v>75</v>
      </c>
      <c r="D43" s="52" t="s">
        <v>63</v>
      </c>
      <c r="E43" s="44"/>
      <c r="F43" s="38"/>
      <c r="G43" s="45"/>
      <c r="H43" s="46"/>
      <c r="I43" s="47"/>
      <c r="J43" s="48"/>
      <c r="K43" s="49"/>
      <c r="L43" s="33"/>
      <c r="M43" s="34"/>
      <c r="N43" s="35"/>
      <c r="O43" s="32"/>
    </row>
    <row r="44" spans="2:15" s="24" customFormat="1" x14ac:dyDescent="0.2">
      <c r="B44" s="13">
        <v>43</v>
      </c>
      <c r="C44" t="s">
        <v>76</v>
      </c>
      <c r="D44" s="52" t="s">
        <v>77</v>
      </c>
      <c r="E44" s="44"/>
      <c r="F44" s="38"/>
      <c r="G44" s="45"/>
      <c r="H44" s="46"/>
      <c r="I44" s="47"/>
      <c r="J44" s="48"/>
      <c r="K44" s="49"/>
      <c r="L44" s="33"/>
      <c r="M44" s="34"/>
      <c r="N44" s="35"/>
      <c r="O44" s="32"/>
    </row>
    <row r="45" spans="2:15" s="24" customFormat="1" x14ac:dyDescent="0.2">
      <c r="B45" s="13">
        <v>44</v>
      </c>
      <c r="C45" t="s">
        <v>78</v>
      </c>
      <c r="D45" s="52" t="s">
        <v>77</v>
      </c>
      <c r="E45" s="44"/>
      <c r="F45" s="38"/>
      <c r="G45" s="45"/>
      <c r="H45" s="46"/>
      <c r="I45" s="47"/>
      <c r="J45" s="48"/>
      <c r="K45" s="49"/>
      <c r="L45" s="33"/>
      <c r="M45" s="34"/>
      <c r="N45" s="35"/>
      <c r="O45" s="32"/>
    </row>
    <row r="46" spans="2:15" s="24" customFormat="1" x14ac:dyDescent="0.2">
      <c r="B46" s="13">
        <v>45</v>
      </c>
      <c r="C46" t="s">
        <v>79</v>
      </c>
      <c r="D46" s="52" t="s">
        <v>77</v>
      </c>
      <c r="E46" s="44" t="s">
        <v>80</v>
      </c>
      <c r="F46" s="38">
        <v>45259</v>
      </c>
      <c r="G46" s="45">
        <f>Tabela21743[[#This Row],[USD Price]]*'[1]Exchange Rate'!D6</f>
        <v>404.25000000000006</v>
      </c>
      <c r="H46" s="46">
        <v>82.5</v>
      </c>
      <c r="I46" s="30">
        <v>0</v>
      </c>
      <c r="J46" s="48">
        <v>1</v>
      </c>
      <c r="K46" s="21">
        <f>(Tabela21743[[#This Row],[USD Price]]+(Tabela21743[[#This Row],[USD Price]]*Tabela21743[[#This Row],[Taxes %]]))*Tabela21743[[#This Row],[Quant.]]</f>
        <v>82.5</v>
      </c>
      <c r="L46" s="33" t="s">
        <v>18</v>
      </c>
      <c r="M46" s="34">
        <v>1</v>
      </c>
      <c r="N46" s="35">
        <f>Tabela21743[[#This Row],[purchase cost USD]]/Tabela21743[[#This Row],[Quantity/pack]]</f>
        <v>82.5</v>
      </c>
      <c r="O46" s="51" t="s">
        <v>81</v>
      </c>
    </row>
    <row r="47" spans="2:15" s="24" customFormat="1" x14ac:dyDescent="0.2">
      <c r="B47" s="13">
        <v>46</v>
      </c>
      <c r="C47" t="s">
        <v>82</v>
      </c>
      <c r="D47" s="52" t="s">
        <v>77</v>
      </c>
      <c r="E47" s="44"/>
      <c r="F47" s="38"/>
      <c r="G47" s="45"/>
      <c r="H47" s="46"/>
      <c r="I47" s="47"/>
      <c r="J47" s="48"/>
      <c r="K47" s="49"/>
      <c r="L47" s="33"/>
      <c r="M47" s="34"/>
      <c r="N47" s="35"/>
      <c r="O47" s="32"/>
    </row>
    <row r="48" spans="2:15" s="24" customFormat="1" x14ac:dyDescent="0.2">
      <c r="B48" s="13">
        <v>47</v>
      </c>
      <c r="C48" t="s">
        <v>83</v>
      </c>
      <c r="D48" s="52" t="s">
        <v>77</v>
      </c>
      <c r="E48" s="44"/>
      <c r="F48" s="38"/>
      <c r="G48" s="45"/>
      <c r="H48" s="46"/>
      <c r="I48" s="47"/>
      <c r="J48" s="48"/>
      <c r="K48" s="49"/>
      <c r="L48" s="33"/>
      <c r="M48" s="34"/>
      <c r="N48" s="35"/>
      <c r="O48" s="32"/>
    </row>
    <row r="49" spans="2:15" s="24" customFormat="1" x14ac:dyDescent="0.2">
      <c r="B49" s="13">
        <v>48</v>
      </c>
      <c r="C49" s="1" t="s">
        <v>84</v>
      </c>
      <c r="D49" s="52" t="s">
        <v>77</v>
      </c>
      <c r="E49" s="44"/>
      <c r="F49" s="38"/>
      <c r="G49" s="45"/>
      <c r="H49" s="46"/>
      <c r="I49" s="47"/>
      <c r="J49" s="48"/>
      <c r="K49" s="49"/>
      <c r="L49" s="33"/>
      <c r="M49" s="34"/>
      <c r="N49" s="35"/>
      <c r="O49" s="32"/>
    </row>
    <row r="50" spans="2:15" s="24" customFormat="1" x14ac:dyDescent="0.2">
      <c r="B50" s="13">
        <v>49</v>
      </c>
      <c r="C50" t="s">
        <v>85</v>
      </c>
      <c r="D50" s="40" t="s">
        <v>86</v>
      </c>
      <c r="E50" s="44"/>
      <c r="F50" s="38"/>
      <c r="G50" s="45"/>
      <c r="H50" s="46"/>
      <c r="I50" s="47"/>
      <c r="J50" s="48"/>
      <c r="K50" s="49"/>
      <c r="L50" s="33"/>
      <c r="M50" s="34"/>
      <c r="N50" s="35"/>
      <c r="O50" s="32"/>
    </row>
    <row r="51" spans="2:15" s="24" customFormat="1" x14ac:dyDescent="0.2">
      <c r="B51" s="13">
        <v>50</v>
      </c>
      <c r="C51" t="s">
        <v>87</v>
      </c>
      <c r="D51" s="40" t="s">
        <v>86</v>
      </c>
      <c r="E51" s="44"/>
      <c r="F51" s="38"/>
      <c r="G51" s="45"/>
      <c r="H51" s="46"/>
      <c r="I51" s="47"/>
      <c r="J51" s="48"/>
      <c r="K51" s="49"/>
      <c r="L51" s="33"/>
      <c r="M51" s="34"/>
      <c r="N51" s="35"/>
      <c r="O51" s="32"/>
    </row>
    <row r="52" spans="2:15" s="24" customFormat="1" x14ac:dyDescent="0.2">
      <c r="B52" s="13">
        <v>51</v>
      </c>
      <c r="C52" t="s">
        <v>88</v>
      </c>
      <c r="D52" s="40" t="s">
        <v>86</v>
      </c>
      <c r="E52" s="44"/>
      <c r="F52" s="38"/>
      <c r="G52" s="45"/>
      <c r="H52" s="46"/>
      <c r="I52" s="47"/>
      <c r="J52" s="48"/>
      <c r="K52" s="49"/>
      <c r="L52" s="33"/>
      <c r="M52" s="34"/>
      <c r="N52" s="35"/>
      <c r="O52" s="32"/>
    </row>
    <row r="53" spans="2:15" s="24" customFormat="1" x14ac:dyDescent="0.2">
      <c r="B53" s="13">
        <v>52</v>
      </c>
      <c r="C53" t="s">
        <v>89</v>
      </c>
      <c r="D53" s="40" t="s">
        <v>86</v>
      </c>
      <c r="E53" s="44"/>
      <c r="F53" s="38"/>
      <c r="G53" s="45"/>
      <c r="H53" s="46"/>
      <c r="I53" s="47"/>
      <c r="J53" s="48"/>
      <c r="K53" s="49"/>
      <c r="L53" s="33"/>
      <c r="M53" s="34"/>
      <c r="N53" s="35"/>
      <c r="O53" s="32"/>
    </row>
    <row r="54" spans="2:15" s="24" customFormat="1" x14ac:dyDescent="0.2">
      <c r="B54" s="13">
        <v>53</v>
      </c>
      <c r="C54" t="s">
        <v>90</v>
      </c>
      <c r="D54" s="40" t="s">
        <v>86</v>
      </c>
      <c r="E54" s="44"/>
      <c r="F54" s="38"/>
      <c r="G54" s="45"/>
      <c r="H54" s="46"/>
      <c r="I54" s="47"/>
      <c r="J54" s="48"/>
      <c r="K54" s="49"/>
      <c r="L54" s="33"/>
      <c r="M54" s="34"/>
      <c r="N54" s="35"/>
      <c r="O54" s="32"/>
    </row>
    <row r="55" spans="2:15" s="24" customFormat="1" x14ac:dyDescent="0.2">
      <c r="B55" s="13">
        <v>54</v>
      </c>
      <c r="C55" t="s">
        <v>91</v>
      </c>
      <c r="D55" t="s">
        <v>92</v>
      </c>
      <c r="E55" s="44"/>
      <c r="F55" s="38"/>
      <c r="G55" s="45"/>
      <c r="H55" s="46"/>
      <c r="I55" s="47"/>
      <c r="J55" s="48"/>
      <c r="K55" s="49"/>
      <c r="L55" s="33"/>
      <c r="M55" s="34"/>
      <c r="N55" s="35"/>
      <c r="O55" s="32"/>
    </row>
    <row r="56" spans="2:15" s="24" customFormat="1" x14ac:dyDescent="0.2">
      <c r="B56" s="13">
        <v>55</v>
      </c>
      <c r="C56" t="s">
        <v>93</v>
      </c>
      <c r="D56" t="s">
        <v>92</v>
      </c>
      <c r="E56" s="44"/>
      <c r="F56" s="38"/>
      <c r="G56" s="45"/>
      <c r="H56" s="46"/>
      <c r="I56" s="47"/>
      <c r="J56" s="48"/>
      <c r="K56" s="49"/>
      <c r="L56" s="33"/>
      <c r="M56" s="34"/>
      <c r="N56" s="35"/>
      <c r="O56" s="32"/>
    </row>
    <row r="57" spans="2:15" s="24" customFormat="1" x14ac:dyDescent="0.2">
      <c r="B57" s="13">
        <v>56</v>
      </c>
      <c r="C57" t="s">
        <v>94</v>
      </c>
      <c r="D57" t="s">
        <v>92</v>
      </c>
      <c r="E57" s="44"/>
      <c r="F57" s="38"/>
      <c r="G57" s="45"/>
      <c r="H57" s="46"/>
      <c r="I57" s="47"/>
      <c r="J57" s="48"/>
      <c r="K57" s="49"/>
      <c r="L57" s="33"/>
      <c r="M57" s="34"/>
      <c r="N57" s="35"/>
      <c r="O57" s="32"/>
    </row>
    <row r="58" spans="2:15" s="24" customFormat="1" x14ac:dyDescent="0.2">
      <c r="B58" s="13">
        <v>57</v>
      </c>
      <c r="C58" t="s">
        <v>95</v>
      </c>
      <c r="D58" t="s">
        <v>92</v>
      </c>
      <c r="E58" s="44"/>
      <c r="F58" s="38"/>
      <c r="G58" s="45"/>
      <c r="H58" s="46"/>
      <c r="I58" s="47"/>
      <c r="J58" s="48"/>
      <c r="K58" s="49"/>
      <c r="L58" s="33"/>
      <c r="M58" s="34"/>
      <c r="N58" s="35"/>
      <c r="O58" s="32"/>
    </row>
    <row r="59" spans="2:15" s="24" customFormat="1" x14ac:dyDescent="0.2">
      <c r="B59" s="13">
        <v>58</v>
      </c>
      <c r="C59" t="s">
        <v>96</v>
      </c>
      <c r="D59" t="s">
        <v>97</v>
      </c>
      <c r="E59" s="44"/>
      <c r="F59" s="38"/>
      <c r="G59" s="45"/>
      <c r="H59" s="46"/>
      <c r="I59" s="47"/>
      <c r="J59" s="48"/>
      <c r="K59" s="49"/>
      <c r="L59" s="33"/>
      <c r="M59" s="34"/>
      <c r="N59" s="35"/>
      <c r="O59" s="32"/>
    </row>
    <row r="60" spans="2:15" s="24" customFormat="1" x14ac:dyDescent="0.2">
      <c r="B60" s="13">
        <v>59</v>
      </c>
      <c r="C60" t="s">
        <v>98</v>
      </c>
      <c r="D60" t="s">
        <v>97</v>
      </c>
      <c r="E60" s="44"/>
      <c r="F60" s="38"/>
      <c r="G60" s="45"/>
      <c r="H60" s="46"/>
      <c r="I60" s="47"/>
      <c r="J60" s="48"/>
      <c r="K60" s="49"/>
      <c r="L60" s="33"/>
      <c r="M60" s="34"/>
      <c r="N60" s="35"/>
      <c r="O60" s="32"/>
    </row>
    <row r="61" spans="2:15" s="24" customFormat="1" x14ac:dyDescent="0.2">
      <c r="B61" s="13">
        <v>60</v>
      </c>
      <c r="C61" t="s">
        <v>99</v>
      </c>
      <c r="D61" t="s">
        <v>97</v>
      </c>
      <c r="E61" s="44"/>
      <c r="F61" s="38"/>
      <c r="G61" s="45"/>
      <c r="H61" s="46"/>
      <c r="I61" s="59"/>
      <c r="J61" s="60">
        <v>1</v>
      </c>
      <c r="K61" s="49"/>
      <c r="L61" s="33"/>
      <c r="M61" s="34"/>
      <c r="N61" s="35"/>
      <c r="O61" s="32"/>
    </row>
    <row r="62" spans="2:15" s="24" customFormat="1" x14ac:dyDescent="0.2">
      <c r="B62" s="13">
        <v>61</v>
      </c>
      <c r="C62" s="52"/>
      <c r="D62" s="40" t="s">
        <v>100</v>
      </c>
      <c r="E62" s="44" t="s">
        <v>21</v>
      </c>
      <c r="F62" s="38"/>
      <c r="G62" s="45"/>
      <c r="H62" s="46">
        <v>500</v>
      </c>
      <c r="I62" s="30">
        <v>0.2</v>
      </c>
      <c r="J62" s="48">
        <v>1</v>
      </c>
      <c r="K62" s="21">
        <f>(Tabela21743[[#This Row],[USD Price]]+(Tabela21743[[#This Row],[USD Price]]*Tabela21743[[#This Row],[Taxes %]]))*Tabela21743[[#This Row],[Quant.]]</f>
        <v>600</v>
      </c>
      <c r="L62" s="33" t="s">
        <v>18</v>
      </c>
      <c r="M62" s="34">
        <v>1</v>
      </c>
      <c r="N62" s="35">
        <f>Tabela21743[[#This Row],[purchase cost USD]]/Tabela21743[[#This Row],[Quantity/pack]]</f>
        <v>600</v>
      </c>
      <c r="O62" s="32"/>
    </row>
    <row r="63" spans="2:15" s="24" customFormat="1" x14ac:dyDescent="0.2">
      <c r="B63" s="13">
        <v>62</v>
      </c>
      <c r="C63" s="52" t="s">
        <v>101</v>
      </c>
      <c r="D63" s="61" t="s">
        <v>102</v>
      </c>
      <c r="E63" s="44" t="s">
        <v>103</v>
      </c>
      <c r="F63" s="38"/>
      <c r="G63" s="45"/>
      <c r="H63" s="46">
        <v>400</v>
      </c>
      <c r="I63" s="30">
        <v>0.2</v>
      </c>
      <c r="J63" s="48">
        <v>1</v>
      </c>
      <c r="K63" s="21">
        <f>(Tabela21743[[#This Row],[USD Price]]+(Tabela21743[[#This Row],[USD Price]]*Tabela21743[[#This Row],[Taxes %]]))*Tabela21743[[#This Row],[Quant.]]</f>
        <v>480</v>
      </c>
      <c r="L63" s="33" t="s">
        <v>18</v>
      </c>
      <c r="M63" s="34">
        <v>1</v>
      </c>
      <c r="N63" s="35">
        <f>Tabela21743[[#This Row],[purchase cost USD]]/Tabela21743[[#This Row],[Quantity/pack]]</f>
        <v>480</v>
      </c>
      <c r="O63" s="32"/>
    </row>
    <row r="64" spans="2:15" s="24" customFormat="1" x14ac:dyDescent="0.2">
      <c r="B64" s="13">
        <v>63</v>
      </c>
      <c r="C64" s="52" t="s">
        <v>104</v>
      </c>
      <c r="D64" s="61" t="s">
        <v>105</v>
      </c>
      <c r="E64" s="44" t="s">
        <v>21</v>
      </c>
      <c r="F64" s="38"/>
      <c r="G64" s="45"/>
      <c r="H64" s="46">
        <v>827</v>
      </c>
      <c r="I64" s="30">
        <v>0.2</v>
      </c>
      <c r="J64" s="48">
        <v>1</v>
      </c>
      <c r="K64" s="21">
        <f>(Tabela21743[[#This Row],[USD Price]]+(Tabela21743[[#This Row],[USD Price]]*Tabela21743[[#This Row],[Taxes %]]))*Tabela21743[[#This Row],[Quant.]]</f>
        <v>992.4</v>
      </c>
      <c r="L64" s="33" t="s">
        <v>18</v>
      </c>
      <c r="M64" s="34">
        <v>1</v>
      </c>
      <c r="N64" s="35">
        <f>Tabela21743[[#This Row],[purchase cost USD]]/Tabela21743[[#This Row],[Quantity/pack]]</f>
        <v>992.4</v>
      </c>
      <c r="O64" s="32"/>
    </row>
    <row r="65" spans="2:15" s="24" customFormat="1" x14ac:dyDescent="0.2">
      <c r="B65" s="13">
        <v>64</v>
      </c>
      <c r="C65" s="52" t="s">
        <v>106</v>
      </c>
      <c r="D65" s="61" t="s">
        <v>105</v>
      </c>
      <c r="E65" s="44" t="s">
        <v>21</v>
      </c>
      <c r="F65" s="38"/>
      <c r="G65" s="45"/>
      <c r="H65" s="46">
        <v>5063</v>
      </c>
      <c r="I65" s="30">
        <v>0.2</v>
      </c>
      <c r="J65" s="48">
        <v>1</v>
      </c>
      <c r="K65" s="21">
        <f>(Tabela21743[[#This Row],[USD Price]]+(Tabela21743[[#This Row],[USD Price]]*Tabela21743[[#This Row],[Taxes %]]))*Tabela21743[[#This Row],[Quant.]]</f>
        <v>6075.6</v>
      </c>
      <c r="L65" s="33" t="s">
        <v>18</v>
      </c>
      <c r="M65" s="34">
        <v>1</v>
      </c>
      <c r="N65" s="35">
        <f>Tabela21743[[#This Row],[purchase cost USD]]/Tabela21743[[#This Row],[Quantity/pack]]</f>
        <v>6075.6</v>
      </c>
      <c r="O65" s="32"/>
    </row>
    <row r="66" spans="2:15" s="24" customFormat="1" x14ac:dyDescent="0.2">
      <c r="B66" s="13">
        <v>65</v>
      </c>
      <c r="C66" s="52" t="s">
        <v>107</v>
      </c>
      <c r="D66" s="61" t="s">
        <v>105</v>
      </c>
      <c r="E66" s="44" t="s">
        <v>21</v>
      </c>
      <c r="F66" s="38"/>
      <c r="G66" s="45"/>
      <c r="H66" s="46">
        <v>5063</v>
      </c>
      <c r="I66" s="30">
        <v>0.2</v>
      </c>
      <c r="J66" s="48">
        <v>1</v>
      </c>
      <c r="K66" s="21">
        <f>(Tabela21743[[#This Row],[USD Price]]+(Tabela21743[[#This Row],[USD Price]]*Tabela21743[[#This Row],[Taxes %]]))*Tabela21743[[#This Row],[Quant.]]</f>
        <v>6075.6</v>
      </c>
      <c r="L66" s="33" t="s">
        <v>18</v>
      </c>
      <c r="M66" s="34">
        <v>1</v>
      </c>
      <c r="N66" s="35">
        <f>Tabela21743[[#This Row],[purchase cost USD]]/Tabela21743[[#This Row],[Quantity/pack]]</f>
        <v>6075.6</v>
      </c>
      <c r="O66" s="32"/>
    </row>
    <row r="67" spans="2:15" s="24" customFormat="1" x14ac:dyDescent="0.2">
      <c r="B67" s="62">
        <v>66</v>
      </c>
      <c r="C67" s="25"/>
      <c r="D67" s="40"/>
      <c r="E67" s="44"/>
      <c r="F67" s="38"/>
      <c r="G67" s="45"/>
      <c r="H67" s="46"/>
      <c r="I67" s="59"/>
      <c r="J67" s="60"/>
      <c r="K67" s="49"/>
      <c r="L67" s="33"/>
      <c r="M67" s="34"/>
      <c r="N67" s="35"/>
      <c r="O67" s="32"/>
    </row>
    <row r="68" spans="2:15" s="24" customFormat="1" ht="17" thickBot="1" x14ac:dyDescent="0.25">
      <c r="B68" s="13">
        <v>67</v>
      </c>
      <c r="C68" s="52"/>
      <c r="D68" s="61"/>
      <c r="E68" s="44"/>
      <c r="F68" s="38"/>
      <c r="G68" s="45"/>
      <c r="H68" s="46"/>
      <c r="I68" s="30"/>
      <c r="J68" s="48"/>
      <c r="K68" s="21"/>
      <c r="L68" s="33"/>
      <c r="M68" s="34"/>
      <c r="N68" s="35"/>
      <c r="O68" s="32"/>
    </row>
    <row r="69" spans="2:15" s="24" customFormat="1" ht="24" customHeight="1" x14ac:dyDescent="0.2">
      <c r="B69" s="63"/>
      <c r="C69" s="64" t="s">
        <v>108</v>
      </c>
      <c r="D69" s="64"/>
      <c r="E69" s="65"/>
      <c r="F69" s="66"/>
      <c r="G69" s="67"/>
      <c r="H69" s="68"/>
      <c r="I69" s="69"/>
      <c r="J69" s="63">
        <f>SUM(J7:J13)</f>
        <v>7</v>
      </c>
      <c r="K69" s="68"/>
      <c r="L69" s="68"/>
      <c r="M69" s="70"/>
      <c r="N69" s="68"/>
      <c r="O69" s="71"/>
    </row>
    <row r="70" spans="2:15" s="24" customFormat="1" ht="24" customHeight="1" thickBot="1" x14ac:dyDescent="0.25">
      <c r="B70" s="62"/>
      <c r="C70" s="72"/>
      <c r="D70" s="72"/>
      <c r="E70" s="73"/>
      <c r="F70" s="74"/>
      <c r="G70" s="75">
        <f>SUM(G7:G13)</f>
        <v>45015.156490000001</v>
      </c>
      <c r="H70" s="76"/>
      <c r="I70" s="77"/>
      <c r="J70" s="78"/>
      <c r="K70" s="79"/>
      <c r="L70" s="79"/>
      <c r="M70" s="80"/>
      <c r="N70" s="79"/>
      <c r="O70" s="81"/>
    </row>
  </sheetData>
  <hyperlinks>
    <hyperlink ref="O12" r:id="rId1" xr:uid="{BF98CB5F-6D82-DC4C-B4C0-C551A9FDF9E3}"/>
    <hyperlink ref="O13" r:id="rId2" xr:uid="{3BD32E89-A29D-2345-BF02-115A76D4DE6A}"/>
    <hyperlink ref="O16" r:id="rId3" xr:uid="{6D6D0300-41B6-1F4A-A68B-C0395E5A2C5C}"/>
    <hyperlink ref="O17" r:id="rId4" xr:uid="{C475424F-B985-C04F-9CDC-6775A9FF8845}"/>
    <hyperlink ref="O18" r:id="rId5" xr:uid="{3C26AF73-D061-044D-B3FD-C0FD07A80B8C}"/>
    <hyperlink ref="O19" r:id="rId6" xr:uid="{E96F0580-37F9-334A-9EDE-6535E97207DA}"/>
    <hyperlink ref="O20" r:id="rId7" xr:uid="{93B7A293-FCD6-894A-9EE3-10391FC5A2BE}"/>
    <hyperlink ref="O21" r:id="rId8" xr:uid="{ACC26632-4162-F546-995F-F1DDAE99AAE1}"/>
    <hyperlink ref="O22" r:id="rId9" xr:uid="{4E7EDBB0-3875-5E49-B7B1-B6791F8193CB}"/>
    <hyperlink ref="O23" r:id="rId10" xr:uid="{DBF66682-7657-B046-9123-4EB82F5194C3}"/>
  </hyperlinks>
  <pageMargins left="0.511811024" right="0.511811024" top="0.78740157499999996" bottom="0.78740157499999996" header="0.31496062000000002" footer="0.31496062000000002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2025-11-28T14:53:51Z</dcterms:created>
  <dcterms:modified xsi:type="dcterms:W3CDTF">2025-11-28T14:55:30Z</dcterms:modified>
</cp:coreProperties>
</file>