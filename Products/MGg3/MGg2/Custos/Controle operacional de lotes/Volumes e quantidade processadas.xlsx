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.santos\Nextcloud\Produção- Processos de Conversão e Separação\"/>
    </mc:Choice>
  </mc:AlternateContent>
  <xr:revisionPtr revIDLastSave="0" documentId="13_ncr:1_{39BDCDA9-2B95-4217-BE84-D31A7D0802EE}" xr6:coauthVersionLast="47" xr6:coauthVersionMax="47" xr10:uidLastSave="{00000000-0000-0000-0000-000000000000}"/>
  <bookViews>
    <workbookView xWindow="-110" yWindow="-110" windowWidth="19420" windowHeight="10420" activeTab="2" xr2:uid="{85D38042-C517-4FB4-AE78-5F4350A7B74A}"/>
  </bookViews>
  <sheets>
    <sheet name="Ano" sheetId="1" r:id="rId1"/>
    <sheet name="Mes" sheetId="3" r:id="rId2"/>
    <sheet name="2021" sheetId="5" r:id="rId3"/>
    <sheet name="Planilha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1" i="5" l="1"/>
  <c r="N21" i="5"/>
  <c r="M21" i="5"/>
  <c r="M20" i="5"/>
  <c r="V17" i="5"/>
  <c r="U17" i="5"/>
  <c r="T17" i="5"/>
  <c r="S17" i="5"/>
  <c r="R17" i="5"/>
  <c r="Q17" i="5"/>
  <c r="P17" i="5"/>
  <c r="O17" i="5"/>
  <c r="O18" i="5" s="1"/>
  <c r="O21" i="5" s="1"/>
  <c r="N17" i="5"/>
  <c r="M18" i="5"/>
  <c r="L18" i="5"/>
  <c r="N18" i="5"/>
  <c r="W21" i="5"/>
  <c r="X21" i="5"/>
  <c r="L21" i="5"/>
  <c r="Y20" i="5"/>
  <c r="X20" i="5"/>
  <c r="W20" i="5"/>
  <c r="V20" i="5"/>
  <c r="U20" i="5"/>
  <c r="T20" i="5"/>
  <c r="S20" i="5"/>
  <c r="R20" i="5"/>
  <c r="Q20" i="5"/>
  <c r="P20" i="5"/>
  <c r="O20" i="5"/>
  <c r="N20" i="5"/>
  <c r="L20" i="5"/>
  <c r="B187" i="5"/>
  <c r="C180" i="5"/>
  <c r="C176" i="5"/>
  <c r="C170" i="5"/>
  <c r="C167" i="5"/>
  <c r="C161" i="5"/>
  <c r="C155" i="5"/>
  <c r="C148" i="5"/>
  <c r="C140" i="5"/>
  <c r="C131" i="5"/>
  <c r="C125" i="5"/>
  <c r="C116" i="5"/>
  <c r="C112" i="5"/>
  <c r="C107" i="5"/>
  <c r="C102" i="5"/>
  <c r="C100" i="5"/>
  <c r="C98" i="5"/>
  <c r="C94" i="5"/>
  <c r="C89" i="5"/>
  <c r="C87" i="5"/>
  <c r="C85" i="5"/>
  <c r="C81" i="5"/>
  <c r="C78" i="5"/>
  <c r="C74" i="5"/>
  <c r="C68" i="5"/>
  <c r="C60" i="5"/>
  <c r="C5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Y13" i="5"/>
  <c r="X13" i="5"/>
  <c r="X24" i="5" s="1"/>
  <c r="W13" i="5"/>
  <c r="W24" i="5" s="1"/>
  <c r="V13" i="5"/>
  <c r="V24" i="5" s="1"/>
  <c r="U13" i="5"/>
  <c r="U24" i="5" s="1"/>
  <c r="T13" i="5"/>
  <c r="T24" i="5" s="1"/>
  <c r="S13" i="5"/>
  <c r="S24" i="5" s="1"/>
  <c r="R13" i="5"/>
  <c r="R24" i="5" s="1"/>
  <c r="Q13" i="5"/>
  <c r="Q24" i="5" s="1"/>
  <c r="P13" i="5"/>
  <c r="P24" i="5" s="1"/>
  <c r="O13" i="5"/>
  <c r="O24" i="5" s="1"/>
  <c r="N13" i="5"/>
  <c r="N24" i="5" s="1"/>
  <c r="M13" i="5"/>
  <c r="M24" i="5" s="1"/>
  <c r="L13" i="5"/>
  <c r="L24" i="5" s="1"/>
  <c r="O8" i="5"/>
  <c r="W16" i="5" s="1"/>
  <c r="O7" i="5"/>
  <c r="O6" i="5"/>
  <c r="O5" i="5"/>
  <c r="O4" i="5"/>
  <c r="O3" i="5"/>
  <c r="O2" i="5"/>
  <c r="BI21" i="3"/>
  <c r="BJ21" i="3"/>
  <c r="BK21" i="3"/>
  <c r="BL19" i="3"/>
  <c r="BJ19" i="3"/>
  <c r="BK19" i="3"/>
  <c r="BL18" i="3"/>
  <c r="BK18" i="3"/>
  <c r="BL17" i="3"/>
  <c r="BK17" i="3"/>
  <c r="BL16" i="3"/>
  <c r="BK16" i="3"/>
  <c r="BL15" i="3"/>
  <c r="BL13" i="3"/>
  <c r="BK13" i="3"/>
  <c r="B184" i="3"/>
  <c r="E3" i="4"/>
  <c r="O2" i="3"/>
  <c r="X16" i="5" l="1"/>
  <c r="N16" i="5"/>
  <c r="P16" i="5"/>
  <c r="T16" i="5"/>
  <c r="L16" i="5"/>
  <c r="Q16" i="5"/>
  <c r="U16" i="5"/>
  <c r="Y16" i="5"/>
  <c r="M16" i="5"/>
  <c r="R16" i="5"/>
  <c r="V16" i="5"/>
  <c r="S16" i="5"/>
  <c r="P16" i="3"/>
  <c r="K14" i="4"/>
  <c r="J14" i="4"/>
  <c r="C14" i="4"/>
  <c r="B14" i="4"/>
  <c r="K13" i="4"/>
  <c r="J13" i="4"/>
  <c r="I13" i="4"/>
  <c r="H13" i="4"/>
  <c r="E13" i="4"/>
  <c r="D13" i="4"/>
  <c r="C13" i="4"/>
  <c r="B13" i="4"/>
  <c r="K12" i="4"/>
  <c r="J12" i="4"/>
  <c r="I12" i="4"/>
  <c r="H12" i="4"/>
  <c r="E12" i="4"/>
  <c r="D12" i="4"/>
  <c r="C12" i="4"/>
  <c r="B12" i="4"/>
  <c r="K11" i="4"/>
  <c r="J11" i="4"/>
  <c r="I11" i="4"/>
  <c r="H11" i="4"/>
  <c r="E11" i="4"/>
  <c r="D11" i="4"/>
  <c r="K10" i="4"/>
  <c r="J10" i="4"/>
  <c r="E10" i="4"/>
  <c r="D10" i="4"/>
  <c r="K9" i="4"/>
  <c r="J9" i="4"/>
  <c r="E9" i="4"/>
  <c r="D9" i="4"/>
  <c r="K8" i="4"/>
  <c r="J8" i="4"/>
  <c r="F8" i="4"/>
  <c r="E8" i="4"/>
  <c r="D8" i="4"/>
  <c r="K7" i="4"/>
  <c r="J7" i="4"/>
  <c r="G7" i="4"/>
  <c r="F7" i="4"/>
  <c r="E7" i="4"/>
  <c r="D7" i="4"/>
  <c r="E6" i="4"/>
  <c r="D6" i="4"/>
  <c r="K5" i="4"/>
  <c r="J5" i="4"/>
  <c r="I5" i="4"/>
  <c r="H5" i="4"/>
  <c r="G5" i="4"/>
  <c r="F5" i="4"/>
  <c r="E5" i="4"/>
  <c r="D5" i="4"/>
  <c r="K4" i="4"/>
  <c r="J4" i="4"/>
  <c r="G4" i="4"/>
  <c r="F4" i="4"/>
  <c r="E4" i="4"/>
  <c r="D4" i="4"/>
  <c r="M3" i="4"/>
  <c r="L3" i="4"/>
  <c r="K3" i="4"/>
  <c r="J3" i="4"/>
  <c r="G3" i="4"/>
  <c r="F3" i="4"/>
  <c r="D3" i="4"/>
  <c r="O8" i="3"/>
  <c r="O7" i="3"/>
  <c r="BK15" i="3"/>
  <c r="N15" i="3"/>
  <c r="M15" i="3"/>
  <c r="BH15" i="3"/>
  <c r="L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I15" i="3"/>
  <c r="BJ15" i="3"/>
  <c r="AY13" i="3"/>
  <c r="AY21" i="3" s="1"/>
  <c r="O13" i="3"/>
  <c r="O21" i="3" s="1"/>
  <c r="P13" i="3"/>
  <c r="P21" i="3" s="1"/>
  <c r="Q13" i="3"/>
  <c r="Q21" i="3" s="1"/>
  <c r="R13" i="3"/>
  <c r="R21" i="3" s="1"/>
  <c r="S13" i="3"/>
  <c r="S21" i="3" s="1"/>
  <c r="T13" i="3"/>
  <c r="T21" i="3" s="1"/>
  <c r="U13" i="3"/>
  <c r="U21" i="3" s="1"/>
  <c r="V13" i="3"/>
  <c r="V21" i="3" s="1"/>
  <c r="W13" i="3"/>
  <c r="W21" i="3" s="1"/>
  <c r="X13" i="3"/>
  <c r="X21" i="3" s="1"/>
  <c r="Y13" i="3"/>
  <c r="Y21" i="3" s="1"/>
  <c r="Z13" i="3"/>
  <c r="Z21" i="3" s="1"/>
  <c r="O3" i="3"/>
  <c r="O4" i="3"/>
  <c r="L13" i="3"/>
  <c r="L21" i="3" s="1"/>
  <c r="O5" i="3"/>
  <c r="C52" i="3"/>
  <c r="C57" i="3"/>
  <c r="C65" i="3"/>
  <c r="C71" i="3"/>
  <c r="C75" i="3"/>
  <c r="C78" i="3"/>
  <c r="C82" i="3"/>
  <c r="C84" i="3"/>
  <c r="C86" i="3"/>
  <c r="C91" i="3"/>
  <c r="C95" i="3"/>
  <c r="G8" i="4" s="1"/>
  <c r="C97" i="3"/>
  <c r="C99" i="3"/>
  <c r="C104" i="3"/>
  <c r="C109" i="3"/>
  <c r="C113" i="3"/>
  <c r="C122" i="3"/>
  <c r="C128" i="3"/>
  <c r="C137" i="3"/>
  <c r="C145" i="3"/>
  <c r="C152" i="3"/>
  <c r="C158" i="3"/>
  <c r="C164" i="3"/>
  <c r="C167" i="3"/>
  <c r="C173" i="3"/>
  <c r="C177" i="3"/>
  <c r="O6" i="3"/>
  <c r="BJ13" i="3"/>
  <c r="BI13" i="3"/>
  <c r="BH13" i="3"/>
  <c r="BH21" i="3" s="1"/>
  <c r="BG13" i="3"/>
  <c r="BG21" i="3" s="1"/>
  <c r="BF13" i="3"/>
  <c r="BF21" i="3" s="1"/>
  <c r="BE13" i="3"/>
  <c r="BE21" i="3" s="1"/>
  <c r="BD13" i="3"/>
  <c r="BD21" i="3" s="1"/>
  <c r="BC13" i="3"/>
  <c r="BC21" i="3" s="1"/>
  <c r="BB13" i="3"/>
  <c r="BB21" i="3" s="1"/>
  <c r="BA13" i="3"/>
  <c r="BA21" i="3" s="1"/>
  <c r="AZ13" i="3"/>
  <c r="AZ21" i="3" s="1"/>
  <c r="AX13" i="3"/>
  <c r="AX21" i="3" s="1"/>
  <c r="AW13" i="3"/>
  <c r="AW21" i="3" s="1"/>
  <c r="AT13" i="3"/>
  <c r="AT21" i="3" s="1"/>
  <c r="AV13" i="3"/>
  <c r="AV21" i="3" s="1"/>
  <c r="AU13" i="3"/>
  <c r="AU21" i="3" s="1"/>
  <c r="AS13" i="3"/>
  <c r="AS21" i="3" s="1"/>
  <c r="AR13" i="3"/>
  <c r="AR21" i="3" s="1"/>
  <c r="AQ13" i="3"/>
  <c r="AQ21" i="3" s="1"/>
  <c r="AP13" i="3"/>
  <c r="AP21" i="3" s="1"/>
  <c r="AO13" i="3"/>
  <c r="AO21" i="3" s="1"/>
  <c r="AN13" i="3"/>
  <c r="AN21" i="3" s="1"/>
  <c r="AM13" i="3"/>
  <c r="AM21" i="3" s="1"/>
  <c r="AL13" i="3"/>
  <c r="AL21" i="3" s="1"/>
  <c r="AK13" i="3"/>
  <c r="AK21" i="3" s="1"/>
  <c r="AJ13" i="3"/>
  <c r="AJ21" i="3" s="1"/>
  <c r="AI13" i="3"/>
  <c r="AI21" i="3" s="1"/>
  <c r="AH13" i="3"/>
  <c r="AH21" i="3" s="1"/>
  <c r="AG13" i="3"/>
  <c r="AG21" i="3" s="1"/>
  <c r="AF13" i="3"/>
  <c r="AF21" i="3" s="1"/>
  <c r="AE13" i="3"/>
  <c r="AE21" i="3" s="1"/>
  <c r="AD13" i="3"/>
  <c r="AD21" i="3" s="1"/>
  <c r="AC13" i="3"/>
  <c r="AC21" i="3" s="1"/>
  <c r="AB13" i="3"/>
  <c r="AB21" i="3" s="1"/>
  <c r="AA13" i="3"/>
  <c r="AA21" i="3" s="1"/>
  <c r="N13" i="3"/>
  <c r="N21" i="3" s="1"/>
  <c r="M13" i="3"/>
  <c r="M21" i="3" s="1"/>
  <c r="V18" i="5" l="1"/>
  <c r="R18" i="5"/>
  <c r="N22" i="5"/>
  <c r="W17" i="5"/>
  <c r="W18" i="5" s="1"/>
  <c r="W22" i="5" s="1"/>
  <c r="Y17" i="5"/>
  <c r="Y18" i="5" s="1"/>
  <c r="Y22" i="5" s="1"/>
  <c r="U18" i="5"/>
  <c r="Q18" i="5"/>
  <c r="M17" i="5"/>
  <c r="M22" i="5" s="1"/>
  <c r="O22" i="5"/>
  <c r="X17" i="5"/>
  <c r="X18" i="5" s="1"/>
  <c r="X22" i="5" s="1"/>
  <c r="T18" i="5"/>
  <c r="P18" i="5"/>
  <c r="L17" i="5"/>
  <c r="L22" i="5" s="1"/>
  <c r="S18" i="5"/>
  <c r="BC16" i="3"/>
  <c r="AZ16" i="3"/>
  <c r="BD16" i="3"/>
  <c r="BE16" i="3"/>
  <c r="BA16" i="3"/>
  <c r="AY16" i="3"/>
  <c r="BG16" i="3"/>
  <c r="BJ16" i="3"/>
  <c r="BF16" i="3"/>
  <c r="BI16" i="3"/>
  <c r="BH16" i="3"/>
  <c r="AA16" i="3"/>
  <c r="N16" i="3"/>
  <c r="M16" i="3"/>
  <c r="O16" i="3"/>
  <c r="AC16" i="3"/>
  <c r="X16" i="3"/>
  <c r="T16" i="3"/>
  <c r="L16" i="3"/>
  <c r="L17" i="3" s="1"/>
  <c r="L18" i="3" s="1"/>
  <c r="L19" i="3" s="1"/>
  <c r="S16" i="3"/>
  <c r="V16" i="3"/>
  <c r="R16" i="3"/>
  <c r="AE16" i="3"/>
  <c r="Y16" i="3"/>
  <c r="U16" i="3"/>
  <c r="AB16" i="3"/>
  <c r="W16" i="3"/>
  <c r="AU16" i="3"/>
  <c r="AF16" i="3"/>
  <c r="AV16" i="3"/>
  <c r="AW16" i="3"/>
  <c r="AO16" i="3"/>
  <c r="Q16" i="3"/>
  <c r="V22" i="5" l="1"/>
  <c r="V21" i="5"/>
  <c r="U22" i="5"/>
  <c r="U21" i="5"/>
  <c r="T22" i="5"/>
  <c r="T21" i="5"/>
  <c r="S22" i="5"/>
  <c r="S21" i="5"/>
  <c r="R22" i="5"/>
  <c r="R21" i="5"/>
  <c r="Q22" i="5"/>
  <c r="Q21" i="5"/>
  <c r="P22" i="5"/>
  <c r="P21" i="5"/>
  <c r="O17" i="3"/>
  <c r="O18" i="3" s="1"/>
  <c r="O19" i="3" s="1"/>
  <c r="P17" i="3"/>
  <c r="P18" i="3" s="1"/>
  <c r="P19" i="3" s="1"/>
  <c r="U17" i="3"/>
  <c r="U18" i="3" s="1"/>
  <c r="U19" i="3" s="1"/>
  <c r="AY17" i="3"/>
  <c r="AY18" i="3" s="1"/>
  <c r="AY19" i="3" s="1"/>
  <c r="M17" i="3"/>
  <c r="M18" i="3" s="1"/>
  <c r="M19" i="3" s="1"/>
  <c r="S17" i="3"/>
  <c r="S18" i="3" s="1"/>
  <c r="S19" i="3" s="1"/>
  <c r="W17" i="3"/>
  <c r="W18" i="3" s="1"/>
  <c r="W19" i="3" s="1"/>
  <c r="T17" i="3"/>
  <c r="T18" i="3" s="1"/>
  <c r="T19" i="3" s="1"/>
  <c r="X17" i="3"/>
  <c r="X18" i="3" s="1"/>
  <c r="X19" i="3" s="1"/>
  <c r="Q17" i="3"/>
  <c r="Q18" i="3" s="1"/>
  <c r="Q19" i="3" s="1"/>
  <c r="Y17" i="3"/>
  <c r="Y18" i="3" s="1"/>
  <c r="Y19" i="3" s="1"/>
  <c r="R17" i="3"/>
  <c r="R18" i="3" s="1"/>
  <c r="R19" i="3" s="1"/>
  <c r="V17" i="3"/>
  <c r="V18" i="3" s="1"/>
  <c r="V19" i="3" s="1"/>
  <c r="Z17" i="3"/>
  <c r="Z18" i="3" s="1"/>
  <c r="Z19" i="3" s="1"/>
  <c r="BE17" i="3"/>
  <c r="BE18" i="3" s="1"/>
  <c r="BE19" i="3" s="1"/>
  <c r="N17" i="3"/>
  <c r="N18" i="3" s="1"/>
  <c r="N19" i="3" s="1"/>
  <c r="AF17" i="3"/>
  <c r="AF18" i="3" s="1"/>
  <c r="AF19" i="3" s="1"/>
  <c r="AN17" i="3"/>
  <c r="AN18" i="3" s="1"/>
  <c r="AN19" i="3" s="1"/>
  <c r="AH17" i="3"/>
  <c r="AH18" i="3" s="1"/>
  <c r="AH19" i="3" s="1"/>
  <c r="AB17" i="3"/>
  <c r="AB18" i="3" s="1"/>
  <c r="AB19" i="3" s="1"/>
  <c r="AD17" i="3"/>
  <c r="AD18" i="3" s="1"/>
  <c r="AD19" i="3" s="1"/>
  <c r="AP17" i="3"/>
  <c r="AP18" i="3" s="1"/>
  <c r="AP19" i="3" s="1"/>
  <c r="AQ17" i="3"/>
  <c r="AQ18" i="3" s="1"/>
  <c r="AQ19" i="3" s="1"/>
  <c r="AR17" i="3"/>
  <c r="AR18" i="3" s="1"/>
  <c r="AR19" i="3" s="1"/>
  <c r="AA17" i="3"/>
  <c r="AA18" i="3" s="1"/>
  <c r="AA19" i="3" s="1"/>
  <c r="AV17" i="3"/>
  <c r="AV18" i="3" s="1"/>
  <c r="AV19" i="3" s="1"/>
  <c r="BG17" i="3"/>
  <c r="BG18" i="3" s="1"/>
  <c r="BG19" i="3" s="1"/>
  <c r="AU17" i="3"/>
  <c r="AU18" i="3" s="1"/>
  <c r="AU19" i="3" s="1"/>
  <c r="AK17" i="3"/>
  <c r="AK18" i="3" s="1"/>
  <c r="AK19" i="3" s="1"/>
  <c r="AZ17" i="3"/>
  <c r="AZ18" i="3" s="1"/>
  <c r="AZ19" i="3" s="1"/>
  <c r="AT17" i="3"/>
  <c r="AT18" i="3" s="1"/>
  <c r="AT19" i="3" s="1"/>
  <c r="AM17" i="3"/>
  <c r="AM18" i="3" s="1"/>
  <c r="AM19" i="3" s="1"/>
  <c r="BA17" i="3"/>
  <c r="BA18" i="3" s="1"/>
  <c r="BA19" i="3" s="1"/>
  <c r="AJ17" i="3"/>
  <c r="AJ18" i="3" s="1"/>
  <c r="AJ19" i="3" s="1"/>
  <c r="BB17" i="3"/>
  <c r="BB18" i="3" s="1"/>
  <c r="BB19" i="3" s="1"/>
  <c r="AL17" i="3"/>
  <c r="AL18" i="3" s="1"/>
  <c r="AL19" i="3" s="1"/>
  <c r="AW17" i="3"/>
  <c r="AW18" i="3" s="1"/>
  <c r="AW19" i="3" s="1"/>
  <c r="BI17" i="3"/>
  <c r="BI18" i="3" s="1"/>
  <c r="BI19" i="3" s="1"/>
  <c r="BC17" i="3"/>
  <c r="BC18" i="3" s="1"/>
  <c r="BC19" i="3" s="1"/>
  <c r="AI17" i="3"/>
  <c r="AI18" i="3" s="1"/>
  <c r="AI19" i="3" s="1"/>
  <c r="AS17" i="3"/>
  <c r="AS18" i="3" s="1"/>
  <c r="AS19" i="3" s="1"/>
  <c r="AG17" i="3"/>
  <c r="AG18" i="3" s="1"/>
  <c r="AG19" i="3" s="1"/>
  <c r="AX17" i="3"/>
  <c r="AX18" i="3" s="1"/>
  <c r="AX19" i="3" s="1"/>
  <c r="AE17" i="3"/>
  <c r="AE18" i="3" s="1"/>
  <c r="AE19" i="3" s="1"/>
  <c r="AO17" i="3"/>
  <c r="AO18" i="3" s="1"/>
  <c r="AO19" i="3" s="1"/>
  <c r="BD17" i="3"/>
  <c r="BD18" i="3" s="1"/>
  <c r="BD19" i="3" s="1"/>
  <c r="BJ17" i="3"/>
  <c r="BJ18" i="3" s="1"/>
  <c r="BH17" i="3"/>
  <c r="BH18" i="3" s="1"/>
  <c r="BH19" i="3" s="1"/>
  <c r="BF17" i="3"/>
  <c r="BF18" i="3" s="1"/>
  <c r="BF19" i="3" s="1"/>
  <c r="AC17" i="3"/>
  <c r="AC18" i="3" s="1"/>
  <c r="AC19" i="3" s="1"/>
  <c r="I52" i="1"/>
  <c r="C22" i="1" l="1"/>
  <c r="C18" i="1"/>
  <c r="C19" i="1"/>
  <c r="C20" i="1"/>
  <c r="C21" i="1"/>
  <c r="H52" i="1"/>
  <c r="B3" i="1"/>
  <c r="B4" i="1"/>
  <c r="B5" i="1"/>
  <c r="B6" i="1"/>
  <c r="B7" i="1"/>
  <c r="B8" i="1"/>
  <c r="B2" i="1"/>
  <c r="B13" i="1"/>
  <c r="C13" i="1" s="1"/>
  <c r="B14" i="1"/>
  <c r="C14" i="1" s="1"/>
  <c r="B15" i="1"/>
  <c r="C15" i="1" s="1"/>
  <c r="B12" i="1"/>
  <c r="C12" i="1" s="1"/>
  <c r="B22" i="1"/>
  <c r="B19" i="1"/>
  <c r="B20" i="1"/>
  <c r="B21" i="1"/>
  <c r="B18" i="1"/>
  <c r="B9" i="1" l="1"/>
  <c r="C8" i="1" s="1"/>
  <c r="C7" i="1" l="1"/>
  <c r="C6" i="1"/>
  <c r="C4" i="1"/>
  <c r="C2" i="1"/>
  <c r="C3" i="1"/>
  <c r="C5" i="1"/>
  <c r="C9" i="1" l="1"/>
</calcChain>
</file>

<file path=xl/sharedStrings.xml><?xml version="1.0" encoding="utf-8"?>
<sst xmlns="http://schemas.openxmlformats.org/spreadsheetml/2006/main" count="1894" uniqueCount="404">
  <si>
    <t>Setor</t>
  </si>
  <si>
    <t>Melhoria do processo de conversão</t>
  </si>
  <si>
    <t>Total</t>
  </si>
  <si>
    <t>Qtd de lotes</t>
  </si>
  <si>
    <t>Qnt lote</t>
  </si>
  <si>
    <t>Finalidade</t>
  </si>
  <si>
    <t>Categoria</t>
  </si>
  <si>
    <t>P50</t>
  </si>
  <si>
    <t>RHODIA</t>
  </si>
  <si>
    <t>Ano</t>
  </si>
  <si>
    <t>Bancada</t>
  </si>
  <si>
    <t>P25</t>
  </si>
  <si>
    <t>Aumento de carga</t>
  </si>
  <si>
    <t>Decanter</t>
  </si>
  <si>
    <t>KATRINA-Flotação</t>
  </si>
  <si>
    <t>Teste-IKA</t>
  </si>
  <si>
    <t>P5</t>
  </si>
  <si>
    <t>Caracterização</t>
  </si>
  <si>
    <t>Teste-Verso</t>
  </si>
  <si>
    <t>Desenvolvimento</t>
  </si>
  <si>
    <t>P100</t>
  </si>
  <si>
    <t>IRENE- Start UP</t>
  </si>
  <si>
    <t>Flotação</t>
  </si>
  <si>
    <t>Teste-cisalhador</t>
  </si>
  <si>
    <t>Teste -grafite exp.</t>
  </si>
  <si>
    <t>Teste-reproc. Grafit</t>
  </si>
  <si>
    <t>Leito fluidizado</t>
  </si>
  <si>
    <t>Portifolio CODEMGE</t>
  </si>
  <si>
    <t>BM</t>
  </si>
  <si>
    <t>Riera</t>
  </si>
  <si>
    <t>CSN</t>
  </si>
  <si>
    <t>SB</t>
  </si>
  <si>
    <t>Dec/Tub/Disc</t>
  </si>
  <si>
    <t>IBA</t>
  </si>
  <si>
    <t>Pam Membranas</t>
  </si>
  <si>
    <t>CODEMGE</t>
  </si>
  <si>
    <t>BERTHA</t>
  </si>
  <si>
    <t>G-Scan</t>
  </si>
  <si>
    <t>Sally</t>
  </si>
  <si>
    <t>Otto</t>
  </si>
  <si>
    <t>Sub-classe</t>
  </si>
  <si>
    <t>Entrega</t>
  </si>
  <si>
    <t>Desenvolvimento Bancada</t>
  </si>
  <si>
    <t>Configuração de linha</t>
  </si>
  <si>
    <t>Quantidade</t>
  </si>
  <si>
    <t>Volume (L)</t>
  </si>
  <si>
    <t>Finalidade do material produzido</t>
  </si>
  <si>
    <t>Qnt lotes</t>
  </si>
  <si>
    <t>Testes de Separação</t>
  </si>
  <si>
    <t>Testes Externos</t>
  </si>
  <si>
    <t>Ana</t>
  </si>
  <si>
    <t>Duda</t>
  </si>
  <si>
    <t>Troca de base</t>
  </si>
  <si>
    <t>-</t>
  </si>
  <si>
    <t>Datasheet</t>
  </si>
  <si>
    <t>Rhodia</t>
  </si>
  <si>
    <t>Buzz</t>
  </si>
  <si>
    <t>CODEMGE 2019</t>
  </si>
  <si>
    <t>Nicolas</t>
  </si>
  <si>
    <t>CONTROLE DE PRODUÇÃO</t>
  </si>
  <si>
    <t>Campanhas realizadas no mês de outubro 2017</t>
  </si>
  <si>
    <t>Lote</t>
  </si>
  <si>
    <t>Piloto</t>
  </si>
  <si>
    <t>[ ]</t>
  </si>
  <si>
    <t>Campanha</t>
  </si>
  <si>
    <t>Descrição</t>
  </si>
  <si>
    <t>Objetivo</t>
  </si>
  <si>
    <t>20171003Pa</t>
  </si>
  <si>
    <t>50g/L</t>
  </si>
  <si>
    <t>Processamento padrão em série</t>
  </si>
  <si>
    <t>Lote para testes de aplicação em potencial cliente : RHODIA</t>
  </si>
  <si>
    <t>20171010Pa</t>
  </si>
  <si>
    <t>20171013Pa</t>
  </si>
  <si>
    <t>Campanhas realizadas no mês de novembro 2017</t>
  </si>
  <si>
    <t>20171112Pa</t>
  </si>
  <si>
    <t>Lote para testes de otimização de centrifugação em bancada ( Frente Bancada )</t>
  </si>
  <si>
    <t>20171120Pa</t>
  </si>
  <si>
    <t>100g/L</t>
  </si>
  <si>
    <t>Teste operacional com aumento da [ ] = 100g/L</t>
  </si>
  <si>
    <t>Avaliação da capacidade de processamento do equipamento silverson VERSO com aumento da concentração inicial de grafite para 100g/L</t>
  </si>
  <si>
    <t>20171124Pa</t>
  </si>
  <si>
    <t xml:space="preserve">Startup Centrifuga Decanter </t>
  </si>
  <si>
    <t>Testes conceito com equipamendo alugado ( OMEGALINE ) 2000 L/h</t>
  </si>
  <si>
    <t>Campanhas realizadas no mês de dezembro 2017</t>
  </si>
  <si>
    <t>20171227Pa</t>
  </si>
  <si>
    <t>KATRINA</t>
  </si>
  <si>
    <t>Lote padrão P50 em série para testes de flotação em coluna</t>
  </si>
  <si>
    <t>20171228Pa</t>
  </si>
  <si>
    <t>Campanhas realizadas no mês de janeiro 2018</t>
  </si>
  <si>
    <t>20180102Pa</t>
  </si>
  <si>
    <t>20180103Pa</t>
  </si>
  <si>
    <t>20180108Pa</t>
  </si>
  <si>
    <t>Homogeinização da campanha KATRINA</t>
  </si>
  <si>
    <t>Homogeinização de 200L gerados na campanha KATRINA para testes de flotação em coluna / Portifólio 01</t>
  </si>
  <si>
    <t>20180130Pa</t>
  </si>
  <si>
    <t>Teste piloto IKA</t>
  </si>
  <si>
    <t xml:space="preserve">Avaliar curva de rendimento com equipamento alugado da IKA </t>
  </si>
  <si>
    <t>Campanhas realizadas no mês de fevereiro 2018</t>
  </si>
  <si>
    <t>20180220Pa</t>
  </si>
  <si>
    <t>Avaliação da reprodutibilidade</t>
  </si>
  <si>
    <t xml:space="preserve"> Avaliar reprodutibilidade na escala piloto P5 até 5 litros ( Frente Caracterização )</t>
  </si>
  <si>
    <t>Campanhas realizadas no mês de março 2018</t>
  </si>
  <si>
    <t>20180312Pa</t>
  </si>
  <si>
    <t>Teste de selo mecânico nacional - Silverson Verso</t>
  </si>
  <si>
    <t>Busca de fornecedor alternativo para selos mecânicos para o equipamento silverson VERSO</t>
  </si>
  <si>
    <t>20180313Pa</t>
  </si>
  <si>
    <t>Para testes de flotação em bancada</t>
  </si>
  <si>
    <t>20180321Pa</t>
  </si>
  <si>
    <t>Startup Konmix - 3.550rpm</t>
  </si>
  <si>
    <t>Startup Konmix para adequação das condições operações</t>
  </si>
  <si>
    <t>Campanhas realizadas no mês de abril 2018</t>
  </si>
  <si>
    <t>20180402Pa</t>
  </si>
  <si>
    <t>Startup Silverson UHS 175/275 – 3.600rpm</t>
  </si>
  <si>
    <t>Startup Silverson para adequação das condições operações</t>
  </si>
  <si>
    <t xml:space="preserve">20180417Pa </t>
  </si>
  <si>
    <t>IRENE</t>
  </si>
  <si>
    <t>Silverson UHS 175/275 – 3.600rpm</t>
  </si>
  <si>
    <t>Curva de rendimento do Silverson UHS 175/275 - 3.600rpm</t>
  </si>
  <si>
    <t xml:space="preserve">20180417Pb </t>
  </si>
  <si>
    <t>Konmix – 3.550rpm</t>
  </si>
  <si>
    <t>Curva de rendimento do Konmix- 3.550rpm</t>
  </si>
  <si>
    <t>20180424Pa</t>
  </si>
  <si>
    <t>Silverson UHS 175/275 – 6.000rpm</t>
  </si>
  <si>
    <t>Curva de rendimento do Silverson UHS 175/275 - 6.000rpm</t>
  </si>
  <si>
    <t>Campanhas realizadas no mês de maio 2018</t>
  </si>
  <si>
    <t>20180502Pa  </t>
  </si>
  <si>
    <t>1 Ciclo / Uma passagem / Um cisalhador</t>
  </si>
  <si>
    <t>Avaliar se há diferenças em relação ao tamanho de partícula obtido com apenas uma passagem do material pelo cisalhador</t>
  </si>
  <si>
    <t>20180507Pa</t>
  </si>
  <si>
    <t>Produzir amostras centrifugada e não centrifugada para testes de flotação em escala de bancada</t>
  </si>
  <si>
    <t xml:space="preserve">20180511Pa </t>
  </si>
  <si>
    <t>P10</t>
  </si>
  <si>
    <t>Análise de carregamento de grafite expandido</t>
  </si>
  <si>
    <t>(1)Avaliar o método de carregamento e fazer estimativa da carga máxima que poderia ser alcançada em tanques; (2) Avaliar processamento da dispersão quando submetida a processamento com o equipamento tipo inline (Verso).</t>
  </si>
  <si>
    <t xml:space="preserve">20180524Pa </t>
  </si>
  <si>
    <t>Teste de reprocessamento do grafite / Abortado</t>
  </si>
  <si>
    <t>Teste de reprocessamento do grafite]</t>
  </si>
  <si>
    <t>Campanhas realizadas no mês de junho 2018</t>
  </si>
  <si>
    <t>20180606Pa</t>
  </si>
  <si>
    <t>Teste de reprocessamento do grafite</t>
  </si>
  <si>
    <t>20180612Pa</t>
  </si>
  <si>
    <t>obter massa para testes de secagem/classificação no leito fluidizado</t>
  </si>
  <si>
    <t>20180625Pa</t>
  </si>
  <si>
    <t>Avaliar rendimento e taxa de produção da P100-Silverson175/275 com carga de grafite de 100 g/L</t>
  </si>
  <si>
    <t>20180628Pa</t>
  </si>
  <si>
    <t>Avaliar rendimento e taxa de produção da P100 - Konmix com carga de grafite de 100 g/L</t>
  </si>
  <si>
    <t>Campanhas realizadas no mês de Julho 2018</t>
  </si>
  <si>
    <t>20180709Pa</t>
  </si>
  <si>
    <t>SARA</t>
  </si>
  <si>
    <r>
      <t xml:space="preserve">Lote de 100 L / 50 g/L para o plano de experimentos de centrifugação ( centrifuga de discos ) / </t>
    </r>
    <r>
      <rPr>
        <b/>
        <sz val="10"/>
        <color indexed="64"/>
        <rFont val="Arial"/>
        <family val="2"/>
      </rPr>
      <t>PORTIFÓLIO CODEMGE</t>
    </r>
  </si>
  <si>
    <t>20180715Pa</t>
  </si>
  <si>
    <t xml:space="preserve">Produção de lote para testes na coluna de flotação </t>
  </si>
  <si>
    <t>20180719Pa</t>
  </si>
  <si>
    <t>Processamento padrão P100 - UHS</t>
  </si>
  <si>
    <t>Produção de lote para testes na centrífuga decanter</t>
  </si>
  <si>
    <t>Campanhas realizadas no mês de Agosto 2018</t>
  </si>
  <si>
    <t>20180806Pa</t>
  </si>
  <si>
    <t>Lote para análise do balanço de massa</t>
  </si>
  <si>
    <t>20180809Pa</t>
  </si>
  <si>
    <t>RIERA</t>
  </si>
  <si>
    <t>Lote produzido para testes externos na empresa RIERA NADEU</t>
  </si>
  <si>
    <t>20180812Pa</t>
  </si>
  <si>
    <t>20180814Pa</t>
  </si>
  <si>
    <t>20180828Pa</t>
  </si>
  <si>
    <t>Acompanhamento CODEMGE</t>
  </si>
  <si>
    <t>20180829Pa</t>
  </si>
  <si>
    <t>Campanhas realizadas no mês de Setembro 2018</t>
  </si>
  <si>
    <t>20180913Pa</t>
  </si>
  <si>
    <t>Produção de lote para CSN</t>
  </si>
  <si>
    <t>20180916Pa</t>
  </si>
  <si>
    <t>FLOTAÇÃO</t>
  </si>
  <si>
    <t>20180916Pb</t>
  </si>
  <si>
    <t>20180920Pb</t>
  </si>
  <si>
    <t>DECANTER</t>
  </si>
  <si>
    <t>Campanhas realizadas no mês de Outubro 2018</t>
  </si>
  <si>
    <t>20181002Pa</t>
  </si>
  <si>
    <t>Verso 100 ciclos sem back mixing</t>
  </si>
  <si>
    <t>Lote padrão P50 (Verso) teste de 100 ciclos sem back mixing</t>
  </si>
  <si>
    <t>20181003Pa</t>
  </si>
  <si>
    <t>Lote padrão P50 em série para testes de flotação</t>
  </si>
  <si>
    <t>Campanhas realizadas no mês de Novembro 2018</t>
  </si>
  <si>
    <t>20181126Pa</t>
  </si>
  <si>
    <t>DECANTER/TUBULAR/DISCOS</t>
  </si>
  <si>
    <t>Produção de lote para testes na centrífuga decanter/discos/tubular</t>
  </si>
  <si>
    <t>Campanhas realizadas no mês de Janeiro 2019</t>
  </si>
  <si>
    <t>20190109Pa</t>
  </si>
  <si>
    <t>20190128Pa</t>
  </si>
  <si>
    <t>50 g/L</t>
  </si>
  <si>
    <t>Flotação em Bancada</t>
  </si>
  <si>
    <t>Verso - V10209</t>
  </si>
  <si>
    <t>Produção de lote para testes de flotação em bancada</t>
  </si>
  <si>
    <t>Campanhas realizadas no mês de Fevereiro 2019</t>
  </si>
  <si>
    <t>20190213Pa</t>
  </si>
  <si>
    <t>Produção P100-2 para teste em filtração de membranas na Pam Membranas</t>
  </si>
  <si>
    <t>Campanhas realizadas no mês de Março 2019</t>
  </si>
  <si>
    <t>20190328Pa</t>
  </si>
  <si>
    <t>V10243 (v3) e V10244(v4)</t>
  </si>
  <si>
    <t>Campanhas realizadas no mês de Maio 2019</t>
  </si>
  <si>
    <t>20190503Pa</t>
  </si>
  <si>
    <t>Flotação em escala piloto</t>
  </si>
  <si>
    <t>Produção de lote para testes de flotação em escala piloto</t>
  </si>
  <si>
    <t>20190516Pa</t>
  </si>
  <si>
    <t>Teste de flotação e teste em centrífuga Decanter</t>
  </si>
  <si>
    <t>Produção de lote para testes de flotação e teste de variação da força g em centrífuga Decanter, redução de aditivo</t>
  </si>
  <si>
    <t>20190527Pa</t>
  </si>
  <si>
    <t>20190529Pa</t>
  </si>
  <si>
    <t>Campanhas realizadas no mês de Junho 2019</t>
  </si>
  <si>
    <t>20190603Pa</t>
  </si>
  <si>
    <t>20190605Pa</t>
  </si>
  <si>
    <t>20190611Pa</t>
  </si>
  <si>
    <t>Sem Back Mixing</t>
  </si>
  <si>
    <t>Produção de lote para testes do sistema sem back mixing automatizado</t>
  </si>
  <si>
    <t>Homogeneização</t>
  </si>
  <si>
    <t>Homogeneização dos lotes 20190527Pa_d01_13, 20190529Pa_d01_13, 20190603Pa_d01_13, 20190605Pa_d01_13 para obtenção de 400 L de suspensão.</t>
  </si>
  <si>
    <t>20190617Pa</t>
  </si>
  <si>
    <t>CODEMGE- MS</t>
  </si>
  <si>
    <t>Produção de lote para testes de definição de linha padrão do modulo de conversão separação</t>
  </si>
  <si>
    <t>Campanhas realizadas no mês de Março de 2020</t>
  </si>
  <si>
    <t>20200303Pa</t>
  </si>
  <si>
    <t>Validação dos Processos de Produção da entrega MGgrafeno 1.0 e start up da filtração tangencial.</t>
  </si>
  <si>
    <t>Campanhas realizadas no mês de Setembro de 2020</t>
  </si>
  <si>
    <t>20200908Pa</t>
  </si>
  <si>
    <t>Konmix – 3.550rpm (EQIP138)</t>
  </si>
  <si>
    <t>Primeiro teste de cisalhamento com tanque de Inox</t>
  </si>
  <si>
    <t>20200914Pa</t>
  </si>
  <si>
    <t>Konmix – 3.550rpm (EQIP138/137)</t>
  </si>
  <si>
    <t>Segundo teste de cisalhamento tanque de Inox- (Adaptação para aumento de vazão ).</t>
  </si>
  <si>
    <t>20200921Pa</t>
  </si>
  <si>
    <t>Konmix – 3.550rpm (EQIP137)</t>
  </si>
  <si>
    <t>Terceiro teste de cisalhamento tanque de Inox- (Aumento de temperatura).</t>
  </si>
  <si>
    <t>20200928Pa</t>
  </si>
  <si>
    <t>Quarto tete de cisalhamento tanque de Inox- (Troca do selo e rotores)</t>
  </si>
  <si>
    <t>Campanhas realizadas no mês de Outubro de 2020</t>
  </si>
  <si>
    <t>20201005Pa</t>
  </si>
  <si>
    <t>Tanque de vidro; Primeira separação centrífuga decanter (50 g; 8,1 L/h); Segunda separação *8L na decanter (4000 g; 8,1 L/h) + *70L na centrifuga de discos (centrifuga 60 hertz, 55,2 L/h)</t>
  </si>
  <si>
    <t>20201013Pa</t>
  </si>
  <si>
    <t>GScan</t>
  </si>
  <si>
    <t xml:space="preserve">Tanque de vidro; Primeira separação centrífuga decanter (50 g; 8,1 L/h); Segunda separação Decanter (4000 g; 8,1 L/h) </t>
  </si>
  <si>
    <t>Campanhas realizadas no mês de Novembro de 2020</t>
  </si>
  <si>
    <t>20201130Pa</t>
  </si>
  <si>
    <t>Konmix – 3.550rpm (EQIP138) / tanque vidro</t>
  </si>
  <si>
    <t>Campanhas realizadas no mês de Janeiro de 2021</t>
  </si>
  <si>
    <t>20210118Pa</t>
  </si>
  <si>
    <t>Konmix (EQIP138) / Tanque inox</t>
  </si>
  <si>
    <t>20210127Pa</t>
  </si>
  <si>
    <t>Silverson Verso V2(V10209)-10000 rpm/ 0,5 Bar</t>
  </si>
  <si>
    <t>Teste preliminar componente do PE rotor-estator a baixa temperatura</t>
  </si>
  <si>
    <t>20210127Pb</t>
  </si>
  <si>
    <t>Silverson Verso V3(V10243)-10000 rpm</t>
  </si>
  <si>
    <t>Campanhas realizadas no mês de Fevereiro de 2021</t>
  </si>
  <si>
    <t>20210208Pa</t>
  </si>
  <si>
    <t>Silverson Verso V2(V10209)-10000 rpm/ 1 Bar</t>
  </si>
  <si>
    <t>Teste preliminar componente do PE rotor-estator a alta temperatura</t>
  </si>
  <si>
    <t>20210208Pb</t>
  </si>
  <si>
    <t>20210210Pa</t>
  </si>
  <si>
    <t>Silverson Verso V2(V10209)-10000 rpm</t>
  </si>
  <si>
    <t>Duplicata do PE rotor-estator a alta temperatura</t>
  </si>
  <si>
    <t>20210210Pb</t>
  </si>
  <si>
    <t>Silverson Verso V3(V10243)-10000 rpm/ 1 Bar</t>
  </si>
  <si>
    <t>20210222Pa</t>
  </si>
  <si>
    <t>Silverson Verso V2(V10209)-10000 rpm/1Bar</t>
  </si>
  <si>
    <t>Duplicata do PE rotor-estator a baixa temperatura</t>
  </si>
  <si>
    <t>20210222Pb</t>
  </si>
  <si>
    <t>Silverson Verso V4(V10244)-10000 rpm</t>
  </si>
  <si>
    <t>20210224Pa</t>
  </si>
  <si>
    <t>Experimento rotor-estator superfine a alta temperatura</t>
  </si>
  <si>
    <t>20210224Pb</t>
  </si>
  <si>
    <t>Experimento rotor-estator superfine a alta temperatura (réplica)</t>
  </si>
  <si>
    <t>Campanhas realizadas no mês de Março de 2021</t>
  </si>
  <si>
    <t>20210301Pa</t>
  </si>
  <si>
    <t>Silverson UHS 175/275 – 6.000rpm / tanque inox</t>
  </si>
  <si>
    <t>Validação do Silverson</t>
  </si>
  <si>
    <t>20210309Pa</t>
  </si>
  <si>
    <t>Experimento rotor-estator emulsora 1 a baixa temperatura</t>
  </si>
  <si>
    <t>20210309Pb</t>
  </si>
  <si>
    <t>Experimento rotor-estator emulsora 1 a baixa temperatura (réplica)</t>
  </si>
  <si>
    <t>20210310Pa</t>
  </si>
  <si>
    <t>Experimento rotor-estator emulsora 2 a baixa temperatura</t>
  </si>
  <si>
    <t>20210310Pb</t>
  </si>
  <si>
    <t>Experimento rotor-estator emulsora 2 a baixa temperatura (réplica)</t>
  </si>
  <si>
    <t>Campanhas realizadas no mês de Maio de 2021</t>
  </si>
  <si>
    <t>20210504Pa</t>
  </si>
  <si>
    <t>Experimento rotor-estator rasgos verticais a baixa temperatura</t>
  </si>
  <si>
    <t>20210504Pb</t>
  </si>
  <si>
    <t>Experimento rotor-estator rasgos verticais a baixa temperatura (réplica)</t>
  </si>
  <si>
    <t>20210510Pa</t>
  </si>
  <si>
    <t>Testar diferentes condições de separação com relação ao campo g</t>
  </si>
  <si>
    <t>20210518Pa</t>
  </si>
  <si>
    <t>Sistema em série V2/V4-10000 rpm</t>
  </si>
  <si>
    <t>Experimento de cisalhadores em série com rotor-estator superfine, valvula livre.</t>
  </si>
  <si>
    <t>20210519Pa</t>
  </si>
  <si>
    <t>Teste de elevação de tanque e rotor-estator superfine</t>
  </si>
  <si>
    <t>20210520Pa</t>
  </si>
  <si>
    <t>Experimento de cisalhadores em série com rotor-estator superfine, valvula livre (réplica)</t>
  </si>
  <si>
    <t>20210524Pa</t>
  </si>
  <si>
    <t>75 g/L</t>
  </si>
  <si>
    <t>Teste aumento de carga de grafite 75 g/L (rotor-estator superfine)</t>
  </si>
  <si>
    <t>20210531Pa</t>
  </si>
  <si>
    <t>100 g/L</t>
  </si>
  <si>
    <t>Teste aumento de carga de grafite 100 g/L (rotor-estator superfine)</t>
  </si>
  <si>
    <t>Campanhas realizadas no mês de Junho de 2021</t>
  </si>
  <si>
    <t>20210601Pa</t>
  </si>
  <si>
    <t>Validação de processo rotor-estator superfine</t>
  </si>
  <si>
    <t>20210601Pb</t>
  </si>
  <si>
    <t>Validação de processo rotor-estator superfine-réplica</t>
  </si>
  <si>
    <t>20210607Pa</t>
  </si>
  <si>
    <t>Teste aumento de carga de grafite 100 g/L (rotor-estator superfine); 12h</t>
  </si>
  <si>
    <t>20210616Pa</t>
  </si>
  <si>
    <t>Teste aumento de carga de grafite 100 g/L (rotor-estator superfine); 10h</t>
  </si>
  <si>
    <t>20210622Pa</t>
  </si>
  <si>
    <t>20210629Pa</t>
  </si>
  <si>
    <t>Teste de troca de base com hidroxido de amônio, tela superfine</t>
  </si>
  <si>
    <t>20210629Pb</t>
  </si>
  <si>
    <t>Teste de troca de base sem ajuste, tela superfine</t>
  </si>
  <si>
    <t>Campanhas realizadas no mês de Julho de 2021</t>
  </si>
  <si>
    <t>20210713Pa</t>
  </si>
  <si>
    <t>Teste de troca de base com hidroxido de amônio, tela superfine (réplica)</t>
  </si>
  <si>
    <t>20210713Pb</t>
  </si>
  <si>
    <t>20210714Pa</t>
  </si>
  <si>
    <t>Konmix – 3.550rpm - tanque inox</t>
  </si>
  <si>
    <t>Teste aumento de carga de grafite 100 g/L ; 10h</t>
  </si>
  <si>
    <t>20210719Pa</t>
  </si>
  <si>
    <t>Konmix – 3.550rpm - tanque inox /Troca de base NH4OH</t>
  </si>
  <si>
    <t>Teste aumento de carga de grafite 100 g/L ; 5h; Decanter (várias condições)</t>
  </si>
  <si>
    <t>20210720Pa</t>
  </si>
  <si>
    <t>Teste aumento de carga de grafite 100 g/L ; 5h; decantação estática, discos (55L/h)</t>
  </si>
  <si>
    <t>20210729Pa</t>
  </si>
  <si>
    <t>Teste aumento de carga de grafite 100 g/L ; 5h; Decanter (100G, 50L/h); Discos (55L/h)</t>
  </si>
  <si>
    <t>Campanhas realizadas no mês de Agosto de 2021</t>
  </si>
  <si>
    <t>20210810Pa</t>
  </si>
  <si>
    <t>Teste aumento de carga de grafite 100 g/L ; 5h; Decanter (100G, 30L/h); Discos (55L/h; várias vazões)</t>
  </si>
  <si>
    <t>20210816Pa</t>
  </si>
  <si>
    <t>Teste aumento de carga de grafite 100 g/L ; 5h; decantação estática, discos (64,8L/h). Recuperação s02 (Decanter 30L/h-100G -- Discos 64,8L/h)</t>
  </si>
  <si>
    <t>20210818Pa</t>
  </si>
  <si>
    <t>Konmix – 3.550rpm - tanque inox /NaOH</t>
  </si>
  <si>
    <t>20210823Pa</t>
  </si>
  <si>
    <t>Konmix – 3.550rpm - tanque inox / NaOH</t>
  </si>
  <si>
    <t>20210824Pa</t>
  </si>
  <si>
    <t>50 g/L ; 24h; Decanter 50G – 8L/h , Decanter 4000G – 8L/h (ENTREGA PARA RHODIA)</t>
  </si>
  <si>
    <t>Campanhas realizadas no mês de Setembro de 2021</t>
  </si>
  <si>
    <t>20210914Pa</t>
  </si>
  <si>
    <t>Teste aumento de carga de grafite 100 g/L ; teste aumento carga de aditivo; 25h</t>
  </si>
  <si>
    <t>20210914Pb</t>
  </si>
  <si>
    <r>
      <t xml:space="preserve">Konmix </t>
    </r>
    <r>
      <rPr>
        <b/>
        <sz val="11"/>
        <color indexed="64"/>
        <rFont val="Calibri"/>
        <family val="2"/>
      </rPr>
      <t>2</t>
    </r>
    <r>
      <rPr>
        <sz val="11"/>
        <color indexed="64"/>
        <rFont val="Calibri"/>
        <family val="2"/>
      </rPr>
      <t xml:space="preserve"> – 3.550rpm - tanque inox / NaOH</t>
    </r>
  </si>
  <si>
    <t>Teste aumento de carga de grafite 100 g/L ; 5h (START UP KONMIX 2)</t>
  </si>
  <si>
    <t>20210920Pa</t>
  </si>
  <si>
    <t>Teste aumento de carga de grafite 100 g/L ; teste aumento carga de aditivo;</t>
  </si>
  <si>
    <t>20210927Pa</t>
  </si>
  <si>
    <t>50 g/L ; 24h; Decanter 50G – 8L/h , Decanter 4000G – 8L/h (ENTREGA PARA PARCEIRO)</t>
  </si>
  <si>
    <t>20210927Pb</t>
  </si>
  <si>
    <t>Campanhas realizadas no mês de Outubro de 2021</t>
  </si>
  <si>
    <t>20211004Pa</t>
  </si>
  <si>
    <t>20211025Pa</t>
  </si>
  <si>
    <t xml:space="preserve">100 g/L; 5h; Decnater 300G-75 L/h; Discos </t>
  </si>
  <si>
    <t>20211108Pa</t>
  </si>
  <si>
    <t>Padrão em série(Verso V2 e V4/V3)</t>
  </si>
  <si>
    <t>50 g/L; 24 h; Decantação estática, Discos(2x)</t>
  </si>
  <si>
    <t>20211116Pa</t>
  </si>
  <si>
    <t>20211122Pa</t>
  </si>
  <si>
    <t>20211124Pa</t>
  </si>
  <si>
    <t>20211129Pa</t>
  </si>
  <si>
    <t>20211201Pa</t>
  </si>
  <si>
    <t>20211206Pa</t>
  </si>
  <si>
    <t>20211214Pa</t>
  </si>
  <si>
    <t>Campanhas realizadas no mês de Janeiro de 2022</t>
  </si>
  <si>
    <t>20220118Pa</t>
  </si>
  <si>
    <t>Número de lotes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</si>
  <si>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</si>
  <si>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</si>
  <si>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</si>
  <si>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</si>
  <si>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</si>
  <si>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</si>
  <si>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</si>
  <si>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</si>
  <si>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</si>
  <si>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</si>
  <si>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</si>
  <si>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</si>
  <si>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Campanhas realizadas no mês de Novembro de 2021</t>
  </si>
  <si>
    <t>Campanhas realizadas no mês de Dezembro de 2021</t>
  </si>
  <si>
    <t>Qual a massa de grafeno produzida em um lote de 5L</t>
  </si>
  <si>
    <t>Qual a massa de grafeno produzida em um lote de 10L</t>
  </si>
  <si>
    <t>Qual a massa de grafeno produzida em um lote de 25L</t>
  </si>
  <si>
    <t>Qual a massa de grafeno produzida em um lote de 50L</t>
  </si>
  <si>
    <t>Qual a massa de grafeno produzida em um lote de 100L (2018)</t>
  </si>
  <si>
    <t>Qual a massa de grafeno produzida em um lote de 100L (2019)</t>
  </si>
  <si>
    <t>Qual a massa de grafeno produzida em um lote de 100L (2021)</t>
  </si>
  <si>
    <t>Lotes</t>
  </si>
  <si>
    <t>Volume</t>
  </si>
  <si>
    <t>Volume processado (L)/ Grafeno produzido (kg)</t>
  </si>
  <si>
    <t>Quantidade de lotes produzidos</t>
  </si>
  <si>
    <t>Somatório lotes produzidos</t>
  </si>
  <si>
    <t>Massa (g)</t>
  </si>
  <si>
    <t>Grafeno produzido acumulado (g)</t>
  </si>
  <si>
    <t>Somatório Volume (L)</t>
  </si>
  <si>
    <t>Grafeno de poucas camadas acumulado (kg)</t>
  </si>
  <si>
    <t>Campanhas realizadas no mês de Fevereiro de 2022</t>
  </si>
  <si>
    <t>20220208Pa</t>
  </si>
  <si>
    <t>20220214Pa</t>
  </si>
  <si>
    <t>20220221Pa</t>
  </si>
  <si>
    <t>Nanoplaca de grafeno</t>
  </si>
  <si>
    <t>Acumulado nanoplaca de grafeno</t>
  </si>
  <si>
    <t>Acumulado grafeno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</si>
</sst>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indexed="64"/>
      <name val="Arial"/>
      <family val="2"/>
    </font>
    <font>
      <b/>
      <sz val="11"/>
      <color indexed="64"/>
      <name val="Calibri"/>
      <family val="2"/>
    </font>
    <font>
      <sz val="11"/>
      <color indexed="64"/>
      <name val="Calibri"/>
      <family val="2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color indexed="64"/>
      <name val="Arial"/>
      <family val="2"/>
    </font>
    <font>
      <sz val="24"/>
      <color indexed="64"/>
      <name val="Calibri"/>
      <family val="2"/>
    </font>
    <font>
      <sz val="24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2" fillId="3" borderId="12" xfId="0" applyFont="1" applyFill="1" applyBorder="1" applyAlignment="1">
      <alignment vertical="center"/>
    </xf>
    <xf numFmtId="0" fontId="1" fillId="0" borderId="13" xfId="0" applyFont="1" applyBorder="1"/>
    <xf numFmtId="0" fontId="1" fillId="0" borderId="14" xfId="0" applyFont="1" applyBorder="1"/>
    <xf numFmtId="0" fontId="4" fillId="5" borderId="1" xfId="0" applyFont="1" applyFill="1" applyBorder="1"/>
    <xf numFmtId="0" fontId="5" fillId="0" borderId="0" xfId="0" applyFont="1"/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5" xfId="0" applyBorder="1"/>
    <xf numFmtId="0" fontId="5" fillId="0" borderId="15" xfId="0" applyFont="1" applyBorder="1"/>
    <xf numFmtId="0" fontId="2" fillId="3" borderId="16" xfId="0" applyFont="1" applyFill="1" applyBorder="1" applyAlignment="1">
      <alignment vertical="center"/>
    </xf>
    <xf numFmtId="0" fontId="1" fillId="0" borderId="17" xfId="0" applyFont="1" applyBorder="1"/>
    <xf numFmtId="0" fontId="1" fillId="0" borderId="18" xfId="0" applyFont="1" applyBorder="1"/>
    <xf numFmtId="0" fontId="0" fillId="0" borderId="1" xfId="0" applyBorder="1" applyAlignment="1">
      <alignment horizontal="center" wrapText="1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2" fillId="3" borderId="9" xfId="0" applyFont="1" applyFill="1" applyBorder="1" applyAlignment="1">
      <alignment vertical="center"/>
    </xf>
    <xf numFmtId="0" fontId="1" fillId="0" borderId="10" xfId="0" applyFont="1" applyBorder="1"/>
    <xf numFmtId="0" fontId="1" fillId="0" borderId="11" xfId="0" applyFont="1" applyBorder="1"/>
    <xf numFmtId="0" fontId="2" fillId="0" borderId="12" xfId="0" applyFont="1" applyBorder="1" applyAlignment="1">
      <alignment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2" fillId="0" borderId="12" xfId="0" applyFont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17" fontId="0" fillId="0" borderId="0" xfId="0" applyNumberFormat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2" fillId="3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2" fillId="3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0" fillId="0" borderId="12" xfId="0" applyBorder="1" applyAlignment="1">
      <alignment horizontal="left"/>
    </xf>
    <xf numFmtId="0" fontId="0" fillId="6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4178"/>
      <color rgb="FF8CCDAF"/>
      <color rgb="FF7D7D7D"/>
      <color rgb="FF649687"/>
      <color rgb="FF373C5F"/>
      <color rgb="FF0091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Destinação do material</a:t>
            </a:r>
            <a:r>
              <a:rPr lang="en-US" baseline="0"/>
              <a:t> processado</a:t>
            </a:r>
            <a:endParaRPr lang="en-US"/>
          </a:p>
        </c:rich>
      </c:tx>
      <c:layout>
        <c:manualLayout>
          <c:xMode val="edge"/>
          <c:yMode val="edge"/>
          <c:x val="0.1865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8113517060367459E-2"/>
          <c:y val="0.11688356663750364"/>
          <c:w val="0.5362119422572178"/>
          <c:h val="0.88311643336249634"/>
        </c:manualLayout>
      </c:layout>
      <c:doughnutChart>
        <c:varyColors val="1"/>
        <c:ser>
          <c:idx val="0"/>
          <c:order val="0"/>
          <c:tx>
            <c:strRef>
              <c:f>Ano!$C$1</c:f>
              <c:strCache>
                <c:ptCount val="1"/>
                <c:pt idx="0">
                  <c:v>Finalidade do material produzido</c:v>
                </c:pt>
              </c:strCache>
            </c:strRef>
          </c:tx>
          <c:dPt>
            <c:idx val="0"/>
            <c:bubble3D val="0"/>
            <c:spPr>
              <a:solidFill>
                <a:srgbClr val="373C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7B-4074-ADE0-70F2DB44D4E7}"/>
              </c:ext>
            </c:extLst>
          </c:dPt>
          <c:dPt>
            <c:idx val="1"/>
            <c:bubble3D val="0"/>
            <c:spPr>
              <a:solidFill>
                <a:srgbClr val="7D7D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7B-4074-ADE0-70F2DB44D4E7}"/>
              </c:ext>
            </c:extLst>
          </c:dPt>
          <c:dPt>
            <c:idx val="2"/>
            <c:bubble3D val="0"/>
            <c:spPr>
              <a:solidFill>
                <a:srgbClr val="0091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7B-4074-ADE0-70F2DB44D4E7}"/>
              </c:ext>
            </c:extLst>
          </c:dPt>
          <c:dPt>
            <c:idx val="3"/>
            <c:bubble3D val="0"/>
            <c:spPr>
              <a:solidFill>
                <a:srgbClr val="6496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7B-4074-ADE0-70F2DB44D4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17B-4074-ADE0-70F2DB44D4E7}"/>
              </c:ext>
            </c:extLst>
          </c:dPt>
          <c:dPt>
            <c:idx val="5"/>
            <c:bubble3D val="0"/>
            <c:spPr>
              <a:solidFill>
                <a:srgbClr val="8CCDA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7B-4074-ADE0-70F2DB44D4E7}"/>
              </c:ext>
            </c:extLst>
          </c:dPt>
          <c:dPt>
            <c:idx val="6"/>
            <c:bubble3D val="0"/>
            <c:spPr>
              <a:solidFill>
                <a:srgbClr val="7841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A0A-42E4-925B-266B051F90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Ano!$A$2:$A$8</c:f>
              <c:strCache>
                <c:ptCount val="7"/>
                <c:pt idx="0">
                  <c:v>Entrega</c:v>
                </c:pt>
                <c:pt idx="1">
                  <c:v>Flotação</c:v>
                </c:pt>
                <c:pt idx="2">
                  <c:v>Desenvolvimento Bancada</c:v>
                </c:pt>
                <c:pt idx="3">
                  <c:v>Testes de Separação</c:v>
                </c:pt>
                <c:pt idx="4">
                  <c:v>Testes Externos</c:v>
                </c:pt>
                <c:pt idx="5">
                  <c:v>Melhoria do processo de conversão</c:v>
                </c:pt>
                <c:pt idx="6">
                  <c:v>Caracterização</c:v>
                </c:pt>
              </c:strCache>
            </c:strRef>
          </c:cat>
          <c:val>
            <c:numRef>
              <c:f>Ano!$C$2:$C$8</c:f>
              <c:numCache>
                <c:formatCode>0</c:formatCode>
                <c:ptCount val="7"/>
                <c:pt idx="0">
                  <c:v>8.8607594936708853</c:v>
                </c:pt>
                <c:pt idx="1">
                  <c:v>17.721518987341771</c:v>
                </c:pt>
                <c:pt idx="2">
                  <c:v>5.0632911392405067</c:v>
                </c:pt>
                <c:pt idx="3">
                  <c:v>7.5949367088607591</c:v>
                </c:pt>
                <c:pt idx="4">
                  <c:v>6.3291139240506329</c:v>
                </c:pt>
                <c:pt idx="5">
                  <c:v>51.898734177215189</c:v>
                </c:pt>
                <c:pt idx="6">
                  <c:v>2.5316455696202533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B-4074-ADE0-70F2DB44D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32261592300968"/>
          <c:y val="0.17901897210945517"/>
          <c:w val="0.31401071741032371"/>
          <c:h val="0.773587990082554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lotes /ano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Ano!$B$17</c:f>
              <c:strCache>
                <c:ptCount val="1"/>
                <c:pt idx="0">
                  <c:v>Qnt lotes</c:v>
                </c:pt>
              </c:strCache>
            </c:strRef>
          </c:tx>
          <c:spPr>
            <a:solidFill>
              <a:srgbClr val="373C5F"/>
            </a:solidFill>
            <a:ln>
              <a:noFill/>
            </a:ln>
            <a:effectLst/>
          </c:spPr>
          <c:invertIfNegative val="0"/>
          <c:cat>
            <c:numRef>
              <c:f>Ano!$A$18:$A$22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Ano!$B$18:$B$22</c:f>
              <c:numCache>
                <c:formatCode>General</c:formatCode>
                <c:ptCount val="5"/>
                <c:pt idx="0">
                  <c:v>10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55F-85BD-A9B9B531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757328"/>
        <c:axId val="505758312"/>
      </c:barChart>
      <c:catAx>
        <c:axId val="5057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758312"/>
        <c:crosses val="autoZero"/>
        <c:auto val="1"/>
        <c:lblAlgn val="ctr"/>
        <c:lblOffset val="100"/>
        <c:noMultiLvlLbl val="0"/>
      </c:catAx>
      <c:valAx>
        <c:axId val="5057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75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Processado/ano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Ano!$C$17</c:f>
              <c:strCache>
                <c:ptCount val="1"/>
                <c:pt idx="0">
                  <c:v>Volume (L)</c:v>
                </c:pt>
              </c:strCache>
            </c:strRef>
          </c:tx>
          <c:spPr>
            <a:solidFill>
              <a:srgbClr val="649687"/>
            </a:solidFill>
            <a:ln>
              <a:noFill/>
            </a:ln>
            <a:effectLst/>
          </c:spPr>
          <c:invertIfNegative val="0"/>
          <c:cat>
            <c:numRef>
              <c:f>Ano!$A$18:$A$22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Ano!$C$18:$C$22</c:f>
              <c:numCache>
                <c:formatCode>General</c:formatCode>
                <c:ptCount val="5"/>
                <c:pt idx="0">
                  <c:v>475</c:v>
                </c:pt>
                <c:pt idx="1">
                  <c:v>2335</c:v>
                </c:pt>
                <c:pt idx="2">
                  <c:v>1100</c:v>
                </c:pt>
                <c:pt idx="3">
                  <c:v>700</c:v>
                </c:pt>
                <c:pt idx="4">
                  <c:v>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1-42B5-AAFA-5D17C42F9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757328"/>
        <c:axId val="505758312"/>
      </c:barChart>
      <c:catAx>
        <c:axId val="5057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758312"/>
        <c:crosses val="autoZero"/>
        <c:auto val="1"/>
        <c:lblAlgn val="ctr"/>
        <c:lblOffset val="100"/>
        <c:noMultiLvlLbl val="0"/>
      </c:catAx>
      <c:valAx>
        <c:axId val="5057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75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Material processado</a:t>
            </a:r>
            <a:r>
              <a:rPr lang="en-US" baseline="0"/>
              <a:t>/Configuração (2017-2021)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Ano!$C$11</c:f>
              <c:strCache>
                <c:ptCount val="1"/>
                <c:pt idx="0">
                  <c:v>Volume (L)</c:v>
                </c:pt>
              </c:strCache>
            </c:strRef>
          </c:tx>
          <c:spPr>
            <a:solidFill>
              <a:srgbClr val="7D7D7D"/>
            </a:solidFill>
            <a:ln>
              <a:noFill/>
            </a:ln>
            <a:effectLst/>
            <a:sp3d/>
          </c:spPr>
          <c:invertIfNegative val="0"/>
          <c:cat>
            <c:strRef>
              <c:f>Ano!$A$12:$A$15</c:f>
              <c:strCache>
                <c:ptCount val="4"/>
                <c:pt idx="0">
                  <c:v>P5</c:v>
                </c:pt>
                <c:pt idx="1">
                  <c:v>P25</c:v>
                </c:pt>
                <c:pt idx="2">
                  <c:v>P50</c:v>
                </c:pt>
                <c:pt idx="3">
                  <c:v>P100</c:v>
                </c:pt>
              </c:strCache>
            </c:strRef>
          </c:cat>
          <c:val>
            <c:numRef>
              <c:f>Ano!$C$12:$C$15</c:f>
              <c:numCache>
                <c:formatCode>General</c:formatCode>
                <c:ptCount val="4"/>
                <c:pt idx="0">
                  <c:v>10</c:v>
                </c:pt>
                <c:pt idx="1">
                  <c:v>550</c:v>
                </c:pt>
                <c:pt idx="2">
                  <c:v>850</c:v>
                </c:pt>
                <c:pt idx="3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5-42BA-A7A2-6125149D0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9536328"/>
        <c:axId val="619536656"/>
        <c:axId val="0"/>
      </c:bar3DChart>
      <c:catAx>
        <c:axId val="61953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536656"/>
        <c:crosses val="autoZero"/>
        <c:auto val="1"/>
        <c:lblAlgn val="ctr"/>
        <c:lblOffset val="100"/>
        <c:noMultiLvlLbl val="0"/>
      </c:catAx>
      <c:valAx>
        <c:axId val="61953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53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Mes!$K$12</c:f>
              <c:strCache>
                <c:ptCount val="1"/>
                <c:pt idx="0">
                  <c:v>Quantidade de lotes produzidos</c:v>
                </c:pt>
              </c:strCache>
            </c:strRef>
          </c:tx>
          <c:spPr>
            <a:solidFill>
              <a:srgbClr val="8CCDAF"/>
            </a:solidFill>
            <a:ln>
              <a:noFill/>
            </a:ln>
            <a:effectLst/>
          </c:spPr>
          <c:invertIfNegative val="0"/>
          <c:cat>
            <c:numRef>
              <c:f>Mes!$L$11:$BK$11</c:f>
              <c:numCache>
                <c:formatCode>mmm\-yy</c:formatCode>
                <c:ptCount val="52"/>
                <c:pt idx="0">
                  <c:v>43009</c:v>
                </c:pt>
                <c:pt idx="1">
                  <c:v>43040</c:v>
                </c:pt>
                <c:pt idx="2">
                  <c:v>43070</c:v>
                </c:pt>
                <c:pt idx="3">
                  <c:v>43101</c:v>
                </c:pt>
                <c:pt idx="4">
                  <c:v>43132</c:v>
                </c:pt>
                <c:pt idx="5">
                  <c:v>43160</c:v>
                </c:pt>
                <c:pt idx="6">
                  <c:v>43191</c:v>
                </c:pt>
                <c:pt idx="7">
                  <c:v>43221</c:v>
                </c:pt>
                <c:pt idx="8">
                  <c:v>43252</c:v>
                </c:pt>
                <c:pt idx="9">
                  <c:v>43282</c:v>
                </c:pt>
                <c:pt idx="10">
                  <c:v>43313</c:v>
                </c:pt>
                <c:pt idx="11">
                  <c:v>43344</c:v>
                </c:pt>
                <c:pt idx="12">
                  <c:v>43374</c:v>
                </c:pt>
                <c:pt idx="13">
                  <c:v>43405</c:v>
                </c:pt>
                <c:pt idx="14">
                  <c:v>43435</c:v>
                </c:pt>
                <c:pt idx="15">
                  <c:v>43466</c:v>
                </c:pt>
                <c:pt idx="16">
                  <c:v>43497</c:v>
                </c:pt>
                <c:pt idx="17">
                  <c:v>43525</c:v>
                </c:pt>
                <c:pt idx="18">
                  <c:v>43556</c:v>
                </c:pt>
                <c:pt idx="19">
                  <c:v>43586</c:v>
                </c:pt>
                <c:pt idx="20">
                  <c:v>43617</c:v>
                </c:pt>
                <c:pt idx="21">
                  <c:v>43647</c:v>
                </c:pt>
                <c:pt idx="22">
                  <c:v>43678</c:v>
                </c:pt>
                <c:pt idx="23">
                  <c:v>43709</c:v>
                </c:pt>
                <c:pt idx="24">
                  <c:v>43739</c:v>
                </c:pt>
                <c:pt idx="25">
                  <c:v>43770</c:v>
                </c:pt>
                <c:pt idx="26">
                  <c:v>43800</c:v>
                </c:pt>
                <c:pt idx="27">
                  <c:v>43831</c:v>
                </c:pt>
                <c:pt idx="28">
                  <c:v>43862</c:v>
                </c:pt>
                <c:pt idx="29">
                  <c:v>43891</c:v>
                </c:pt>
                <c:pt idx="30">
                  <c:v>43922</c:v>
                </c:pt>
                <c:pt idx="31">
                  <c:v>43952</c:v>
                </c:pt>
                <c:pt idx="32">
                  <c:v>43983</c:v>
                </c:pt>
                <c:pt idx="33">
                  <c:v>44013</c:v>
                </c:pt>
                <c:pt idx="34">
                  <c:v>44044</c:v>
                </c:pt>
                <c:pt idx="35">
                  <c:v>44075</c:v>
                </c:pt>
                <c:pt idx="36">
                  <c:v>44105</c:v>
                </c:pt>
                <c:pt idx="37">
                  <c:v>44136</c:v>
                </c:pt>
                <c:pt idx="38">
                  <c:v>44166</c:v>
                </c:pt>
                <c:pt idx="39">
                  <c:v>44197</c:v>
                </c:pt>
                <c:pt idx="40">
                  <c:v>44228</c:v>
                </c:pt>
                <c:pt idx="41">
                  <c:v>44256</c:v>
                </c:pt>
                <c:pt idx="42">
                  <c:v>44287</c:v>
                </c:pt>
                <c:pt idx="43">
                  <c:v>44317</c:v>
                </c:pt>
                <c:pt idx="44">
                  <c:v>44348</c:v>
                </c:pt>
                <c:pt idx="45">
                  <c:v>44378</c:v>
                </c:pt>
                <c:pt idx="46">
                  <c:v>44409</c:v>
                </c:pt>
                <c:pt idx="47">
                  <c:v>44440</c:v>
                </c:pt>
                <c:pt idx="48">
                  <c:v>44470</c:v>
                </c:pt>
                <c:pt idx="49">
                  <c:v>44501</c:v>
                </c:pt>
                <c:pt idx="50">
                  <c:v>44531</c:v>
                </c:pt>
                <c:pt idx="51">
                  <c:v>44562</c:v>
                </c:pt>
              </c:numCache>
            </c:numRef>
          </c:cat>
          <c:val>
            <c:numRef>
              <c:f>Mes!$L$12:$BK$12</c:f>
              <c:numCache>
                <c:formatCode>General</c:formatCode>
                <c:ptCount val="5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3</c:v>
                </c:pt>
                <c:pt idx="40">
                  <c:v>8</c:v>
                </c:pt>
                <c:pt idx="41">
                  <c:v>5</c:v>
                </c:pt>
                <c:pt idx="42">
                  <c:v>0</c:v>
                </c:pt>
                <c:pt idx="43">
                  <c:v>8</c:v>
                </c:pt>
                <c:pt idx="44">
                  <c:v>7</c:v>
                </c:pt>
                <c:pt idx="45">
                  <c:v>6</c:v>
                </c:pt>
                <c:pt idx="46">
                  <c:v>5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3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7-41F5-BA4B-AFD28700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132832"/>
        <c:axId val="514126600"/>
      </c:barChart>
      <c:lineChart>
        <c:grouping val="standard"/>
        <c:varyColors val="0"/>
        <c:ser>
          <c:idx val="1"/>
          <c:order val="1"/>
          <c:tx>
            <c:strRef>
              <c:f>Mes!$K$18</c:f>
              <c:strCache>
                <c:ptCount val="1"/>
                <c:pt idx="0">
                  <c:v>Grafeno de poucas camadas acumulado (kg)</c:v>
                </c:pt>
              </c:strCache>
            </c:strRef>
          </c:tx>
          <c:spPr>
            <a:ln w="28575" cap="rnd">
              <a:solidFill>
                <a:srgbClr val="784178"/>
              </a:solidFill>
              <a:round/>
            </a:ln>
            <a:effectLst/>
          </c:spPr>
          <c:marker>
            <c:symbol val="none"/>
          </c:marker>
          <c:cat>
            <c:numRef>
              <c:f>Mes!$L$11:$BK$11</c:f>
              <c:numCache>
                <c:formatCode>mmm\-yy</c:formatCode>
                <c:ptCount val="52"/>
                <c:pt idx="0">
                  <c:v>43009</c:v>
                </c:pt>
                <c:pt idx="1">
                  <c:v>43040</c:v>
                </c:pt>
                <c:pt idx="2">
                  <c:v>43070</c:v>
                </c:pt>
                <c:pt idx="3">
                  <c:v>43101</c:v>
                </c:pt>
                <c:pt idx="4">
                  <c:v>43132</c:v>
                </c:pt>
                <c:pt idx="5">
                  <c:v>43160</c:v>
                </c:pt>
                <c:pt idx="6">
                  <c:v>43191</c:v>
                </c:pt>
                <c:pt idx="7">
                  <c:v>43221</c:v>
                </c:pt>
                <c:pt idx="8">
                  <c:v>43252</c:v>
                </c:pt>
                <c:pt idx="9">
                  <c:v>43282</c:v>
                </c:pt>
                <c:pt idx="10">
                  <c:v>43313</c:v>
                </c:pt>
                <c:pt idx="11">
                  <c:v>43344</c:v>
                </c:pt>
                <c:pt idx="12">
                  <c:v>43374</c:v>
                </c:pt>
                <c:pt idx="13">
                  <c:v>43405</c:v>
                </c:pt>
                <c:pt idx="14">
                  <c:v>43435</c:v>
                </c:pt>
                <c:pt idx="15">
                  <c:v>43466</c:v>
                </c:pt>
                <c:pt idx="16">
                  <c:v>43497</c:v>
                </c:pt>
                <c:pt idx="17">
                  <c:v>43525</c:v>
                </c:pt>
                <c:pt idx="18">
                  <c:v>43556</c:v>
                </c:pt>
                <c:pt idx="19">
                  <c:v>43586</c:v>
                </c:pt>
                <c:pt idx="20">
                  <c:v>43617</c:v>
                </c:pt>
                <c:pt idx="21">
                  <c:v>43647</c:v>
                </c:pt>
                <c:pt idx="22">
                  <c:v>43678</c:v>
                </c:pt>
                <c:pt idx="23">
                  <c:v>43709</c:v>
                </c:pt>
                <c:pt idx="24">
                  <c:v>43739</c:v>
                </c:pt>
                <c:pt idx="25">
                  <c:v>43770</c:v>
                </c:pt>
                <c:pt idx="26">
                  <c:v>43800</c:v>
                </c:pt>
                <c:pt idx="27">
                  <c:v>43831</c:v>
                </c:pt>
                <c:pt idx="28">
                  <c:v>43862</c:v>
                </c:pt>
                <c:pt idx="29">
                  <c:v>43891</c:v>
                </c:pt>
                <c:pt idx="30">
                  <c:v>43922</c:v>
                </c:pt>
                <c:pt idx="31">
                  <c:v>43952</c:v>
                </c:pt>
                <c:pt idx="32">
                  <c:v>43983</c:v>
                </c:pt>
                <c:pt idx="33">
                  <c:v>44013</c:v>
                </c:pt>
                <c:pt idx="34">
                  <c:v>44044</c:v>
                </c:pt>
                <c:pt idx="35">
                  <c:v>44075</c:v>
                </c:pt>
                <c:pt idx="36">
                  <c:v>44105</c:v>
                </c:pt>
                <c:pt idx="37">
                  <c:v>44136</c:v>
                </c:pt>
                <c:pt idx="38">
                  <c:v>44166</c:v>
                </c:pt>
                <c:pt idx="39">
                  <c:v>44197</c:v>
                </c:pt>
                <c:pt idx="40">
                  <c:v>44228</c:v>
                </c:pt>
                <c:pt idx="41">
                  <c:v>44256</c:v>
                </c:pt>
                <c:pt idx="42">
                  <c:v>44287</c:v>
                </c:pt>
                <c:pt idx="43">
                  <c:v>44317</c:v>
                </c:pt>
                <c:pt idx="44">
                  <c:v>44348</c:v>
                </c:pt>
                <c:pt idx="45">
                  <c:v>44378</c:v>
                </c:pt>
                <c:pt idx="46">
                  <c:v>44409</c:v>
                </c:pt>
                <c:pt idx="47">
                  <c:v>44440</c:v>
                </c:pt>
                <c:pt idx="48">
                  <c:v>44470</c:v>
                </c:pt>
                <c:pt idx="49">
                  <c:v>44501</c:v>
                </c:pt>
                <c:pt idx="50">
                  <c:v>44531</c:v>
                </c:pt>
                <c:pt idx="51">
                  <c:v>44562</c:v>
                </c:pt>
              </c:numCache>
            </c:numRef>
          </c:cat>
          <c:val>
            <c:numRef>
              <c:f>Mes!$L$18:$BK$18</c:f>
              <c:numCache>
                <c:formatCode>General</c:formatCode>
                <c:ptCount val="52"/>
                <c:pt idx="0">
                  <c:v>4.2000000000000003E-2</c:v>
                </c:pt>
                <c:pt idx="1">
                  <c:v>7.2099999999999997E-2</c:v>
                </c:pt>
                <c:pt idx="2">
                  <c:v>0.10009999999999999</c:v>
                </c:pt>
                <c:pt idx="3">
                  <c:v>0.14419999999999999</c:v>
                </c:pt>
                <c:pt idx="4">
                  <c:v>0.14579999999999999</c:v>
                </c:pt>
                <c:pt idx="5">
                  <c:v>0.28139999999999998</c:v>
                </c:pt>
                <c:pt idx="6">
                  <c:v>0.76139999999999997</c:v>
                </c:pt>
                <c:pt idx="7">
                  <c:v>0.80659999999999998</c:v>
                </c:pt>
                <c:pt idx="8">
                  <c:v>1.0746</c:v>
                </c:pt>
                <c:pt idx="9">
                  <c:v>1.4345999999999999</c:v>
                </c:pt>
                <c:pt idx="10">
                  <c:v>2.1545999999999998</c:v>
                </c:pt>
                <c:pt idx="11">
                  <c:v>2.6345999999999998</c:v>
                </c:pt>
                <c:pt idx="12">
                  <c:v>2.6625999999999999</c:v>
                </c:pt>
                <c:pt idx="13">
                  <c:v>2.7826</c:v>
                </c:pt>
                <c:pt idx="14">
                  <c:v>2.7826</c:v>
                </c:pt>
                <c:pt idx="15">
                  <c:v>2.9165999999999999</c:v>
                </c:pt>
                <c:pt idx="16">
                  <c:v>3.0366</c:v>
                </c:pt>
                <c:pt idx="17">
                  <c:v>3.0505999999999998</c:v>
                </c:pt>
                <c:pt idx="18">
                  <c:v>3.0505999999999998</c:v>
                </c:pt>
                <c:pt idx="19">
                  <c:v>3.5305999999999997</c:v>
                </c:pt>
                <c:pt idx="20">
                  <c:v>3.7505999999999999</c:v>
                </c:pt>
                <c:pt idx="21">
                  <c:v>3.7505999999999999</c:v>
                </c:pt>
                <c:pt idx="22">
                  <c:v>3.7505999999999999</c:v>
                </c:pt>
                <c:pt idx="23">
                  <c:v>3.7505999999999999</c:v>
                </c:pt>
                <c:pt idx="24">
                  <c:v>3.7505999999999999</c:v>
                </c:pt>
                <c:pt idx="25">
                  <c:v>3.7505999999999999</c:v>
                </c:pt>
                <c:pt idx="26">
                  <c:v>3.7505999999999999</c:v>
                </c:pt>
                <c:pt idx="27">
                  <c:v>3.7505999999999999</c:v>
                </c:pt>
                <c:pt idx="28">
                  <c:v>3.7505999999999999</c:v>
                </c:pt>
                <c:pt idx="29">
                  <c:v>3.7946</c:v>
                </c:pt>
                <c:pt idx="30">
                  <c:v>3.7946</c:v>
                </c:pt>
                <c:pt idx="31">
                  <c:v>3.7946</c:v>
                </c:pt>
                <c:pt idx="32">
                  <c:v>3.7946</c:v>
                </c:pt>
                <c:pt idx="33">
                  <c:v>3.7946</c:v>
                </c:pt>
                <c:pt idx="34">
                  <c:v>3.7946</c:v>
                </c:pt>
                <c:pt idx="35">
                  <c:v>3.9706000000000001</c:v>
                </c:pt>
                <c:pt idx="36">
                  <c:v>4.0586000000000002</c:v>
                </c:pt>
                <c:pt idx="37">
                  <c:v>4.1026000000000007</c:v>
                </c:pt>
                <c:pt idx="38">
                  <c:v>4.1026000000000007</c:v>
                </c:pt>
                <c:pt idx="39">
                  <c:v>4.1508000000000003</c:v>
                </c:pt>
                <c:pt idx="40">
                  <c:v>4.1676000000000002</c:v>
                </c:pt>
                <c:pt idx="41">
                  <c:v>4.22</c:v>
                </c:pt>
                <c:pt idx="42">
                  <c:v>4.22</c:v>
                </c:pt>
                <c:pt idx="43">
                  <c:v>4.4043999999999999</c:v>
                </c:pt>
                <c:pt idx="44">
                  <c:v>4.5447999999999995</c:v>
                </c:pt>
                <c:pt idx="45">
                  <c:v>4.7249999999999988</c:v>
                </c:pt>
                <c:pt idx="46">
                  <c:v>4.9449999999999994</c:v>
                </c:pt>
                <c:pt idx="47">
                  <c:v>5.1649999999999991</c:v>
                </c:pt>
                <c:pt idx="48">
                  <c:v>5.2529999999999992</c:v>
                </c:pt>
                <c:pt idx="49">
                  <c:v>5.472999999999999</c:v>
                </c:pt>
                <c:pt idx="50">
                  <c:v>5.6049999999999986</c:v>
                </c:pt>
                <c:pt idx="51">
                  <c:v>5.6489999999999991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7-41F5-BA4B-AFD28700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129552"/>
        <c:axId val="514127256"/>
      </c:lineChart>
      <c:dateAx>
        <c:axId val="5141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6600"/>
        <c:crosses val="autoZero"/>
        <c:auto val="1"/>
        <c:lblOffset val="100"/>
        <c:baseTimeUnit val="months"/>
      </c:dateAx>
      <c:valAx>
        <c:axId val="5141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lotes produzidos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32832"/>
        <c:crosses val="autoZero"/>
        <c:crossBetween val="between"/>
      </c:valAx>
      <c:valAx>
        <c:axId val="514127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Grafeno produzido acumulado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9552"/>
        <c:crosses val="max"/>
        <c:crossBetween val="between"/>
      </c:valAx>
      <c:dateAx>
        <c:axId val="514129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141272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Mes!$K$12</c:f>
              <c:strCache>
                <c:ptCount val="1"/>
                <c:pt idx="0">
                  <c:v>Quantidade de lotes produzidos</c:v>
                </c:pt>
              </c:strCache>
            </c:strRef>
          </c:tx>
          <c:spPr>
            <a:solidFill>
              <a:srgbClr val="8CCDAF"/>
            </a:solidFill>
            <a:ln>
              <a:noFill/>
            </a:ln>
            <a:effectLst/>
          </c:spPr>
          <c:invertIfNegative val="0"/>
          <c:cat>
            <c:numRef>
              <c:f>Mes!$L$11:$BK$11</c:f>
              <c:numCache>
                <c:formatCode>mmm\-yy</c:formatCode>
                <c:ptCount val="52"/>
                <c:pt idx="0">
                  <c:v>43009</c:v>
                </c:pt>
                <c:pt idx="1">
                  <c:v>43040</c:v>
                </c:pt>
                <c:pt idx="2">
                  <c:v>43070</c:v>
                </c:pt>
                <c:pt idx="3">
                  <c:v>43101</c:v>
                </c:pt>
                <c:pt idx="4">
                  <c:v>43132</c:v>
                </c:pt>
                <c:pt idx="5">
                  <c:v>43160</c:v>
                </c:pt>
                <c:pt idx="6">
                  <c:v>43191</c:v>
                </c:pt>
                <c:pt idx="7">
                  <c:v>43221</c:v>
                </c:pt>
                <c:pt idx="8">
                  <c:v>43252</c:v>
                </c:pt>
                <c:pt idx="9">
                  <c:v>43282</c:v>
                </c:pt>
                <c:pt idx="10">
                  <c:v>43313</c:v>
                </c:pt>
                <c:pt idx="11">
                  <c:v>43344</c:v>
                </c:pt>
                <c:pt idx="12">
                  <c:v>43374</c:v>
                </c:pt>
                <c:pt idx="13">
                  <c:v>43405</c:v>
                </c:pt>
                <c:pt idx="14">
                  <c:v>43435</c:v>
                </c:pt>
                <c:pt idx="15">
                  <c:v>43466</c:v>
                </c:pt>
                <c:pt idx="16">
                  <c:v>43497</c:v>
                </c:pt>
                <c:pt idx="17">
                  <c:v>43525</c:v>
                </c:pt>
                <c:pt idx="18">
                  <c:v>43556</c:v>
                </c:pt>
                <c:pt idx="19">
                  <c:v>43586</c:v>
                </c:pt>
                <c:pt idx="20">
                  <c:v>43617</c:v>
                </c:pt>
                <c:pt idx="21">
                  <c:v>43647</c:v>
                </c:pt>
                <c:pt idx="22">
                  <c:v>43678</c:v>
                </c:pt>
                <c:pt idx="23">
                  <c:v>43709</c:v>
                </c:pt>
                <c:pt idx="24">
                  <c:v>43739</c:v>
                </c:pt>
                <c:pt idx="25">
                  <c:v>43770</c:v>
                </c:pt>
                <c:pt idx="26">
                  <c:v>43800</c:v>
                </c:pt>
                <c:pt idx="27">
                  <c:v>43831</c:v>
                </c:pt>
                <c:pt idx="28">
                  <c:v>43862</c:v>
                </c:pt>
                <c:pt idx="29">
                  <c:v>43891</c:v>
                </c:pt>
                <c:pt idx="30">
                  <c:v>43922</c:v>
                </c:pt>
                <c:pt idx="31">
                  <c:v>43952</c:v>
                </c:pt>
                <c:pt idx="32">
                  <c:v>43983</c:v>
                </c:pt>
                <c:pt idx="33">
                  <c:v>44013</c:v>
                </c:pt>
                <c:pt idx="34">
                  <c:v>44044</c:v>
                </c:pt>
                <c:pt idx="35">
                  <c:v>44075</c:v>
                </c:pt>
                <c:pt idx="36">
                  <c:v>44105</c:v>
                </c:pt>
                <c:pt idx="37">
                  <c:v>44136</c:v>
                </c:pt>
                <c:pt idx="38">
                  <c:v>44166</c:v>
                </c:pt>
                <c:pt idx="39">
                  <c:v>44197</c:v>
                </c:pt>
                <c:pt idx="40">
                  <c:v>44228</c:v>
                </c:pt>
                <c:pt idx="41">
                  <c:v>44256</c:v>
                </c:pt>
                <c:pt idx="42">
                  <c:v>44287</c:v>
                </c:pt>
                <c:pt idx="43">
                  <c:v>44317</c:v>
                </c:pt>
                <c:pt idx="44">
                  <c:v>44348</c:v>
                </c:pt>
                <c:pt idx="45">
                  <c:v>44378</c:v>
                </c:pt>
                <c:pt idx="46">
                  <c:v>44409</c:v>
                </c:pt>
                <c:pt idx="47">
                  <c:v>44440</c:v>
                </c:pt>
                <c:pt idx="48">
                  <c:v>44470</c:v>
                </c:pt>
                <c:pt idx="49">
                  <c:v>44501</c:v>
                </c:pt>
                <c:pt idx="50">
                  <c:v>44531</c:v>
                </c:pt>
                <c:pt idx="51">
                  <c:v>44562</c:v>
                </c:pt>
              </c:numCache>
            </c:numRef>
          </c:cat>
          <c:val>
            <c:numRef>
              <c:f>Mes!$L$12:$BK$12</c:f>
              <c:numCache>
                <c:formatCode>General</c:formatCode>
                <c:ptCount val="5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3</c:v>
                </c:pt>
                <c:pt idx="40">
                  <c:v>8</c:v>
                </c:pt>
                <c:pt idx="41">
                  <c:v>5</c:v>
                </c:pt>
                <c:pt idx="42">
                  <c:v>0</c:v>
                </c:pt>
                <c:pt idx="43">
                  <c:v>8</c:v>
                </c:pt>
                <c:pt idx="44">
                  <c:v>7</c:v>
                </c:pt>
                <c:pt idx="45">
                  <c:v>6</c:v>
                </c:pt>
                <c:pt idx="46">
                  <c:v>5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3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3-4A0B-BB46-8E2B37ED0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132832"/>
        <c:axId val="514126600"/>
      </c:barChart>
      <c:lineChart>
        <c:grouping val="standard"/>
        <c:varyColors val="0"/>
        <c:ser>
          <c:idx val="1"/>
          <c:order val="1"/>
          <c:tx>
            <c:strRef>
              <c:f>Mes!$K$19</c:f>
              <c:strCache>
                <c:ptCount val="1"/>
                <c:pt idx="0">
                  <c:v>Volume processado (L)/ Grafeno produzido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Mes!$L$11:$BK$11</c:f>
              <c:numCache>
                <c:formatCode>mmm\-yy</c:formatCode>
                <c:ptCount val="52"/>
                <c:pt idx="0">
                  <c:v>43009</c:v>
                </c:pt>
                <c:pt idx="1">
                  <c:v>43040</c:v>
                </c:pt>
                <c:pt idx="2">
                  <c:v>43070</c:v>
                </c:pt>
                <c:pt idx="3">
                  <c:v>43101</c:v>
                </c:pt>
                <c:pt idx="4">
                  <c:v>43132</c:v>
                </c:pt>
                <c:pt idx="5">
                  <c:v>43160</c:v>
                </c:pt>
                <c:pt idx="6">
                  <c:v>43191</c:v>
                </c:pt>
                <c:pt idx="7">
                  <c:v>43221</c:v>
                </c:pt>
                <c:pt idx="8">
                  <c:v>43252</c:v>
                </c:pt>
                <c:pt idx="9">
                  <c:v>43282</c:v>
                </c:pt>
                <c:pt idx="10">
                  <c:v>43313</c:v>
                </c:pt>
                <c:pt idx="11">
                  <c:v>43344</c:v>
                </c:pt>
                <c:pt idx="12">
                  <c:v>43374</c:v>
                </c:pt>
                <c:pt idx="13">
                  <c:v>43405</c:v>
                </c:pt>
                <c:pt idx="14">
                  <c:v>43435</c:v>
                </c:pt>
                <c:pt idx="15">
                  <c:v>43466</c:v>
                </c:pt>
                <c:pt idx="16">
                  <c:v>43497</c:v>
                </c:pt>
                <c:pt idx="17">
                  <c:v>43525</c:v>
                </c:pt>
                <c:pt idx="18">
                  <c:v>43556</c:v>
                </c:pt>
                <c:pt idx="19">
                  <c:v>43586</c:v>
                </c:pt>
                <c:pt idx="20">
                  <c:v>43617</c:v>
                </c:pt>
                <c:pt idx="21">
                  <c:v>43647</c:v>
                </c:pt>
                <c:pt idx="22">
                  <c:v>43678</c:v>
                </c:pt>
                <c:pt idx="23">
                  <c:v>43709</c:v>
                </c:pt>
                <c:pt idx="24">
                  <c:v>43739</c:v>
                </c:pt>
                <c:pt idx="25">
                  <c:v>43770</c:v>
                </c:pt>
                <c:pt idx="26">
                  <c:v>43800</c:v>
                </c:pt>
                <c:pt idx="27">
                  <c:v>43831</c:v>
                </c:pt>
                <c:pt idx="28">
                  <c:v>43862</c:v>
                </c:pt>
                <c:pt idx="29">
                  <c:v>43891</c:v>
                </c:pt>
                <c:pt idx="30">
                  <c:v>43922</c:v>
                </c:pt>
                <c:pt idx="31">
                  <c:v>43952</c:v>
                </c:pt>
                <c:pt idx="32">
                  <c:v>43983</c:v>
                </c:pt>
                <c:pt idx="33">
                  <c:v>44013</c:v>
                </c:pt>
                <c:pt idx="34">
                  <c:v>44044</c:v>
                </c:pt>
                <c:pt idx="35">
                  <c:v>44075</c:v>
                </c:pt>
                <c:pt idx="36">
                  <c:v>44105</c:v>
                </c:pt>
                <c:pt idx="37">
                  <c:v>44136</c:v>
                </c:pt>
                <c:pt idx="38">
                  <c:v>44166</c:v>
                </c:pt>
                <c:pt idx="39">
                  <c:v>44197</c:v>
                </c:pt>
                <c:pt idx="40">
                  <c:v>44228</c:v>
                </c:pt>
                <c:pt idx="41">
                  <c:v>44256</c:v>
                </c:pt>
                <c:pt idx="42">
                  <c:v>44287</c:v>
                </c:pt>
                <c:pt idx="43">
                  <c:v>44317</c:v>
                </c:pt>
                <c:pt idx="44">
                  <c:v>44348</c:v>
                </c:pt>
                <c:pt idx="45">
                  <c:v>44378</c:v>
                </c:pt>
                <c:pt idx="46">
                  <c:v>44409</c:v>
                </c:pt>
                <c:pt idx="47">
                  <c:v>44440</c:v>
                </c:pt>
                <c:pt idx="48">
                  <c:v>44470</c:v>
                </c:pt>
                <c:pt idx="49">
                  <c:v>44501</c:v>
                </c:pt>
                <c:pt idx="50">
                  <c:v>44531</c:v>
                </c:pt>
                <c:pt idx="51">
                  <c:v>44562</c:v>
                </c:pt>
              </c:numCache>
            </c:numRef>
          </c:cat>
          <c:val>
            <c:numRef>
              <c:f>Mes!$L$19:$BK$19</c:f>
              <c:numCache>
                <c:formatCode>General</c:formatCode>
                <c:ptCount val="52"/>
                <c:pt idx="0">
                  <c:v>3571.4285714285711</c:v>
                </c:pt>
                <c:pt idx="1">
                  <c:v>3814.1470180305132</c:v>
                </c:pt>
                <c:pt idx="2">
                  <c:v>3746.2537462537466</c:v>
                </c:pt>
                <c:pt idx="3">
                  <c:v>3814.1470180305132</c:v>
                </c:pt>
                <c:pt idx="4">
                  <c:v>3806.5843621399181</c:v>
                </c:pt>
                <c:pt idx="5">
                  <c:v>2523.0987917555085</c:v>
                </c:pt>
                <c:pt idx="6">
                  <c:v>1457.8408195429472</c:v>
                </c:pt>
                <c:pt idx="7">
                  <c:v>1574.5102901066205</c:v>
                </c:pt>
                <c:pt idx="8">
                  <c:v>1461.0087474409083</c:v>
                </c:pt>
                <c:pt idx="9">
                  <c:v>1303.4992332357454</c:v>
                </c:pt>
                <c:pt idx="10">
                  <c:v>1146.3844797178131</c:v>
                </c:pt>
                <c:pt idx="11">
                  <c:v>1089.349426857967</c:v>
                </c:pt>
                <c:pt idx="12">
                  <c:v>1115.4510628708781</c:v>
                </c:pt>
                <c:pt idx="13">
                  <c:v>1103.2846977646805</c:v>
                </c:pt>
                <c:pt idx="14">
                  <c:v>1103.2846977646805</c:v>
                </c:pt>
                <c:pt idx="15">
                  <c:v>1104.0252348625113</c:v>
                </c:pt>
                <c:pt idx="16">
                  <c:v>1093.3280642824211</c:v>
                </c:pt>
                <c:pt idx="17">
                  <c:v>1104.7007146135188</c:v>
                </c:pt>
                <c:pt idx="18">
                  <c:v>1104.7007146135188</c:v>
                </c:pt>
                <c:pt idx="19">
                  <c:v>1067.8071715855663</c:v>
                </c:pt>
                <c:pt idx="20">
                  <c:v>1111.8221084626459</c:v>
                </c:pt>
                <c:pt idx="21">
                  <c:v>1111.8221084626459</c:v>
                </c:pt>
                <c:pt idx="22">
                  <c:v>1111.8221084626459</c:v>
                </c:pt>
                <c:pt idx="23">
                  <c:v>1111.8221084626459</c:v>
                </c:pt>
                <c:pt idx="24">
                  <c:v>1111.8221084626459</c:v>
                </c:pt>
                <c:pt idx="25">
                  <c:v>1111.8221084626459</c:v>
                </c:pt>
                <c:pt idx="26">
                  <c:v>1111.8221084626459</c:v>
                </c:pt>
                <c:pt idx="27">
                  <c:v>1111.8221084626459</c:v>
                </c:pt>
                <c:pt idx="28">
                  <c:v>1111.8221084626459</c:v>
                </c:pt>
                <c:pt idx="29">
                  <c:v>1125.2832973172403</c:v>
                </c:pt>
                <c:pt idx="30">
                  <c:v>1125.2832973172403</c:v>
                </c:pt>
                <c:pt idx="31">
                  <c:v>1125.2832973172403</c:v>
                </c:pt>
                <c:pt idx="32">
                  <c:v>1125.2832973172403</c:v>
                </c:pt>
                <c:pt idx="33">
                  <c:v>1125.2832973172403</c:v>
                </c:pt>
                <c:pt idx="34">
                  <c:v>1125.2832973172403</c:v>
                </c:pt>
                <c:pt idx="35">
                  <c:v>1176.1446632750717</c:v>
                </c:pt>
                <c:pt idx="36">
                  <c:v>1199.9211550781056</c:v>
                </c:pt>
                <c:pt idx="37">
                  <c:v>1211.4269000146246</c:v>
                </c:pt>
                <c:pt idx="38">
                  <c:v>1211.4269000146246</c:v>
                </c:pt>
                <c:pt idx="39">
                  <c:v>1233.4971571745205</c:v>
                </c:pt>
                <c:pt idx="40">
                  <c:v>1276.5140608503696</c:v>
                </c:pt>
                <c:pt idx="41">
                  <c:v>1308.0568720379147</c:v>
                </c:pt>
                <c:pt idx="42">
                  <c:v>1308.0568720379147</c:v>
                </c:pt>
                <c:pt idx="43">
                  <c:v>1366.8150031786395</c:v>
                </c:pt>
                <c:pt idx="44">
                  <c:v>1412.6034148917445</c:v>
                </c:pt>
                <c:pt idx="45">
                  <c:v>1453.9682539682544</c:v>
                </c:pt>
                <c:pt idx="46">
                  <c:v>1490.3943377148637</c:v>
                </c:pt>
                <c:pt idx="47">
                  <c:v>1523.7173281703779</c:v>
                </c:pt>
                <c:pt idx="48">
                  <c:v>1536.2649914334668</c:v>
                </c:pt>
                <c:pt idx="49">
                  <c:v>1565.8688105243928</c:v>
                </c:pt>
                <c:pt idx="50">
                  <c:v>1582.5156110615526</c:v>
                </c:pt>
                <c:pt idx="51">
                  <c:v>1587.8916622411048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3-4A0B-BB46-8E2B37ED0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129552"/>
        <c:axId val="514127256"/>
      </c:lineChart>
      <c:dateAx>
        <c:axId val="5141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6600"/>
        <c:crosses val="autoZero"/>
        <c:auto val="1"/>
        <c:lblOffset val="100"/>
        <c:baseTimeUnit val="months"/>
      </c:dateAx>
      <c:valAx>
        <c:axId val="5141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lotes produzidos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32832"/>
        <c:crosses val="autoZero"/>
        <c:crossBetween val="between"/>
      </c:valAx>
      <c:valAx>
        <c:axId val="514127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Grafeno produzido acumulado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9552"/>
        <c:crosses val="max"/>
        <c:crossBetween val="between"/>
      </c:valAx>
      <c:dateAx>
        <c:axId val="514129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141272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Mes!$K$12</c:f>
              <c:strCache>
                <c:ptCount val="1"/>
                <c:pt idx="0">
                  <c:v>Quantidade de lotes produzidos</c:v>
                </c:pt>
              </c:strCache>
            </c:strRef>
          </c:tx>
          <c:spPr>
            <a:solidFill>
              <a:srgbClr val="8CCDAF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Mes!$L$11:$BL$11</c15:sqref>
                  </c15:fullRef>
                </c:ext>
              </c:extLst>
              <c:f>Mes!$AY$11:$BL$11</c:f>
              <c:numCache>
                <c:formatCode>mmm\-yy</c:formatCode>
                <c:ptCount val="1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Mes!$L$12:$BL$12</c15:sqref>
                  </c15:fullRef>
                </c:ext>
              </c:extLst>
              <c:f>Mes!$AY$12:$BL$12</c:f>
              <c:numCache>
                <c:formatCode>General</c:formatCode>
                <c:ptCount val="14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F-481F-ACAF-1DED1A020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132832"/>
        <c:axId val="514126600"/>
      </c:barChart>
      <c:lineChart>
        <c:grouping val="standard"/>
        <c:varyColors val="0"/>
        <c:ser>
          <c:idx val="1"/>
          <c:order val="1"/>
          <c:tx>
            <c:strRef>
              <c:f>Mes!$K$18</c:f>
              <c:strCache>
                <c:ptCount val="1"/>
                <c:pt idx="0">
                  <c:v>Grafeno de poucas camadas acumulado (kg)</c:v>
                </c:pt>
              </c:strCache>
            </c:strRef>
          </c:tx>
          <c:spPr>
            <a:ln w="28575" cap="rnd">
              <a:solidFill>
                <a:srgbClr val="784178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Mes!$L$11:$BL$11</c15:sqref>
                  </c15:fullRef>
                </c:ext>
              </c:extLst>
              <c:f>Mes!$AY$11:$BL$11</c:f>
              <c:numCache>
                <c:formatCode>mmm\-yy</c:formatCode>
                <c:ptCount val="1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Mes!$L$18:$BL$18</c15:sqref>
                  </c15:fullRef>
                </c:ext>
              </c:extLst>
              <c:f>Mes!$AY$18:$BL$18</c:f>
              <c:numCache>
                <c:formatCode>General</c:formatCode>
                <c:ptCount val="14"/>
                <c:pt idx="0">
                  <c:v>4.1508000000000003</c:v>
                </c:pt>
                <c:pt idx="1">
                  <c:v>4.1676000000000002</c:v>
                </c:pt>
                <c:pt idx="2">
                  <c:v>4.22</c:v>
                </c:pt>
                <c:pt idx="3">
                  <c:v>4.22</c:v>
                </c:pt>
                <c:pt idx="4">
                  <c:v>4.4043999999999999</c:v>
                </c:pt>
                <c:pt idx="5">
                  <c:v>4.5447999999999995</c:v>
                </c:pt>
                <c:pt idx="6">
                  <c:v>4.7249999999999988</c:v>
                </c:pt>
                <c:pt idx="7">
                  <c:v>4.9449999999999994</c:v>
                </c:pt>
                <c:pt idx="8">
                  <c:v>5.1649999999999991</c:v>
                </c:pt>
                <c:pt idx="9">
                  <c:v>5.2529999999999992</c:v>
                </c:pt>
                <c:pt idx="10">
                  <c:v>5.472999999999999</c:v>
                </c:pt>
                <c:pt idx="11">
                  <c:v>5.6049999999999986</c:v>
                </c:pt>
                <c:pt idx="12">
                  <c:v>5.6489999999999991</c:v>
                </c:pt>
                <c:pt idx="13">
                  <c:v>5.7809999999999988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F-481F-ACAF-1DED1A020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129552"/>
        <c:axId val="514127256"/>
      </c:lineChart>
      <c:dateAx>
        <c:axId val="5141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6600"/>
        <c:crosses val="autoZero"/>
        <c:auto val="1"/>
        <c:lblOffset val="100"/>
        <c:baseTimeUnit val="months"/>
      </c:dateAx>
      <c:valAx>
        <c:axId val="5141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lotes produzidos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32832"/>
        <c:crosses val="autoZero"/>
        <c:crossBetween val="between"/>
      </c:valAx>
      <c:valAx>
        <c:axId val="514127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Grafeno de poucas camadas produzido acumulado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9552"/>
        <c:crosses val="max"/>
        <c:crossBetween val="between"/>
      </c:valAx>
      <c:dateAx>
        <c:axId val="514129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141272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'2021'!$K$12</c:f>
              <c:strCache>
                <c:ptCount val="1"/>
                <c:pt idx="0">
                  <c:v>Quantidade de lotes produzidos</c:v>
                </c:pt>
              </c:strCache>
            </c:strRef>
          </c:tx>
          <c:spPr>
            <a:solidFill>
              <a:srgbClr val="8CCDAF"/>
            </a:solidFill>
            <a:ln>
              <a:noFill/>
            </a:ln>
            <a:effectLst/>
          </c:spPr>
          <c:invertIfNegative val="0"/>
          <c:cat>
            <c:numRef>
              <c:f>'2021'!$L$11:$Y$11</c:f>
              <c:numCache>
                <c:formatCode>mmm\-yy</c:formatCode>
                <c:ptCount val="1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</c:numCache>
            </c:numRef>
          </c:cat>
          <c:val>
            <c:numRef>
              <c:f>'2021'!$L$12:$Y$12</c:f>
              <c:numCache>
                <c:formatCode>General</c:formatCode>
                <c:ptCount val="14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6-40D2-8936-00CADC0E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132832"/>
        <c:axId val="514126600"/>
      </c:barChart>
      <c:lineChart>
        <c:grouping val="standard"/>
        <c:varyColors val="0"/>
        <c:ser>
          <c:idx val="1"/>
          <c:order val="1"/>
          <c:tx>
            <c:strRef>
              <c:f>'2021'!$K$18</c:f>
              <c:strCache>
                <c:ptCount val="1"/>
                <c:pt idx="0">
                  <c:v>Grafeno de poucas camadas acumulado (kg)</c:v>
                </c:pt>
              </c:strCache>
            </c:strRef>
          </c:tx>
          <c:spPr>
            <a:ln w="28575" cap="rnd">
              <a:solidFill>
                <a:srgbClr val="784178"/>
              </a:solidFill>
              <a:round/>
            </a:ln>
            <a:effectLst/>
          </c:spPr>
          <c:marker>
            <c:symbol val="none"/>
          </c:marker>
          <c:cat>
            <c:numRef>
              <c:f>'2021'!$L$11:$Y$11</c:f>
              <c:numCache>
                <c:formatCode>mmm\-yy</c:formatCode>
                <c:ptCount val="1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</c:numCache>
            </c:numRef>
          </c:cat>
          <c:val>
            <c:numRef>
              <c:f>'2021'!$L$18:$Y$18</c:f>
              <c:numCache>
                <c:formatCode>General</c:formatCode>
                <c:ptCount val="14"/>
                <c:pt idx="0">
                  <c:v>4.82E-2</c:v>
                </c:pt>
                <c:pt idx="1">
                  <c:v>6.5000000000000002E-2</c:v>
                </c:pt>
                <c:pt idx="2">
                  <c:v>0.1174</c:v>
                </c:pt>
                <c:pt idx="3">
                  <c:v>0.1174</c:v>
                </c:pt>
                <c:pt idx="4">
                  <c:v>0.30180000000000001</c:v>
                </c:pt>
                <c:pt idx="5">
                  <c:v>0.44220000000000004</c:v>
                </c:pt>
                <c:pt idx="6">
                  <c:v>0.62240000000000006</c:v>
                </c:pt>
                <c:pt idx="7">
                  <c:v>0.84240000000000004</c:v>
                </c:pt>
                <c:pt idx="8">
                  <c:v>1.0624</c:v>
                </c:pt>
                <c:pt idx="9">
                  <c:v>1.1504000000000001</c:v>
                </c:pt>
                <c:pt idx="10">
                  <c:v>1.3704000000000001</c:v>
                </c:pt>
                <c:pt idx="11">
                  <c:v>1.5024000000000002</c:v>
                </c:pt>
                <c:pt idx="12">
                  <c:v>1.5464</c:v>
                </c:pt>
                <c:pt idx="13">
                  <c:v>1.6784000000000001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66-40D2-8936-00CADC0E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129552"/>
        <c:axId val="514127256"/>
      </c:lineChart>
      <c:dateAx>
        <c:axId val="5141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6600"/>
        <c:crosses val="autoZero"/>
        <c:auto val="1"/>
        <c:lblOffset val="100"/>
        <c:baseTimeUnit val="months"/>
      </c:dateAx>
      <c:valAx>
        <c:axId val="5141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lotes produzidos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32832"/>
        <c:crosses val="autoZero"/>
        <c:crossBetween val="between"/>
      </c:valAx>
      <c:valAx>
        <c:axId val="514127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Grafeno de poucas camadas produzido acumulado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9552"/>
        <c:crosses val="max"/>
        <c:crossBetween val="between"/>
      </c:valAx>
      <c:dateAx>
        <c:axId val="514129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141272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'2021'!$K$12</c:f>
              <c:strCache>
                <c:ptCount val="1"/>
                <c:pt idx="0">
                  <c:v>Quantidade de lotes produzidos</c:v>
                </c:pt>
              </c:strCache>
            </c:strRef>
          </c:tx>
          <c:spPr>
            <a:solidFill>
              <a:srgbClr val="8CCDAF"/>
            </a:solidFill>
            <a:ln>
              <a:noFill/>
            </a:ln>
            <a:effectLst/>
          </c:spPr>
          <c:invertIfNegative val="0"/>
          <c:cat>
            <c:numRef>
              <c:f>'2021'!$L$11:$Y$11</c:f>
              <c:numCache>
                <c:formatCode>mmm\-yy</c:formatCode>
                <c:ptCount val="1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</c:numCache>
            </c:numRef>
          </c:cat>
          <c:val>
            <c:numRef>
              <c:f>'2021'!$L$12:$Y$12</c:f>
              <c:numCache>
                <c:formatCode>General</c:formatCode>
                <c:ptCount val="14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8-4A9E-BA78-E609C90D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132832"/>
        <c:axId val="514126600"/>
      </c:barChart>
      <c:lineChart>
        <c:grouping val="standard"/>
        <c:varyColors val="0"/>
        <c:ser>
          <c:idx val="1"/>
          <c:order val="1"/>
          <c:tx>
            <c:strRef>
              <c:f>'2021'!$K$21</c:f>
              <c:strCache>
                <c:ptCount val="1"/>
                <c:pt idx="0">
                  <c:v>Acumulado grafeno (kg)</c:v>
                </c:pt>
              </c:strCache>
            </c:strRef>
          </c:tx>
          <c:spPr>
            <a:ln w="28575" cap="rnd">
              <a:solidFill>
                <a:srgbClr val="784178"/>
              </a:solidFill>
              <a:round/>
            </a:ln>
            <a:effectLst/>
          </c:spPr>
          <c:marker>
            <c:symbol val="none"/>
          </c:marker>
          <c:cat>
            <c:numRef>
              <c:f>'2021'!$L$11:$Y$11</c:f>
              <c:numCache>
                <c:formatCode>mmm\-yy</c:formatCode>
                <c:ptCount val="1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</c:numCache>
            </c:numRef>
          </c:cat>
          <c:val>
            <c:numRef>
              <c:f>'2021'!$L$21:$Y$21</c:f>
              <c:numCache>
                <c:formatCode>General</c:formatCode>
                <c:ptCount val="14"/>
                <c:pt idx="0">
                  <c:v>0.3342</c:v>
                </c:pt>
                <c:pt idx="1">
                  <c:v>0.35099999999999998</c:v>
                </c:pt>
                <c:pt idx="2">
                  <c:v>0.80539999999999989</c:v>
                </c:pt>
                <c:pt idx="3">
                  <c:v>0.80539999999999989</c:v>
                </c:pt>
                <c:pt idx="4">
                  <c:v>1.2287999999999999</c:v>
                </c:pt>
                <c:pt idx="5">
                  <c:v>2.1852</c:v>
                </c:pt>
                <c:pt idx="6">
                  <c:v>3.3494000000000002</c:v>
                </c:pt>
                <c:pt idx="7">
                  <c:v>4.9773999999999994</c:v>
                </c:pt>
                <c:pt idx="8">
                  <c:v>6.7393999999999998</c:v>
                </c:pt>
                <c:pt idx="9">
                  <c:v>7.4104000000000001</c:v>
                </c:pt>
                <c:pt idx="10">
                  <c:v>9.1163999999999987</c:v>
                </c:pt>
                <c:pt idx="11">
                  <c:v>10.324399999999999</c:v>
                </c:pt>
                <c:pt idx="12">
                  <c:v>10.7044</c:v>
                </c:pt>
                <c:pt idx="13">
                  <c:v>11.513399999999999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8-4A9E-BA78-E609C90D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129552"/>
        <c:axId val="514127256"/>
      </c:lineChart>
      <c:dateAx>
        <c:axId val="5141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6600"/>
        <c:crosses val="autoZero"/>
        <c:auto val="1"/>
        <c:lblOffset val="100"/>
        <c:baseTimeUnit val="months"/>
      </c:dateAx>
      <c:valAx>
        <c:axId val="5141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lotes produzidos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32832"/>
        <c:crosses val="autoZero"/>
        <c:crossBetween val="between"/>
      </c:valAx>
      <c:valAx>
        <c:axId val="514127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Grafeno produzido acumulado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129552"/>
        <c:crosses val="max"/>
        <c:crossBetween val="between"/>
      </c:valAx>
      <c:dateAx>
        <c:axId val="514129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141272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0</xdr:row>
      <xdr:rowOff>166687</xdr:rowOff>
    </xdr:from>
    <xdr:to>
      <xdr:col>20</xdr:col>
      <xdr:colOff>371475</xdr:colOff>
      <xdr:row>15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7C4938-30BA-493F-B4EC-B7373D26D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14287</xdr:colOff>
      <xdr:row>17</xdr:row>
      <xdr:rowOff>61912</xdr:rowOff>
    </xdr:from>
    <xdr:to>
      <xdr:col>20</xdr:col>
      <xdr:colOff>319087</xdr:colOff>
      <xdr:row>31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B6C6C3-3E85-4BEA-832A-CE9850C15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419100</xdr:colOff>
      <xdr:row>17</xdr:row>
      <xdr:rowOff>66675</xdr:rowOff>
    </xdr:from>
    <xdr:to>
      <xdr:col>28</xdr:col>
      <xdr:colOff>114300</xdr:colOff>
      <xdr:row>31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F43C95-1048-44D6-8635-237D1D9E6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595312</xdr:colOff>
      <xdr:row>0</xdr:row>
      <xdr:rowOff>176212</xdr:rowOff>
    </xdr:from>
    <xdr:to>
      <xdr:col>28</xdr:col>
      <xdr:colOff>290512</xdr:colOff>
      <xdr:row>15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0B629B-E862-47BD-A394-E15622B4A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496896</xdr:colOff>
      <xdr:row>20</xdr:row>
      <xdr:rowOff>40446</xdr:rowOff>
    </xdr:from>
    <xdr:to>
      <xdr:col>23</xdr:col>
      <xdr:colOff>590826</xdr:colOff>
      <xdr:row>38</xdr:row>
      <xdr:rowOff>144748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B385D1-EE0A-4024-BBFA-0C3E201D0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410818</xdr:colOff>
      <xdr:row>38</xdr:row>
      <xdr:rowOff>141356</xdr:rowOff>
    </xdr:from>
    <xdr:to>
      <xdr:col>17</xdr:col>
      <xdr:colOff>11262</xdr:colOff>
      <xdr:row>57</xdr:row>
      <xdr:rowOff>62336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B51FAB-93EE-480E-AD82-186B887FB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570948</xdr:colOff>
      <xdr:row>22</xdr:row>
      <xdr:rowOff>66261</xdr:rowOff>
    </xdr:from>
    <xdr:to>
      <xdr:col>40</xdr:col>
      <xdr:colOff>267313</xdr:colOff>
      <xdr:row>44</xdr:row>
      <xdr:rowOff>69273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2513F3-0BE5-4FEC-87EA-F3E20E86E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293858</xdr:colOff>
      <xdr:row>25</xdr:row>
      <xdr:rowOff>66261</xdr:rowOff>
    </xdr:from>
    <xdr:to>
      <xdr:col>24</xdr:col>
      <xdr:colOff>405859</xdr:colOff>
      <xdr:row>47</xdr:row>
      <xdr:rowOff>69273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94106D-0FEF-4095-9CE2-11F4953E6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288636</xdr:colOff>
      <xdr:row>47</xdr:row>
      <xdr:rowOff>161637</xdr:rowOff>
    </xdr:from>
    <xdr:to>
      <xdr:col>24</xdr:col>
      <xdr:colOff>400637</xdr:colOff>
      <xdr:row>70</xdr:row>
      <xdr:rowOff>26104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55AFC0-C3E3-4E6D-B8EE-FC0C0198E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6FD0-76E1-40C9-8DB7-6E4D800C3993}">
  <dimension ref="A1:L52"/>
  <sheetViews>
    <sheetView workbookViewId="0">
      <selection activeCell="I53" sqref="I53"/>
    </sheetView>
  </sheetViews>
  <sheetFormatPr defaultRowHeight="14.5" x14ac:dyDescent="0.35"/>
  <cols>
    <col min="1" max="1" width="32.81640625" bestFit="1" customWidth="1"/>
    <col min="2" max="2" width="11.81640625" bestFit="1" customWidth="1"/>
    <col min="3" max="3" width="31" bestFit="1" customWidth="1"/>
    <col min="7" max="7" width="9.453125" bestFit="1" customWidth="1"/>
    <col min="9" max="9" width="19" bestFit="1" customWidth="1"/>
    <col min="10" max="10" width="33.7265625" style="1" customWidth="1"/>
  </cols>
  <sheetData>
    <row r="1" spans="1:12" x14ac:dyDescent="0.35">
      <c r="A1" s="4" t="s">
        <v>0</v>
      </c>
      <c r="B1" s="2" t="s">
        <v>3</v>
      </c>
      <c r="C1" s="2" t="s">
        <v>46</v>
      </c>
      <c r="G1" s="2" t="s">
        <v>6</v>
      </c>
      <c r="H1" s="2" t="s">
        <v>4</v>
      </c>
      <c r="I1" s="2" t="s">
        <v>5</v>
      </c>
      <c r="J1" s="2" t="s">
        <v>40</v>
      </c>
      <c r="K1" s="76" t="s">
        <v>9</v>
      </c>
      <c r="L1" s="76"/>
    </row>
    <row r="2" spans="1:12" x14ac:dyDescent="0.35">
      <c r="A2" s="4" t="s">
        <v>41</v>
      </c>
      <c r="B2" s="2">
        <f>SUMIF($J$2:$J$40,A2,$H$2:$H$40)</f>
        <v>7</v>
      </c>
      <c r="C2" s="5">
        <f t="shared" ref="C2:C8" si="0">B2*100/$B$9</f>
        <v>8.8607594936708853</v>
      </c>
      <c r="G2" s="2" t="s">
        <v>7</v>
      </c>
      <c r="H2" s="2">
        <v>3</v>
      </c>
      <c r="I2" s="2" t="s">
        <v>8</v>
      </c>
      <c r="J2" s="2" t="s">
        <v>41</v>
      </c>
      <c r="K2" s="7">
        <v>2017</v>
      </c>
      <c r="L2" s="76"/>
    </row>
    <row r="3" spans="1:12" x14ac:dyDescent="0.35">
      <c r="A3" s="4" t="s">
        <v>22</v>
      </c>
      <c r="B3" s="2">
        <f>SUMIF($J$2:$J$40,A3,$H$2:$H$40)</f>
        <v>14</v>
      </c>
      <c r="C3" s="5">
        <f t="shared" si="0"/>
        <v>17.721518987341771</v>
      </c>
      <c r="G3" s="2" t="s">
        <v>7</v>
      </c>
      <c r="H3" s="2">
        <v>1</v>
      </c>
      <c r="I3" s="2" t="s">
        <v>10</v>
      </c>
      <c r="J3" s="2" t="s">
        <v>42</v>
      </c>
      <c r="K3" s="7">
        <v>2017</v>
      </c>
      <c r="L3" s="76"/>
    </row>
    <row r="4" spans="1:12" x14ac:dyDescent="0.35">
      <c r="A4" s="6" t="s">
        <v>42</v>
      </c>
      <c r="B4" s="2">
        <f t="shared" ref="B4:B8" si="1">SUMIF($J$2:$J$40,A4,$H$2:$H$40)</f>
        <v>4</v>
      </c>
      <c r="C4" s="5">
        <f t="shared" si="0"/>
        <v>5.0632911392405067</v>
      </c>
      <c r="G4" s="2" t="s">
        <v>11</v>
      </c>
      <c r="H4" s="2">
        <v>1</v>
      </c>
      <c r="I4" s="2" t="s">
        <v>12</v>
      </c>
      <c r="J4" s="4" t="s">
        <v>1</v>
      </c>
      <c r="K4" s="7">
        <v>2017</v>
      </c>
      <c r="L4" s="76"/>
    </row>
    <row r="5" spans="1:12" x14ac:dyDescent="0.35">
      <c r="A5" s="4" t="s">
        <v>48</v>
      </c>
      <c r="B5" s="2">
        <f t="shared" si="1"/>
        <v>6</v>
      </c>
      <c r="C5" s="5">
        <f t="shared" si="0"/>
        <v>7.5949367088607591</v>
      </c>
      <c r="G5" s="2" t="s">
        <v>7</v>
      </c>
      <c r="H5" s="2">
        <v>1</v>
      </c>
      <c r="I5" s="2" t="s">
        <v>13</v>
      </c>
      <c r="J5" s="2" t="s">
        <v>48</v>
      </c>
      <c r="K5" s="7">
        <v>2017</v>
      </c>
      <c r="L5" s="76"/>
    </row>
    <row r="6" spans="1:12" ht="15" thickBot="1" x14ac:dyDescent="0.4">
      <c r="A6" s="4" t="s">
        <v>49</v>
      </c>
      <c r="B6" s="2">
        <f t="shared" si="1"/>
        <v>5</v>
      </c>
      <c r="C6" s="5">
        <f t="shared" si="0"/>
        <v>6.3291139240506329</v>
      </c>
      <c r="G6" s="12" t="s">
        <v>7</v>
      </c>
      <c r="H6" s="12">
        <v>4</v>
      </c>
      <c r="I6" s="12" t="s">
        <v>14</v>
      </c>
      <c r="J6" s="4" t="s">
        <v>22</v>
      </c>
      <c r="K6" s="14">
        <v>2017</v>
      </c>
      <c r="L6" s="12">
        <v>2018</v>
      </c>
    </row>
    <row r="7" spans="1:12" x14ac:dyDescent="0.35">
      <c r="A7" s="4" t="s">
        <v>1</v>
      </c>
      <c r="B7" s="2">
        <f t="shared" si="1"/>
        <v>41</v>
      </c>
      <c r="C7" s="5">
        <f t="shared" si="0"/>
        <v>51.898734177215189</v>
      </c>
      <c r="G7" s="10" t="s">
        <v>11</v>
      </c>
      <c r="H7" s="10">
        <v>1</v>
      </c>
      <c r="I7" s="10" t="s">
        <v>15</v>
      </c>
      <c r="J7" s="11" t="s">
        <v>1</v>
      </c>
      <c r="K7" s="10">
        <v>2018</v>
      </c>
      <c r="L7" s="77"/>
    </row>
    <row r="8" spans="1:12" x14ac:dyDescent="0.35">
      <c r="A8" s="6" t="s">
        <v>17</v>
      </c>
      <c r="B8" s="2">
        <f t="shared" si="1"/>
        <v>2</v>
      </c>
      <c r="C8" s="5">
        <f t="shared" si="0"/>
        <v>2.5316455696202533</v>
      </c>
      <c r="G8" s="2" t="s">
        <v>16</v>
      </c>
      <c r="H8" s="2">
        <v>1</v>
      </c>
      <c r="I8" s="2" t="s">
        <v>17</v>
      </c>
      <c r="J8" s="2" t="s">
        <v>17</v>
      </c>
      <c r="K8" s="2">
        <v>2018</v>
      </c>
      <c r="L8" s="78"/>
    </row>
    <row r="9" spans="1:12" x14ac:dyDescent="0.35">
      <c r="A9" s="4" t="s">
        <v>2</v>
      </c>
      <c r="B9" s="2">
        <f>SUM(B2:B8)</f>
        <v>79</v>
      </c>
      <c r="C9" s="5">
        <f>SUM(C2:C8)</f>
        <v>100</v>
      </c>
      <c r="G9" s="2" t="s">
        <v>16</v>
      </c>
      <c r="H9" s="2">
        <v>1</v>
      </c>
      <c r="I9" s="2" t="s">
        <v>18</v>
      </c>
      <c r="J9" s="4" t="s">
        <v>1</v>
      </c>
      <c r="K9" s="2">
        <v>2018</v>
      </c>
      <c r="L9" s="78"/>
    </row>
    <row r="10" spans="1:12" x14ac:dyDescent="0.35">
      <c r="G10" s="2" t="s">
        <v>7</v>
      </c>
      <c r="H10" s="2">
        <v>1</v>
      </c>
      <c r="I10" s="2" t="s">
        <v>19</v>
      </c>
      <c r="J10" s="2" t="s">
        <v>42</v>
      </c>
      <c r="K10" s="2">
        <v>2018</v>
      </c>
      <c r="L10" s="78"/>
    </row>
    <row r="11" spans="1:12" x14ac:dyDescent="0.35">
      <c r="A11" s="2" t="s">
        <v>43</v>
      </c>
      <c r="B11" s="2" t="s">
        <v>44</v>
      </c>
      <c r="C11" s="8" t="s">
        <v>45</v>
      </c>
      <c r="G11" s="2" t="s">
        <v>20</v>
      </c>
      <c r="H11" s="2">
        <v>4</v>
      </c>
      <c r="I11" s="2" t="s">
        <v>21</v>
      </c>
      <c r="J11" s="4" t="s">
        <v>1</v>
      </c>
      <c r="K11" s="2">
        <v>2018</v>
      </c>
      <c r="L11" s="78"/>
    </row>
    <row r="12" spans="1:12" x14ac:dyDescent="0.35">
      <c r="A12" s="2" t="s">
        <v>16</v>
      </c>
      <c r="B12" s="2">
        <f>SUMIF($G$2:$G$40,A12,$H$2:$H$40)</f>
        <v>2</v>
      </c>
      <c r="C12" s="2">
        <f>B12*5</f>
        <v>10</v>
      </c>
      <c r="G12" s="2" t="s">
        <v>7</v>
      </c>
      <c r="H12" s="2">
        <v>1</v>
      </c>
      <c r="I12" s="2" t="s">
        <v>23</v>
      </c>
      <c r="J12" s="4" t="s">
        <v>1</v>
      </c>
      <c r="K12" s="2">
        <v>2018</v>
      </c>
      <c r="L12" s="78"/>
    </row>
    <row r="13" spans="1:12" x14ac:dyDescent="0.35">
      <c r="A13" s="2" t="s">
        <v>11</v>
      </c>
      <c r="B13" s="2">
        <f t="shared" ref="B13:B15" si="2">SUMIF($G$2:$G$40,A13,$H$2:$H$40)</f>
        <v>22</v>
      </c>
      <c r="C13" s="2">
        <f>B13*25</f>
        <v>550</v>
      </c>
      <c r="G13" s="2" t="s">
        <v>7</v>
      </c>
      <c r="H13" s="2">
        <v>1</v>
      </c>
      <c r="I13" s="2" t="s">
        <v>22</v>
      </c>
      <c r="J13" s="4" t="s">
        <v>22</v>
      </c>
      <c r="K13" s="2">
        <v>2018</v>
      </c>
      <c r="L13" s="78"/>
    </row>
    <row r="14" spans="1:12" x14ac:dyDescent="0.35">
      <c r="A14" s="2" t="s">
        <v>7</v>
      </c>
      <c r="B14" s="2">
        <f t="shared" si="2"/>
        <v>17</v>
      </c>
      <c r="C14" s="2">
        <f>B14*50</f>
        <v>850</v>
      </c>
      <c r="G14" s="2" t="s">
        <v>7</v>
      </c>
      <c r="H14" s="2">
        <v>1</v>
      </c>
      <c r="I14" s="2" t="s">
        <v>24</v>
      </c>
      <c r="J14" s="4" t="s">
        <v>1</v>
      </c>
      <c r="K14" s="2">
        <v>2018</v>
      </c>
      <c r="L14" s="78"/>
    </row>
    <row r="15" spans="1:12" x14ac:dyDescent="0.35">
      <c r="A15" s="2" t="s">
        <v>20</v>
      </c>
      <c r="B15" s="2">
        <f t="shared" si="2"/>
        <v>38</v>
      </c>
      <c r="C15" s="2">
        <f>B15*100</f>
        <v>3800</v>
      </c>
      <c r="G15" s="2" t="s">
        <v>7</v>
      </c>
      <c r="H15" s="2">
        <v>1</v>
      </c>
      <c r="I15" s="2" t="s">
        <v>25</v>
      </c>
      <c r="J15" s="4" t="s">
        <v>1</v>
      </c>
      <c r="K15" s="2">
        <v>2018</v>
      </c>
      <c r="L15" s="78"/>
    </row>
    <row r="16" spans="1:12" x14ac:dyDescent="0.35">
      <c r="G16" s="2" t="s">
        <v>7</v>
      </c>
      <c r="H16" s="2">
        <v>1</v>
      </c>
      <c r="I16" s="2" t="s">
        <v>26</v>
      </c>
      <c r="J16" s="2" t="s">
        <v>1</v>
      </c>
      <c r="K16" s="2">
        <v>2018</v>
      </c>
      <c r="L16" s="78"/>
    </row>
    <row r="17" spans="1:12" x14ac:dyDescent="0.35">
      <c r="A17" s="2" t="s">
        <v>9</v>
      </c>
      <c r="B17" s="2" t="s">
        <v>47</v>
      </c>
      <c r="C17" s="2" t="s">
        <v>45</v>
      </c>
      <c r="G17" s="2" t="s">
        <v>20</v>
      </c>
      <c r="H17" s="2">
        <v>3</v>
      </c>
      <c r="I17" s="2" t="s">
        <v>27</v>
      </c>
      <c r="J17" s="2" t="s">
        <v>41</v>
      </c>
      <c r="K17" s="2">
        <v>2018</v>
      </c>
      <c r="L17" s="78"/>
    </row>
    <row r="18" spans="1:12" x14ac:dyDescent="0.35">
      <c r="A18" s="3">
        <v>2017</v>
      </c>
      <c r="B18" s="2">
        <f ca="1">SUMIF($K$2:$K450,A18,$H$2:$H$40)</f>
        <v>10</v>
      </c>
      <c r="C18" s="9">
        <f>(SUM(H2:H3,H5:H6)*50)+(H4*25)</f>
        <v>475</v>
      </c>
      <c r="G18" s="2" t="s">
        <v>20</v>
      </c>
      <c r="H18" s="2">
        <v>1</v>
      </c>
      <c r="I18" s="2" t="s">
        <v>22</v>
      </c>
      <c r="J18" s="4" t="s">
        <v>22</v>
      </c>
      <c r="K18" s="2">
        <v>2018</v>
      </c>
      <c r="L18" s="78"/>
    </row>
    <row r="19" spans="1:12" x14ac:dyDescent="0.35">
      <c r="A19" s="3">
        <v>2018</v>
      </c>
      <c r="B19" s="2">
        <f ca="1">SUMIF($K$2:$K451,A19,$H$2:$H$40)</f>
        <v>29</v>
      </c>
      <c r="C19" s="9">
        <f>(SUM(H8:H9)*5)+(H7*25)+(SUM(H10,H12:H16)*50)+(SUM(H11,H17:H27)*100)</f>
        <v>2335</v>
      </c>
      <c r="G19" s="2" t="s">
        <v>20</v>
      </c>
      <c r="H19" s="2">
        <v>1</v>
      </c>
      <c r="I19" s="2" t="s">
        <v>13</v>
      </c>
      <c r="J19" s="2" t="s">
        <v>48</v>
      </c>
      <c r="K19" s="2">
        <v>2018</v>
      </c>
      <c r="L19" s="78"/>
    </row>
    <row r="20" spans="1:12" x14ac:dyDescent="0.35">
      <c r="A20" s="3">
        <v>2019</v>
      </c>
      <c r="B20" s="2">
        <f ca="1">SUMIF($K$2:$K452,A20,$H$2:$H$40)</f>
        <v>12</v>
      </c>
      <c r="C20" s="9">
        <f>50*(SUM(H29,H31))+(SUM(H28,H30,H32:H36)*100)</f>
        <v>1100</v>
      </c>
      <c r="G20" s="2" t="s">
        <v>20</v>
      </c>
      <c r="H20" s="2">
        <v>1</v>
      </c>
      <c r="I20" s="2" t="s">
        <v>28</v>
      </c>
      <c r="J20" s="4" t="s">
        <v>1</v>
      </c>
      <c r="K20" s="2">
        <v>2018</v>
      </c>
      <c r="L20" s="78"/>
    </row>
    <row r="21" spans="1:12" x14ac:dyDescent="0.35">
      <c r="A21" s="3">
        <v>2020</v>
      </c>
      <c r="B21" s="2">
        <f ca="1">SUMIF($K$2:$K453,A21,$H$2:$H$40)</f>
        <v>8</v>
      </c>
      <c r="C21" s="9">
        <f>(SUM(H37:H39)-1)*100</f>
        <v>700</v>
      </c>
      <c r="G21" s="2" t="s">
        <v>20</v>
      </c>
      <c r="H21" s="2">
        <v>3</v>
      </c>
      <c r="I21" s="2" t="s">
        <v>29</v>
      </c>
      <c r="J21" s="4" t="s">
        <v>49</v>
      </c>
      <c r="K21" s="2">
        <v>2018</v>
      </c>
      <c r="L21" s="78"/>
    </row>
    <row r="22" spans="1:12" x14ac:dyDescent="0.35">
      <c r="A22" s="3">
        <v>2021</v>
      </c>
      <c r="B22" s="2">
        <f ca="1">SUMIF($K$2:$K454,A22,$H$2:$H$40)</f>
        <v>49</v>
      </c>
      <c r="C22" s="9">
        <f>(H40*25)+(SUM(H41:H45,H47:H51)*100)+(H46*50)</f>
        <v>4150</v>
      </c>
      <c r="G22" s="2" t="s">
        <v>20</v>
      </c>
      <c r="H22" s="2">
        <v>1</v>
      </c>
      <c r="I22" s="2" t="s">
        <v>30</v>
      </c>
      <c r="J22" s="4" t="s">
        <v>49</v>
      </c>
      <c r="K22" s="2">
        <v>2018</v>
      </c>
      <c r="L22" s="78"/>
    </row>
    <row r="23" spans="1:12" x14ac:dyDescent="0.35">
      <c r="G23" s="2" t="s">
        <v>20</v>
      </c>
      <c r="H23" s="2">
        <v>2</v>
      </c>
      <c r="I23" s="2" t="s">
        <v>22</v>
      </c>
      <c r="J23" s="4" t="s">
        <v>22</v>
      </c>
      <c r="K23" s="2">
        <v>2018</v>
      </c>
      <c r="L23" s="78"/>
    </row>
    <row r="24" spans="1:12" x14ac:dyDescent="0.35">
      <c r="G24" s="2" t="s">
        <v>20</v>
      </c>
      <c r="H24" s="2">
        <v>1</v>
      </c>
      <c r="I24" s="2" t="s">
        <v>13</v>
      </c>
      <c r="J24" s="2" t="s">
        <v>48</v>
      </c>
      <c r="K24" s="2">
        <v>2018</v>
      </c>
      <c r="L24" s="78"/>
    </row>
    <row r="25" spans="1:12" x14ac:dyDescent="0.35">
      <c r="G25" s="2" t="s">
        <v>20</v>
      </c>
      <c r="H25" s="2">
        <v>1</v>
      </c>
      <c r="I25" s="2" t="s">
        <v>31</v>
      </c>
      <c r="J25" s="4" t="s">
        <v>1</v>
      </c>
      <c r="K25" s="2">
        <v>2018</v>
      </c>
      <c r="L25" s="78"/>
    </row>
    <row r="26" spans="1:12" x14ac:dyDescent="0.35">
      <c r="G26" s="2" t="s">
        <v>20</v>
      </c>
      <c r="H26" s="2">
        <v>1</v>
      </c>
      <c r="I26" s="2" t="s">
        <v>22</v>
      </c>
      <c r="J26" s="4" t="s">
        <v>22</v>
      </c>
      <c r="K26" s="2">
        <v>2018</v>
      </c>
      <c r="L26" s="78"/>
    </row>
    <row r="27" spans="1:12" ht="15" thickBot="1" x14ac:dyDescent="0.4">
      <c r="G27" s="12" t="s">
        <v>20</v>
      </c>
      <c r="H27" s="12">
        <v>1</v>
      </c>
      <c r="I27" s="12" t="s">
        <v>32</v>
      </c>
      <c r="J27" s="12" t="s">
        <v>48</v>
      </c>
      <c r="K27" s="12">
        <v>2018</v>
      </c>
      <c r="L27" s="78"/>
    </row>
    <row r="28" spans="1:12" x14ac:dyDescent="0.35">
      <c r="G28" s="10" t="s">
        <v>20</v>
      </c>
      <c r="H28" s="10">
        <v>1</v>
      </c>
      <c r="I28" s="10" t="s">
        <v>33</v>
      </c>
      <c r="J28" s="10" t="s">
        <v>48</v>
      </c>
      <c r="K28" s="10">
        <v>2019</v>
      </c>
      <c r="L28" s="78"/>
    </row>
    <row r="29" spans="1:12" x14ac:dyDescent="0.35">
      <c r="G29" s="2" t="s">
        <v>7</v>
      </c>
      <c r="H29" s="2">
        <v>1</v>
      </c>
      <c r="I29" s="2" t="s">
        <v>19</v>
      </c>
      <c r="J29" s="2" t="s">
        <v>42</v>
      </c>
      <c r="K29" s="2">
        <v>2019</v>
      </c>
      <c r="L29" s="78"/>
    </row>
    <row r="30" spans="1:12" x14ac:dyDescent="0.35">
      <c r="G30" s="2" t="s">
        <v>20</v>
      </c>
      <c r="H30" s="2">
        <v>1</v>
      </c>
      <c r="I30" s="2" t="s">
        <v>34</v>
      </c>
      <c r="J30" s="4" t="s">
        <v>49</v>
      </c>
      <c r="K30" s="2">
        <v>2019</v>
      </c>
      <c r="L30" s="78"/>
    </row>
    <row r="31" spans="1:12" x14ac:dyDescent="0.35">
      <c r="G31" s="2" t="s">
        <v>7</v>
      </c>
      <c r="H31" s="2">
        <v>1</v>
      </c>
      <c r="I31" s="2" t="s">
        <v>19</v>
      </c>
      <c r="J31" s="2" t="s">
        <v>42</v>
      </c>
      <c r="K31" s="2">
        <v>2019</v>
      </c>
      <c r="L31" s="78"/>
    </row>
    <row r="32" spans="1:12" x14ac:dyDescent="0.35">
      <c r="G32" s="2" t="s">
        <v>20</v>
      </c>
      <c r="H32" s="2">
        <v>1</v>
      </c>
      <c r="I32" s="2" t="s">
        <v>22</v>
      </c>
      <c r="J32" s="4" t="s">
        <v>22</v>
      </c>
      <c r="K32" s="2">
        <v>2019</v>
      </c>
      <c r="L32" s="78"/>
    </row>
    <row r="33" spans="4:12" x14ac:dyDescent="0.35">
      <c r="G33" s="2" t="s">
        <v>20</v>
      </c>
      <c r="H33" s="2">
        <v>1</v>
      </c>
      <c r="I33" s="2" t="s">
        <v>13</v>
      </c>
      <c r="J33" s="2" t="s">
        <v>48</v>
      </c>
      <c r="K33" s="2">
        <v>2019</v>
      </c>
      <c r="L33" s="78"/>
    </row>
    <row r="34" spans="4:12" x14ac:dyDescent="0.35">
      <c r="G34" s="2" t="s">
        <v>20</v>
      </c>
      <c r="H34" s="2">
        <v>4</v>
      </c>
      <c r="I34" s="2" t="s">
        <v>22</v>
      </c>
      <c r="J34" s="4" t="s">
        <v>22</v>
      </c>
      <c r="K34" s="2">
        <v>2019</v>
      </c>
      <c r="L34" s="78"/>
    </row>
    <row r="35" spans="4:12" x14ac:dyDescent="0.35">
      <c r="G35" s="2" t="s">
        <v>20</v>
      </c>
      <c r="H35" s="2">
        <v>1</v>
      </c>
      <c r="I35" s="2" t="s">
        <v>31</v>
      </c>
      <c r="J35" s="4" t="s">
        <v>1</v>
      </c>
      <c r="K35" s="2">
        <v>2019</v>
      </c>
      <c r="L35" s="78"/>
    </row>
    <row r="36" spans="4:12" ht="15" thickBot="1" x14ac:dyDescent="0.4">
      <c r="G36" s="12" t="s">
        <v>20</v>
      </c>
      <c r="H36" s="12">
        <v>1</v>
      </c>
      <c r="I36" s="12" t="s">
        <v>35</v>
      </c>
      <c r="J36" s="12" t="s">
        <v>41</v>
      </c>
      <c r="K36" s="12">
        <v>2019</v>
      </c>
      <c r="L36" s="78"/>
    </row>
    <row r="37" spans="4:12" x14ac:dyDescent="0.35">
      <c r="G37" s="10" t="s">
        <v>20</v>
      </c>
      <c r="H37" s="10">
        <v>6</v>
      </c>
      <c r="I37" s="10" t="s">
        <v>36</v>
      </c>
      <c r="J37" s="10" t="s">
        <v>1</v>
      </c>
      <c r="K37" s="10">
        <v>2020</v>
      </c>
      <c r="L37" s="78"/>
    </row>
    <row r="38" spans="4:12" x14ac:dyDescent="0.35">
      <c r="G38" s="2" t="s">
        <v>20</v>
      </c>
      <c r="H38" s="2">
        <v>1</v>
      </c>
      <c r="I38" s="2" t="s">
        <v>37</v>
      </c>
      <c r="J38" s="2" t="s">
        <v>17</v>
      </c>
      <c r="K38" s="2">
        <v>2020</v>
      </c>
      <c r="L38" s="79"/>
    </row>
    <row r="39" spans="4:12" ht="15" thickBot="1" x14ac:dyDescent="0.4">
      <c r="D39" s="1"/>
      <c r="G39" s="12" t="s">
        <v>20</v>
      </c>
      <c r="H39" s="12">
        <v>1</v>
      </c>
      <c r="I39" s="12" t="s">
        <v>38</v>
      </c>
      <c r="J39" s="13" t="s">
        <v>1</v>
      </c>
      <c r="K39" s="12">
        <v>2020</v>
      </c>
      <c r="L39" s="2">
        <v>2021</v>
      </c>
    </row>
    <row r="40" spans="4:12" x14ac:dyDescent="0.35">
      <c r="G40" s="10" t="s">
        <v>11</v>
      </c>
      <c r="H40" s="10">
        <v>20</v>
      </c>
      <c r="I40" s="10" t="s">
        <v>39</v>
      </c>
      <c r="J40" s="11" t="s">
        <v>1</v>
      </c>
      <c r="K40" s="10">
        <v>2021</v>
      </c>
      <c r="L40" s="2"/>
    </row>
    <row r="41" spans="4:12" s="1" customFormat="1" x14ac:dyDescent="0.35">
      <c r="G41" s="2" t="s">
        <v>20</v>
      </c>
      <c r="H41" s="2">
        <v>3</v>
      </c>
      <c r="I41" s="2" t="s">
        <v>38</v>
      </c>
      <c r="J41" s="4"/>
      <c r="K41" s="2">
        <v>2021</v>
      </c>
      <c r="L41" s="2"/>
    </row>
    <row r="42" spans="4:12" s="1" customFormat="1" x14ac:dyDescent="0.35">
      <c r="G42" s="2" t="s">
        <v>20</v>
      </c>
      <c r="H42" s="2">
        <v>7</v>
      </c>
      <c r="I42" s="2" t="s">
        <v>50</v>
      </c>
      <c r="J42" s="4"/>
      <c r="K42" s="10">
        <v>2021</v>
      </c>
      <c r="L42" s="2"/>
    </row>
    <row r="43" spans="4:12" s="1" customFormat="1" x14ac:dyDescent="0.35">
      <c r="G43" s="2" t="s">
        <v>20</v>
      </c>
      <c r="H43" s="2">
        <v>5</v>
      </c>
      <c r="I43" s="2" t="s">
        <v>51</v>
      </c>
      <c r="J43" s="4"/>
      <c r="K43" s="2">
        <v>2021</v>
      </c>
      <c r="L43" s="2"/>
    </row>
    <row r="44" spans="4:12" s="1" customFormat="1" x14ac:dyDescent="0.35">
      <c r="G44" s="2" t="s">
        <v>20</v>
      </c>
      <c r="H44" s="2">
        <v>4</v>
      </c>
      <c r="I44" s="2" t="s">
        <v>52</v>
      </c>
      <c r="J44" s="4"/>
      <c r="K44" s="10">
        <v>2021</v>
      </c>
      <c r="L44" s="2"/>
    </row>
    <row r="45" spans="4:12" s="1" customFormat="1" x14ac:dyDescent="0.35">
      <c r="G45" s="2" t="s">
        <v>20</v>
      </c>
      <c r="H45" s="2">
        <v>2</v>
      </c>
      <c r="I45" s="2" t="s">
        <v>53</v>
      </c>
      <c r="J45" s="4"/>
      <c r="K45" s="2">
        <v>2021</v>
      </c>
      <c r="L45" s="2"/>
    </row>
    <row r="46" spans="4:12" s="1" customFormat="1" x14ac:dyDescent="0.35">
      <c r="G46" s="2" t="s">
        <v>7</v>
      </c>
      <c r="H46" s="2">
        <v>1</v>
      </c>
      <c r="I46" s="2" t="s">
        <v>53</v>
      </c>
      <c r="J46" s="4"/>
      <c r="K46" s="10">
        <v>2021</v>
      </c>
      <c r="L46" s="2"/>
    </row>
    <row r="47" spans="4:12" s="1" customFormat="1" x14ac:dyDescent="0.35">
      <c r="G47" s="2" t="s">
        <v>20</v>
      </c>
      <c r="H47" s="2">
        <v>1</v>
      </c>
      <c r="I47" s="2" t="s">
        <v>54</v>
      </c>
      <c r="J47" s="4"/>
      <c r="K47" s="2">
        <v>2021</v>
      </c>
      <c r="L47" s="2"/>
    </row>
    <row r="48" spans="4:12" s="1" customFormat="1" x14ac:dyDescent="0.35">
      <c r="G48" s="2" t="s">
        <v>20</v>
      </c>
      <c r="H48" s="2">
        <v>1</v>
      </c>
      <c r="I48" s="2" t="s">
        <v>55</v>
      </c>
      <c r="J48" s="4"/>
      <c r="K48" s="10">
        <v>2021</v>
      </c>
      <c r="L48" s="2"/>
    </row>
    <row r="49" spans="7:12" x14ac:dyDescent="0.35">
      <c r="G49" s="2" t="s">
        <v>20</v>
      </c>
      <c r="H49" s="2">
        <v>3</v>
      </c>
      <c r="I49" s="2" t="s">
        <v>56</v>
      </c>
      <c r="J49" s="2"/>
      <c r="K49" s="2">
        <v>2021</v>
      </c>
      <c r="L49" s="2"/>
    </row>
    <row r="50" spans="7:12" s="1" customFormat="1" x14ac:dyDescent="0.35">
      <c r="G50" s="16" t="s">
        <v>20</v>
      </c>
      <c r="H50" s="2">
        <v>2</v>
      </c>
      <c r="I50" s="16" t="s">
        <v>57</v>
      </c>
      <c r="J50" s="2"/>
      <c r="K50" s="2">
        <v>2021</v>
      </c>
      <c r="L50" s="2"/>
    </row>
    <row r="51" spans="7:12" s="1" customFormat="1" x14ac:dyDescent="0.35">
      <c r="G51" s="16" t="s">
        <v>20</v>
      </c>
      <c r="H51" s="2">
        <v>8</v>
      </c>
      <c r="I51" s="16" t="s">
        <v>58</v>
      </c>
      <c r="J51" s="2"/>
      <c r="K51" s="2"/>
      <c r="L51" s="2"/>
    </row>
    <row r="52" spans="7:12" x14ac:dyDescent="0.35">
      <c r="H52">
        <f>SUM(H2:H51)</f>
        <v>116</v>
      </c>
      <c r="I52">
        <f>SUM(H11,H17:H28,H30,H32:H39)</f>
        <v>38</v>
      </c>
    </row>
  </sheetData>
  <mergeCells count="3">
    <mergeCell ref="K1:L1"/>
    <mergeCell ref="L2:L5"/>
    <mergeCell ref="L7:L3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A111-C43C-4E04-B96A-4512CFB05F63}">
  <dimension ref="A1:BP1029"/>
  <sheetViews>
    <sheetView topLeftCell="R17" zoomScale="55" zoomScaleNormal="55" workbookViewId="0">
      <selection activeCell="U56" sqref="U56"/>
    </sheetView>
  </sheetViews>
  <sheetFormatPr defaultRowHeight="14.5" x14ac:dyDescent="0.35"/>
  <cols>
    <col min="1" max="1" width="16.54296875" style="1" customWidth="1"/>
    <col min="2" max="2" width="6.26953125" style="1" customWidth="1"/>
    <col min="3" max="3" width="8.08984375" style="1" bestFit="1" customWidth="1"/>
    <col min="4" max="4" width="6.81640625" style="1" customWidth="1"/>
    <col min="5" max="5" width="29.7265625" style="1" customWidth="1"/>
    <col min="6" max="6" width="53.1796875" style="1" hidden="1" customWidth="1"/>
    <col min="7" max="7" width="196.81640625" style="1" hidden="1" customWidth="1"/>
    <col min="8" max="8" width="10.90625" customWidth="1"/>
    <col min="11" max="11" width="29.08984375" customWidth="1"/>
    <col min="13" max="13" width="8.7265625" style="1"/>
    <col min="15" max="15" width="8.7265625" style="1"/>
    <col min="17" max="17" width="8.7265625" style="1"/>
    <col min="19" max="19" width="8.7265625" style="1"/>
    <col min="21" max="21" width="8.7265625" style="1"/>
  </cols>
  <sheetData>
    <row r="1" spans="1:64" x14ac:dyDescent="0.35">
      <c r="A1" s="17"/>
      <c r="B1" s="18"/>
      <c r="C1" s="18"/>
    </row>
    <row r="2" spans="1:64" x14ac:dyDescent="0.35">
      <c r="A2" s="80" t="s">
        <v>59</v>
      </c>
      <c r="B2" s="81"/>
      <c r="C2" s="81"/>
      <c r="D2" s="81"/>
      <c r="E2" s="81"/>
      <c r="F2" s="81"/>
      <c r="G2" s="82"/>
      <c r="K2" t="s">
        <v>381</v>
      </c>
      <c r="M2"/>
      <c r="O2">
        <f>0.4*4</f>
        <v>1.6</v>
      </c>
    </row>
    <row r="3" spans="1:64" x14ac:dyDescent="0.35">
      <c r="A3" s="83"/>
      <c r="B3" s="84"/>
      <c r="C3" s="84"/>
      <c r="D3" s="84"/>
      <c r="E3" s="84"/>
      <c r="F3" s="84"/>
      <c r="G3" s="85"/>
      <c r="K3" s="1" t="s">
        <v>382</v>
      </c>
      <c r="M3"/>
      <c r="O3">
        <f>0.4*8</f>
        <v>3.2</v>
      </c>
      <c r="X3" s="1"/>
      <c r="Y3" s="18"/>
      <c r="Z3" s="18"/>
      <c r="AA3" s="18"/>
      <c r="AB3" s="18"/>
      <c r="AC3" s="18"/>
      <c r="AD3" s="18"/>
    </row>
    <row r="4" spans="1:64" s="1" customFormat="1" ht="12" customHeight="1" x14ac:dyDescent="0.7">
      <c r="A4" s="55"/>
      <c r="B4" s="56"/>
      <c r="C4" s="56"/>
      <c r="D4" s="56"/>
      <c r="E4" s="56"/>
      <c r="F4" s="56"/>
      <c r="G4" s="57"/>
      <c r="K4" s="66" t="s">
        <v>383</v>
      </c>
      <c r="L4" s="66"/>
      <c r="M4" s="66"/>
      <c r="N4" s="66"/>
      <c r="O4" s="66">
        <f>0.14*15</f>
        <v>2.1</v>
      </c>
      <c r="Y4" s="18"/>
      <c r="Z4" s="18"/>
      <c r="AA4" s="18"/>
      <c r="AB4" s="18"/>
      <c r="AC4" s="18"/>
      <c r="AD4" s="18"/>
    </row>
    <row r="5" spans="1:64" ht="15.5" x14ac:dyDescent="0.35">
      <c r="A5" s="86" t="s">
        <v>60</v>
      </c>
      <c r="B5" s="87"/>
      <c r="C5" s="87"/>
      <c r="D5" s="87"/>
      <c r="E5" s="87"/>
      <c r="F5" s="87"/>
      <c r="G5" s="88"/>
      <c r="H5" s="47">
        <v>2017</v>
      </c>
      <c r="I5" s="1"/>
      <c r="J5" s="1"/>
      <c r="K5" s="1" t="s">
        <v>384</v>
      </c>
      <c r="M5"/>
      <c r="O5" s="1">
        <f>0.4*35</f>
        <v>14</v>
      </c>
      <c r="X5" s="1"/>
      <c r="Y5" s="1"/>
      <c r="Z5" s="1"/>
      <c r="AA5" s="1"/>
      <c r="AB5" s="1"/>
      <c r="AC5" s="1"/>
      <c r="AD5" s="1"/>
    </row>
    <row r="6" spans="1:64" x14ac:dyDescent="0.35">
      <c r="A6" s="19" t="s">
        <v>61</v>
      </c>
      <c r="B6" s="20" t="s">
        <v>62</v>
      </c>
      <c r="C6" s="20"/>
      <c r="D6" s="20" t="s">
        <v>63</v>
      </c>
      <c r="E6" s="21" t="s">
        <v>64</v>
      </c>
      <c r="F6" s="21" t="s">
        <v>65</v>
      </c>
      <c r="G6" s="21" t="s">
        <v>66</v>
      </c>
      <c r="I6" s="1"/>
      <c r="J6" s="1"/>
      <c r="K6" s="1" t="s">
        <v>385</v>
      </c>
      <c r="M6"/>
      <c r="O6" s="1">
        <f>1.5*80</f>
        <v>120</v>
      </c>
      <c r="X6" s="1"/>
      <c r="Y6" s="1"/>
      <c r="Z6" s="1"/>
      <c r="AA6" s="1"/>
      <c r="AB6" s="1"/>
      <c r="AC6" s="1"/>
      <c r="AD6" s="1"/>
    </row>
    <row r="7" spans="1:64" x14ac:dyDescent="0.35">
      <c r="A7" s="3" t="s">
        <v>67</v>
      </c>
      <c r="B7" s="59" t="s">
        <v>7</v>
      </c>
      <c r="C7" s="59">
        <v>50</v>
      </c>
      <c r="D7" s="15" t="s">
        <v>68</v>
      </c>
      <c r="E7" s="15" t="s">
        <v>8</v>
      </c>
      <c r="F7" s="2" t="s">
        <v>69</v>
      </c>
      <c r="G7" s="2" t="s">
        <v>70</v>
      </c>
      <c r="I7" s="1"/>
      <c r="J7" s="1"/>
      <c r="K7" s="1" t="s">
        <v>386</v>
      </c>
      <c r="M7"/>
      <c r="O7" s="1">
        <f>0.55*80</f>
        <v>44</v>
      </c>
      <c r="X7" s="1"/>
      <c r="Y7" s="1"/>
      <c r="Z7" s="1"/>
      <c r="AA7" s="1"/>
      <c r="AB7" s="1"/>
      <c r="AC7" s="1"/>
      <c r="AD7" s="1"/>
    </row>
    <row r="8" spans="1:64" x14ac:dyDescent="0.35">
      <c r="A8" s="3" t="s">
        <v>71</v>
      </c>
      <c r="B8" s="59" t="s">
        <v>7</v>
      </c>
      <c r="C8" s="59">
        <v>50</v>
      </c>
      <c r="D8" s="15" t="s">
        <v>68</v>
      </c>
      <c r="E8" s="15" t="s">
        <v>8</v>
      </c>
      <c r="F8" s="2" t="s">
        <v>69</v>
      </c>
      <c r="G8" s="2" t="s">
        <v>70</v>
      </c>
      <c r="I8" s="1"/>
      <c r="J8" s="1"/>
      <c r="K8" s="1" t="s">
        <v>387</v>
      </c>
      <c r="M8"/>
      <c r="O8" s="1">
        <f>0.55*80</f>
        <v>44</v>
      </c>
      <c r="X8" s="1"/>
      <c r="Y8" s="1"/>
      <c r="Z8" s="1"/>
      <c r="AA8" s="1"/>
      <c r="AB8" s="1"/>
      <c r="AC8" s="1"/>
      <c r="AD8" s="1"/>
    </row>
    <row r="9" spans="1:64" x14ac:dyDescent="0.35">
      <c r="A9" s="3" t="s">
        <v>72</v>
      </c>
      <c r="B9" s="59" t="s">
        <v>7</v>
      </c>
      <c r="C9" s="59">
        <v>50</v>
      </c>
      <c r="D9" s="15" t="s">
        <v>68</v>
      </c>
      <c r="E9" s="15" t="s">
        <v>8</v>
      </c>
      <c r="F9" s="2" t="s">
        <v>69</v>
      </c>
      <c r="G9" s="2" t="s">
        <v>70</v>
      </c>
      <c r="X9" s="1"/>
      <c r="Y9" s="1"/>
      <c r="Z9" s="1"/>
      <c r="AA9" s="1"/>
      <c r="AB9" s="1"/>
      <c r="AC9" s="1"/>
      <c r="AD9" s="1"/>
    </row>
    <row r="10" spans="1:64" ht="15.5" x14ac:dyDescent="0.35">
      <c r="A10" s="25" t="s">
        <v>73</v>
      </c>
      <c r="B10" s="64"/>
      <c r="C10" s="64"/>
      <c r="D10" s="64"/>
      <c r="E10" s="64"/>
      <c r="F10" s="64"/>
      <c r="G10" s="65"/>
      <c r="X10" s="1"/>
      <c r="Y10" s="1"/>
      <c r="Z10" s="1"/>
      <c r="AA10" s="1"/>
      <c r="AB10" s="1"/>
      <c r="AC10" s="1"/>
      <c r="AD10" s="1"/>
    </row>
    <row r="11" spans="1:64" x14ac:dyDescent="0.35">
      <c r="A11" s="19" t="s">
        <v>61</v>
      </c>
      <c r="B11" s="20" t="s">
        <v>62</v>
      </c>
      <c r="C11" s="20"/>
      <c r="D11" s="20" t="s">
        <v>63</v>
      </c>
      <c r="E11" s="21" t="s">
        <v>64</v>
      </c>
      <c r="F11" s="21" t="s">
        <v>65</v>
      </c>
      <c r="G11" s="21" t="s">
        <v>66</v>
      </c>
      <c r="L11" s="58">
        <v>43009</v>
      </c>
      <c r="M11" s="58">
        <v>43040</v>
      </c>
      <c r="N11" s="58">
        <v>43070</v>
      </c>
      <c r="O11" s="58">
        <v>43101</v>
      </c>
      <c r="P11" s="58">
        <v>43132</v>
      </c>
      <c r="Q11" s="58">
        <v>43160</v>
      </c>
      <c r="R11" s="58">
        <v>43191</v>
      </c>
      <c r="S11" s="58">
        <v>43221</v>
      </c>
      <c r="T11" s="58">
        <v>43252</v>
      </c>
      <c r="U11" s="58">
        <v>43282</v>
      </c>
      <c r="V11" s="58">
        <v>43313</v>
      </c>
      <c r="W11" s="58">
        <v>43344</v>
      </c>
      <c r="X11" s="58">
        <v>43374</v>
      </c>
      <c r="Y11" s="58">
        <v>43405</v>
      </c>
      <c r="Z11" s="58">
        <v>43435</v>
      </c>
      <c r="AA11" s="58">
        <v>43466</v>
      </c>
      <c r="AB11" s="58">
        <v>43497</v>
      </c>
      <c r="AC11" s="58">
        <v>43525</v>
      </c>
      <c r="AD11" s="58">
        <v>43556</v>
      </c>
      <c r="AE11" s="58">
        <v>43586</v>
      </c>
      <c r="AF11" s="58">
        <v>43617</v>
      </c>
      <c r="AG11" s="58">
        <v>43647</v>
      </c>
      <c r="AH11" s="58">
        <v>43678</v>
      </c>
      <c r="AI11" s="58">
        <v>43709</v>
      </c>
      <c r="AJ11" s="58">
        <v>43739</v>
      </c>
      <c r="AK11" s="58">
        <v>43770</v>
      </c>
      <c r="AL11" s="58">
        <v>43800</v>
      </c>
      <c r="AM11" s="58">
        <v>43831</v>
      </c>
      <c r="AN11" s="58">
        <v>43862</v>
      </c>
      <c r="AO11" s="58">
        <v>43891</v>
      </c>
      <c r="AP11" s="58">
        <v>43922</v>
      </c>
      <c r="AQ11" s="58">
        <v>43952</v>
      </c>
      <c r="AR11" s="58">
        <v>43983</v>
      </c>
      <c r="AS11" s="58">
        <v>44013</v>
      </c>
      <c r="AT11" s="58">
        <v>44044</v>
      </c>
      <c r="AU11" s="58">
        <v>44075</v>
      </c>
      <c r="AV11" s="58">
        <v>44105</v>
      </c>
      <c r="AW11" s="58">
        <v>44136</v>
      </c>
      <c r="AX11" s="58">
        <v>44166</v>
      </c>
      <c r="AY11" s="58">
        <v>44197</v>
      </c>
      <c r="AZ11" s="58">
        <v>44228</v>
      </c>
      <c r="BA11" s="58">
        <v>44256</v>
      </c>
      <c r="BB11" s="58">
        <v>44287</v>
      </c>
      <c r="BC11" s="58">
        <v>44317</v>
      </c>
      <c r="BD11" s="58">
        <v>44348</v>
      </c>
      <c r="BE11" s="58">
        <v>44378</v>
      </c>
      <c r="BF11" s="58">
        <v>44409</v>
      </c>
      <c r="BG11" s="58">
        <v>44440</v>
      </c>
      <c r="BH11" s="58">
        <v>44470</v>
      </c>
      <c r="BI11" s="58">
        <v>44501</v>
      </c>
      <c r="BJ11" s="58">
        <v>44531</v>
      </c>
      <c r="BK11" s="58">
        <v>44562</v>
      </c>
      <c r="BL11" s="58">
        <v>44593</v>
      </c>
    </row>
    <row r="12" spans="1:64" x14ac:dyDescent="0.35">
      <c r="A12" s="3" t="s">
        <v>74</v>
      </c>
      <c r="B12" s="59" t="s">
        <v>7</v>
      </c>
      <c r="C12" s="59">
        <v>50</v>
      </c>
      <c r="D12" s="15" t="s">
        <v>68</v>
      </c>
      <c r="E12" s="2"/>
      <c r="F12" s="2" t="s">
        <v>69</v>
      </c>
      <c r="G12" s="2" t="s">
        <v>75</v>
      </c>
      <c r="K12" t="s">
        <v>391</v>
      </c>
      <c r="L12">
        <v>3</v>
      </c>
      <c r="M12">
        <v>3</v>
      </c>
      <c r="N12">
        <v>2</v>
      </c>
      <c r="O12" s="1">
        <v>4</v>
      </c>
      <c r="P12" s="1">
        <v>1</v>
      </c>
      <c r="Q12" s="1">
        <v>3</v>
      </c>
      <c r="R12" s="1">
        <v>4</v>
      </c>
      <c r="S12" s="1">
        <v>4</v>
      </c>
      <c r="T12" s="1">
        <v>4</v>
      </c>
      <c r="U12" s="1">
        <v>3</v>
      </c>
      <c r="V12" s="1">
        <v>6</v>
      </c>
      <c r="W12" s="1">
        <v>4</v>
      </c>
      <c r="X12" s="1">
        <v>2</v>
      </c>
      <c r="Y12" s="1">
        <v>1</v>
      </c>
      <c r="Z12" s="1">
        <v>0</v>
      </c>
      <c r="AA12" s="1">
        <v>2</v>
      </c>
      <c r="AB12" s="1">
        <v>1</v>
      </c>
      <c r="AC12" s="1">
        <v>1</v>
      </c>
      <c r="AD12" s="1">
        <v>0</v>
      </c>
      <c r="AE12" s="1">
        <v>4</v>
      </c>
      <c r="AF12" s="1">
        <v>5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4</v>
      </c>
      <c r="AV12" s="1">
        <v>2</v>
      </c>
      <c r="AW12" s="1">
        <v>1</v>
      </c>
      <c r="AX12" s="1">
        <v>0</v>
      </c>
      <c r="AY12" s="1">
        <v>3</v>
      </c>
      <c r="AZ12" s="1">
        <v>8</v>
      </c>
      <c r="BA12" s="1">
        <v>5</v>
      </c>
      <c r="BB12" s="1">
        <v>0</v>
      </c>
      <c r="BC12" s="1">
        <v>8</v>
      </c>
      <c r="BD12" s="1">
        <v>7</v>
      </c>
      <c r="BE12" s="1">
        <v>6</v>
      </c>
      <c r="BF12" s="1">
        <v>5</v>
      </c>
      <c r="BG12" s="1">
        <v>5</v>
      </c>
      <c r="BH12" s="1">
        <v>2</v>
      </c>
      <c r="BI12" s="1">
        <v>5</v>
      </c>
      <c r="BJ12" s="1">
        <v>3</v>
      </c>
      <c r="BK12">
        <v>1</v>
      </c>
      <c r="BL12">
        <v>3</v>
      </c>
    </row>
    <row r="13" spans="1:64" x14ac:dyDescent="0.35">
      <c r="A13" s="3" t="s">
        <v>76</v>
      </c>
      <c r="B13" s="60" t="s">
        <v>11</v>
      </c>
      <c r="C13" s="60">
        <v>25</v>
      </c>
      <c r="D13" s="15" t="s">
        <v>77</v>
      </c>
      <c r="E13" s="2"/>
      <c r="F13" s="2" t="s">
        <v>78</v>
      </c>
      <c r="G13" s="2" t="s">
        <v>79</v>
      </c>
      <c r="K13" t="s">
        <v>392</v>
      </c>
      <c r="L13">
        <f>L12</f>
        <v>3</v>
      </c>
      <c r="M13">
        <f>SUM(L12:M12)</f>
        <v>6</v>
      </c>
      <c r="N13">
        <f>SUM(L12:N12)</f>
        <v>8</v>
      </c>
      <c r="O13" s="1">
        <f>SUM(L12:O12)</f>
        <v>12</v>
      </c>
      <c r="P13" s="1">
        <f>SUM(L12:P12)</f>
        <v>13</v>
      </c>
      <c r="Q13" s="1">
        <f>SUM(L12:Q12)</f>
        <v>16</v>
      </c>
      <c r="R13" s="1">
        <f>SUM(L12:R12)</f>
        <v>20</v>
      </c>
      <c r="S13" s="1">
        <f>SUM(L12:S12)</f>
        <v>24</v>
      </c>
      <c r="T13" s="1">
        <f>SUM(L12:T12)</f>
        <v>28</v>
      </c>
      <c r="U13" s="1">
        <f>SUM(L12:U12)</f>
        <v>31</v>
      </c>
      <c r="V13" s="1">
        <f>SUM(L12:V12)</f>
        <v>37</v>
      </c>
      <c r="W13" s="1">
        <f>SUM(L12:W12)</f>
        <v>41</v>
      </c>
      <c r="X13" s="1">
        <f>SUM(L12:X12)</f>
        <v>43</v>
      </c>
      <c r="Y13" s="1">
        <f>SUM(L12:Y12)</f>
        <v>44</v>
      </c>
      <c r="Z13" s="1">
        <f>SUM(L12:Z12)</f>
        <v>44</v>
      </c>
      <c r="AA13" s="1">
        <f>SUM(L12:AA12)</f>
        <v>46</v>
      </c>
      <c r="AB13" s="1">
        <f>SUM(L12:AB12)</f>
        <v>47</v>
      </c>
      <c r="AC13" s="1">
        <f>SUM(L12:AC12)</f>
        <v>48</v>
      </c>
      <c r="AD13" s="1">
        <f>SUM(L12:AD12)</f>
        <v>48</v>
      </c>
      <c r="AE13" s="1">
        <f>SUM(L12:AE12)</f>
        <v>52</v>
      </c>
      <c r="AF13" s="1">
        <f>SUM(L12:AF12)</f>
        <v>57</v>
      </c>
      <c r="AG13" s="1">
        <f>SUM(L12:AG12)</f>
        <v>57</v>
      </c>
      <c r="AH13" s="1">
        <f>SUM(L12:AH12)</f>
        <v>57</v>
      </c>
      <c r="AI13" s="1">
        <f>SUM(L12:AI12)</f>
        <v>57</v>
      </c>
      <c r="AJ13" s="1">
        <f>SUM(L12:AJ12)</f>
        <v>57</v>
      </c>
      <c r="AK13" s="1">
        <f>SUM(L12:AK12)</f>
        <v>57</v>
      </c>
      <c r="AL13" s="1">
        <f>SUM(L12:AL12)</f>
        <v>57</v>
      </c>
      <c r="AM13" s="1">
        <f>SUM(L12:AM12)</f>
        <v>57</v>
      </c>
      <c r="AN13" s="1">
        <f>SUM(L12:AN12)</f>
        <v>57</v>
      </c>
      <c r="AO13" s="1">
        <f>SUM(L12:AO12)</f>
        <v>58</v>
      </c>
      <c r="AP13" s="1">
        <f>SUM(L12:AP12)</f>
        <v>58</v>
      </c>
      <c r="AQ13" s="1">
        <f>SUM(L12:AQ12)</f>
        <v>58</v>
      </c>
      <c r="AR13" s="1">
        <f>SUM(L12:AR12)</f>
        <v>58</v>
      </c>
      <c r="AS13" s="1">
        <f>SUM(L12:AS12)</f>
        <v>58</v>
      </c>
      <c r="AT13" s="1">
        <f>SUM(L12:AT12)</f>
        <v>58</v>
      </c>
      <c r="AU13" s="1">
        <f>SUM(L12:AU12)</f>
        <v>62</v>
      </c>
      <c r="AV13" s="1">
        <f>SUM(L12:AV12)</f>
        <v>64</v>
      </c>
      <c r="AW13" s="1">
        <f>SUM(L12:AW12)</f>
        <v>65</v>
      </c>
      <c r="AX13" s="1">
        <f>SUM(L12:AX12)</f>
        <v>65</v>
      </c>
      <c r="AY13" s="1">
        <f>SUM(L12:AY12)</f>
        <v>68</v>
      </c>
      <c r="AZ13" s="1">
        <f>SUM(L12:AZ12)</f>
        <v>76</v>
      </c>
      <c r="BA13" s="1">
        <f>SUM(L12:BA12)</f>
        <v>81</v>
      </c>
      <c r="BB13" s="1">
        <f>SUM(L12:BB12)</f>
        <v>81</v>
      </c>
      <c r="BC13" s="1">
        <f>SUM(L12:BC12)</f>
        <v>89</v>
      </c>
      <c r="BD13" s="1">
        <f>SUM(L12:BD12)</f>
        <v>96</v>
      </c>
      <c r="BE13" s="1">
        <f>SUM(L12:BE12)</f>
        <v>102</v>
      </c>
      <c r="BF13" s="1">
        <f>SUM(L12:BF12)</f>
        <v>107</v>
      </c>
      <c r="BG13" s="1">
        <f>SUM(L12:BG12)</f>
        <v>112</v>
      </c>
      <c r="BH13" s="1">
        <f>SUM(L12:BH12)</f>
        <v>114</v>
      </c>
      <c r="BI13" s="1">
        <f>SUM(L12:BI12)</f>
        <v>119</v>
      </c>
      <c r="BJ13" s="1">
        <f>SUM(L12:BJ12)</f>
        <v>122</v>
      </c>
      <c r="BK13" s="1">
        <f>SUM(L12:BK12)</f>
        <v>123</v>
      </c>
      <c r="BL13" s="1">
        <f>SUM(L12:BL12)</f>
        <v>126</v>
      </c>
    </row>
    <row r="14" spans="1:64" x14ac:dyDescent="0.35">
      <c r="A14" s="3" t="s">
        <v>80</v>
      </c>
      <c r="B14" s="59" t="s">
        <v>7</v>
      </c>
      <c r="C14" s="59">
        <v>50</v>
      </c>
      <c r="D14" s="15" t="s">
        <v>68</v>
      </c>
      <c r="E14" s="2"/>
      <c r="F14" s="2" t="s">
        <v>81</v>
      </c>
      <c r="G14" s="2" t="s">
        <v>82</v>
      </c>
      <c r="K14" s="1" t="s">
        <v>45</v>
      </c>
      <c r="L14" s="1">
        <v>150</v>
      </c>
      <c r="M14" s="1">
        <v>125</v>
      </c>
      <c r="N14" s="1">
        <v>100</v>
      </c>
      <c r="O14" s="1">
        <v>175</v>
      </c>
      <c r="P14" s="1">
        <v>5</v>
      </c>
      <c r="Q14" s="1">
        <v>155</v>
      </c>
      <c r="R14" s="1">
        <v>400</v>
      </c>
      <c r="S14" s="1">
        <v>160</v>
      </c>
      <c r="T14" s="1">
        <v>300</v>
      </c>
      <c r="U14" s="1">
        <v>300</v>
      </c>
      <c r="V14" s="1">
        <v>600</v>
      </c>
      <c r="W14" s="1">
        <v>400</v>
      </c>
      <c r="X14" s="1">
        <v>100</v>
      </c>
      <c r="Y14" s="1">
        <v>100</v>
      </c>
      <c r="Z14" s="1">
        <v>0</v>
      </c>
      <c r="AA14" s="1">
        <v>150</v>
      </c>
      <c r="AB14" s="1">
        <v>100</v>
      </c>
      <c r="AC14" s="1">
        <v>50</v>
      </c>
      <c r="AD14" s="1">
        <v>0</v>
      </c>
      <c r="AE14" s="1">
        <v>400</v>
      </c>
      <c r="AF14" s="1">
        <v>400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100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400</v>
      </c>
      <c r="AV14" s="1">
        <v>200</v>
      </c>
      <c r="AW14" s="1">
        <v>100</v>
      </c>
      <c r="AX14" s="1">
        <v>0</v>
      </c>
      <c r="AY14" s="1">
        <v>150</v>
      </c>
      <c r="AZ14" s="1">
        <v>200</v>
      </c>
      <c r="BA14" s="1">
        <v>200</v>
      </c>
      <c r="BB14" s="1">
        <v>0</v>
      </c>
      <c r="BC14" s="1">
        <v>500</v>
      </c>
      <c r="BD14" s="1">
        <v>400</v>
      </c>
      <c r="BE14" s="1">
        <v>450</v>
      </c>
      <c r="BF14" s="1">
        <v>500</v>
      </c>
      <c r="BG14" s="1">
        <v>500</v>
      </c>
      <c r="BH14" s="1">
        <v>200</v>
      </c>
      <c r="BI14" s="1">
        <v>500</v>
      </c>
      <c r="BJ14" s="1">
        <v>300</v>
      </c>
      <c r="BK14" s="1">
        <v>100</v>
      </c>
      <c r="BL14">
        <v>300</v>
      </c>
    </row>
    <row r="15" spans="1:64" ht="15.5" x14ac:dyDescent="0.35">
      <c r="A15" s="25" t="s">
        <v>83</v>
      </c>
      <c r="B15" s="64"/>
      <c r="C15" s="64"/>
      <c r="D15" s="64"/>
      <c r="E15" s="64"/>
      <c r="F15" s="64"/>
      <c r="G15" s="65"/>
      <c r="K15" s="1" t="s">
        <v>395</v>
      </c>
      <c r="L15" s="1">
        <f>L14</f>
        <v>150</v>
      </c>
      <c r="M15" s="1">
        <f>SUM(L14:M14)</f>
        <v>275</v>
      </c>
      <c r="N15" s="1">
        <f>SUM(L14:N14)</f>
        <v>375</v>
      </c>
      <c r="O15" s="1">
        <f>SUM(L14:O14)</f>
        <v>550</v>
      </c>
      <c r="P15" s="1">
        <f>SUM(L14:P14)</f>
        <v>555</v>
      </c>
      <c r="Q15" s="1">
        <f>SUM(L14:Q14)</f>
        <v>710</v>
      </c>
      <c r="R15" s="1">
        <f>SUM(L14:R14)</f>
        <v>1110</v>
      </c>
      <c r="S15" s="1">
        <f>SUM(L14:S14)</f>
        <v>1270</v>
      </c>
      <c r="T15" s="1">
        <f>SUM(L14:T14)</f>
        <v>1570</v>
      </c>
      <c r="U15" s="1">
        <f>SUM(L14:U14)</f>
        <v>1870</v>
      </c>
      <c r="V15" s="1">
        <f>SUM(L14:V14)</f>
        <v>2470</v>
      </c>
      <c r="W15" s="1">
        <f>SUM(L14:W14)</f>
        <v>2870</v>
      </c>
      <c r="X15" s="1">
        <f>SUM(L14:X14)</f>
        <v>2970</v>
      </c>
      <c r="Y15" s="1">
        <f>SUM(L14:Y14)</f>
        <v>3070</v>
      </c>
      <c r="Z15" s="1">
        <f>SUM(L14:Z14)</f>
        <v>3070</v>
      </c>
      <c r="AA15" s="1">
        <f>SUM(L14:AA14)</f>
        <v>3220</v>
      </c>
      <c r="AB15" s="1">
        <f>SUM(L14:AB14)</f>
        <v>3320</v>
      </c>
      <c r="AC15" s="1">
        <f>SUM(L14:AC14)</f>
        <v>3370</v>
      </c>
      <c r="AD15" s="1">
        <f>SUM(L14:AD14)</f>
        <v>3370</v>
      </c>
      <c r="AE15" s="1">
        <f>SUM(L14:AE14)</f>
        <v>3770</v>
      </c>
      <c r="AF15" s="1">
        <f>SUM(L14:AF14)</f>
        <v>4170</v>
      </c>
      <c r="AG15" s="1">
        <f>SUM(L14:AG14)</f>
        <v>4170</v>
      </c>
      <c r="AH15" s="1">
        <f>SUM(L14:AH14)</f>
        <v>4170</v>
      </c>
      <c r="AI15" s="1">
        <f>SUM(L14:AI14)</f>
        <v>4170</v>
      </c>
      <c r="AJ15" s="1">
        <f>SUM(L14:AJ14)</f>
        <v>4170</v>
      </c>
      <c r="AK15" s="1">
        <f>SUM(L14:AK14)</f>
        <v>4170</v>
      </c>
      <c r="AL15" s="1">
        <f>SUM(L14:AL14)</f>
        <v>4170</v>
      </c>
      <c r="AM15" s="1">
        <f>SUM(L14:AM14)</f>
        <v>4170</v>
      </c>
      <c r="AN15" s="1">
        <f>SUM(L14:AN14)</f>
        <v>4170</v>
      </c>
      <c r="AO15" s="1">
        <f>SUM(L14:AO14)</f>
        <v>4270</v>
      </c>
      <c r="AP15" s="1">
        <f>SUM(L14:AP14)</f>
        <v>4270</v>
      </c>
      <c r="AQ15" s="1">
        <f>SUM(L14:AQ14)</f>
        <v>4270</v>
      </c>
      <c r="AR15" s="1">
        <f>SUM(L14:AR14)</f>
        <v>4270</v>
      </c>
      <c r="AS15" s="1">
        <f>SUM(L14:AS14)</f>
        <v>4270</v>
      </c>
      <c r="AT15" s="1">
        <f>SUM(L14:AT14)</f>
        <v>4270</v>
      </c>
      <c r="AU15" s="1">
        <f>SUM(L14:AU14)</f>
        <v>4670</v>
      </c>
      <c r="AV15" s="1">
        <f>SUM(L14:AV14)</f>
        <v>4870</v>
      </c>
      <c r="AW15" s="1">
        <f>SUM(L14:AW14)</f>
        <v>4970</v>
      </c>
      <c r="AX15" s="1">
        <f>SUM(L14:AX14)</f>
        <v>4970</v>
      </c>
      <c r="AY15" s="1">
        <f>SUM(L14:AY14)</f>
        <v>5120</v>
      </c>
      <c r="AZ15" s="1">
        <f>SUM(L14:AZ14)</f>
        <v>5320</v>
      </c>
      <c r="BA15" s="1">
        <f>SUM(L14:BA14)</f>
        <v>5520</v>
      </c>
      <c r="BB15" s="1">
        <f>SUM(L14:BB14)</f>
        <v>5520</v>
      </c>
      <c r="BC15" s="1">
        <f>SUM(L14:BC14)</f>
        <v>6020</v>
      </c>
      <c r="BD15" s="1">
        <f>SUM(L14:BD14)</f>
        <v>6420</v>
      </c>
      <c r="BE15" s="1">
        <f>SUM(L14:BE14)</f>
        <v>6870</v>
      </c>
      <c r="BF15" s="1">
        <f>SUM(L14:BF14)</f>
        <v>7370</v>
      </c>
      <c r="BG15" s="1">
        <f>SUM(L14:BG14)</f>
        <v>7870</v>
      </c>
      <c r="BH15" s="1">
        <f>SUM(L14:BH14)</f>
        <v>8070</v>
      </c>
      <c r="BI15" s="1">
        <f>SUM(L14:BI14)</f>
        <v>8570</v>
      </c>
      <c r="BJ15" s="1">
        <f>SUM(L14:BJ14)</f>
        <v>8870</v>
      </c>
      <c r="BK15" s="1">
        <f>SUM(L14:BK14)</f>
        <v>8970</v>
      </c>
      <c r="BL15" s="1">
        <f>SUM(L14:BL14)</f>
        <v>9270</v>
      </c>
    </row>
    <row r="16" spans="1:64" x14ac:dyDescent="0.35">
      <c r="A16" s="19" t="s">
        <v>61</v>
      </c>
      <c r="B16" s="20" t="s">
        <v>62</v>
      </c>
      <c r="C16" s="20"/>
      <c r="D16" s="20" t="s">
        <v>63</v>
      </c>
      <c r="E16" s="21" t="s">
        <v>64</v>
      </c>
      <c r="F16" s="21" t="s">
        <v>65</v>
      </c>
      <c r="G16" s="21" t="s">
        <v>66</v>
      </c>
      <c r="K16" t="s">
        <v>393</v>
      </c>
      <c r="L16">
        <f>L12*O5</f>
        <v>42</v>
      </c>
      <c r="M16">
        <f>2*O5+O4</f>
        <v>30.1</v>
      </c>
      <c r="N16">
        <f>N12*O5</f>
        <v>28</v>
      </c>
      <c r="O16">
        <f>3*O5+O4</f>
        <v>44.1</v>
      </c>
      <c r="P16">
        <f>O2</f>
        <v>1.6</v>
      </c>
      <c r="Q16">
        <f>O2+O5+O6</f>
        <v>135.6</v>
      </c>
      <c r="R16">
        <f>R12*O6</f>
        <v>480</v>
      </c>
      <c r="S16">
        <f>3*O5+O3</f>
        <v>45.2</v>
      </c>
      <c r="T16">
        <f>2*O5+2*O6</f>
        <v>268</v>
      </c>
      <c r="U16">
        <f>U12*O6</f>
        <v>360</v>
      </c>
      <c r="V16">
        <f>V12*O6</f>
        <v>720</v>
      </c>
      <c r="W16">
        <f>W12*O6</f>
        <v>480</v>
      </c>
      <c r="X16">
        <f>X12*O5</f>
        <v>28</v>
      </c>
      <c r="Y16">
        <f>Y12*O6</f>
        <v>120</v>
      </c>
      <c r="Z16">
        <v>0</v>
      </c>
      <c r="AA16">
        <f>O5+O6</f>
        <v>134</v>
      </c>
      <c r="AB16">
        <f>O6</f>
        <v>120</v>
      </c>
      <c r="AC16">
        <f>O5</f>
        <v>14</v>
      </c>
      <c r="AD16">
        <v>0</v>
      </c>
      <c r="AE16">
        <f>AE12*O6</f>
        <v>480</v>
      </c>
      <c r="AF16">
        <f>AF12*O7</f>
        <v>220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f>AO12*O7</f>
        <v>44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f>AU12*O7</f>
        <v>176</v>
      </c>
      <c r="AV16">
        <f>AV12*O7</f>
        <v>88</v>
      </c>
      <c r="AW16">
        <f>AW12*O7</f>
        <v>44</v>
      </c>
      <c r="AX16">
        <v>0</v>
      </c>
      <c r="AY16">
        <f>2*O4+O7</f>
        <v>48.2</v>
      </c>
      <c r="AZ16">
        <f>AZ12*O4</f>
        <v>16.8</v>
      </c>
      <c r="BA16">
        <f>4*O4+O7</f>
        <v>52.4</v>
      </c>
      <c r="BB16">
        <v>0</v>
      </c>
      <c r="BC16">
        <f>(4*O4)+(4*O7)</f>
        <v>184.4</v>
      </c>
      <c r="BD16">
        <f>4*O4+3*O7</f>
        <v>140.4</v>
      </c>
      <c r="BE16">
        <f>2*O4+4*O8</f>
        <v>180.2</v>
      </c>
      <c r="BF16">
        <f>BF12*O8</f>
        <v>220</v>
      </c>
      <c r="BG16" s="1">
        <f>BG12*O8</f>
        <v>220</v>
      </c>
      <c r="BH16" s="1">
        <f>BH12*O8</f>
        <v>88</v>
      </c>
      <c r="BI16" s="1">
        <f>BI12*O8</f>
        <v>220</v>
      </c>
      <c r="BJ16" s="1">
        <f>BJ12*O8</f>
        <v>132</v>
      </c>
      <c r="BK16" s="1">
        <f>BK12*O8</f>
        <v>44</v>
      </c>
      <c r="BL16">
        <f>BL12*O8</f>
        <v>132</v>
      </c>
    </row>
    <row r="17" spans="1:68" x14ac:dyDescent="0.35">
      <c r="A17" s="3" t="s">
        <v>84</v>
      </c>
      <c r="B17" s="59" t="s">
        <v>7</v>
      </c>
      <c r="C17" s="59">
        <v>50</v>
      </c>
      <c r="D17" s="15" t="s">
        <v>68</v>
      </c>
      <c r="E17" s="15" t="s">
        <v>85</v>
      </c>
      <c r="F17" s="2" t="s">
        <v>69</v>
      </c>
      <c r="G17" s="2" t="s">
        <v>86</v>
      </c>
      <c r="K17" s="1" t="s">
        <v>394</v>
      </c>
      <c r="L17" s="1">
        <f>L16</f>
        <v>42</v>
      </c>
      <c r="M17" s="1">
        <f>SUM(L16:M16)</f>
        <v>72.099999999999994</v>
      </c>
      <c r="N17" s="1">
        <f>SUM(L16:N16)</f>
        <v>100.1</v>
      </c>
      <c r="O17" s="1">
        <f>SUM(L16:O16)</f>
        <v>144.19999999999999</v>
      </c>
      <c r="P17" s="1">
        <f>SUM(L16:P16)</f>
        <v>145.79999999999998</v>
      </c>
      <c r="Q17" s="1">
        <f>SUM(L16:Q16)</f>
        <v>281.39999999999998</v>
      </c>
      <c r="R17" s="1">
        <f>SUM(L16:R16)</f>
        <v>761.4</v>
      </c>
      <c r="S17" s="1">
        <f>SUM(L16:S16)</f>
        <v>806.6</v>
      </c>
      <c r="T17" s="1">
        <f>SUM(L16:T16)</f>
        <v>1074.5999999999999</v>
      </c>
      <c r="U17" s="1">
        <f>SUM(L16:U16)</f>
        <v>1434.6</v>
      </c>
      <c r="V17" s="1">
        <f>SUM(L16:V16)</f>
        <v>2154.6</v>
      </c>
      <c r="W17" s="1">
        <f>SUM(L16:W16)</f>
        <v>2634.6</v>
      </c>
      <c r="X17" s="1">
        <f>SUM(L16:X16)</f>
        <v>2662.6</v>
      </c>
      <c r="Y17" s="1">
        <f>SUM(L16:Y16)</f>
        <v>2782.6</v>
      </c>
      <c r="Z17" s="1">
        <f>SUM(L16:Z16)</f>
        <v>2782.6</v>
      </c>
      <c r="AA17" s="1">
        <f>SUM(L16:AA16)</f>
        <v>2916.6</v>
      </c>
      <c r="AB17" s="1">
        <f>SUM(L16:AB16)</f>
        <v>3036.6</v>
      </c>
      <c r="AC17" s="1">
        <f>SUM(L16:AC16)</f>
        <v>3050.6</v>
      </c>
      <c r="AD17" s="1">
        <f>SUM(L16:AD16)</f>
        <v>3050.6</v>
      </c>
      <c r="AE17" s="1">
        <f>SUM(L16:AE16)</f>
        <v>3530.6</v>
      </c>
      <c r="AF17" s="1">
        <f>SUM(L16:AF16)</f>
        <v>3750.6</v>
      </c>
      <c r="AG17" s="1">
        <f>SUM(L16:AG16)</f>
        <v>3750.6</v>
      </c>
      <c r="AH17" s="1">
        <f>SUM(L16:AH16)</f>
        <v>3750.6</v>
      </c>
      <c r="AI17" s="1">
        <f>SUM(L16:AI16)</f>
        <v>3750.6</v>
      </c>
      <c r="AJ17" s="1">
        <f>SUM(L16:AJ16)</f>
        <v>3750.6</v>
      </c>
      <c r="AK17" s="1">
        <f>SUM(L16:AK16)</f>
        <v>3750.6</v>
      </c>
      <c r="AL17" s="1">
        <f>SUM(L16:AL16)</f>
        <v>3750.6</v>
      </c>
      <c r="AM17" s="1">
        <f>SUM(L16:AM16)</f>
        <v>3750.6</v>
      </c>
      <c r="AN17" s="1">
        <f>SUM(L16:AN16)</f>
        <v>3750.6</v>
      </c>
      <c r="AO17" s="1">
        <f>SUM(L16:AO16)</f>
        <v>3794.6</v>
      </c>
      <c r="AP17" s="1">
        <f>SUM(L16:AP16)</f>
        <v>3794.6</v>
      </c>
      <c r="AQ17" s="1">
        <f>SUM(L16:AQ16)</f>
        <v>3794.6</v>
      </c>
      <c r="AR17" s="1">
        <f>SUM(L16:AR16)</f>
        <v>3794.6</v>
      </c>
      <c r="AS17" s="1">
        <f>SUM(L16:AS16)</f>
        <v>3794.6</v>
      </c>
      <c r="AT17" s="1">
        <f>SUM(L16:AT16)</f>
        <v>3794.6</v>
      </c>
      <c r="AU17" s="1">
        <f>SUM(L16:AU16)</f>
        <v>3970.6</v>
      </c>
      <c r="AV17" s="1">
        <f>SUM(L16:AV16)</f>
        <v>4058.6</v>
      </c>
      <c r="AW17" s="1">
        <f>SUM(L16:AW16)</f>
        <v>4102.6000000000004</v>
      </c>
      <c r="AX17" s="1">
        <f>SUM(L16:AX16)</f>
        <v>4102.6000000000004</v>
      </c>
      <c r="AY17" s="1">
        <f>SUM(L16:AY16)</f>
        <v>4150.8</v>
      </c>
      <c r="AZ17" s="1">
        <f>SUM(L16:AZ16)</f>
        <v>4167.6000000000004</v>
      </c>
      <c r="BA17" s="1">
        <f>SUM(L16:BA16)</f>
        <v>4220</v>
      </c>
      <c r="BB17" s="1">
        <f>SUM(L16:BB16)</f>
        <v>4220</v>
      </c>
      <c r="BC17" s="1">
        <f>SUM(L16:BC16)</f>
        <v>4404.3999999999996</v>
      </c>
      <c r="BD17" s="1">
        <f>SUM(L16:BD16)</f>
        <v>4544.7999999999993</v>
      </c>
      <c r="BE17" s="1">
        <f>SUM(L16:BE16)</f>
        <v>4724.9999999999991</v>
      </c>
      <c r="BF17" s="1">
        <f>SUM(L16:BF16)</f>
        <v>4944.9999999999991</v>
      </c>
      <c r="BG17" s="1">
        <f>SUM(L16:BG16)</f>
        <v>5164.9999999999991</v>
      </c>
      <c r="BH17" s="1">
        <f>SUM(L16:BH16)</f>
        <v>5252.9999999999991</v>
      </c>
      <c r="BI17" s="1">
        <f>SUM(L16:BI16)</f>
        <v>5472.9999999999991</v>
      </c>
      <c r="BJ17" s="1">
        <f>SUM(L16:BJ16)</f>
        <v>5604.9999999999991</v>
      </c>
      <c r="BK17" s="1">
        <f>SUM(L16:BK16)</f>
        <v>5648.9999999999991</v>
      </c>
      <c r="BL17" s="1">
        <f>SUM(L16:BL16)</f>
        <v>5780.9999999999991</v>
      </c>
      <c r="BM17" s="1"/>
      <c r="BN17" s="1"/>
      <c r="BO17" s="1"/>
      <c r="BP17" s="1"/>
    </row>
    <row r="18" spans="1:68" x14ac:dyDescent="0.35">
      <c r="A18" s="3" t="s">
        <v>87</v>
      </c>
      <c r="B18" s="59" t="s">
        <v>7</v>
      </c>
      <c r="C18" s="59">
        <v>50</v>
      </c>
      <c r="D18" s="15" t="s">
        <v>68</v>
      </c>
      <c r="E18" s="15" t="s">
        <v>85</v>
      </c>
      <c r="F18" s="2" t="s">
        <v>69</v>
      </c>
      <c r="G18" s="2" t="s">
        <v>86</v>
      </c>
      <c r="K18" s="1" t="s">
        <v>396</v>
      </c>
      <c r="L18" s="1">
        <f>L17/1000</f>
        <v>4.2000000000000003E-2</v>
      </c>
      <c r="M18" s="1">
        <f>M17/1000</f>
        <v>7.2099999999999997E-2</v>
      </c>
      <c r="N18" s="1">
        <f t="shared" ref="N18:BK18" si="0">N17/1000</f>
        <v>0.10009999999999999</v>
      </c>
      <c r="O18" s="1">
        <f t="shared" si="0"/>
        <v>0.14419999999999999</v>
      </c>
      <c r="P18" s="1">
        <f t="shared" si="0"/>
        <v>0.14579999999999999</v>
      </c>
      <c r="Q18" s="1">
        <f t="shared" si="0"/>
        <v>0.28139999999999998</v>
      </c>
      <c r="R18" s="1">
        <f t="shared" si="0"/>
        <v>0.76139999999999997</v>
      </c>
      <c r="S18" s="1">
        <f t="shared" si="0"/>
        <v>0.80659999999999998</v>
      </c>
      <c r="T18" s="1">
        <f t="shared" si="0"/>
        <v>1.0746</v>
      </c>
      <c r="U18" s="1">
        <f>U17/1000</f>
        <v>1.4345999999999999</v>
      </c>
      <c r="V18" s="1">
        <f t="shared" si="0"/>
        <v>2.1545999999999998</v>
      </c>
      <c r="W18" s="1">
        <f t="shared" si="0"/>
        <v>2.6345999999999998</v>
      </c>
      <c r="X18" s="1">
        <f t="shared" si="0"/>
        <v>2.6625999999999999</v>
      </c>
      <c r="Y18" s="1">
        <f t="shared" si="0"/>
        <v>2.7826</v>
      </c>
      <c r="Z18" s="1">
        <f t="shared" si="0"/>
        <v>2.7826</v>
      </c>
      <c r="AA18" s="1">
        <f t="shared" si="0"/>
        <v>2.9165999999999999</v>
      </c>
      <c r="AB18" s="1">
        <f t="shared" si="0"/>
        <v>3.0366</v>
      </c>
      <c r="AC18" s="1">
        <f t="shared" si="0"/>
        <v>3.0505999999999998</v>
      </c>
      <c r="AD18" s="1">
        <f t="shared" si="0"/>
        <v>3.0505999999999998</v>
      </c>
      <c r="AE18" s="1">
        <f t="shared" si="0"/>
        <v>3.5305999999999997</v>
      </c>
      <c r="AF18" s="1">
        <f t="shared" si="0"/>
        <v>3.7505999999999999</v>
      </c>
      <c r="AG18" s="1">
        <f t="shared" si="0"/>
        <v>3.7505999999999999</v>
      </c>
      <c r="AH18" s="1">
        <f t="shared" si="0"/>
        <v>3.7505999999999999</v>
      </c>
      <c r="AI18" s="1">
        <f t="shared" si="0"/>
        <v>3.7505999999999999</v>
      </c>
      <c r="AJ18" s="1">
        <f t="shared" si="0"/>
        <v>3.7505999999999999</v>
      </c>
      <c r="AK18" s="1">
        <f t="shared" si="0"/>
        <v>3.7505999999999999</v>
      </c>
      <c r="AL18" s="1">
        <f t="shared" si="0"/>
        <v>3.7505999999999999</v>
      </c>
      <c r="AM18" s="1">
        <f t="shared" si="0"/>
        <v>3.7505999999999999</v>
      </c>
      <c r="AN18" s="1">
        <f t="shared" si="0"/>
        <v>3.7505999999999999</v>
      </c>
      <c r="AO18" s="1">
        <f t="shared" si="0"/>
        <v>3.7946</v>
      </c>
      <c r="AP18" s="1">
        <f t="shared" si="0"/>
        <v>3.7946</v>
      </c>
      <c r="AQ18" s="1">
        <f t="shared" si="0"/>
        <v>3.7946</v>
      </c>
      <c r="AR18" s="1">
        <f t="shared" si="0"/>
        <v>3.7946</v>
      </c>
      <c r="AS18" s="1">
        <f t="shared" si="0"/>
        <v>3.7946</v>
      </c>
      <c r="AT18" s="1">
        <f t="shared" si="0"/>
        <v>3.7946</v>
      </c>
      <c r="AU18" s="1">
        <f t="shared" si="0"/>
        <v>3.9706000000000001</v>
      </c>
      <c r="AV18" s="1">
        <f t="shared" si="0"/>
        <v>4.0586000000000002</v>
      </c>
      <c r="AW18" s="1">
        <f t="shared" si="0"/>
        <v>4.1026000000000007</v>
      </c>
      <c r="AX18" s="1">
        <f t="shared" si="0"/>
        <v>4.1026000000000007</v>
      </c>
      <c r="AY18" s="1">
        <f t="shared" si="0"/>
        <v>4.1508000000000003</v>
      </c>
      <c r="AZ18" s="1">
        <f t="shared" si="0"/>
        <v>4.1676000000000002</v>
      </c>
      <c r="BA18" s="1">
        <f t="shared" si="0"/>
        <v>4.22</v>
      </c>
      <c r="BB18" s="1">
        <f t="shared" si="0"/>
        <v>4.22</v>
      </c>
      <c r="BC18" s="1">
        <f t="shared" si="0"/>
        <v>4.4043999999999999</v>
      </c>
      <c r="BD18" s="1">
        <f t="shared" si="0"/>
        <v>4.5447999999999995</v>
      </c>
      <c r="BE18" s="1">
        <f t="shared" si="0"/>
        <v>4.7249999999999988</v>
      </c>
      <c r="BF18" s="1">
        <f t="shared" si="0"/>
        <v>4.9449999999999994</v>
      </c>
      <c r="BG18" s="1">
        <f t="shared" si="0"/>
        <v>5.1649999999999991</v>
      </c>
      <c r="BH18" s="1">
        <f t="shared" si="0"/>
        <v>5.2529999999999992</v>
      </c>
      <c r="BI18" s="1">
        <f t="shared" si="0"/>
        <v>5.472999999999999</v>
      </c>
      <c r="BJ18" s="1">
        <f t="shared" si="0"/>
        <v>5.6049999999999986</v>
      </c>
      <c r="BK18" s="1">
        <f>BK17/1000</f>
        <v>5.6489999999999991</v>
      </c>
      <c r="BL18" s="1">
        <f>BL17/1000</f>
        <v>5.7809999999999988</v>
      </c>
    </row>
    <row r="19" spans="1:68" ht="15.5" x14ac:dyDescent="0.35">
      <c r="A19" s="25" t="s">
        <v>88</v>
      </c>
      <c r="B19" s="64"/>
      <c r="C19" s="64"/>
      <c r="D19" s="64"/>
      <c r="E19" s="64"/>
      <c r="F19" s="64"/>
      <c r="G19" s="65"/>
      <c r="H19" s="47">
        <v>2018</v>
      </c>
      <c r="K19" s="1" t="s">
        <v>390</v>
      </c>
      <c r="L19" s="1">
        <f t="shared" ref="L19:AQ19" si="1">L15/L18</f>
        <v>3571.4285714285711</v>
      </c>
      <c r="M19" s="1">
        <f t="shared" si="1"/>
        <v>3814.1470180305132</v>
      </c>
      <c r="N19" s="1">
        <f t="shared" si="1"/>
        <v>3746.2537462537466</v>
      </c>
      <c r="O19" s="1">
        <f t="shared" si="1"/>
        <v>3814.1470180305132</v>
      </c>
      <c r="P19" s="1">
        <f t="shared" si="1"/>
        <v>3806.5843621399181</v>
      </c>
      <c r="Q19" s="1">
        <f t="shared" si="1"/>
        <v>2523.0987917555085</v>
      </c>
      <c r="R19" s="1">
        <f t="shared" si="1"/>
        <v>1457.8408195429472</v>
      </c>
      <c r="S19" s="1">
        <f t="shared" si="1"/>
        <v>1574.5102901066205</v>
      </c>
      <c r="T19" s="1">
        <f t="shared" si="1"/>
        <v>1461.0087474409083</v>
      </c>
      <c r="U19" s="1">
        <f t="shared" si="1"/>
        <v>1303.4992332357454</v>
      </c>
      <c r="V19" s="1">
        <f t="shared" si="1"/>
        <v>1146.3844797178131</v>
      </c>
      <c r="W19" s="1">
        <f t="shared" si="1"/>
        <v>1089.349426857967</v>
      </c>
      <c r="X19" s="1">
        <f t="shared" si="1"/>
        <v>1115.4510628708781</v>
      </c>
      <c r="Y19" s="1">
        <f t="shared" si="1"/>
        <v>1103.2846977646805</v>
      </c>
      <c r="Z19" s="1">
        <f t="shared" si="1"/>
        <v>1103.2846977646805</v>
      </c>
      <c r="AA19" s="1">
        <f t="shared" si="1"/>
        <v>1104.0252348625113</v>
      </c>
      <c r="AB19" s="1">
        <f t="shared" si="1"/>
        <v>1093.3280642824211</v>
      </c>
      <c r="AC19" s="1">
        <f t="shared" si="1"/>
        <v>1104.7007146135188</v>
      </c>
      <c r="AD19" s="1">
        <f t="shared" si="1"/>
        <v>1104.7007146135188</v>
      </c>
      <c r="AE19" s="1">
        <f t="shared" si="1"/>
        <v>1067.8071715855663</v>
      </c>
      <c r="AF19" s="1">
        <f t="shared" si="1"/>
        <v>1111.8221084626459</v>
      </c>
      <c r="AG19" s="1">
        <f t="shared" si="1"/>
        <v>1111.8221084626459</v>
      </c>
      <c r="AH19" s="1">
        <f t="shared" si="1"/>
        <v>1111.8221084626459</v>
      </c>
      <c r="AI19" s="1">
        <f t="shared" si="1"/>
        <v>1111.8221084626459</v>
      </c>
      <c r="AJ19" s="1">
        <f t="shared" si="1"/>
        <v>1111.8221084626459</v>
      </c>
      <c r="AK19" s="1">
        <f t="shared" si="1"/>
        <v>1111.8221084626459</v>
      </c>
      <c r="AL19" s="1">
        <f t="shared" si="1"/>
        <v>1111.8221084626459</v>
      </c>
      <c r="AM19" s="1">
        <f t="shared" si="1"/>
        <v>1111.8221084626459</v>
      </c>
      <c r="AN19" s="1">
        <f t="shared" si="1"/>
        <v>1111.8221084626459</v>
      </c>
      <c r="AO19" s="1">
        <f t="shared" si="1"/>
        <v>1125.2832973172403</v>
      </c>
      <c r="AP19" s="1">
        <f t="shared" si="1"/>
        <v>1125.2832973172403</v>
      </c>
      <c r="AQ19" s="1">
        <f t="shared" si="1"/>
        <v>1125.2832973172403</v>
      </c>
      <c r="AR19" s="1">
        <f t="shared" ref="AR19:BK19" si="2">AR15/AR18</f>
        <v>1125.2832973172403</v>
      </c>
      <c r="AS19" s="1">
        <f t="shared" si="2"/>
        <v>1125.2832973172403</v>
      </c>
      <c r="AT19" s="1">
        <f t="shared" si="2"/>
        <v>1125.2832973172403</v>
      </c>
      <c r="AU19" s="1">
        <f t="shared" si="2"/>
        <v>1176.1446632750717</v>
      </c>
      <c r="AV19" s="1">
        <f t="shared" si="2"/>
        <v>1199.9211550781056</v>
      </c>
      <c r="AW19" s="1">
        <f t="shared" si="2"/>
        <v>1211.4269000146246</v>
      </c>
      <c r="AX19" s="1">
        <f t="shared" si="2"/>
        <v>1211.4269000146246</v>
      </c>
      <c r="AY19" s="1">
        <f t="shared" si="2"/>
        <v>1233.4971571745205</v>
      </c>
      <c r="AZ19" s="1">
        <f t="shared" si="2"/>
        <v>1276.5140608503696</v>
      </c>
      <c r="BA19" s="1">
        <f t="shared" si="2"/>
        <v>1308.0568720379147</v>
      </c>
      <c r="BB19" s="1">
        <f t="shared" si="2"/>
        <v>1308.0568720379147</v>
      </c>
      <c r="BC19" s="1">
        <f t="shared" si="2"/>
        <v>1366.8150031786395</v>
      </c>
      <c r="BD19" s="1">
        <f t="shared" si="2"/>
        <v>1412.6034148917445</v>
      </c>
      <c r="BE19" s="1">
        <f t="shared" si="2"/>
        <v>1453.9682539682544</v>
      </c>
      <c r="BF19" s="1">
        <f t="shared" si="2"/>
        <v>1490.3943377148637</v>
      </c>
      <c r="BG19" s="1">
        <f t="shared" si="2"/>
        <v>1523.7173281703779</v>
      </c>
      <c r="BH19" s="1">
        <f t="shared" si="2"/>
        <v>1536.2649914334668</v>
      </c>
      <c r="BI19" s="1">
        <f t="shared" si="2"/>
        <v>1565.8688105243928</v>
      </c>
      <c r="BJ19" s="1">
        <f>BJ15/BJ18</f>
        <v>1582.5156110615526</v>
      </c>
      <c r="BK19" s="1">
        <f>BK15/BK18</f>
        <v>1587.8916622411048</v>
      </c>
      <c r="BL19" s="1">
        <f>BL15/BL18</f>
        <v>1603.5288012454596</v>
      </c>
    </row>
    <row r="20" spans="1:68" s="1" customFormat="1" x14ac:dyDescent="0.35">
      <c r="A20" s="19" t="s">
        <v>61</v>
      </c>
      <c r="B20" s="20" t="s">
        <v>62</v>
      </c>
      <c r="C20" s="20"/>
      <c r="D20" s="20" t="s">
        <v>63</v>
      </c>
      <c r="E20" s="21" t="s">
        <v>64</v>
      </c>
      <c r="F20" s="21" t="s">
        <v>65</v>
      </c>
      <c r="G20" s="21" t="s">
        <v>66</v>
      </c>
      <c r="H20"/>
    </row>
    <row r="21" spans="1:68" s="1" customFormat="1" x14ac:dyDescent="0.35">
      <c r="A21" s="3" t="s">
        <v>89</v>
      </c>
      <c r="B21" s="59" t="s">
        <v>7</v>
      </c>
      <c r="C21" s="59">
        <v>50</v>
      </c>
      <c r="D21" s="15" t="s">
        <v>68</v>
      </c>
      <c r="E21" s="15" t="s">
        <v>85</v>
      </c>
      <c r="F21" s="2" t="s">
        <v>69</v>
      </c>
      <c r="G21" s="2" t="s">
        <v>86</v>
      </c>
      <c r="H21"/>
      <c r="K21"/>
      <c r="L21">
        <f>L13*20</f>
        <v>60</v>
      </c>
      <c r="M21" s="1">
        <f t="shared" ref="M21:AR21" si="3">M13*50</f>
        <v>300</v>
      </c>
      <c r="N21" s="1">
        <f t="shared" si="3"/>
        <v>400</v>
      </c>
      <c r="O21" s="1">
        <f t="shared" si="3"/>
        <v>600</v>
      </c>
      <c r="P21" s="1">
        <f t="shared" si="3"/>
        <v>650</v>
      </c>
      <c r="Q21" s="1">
        <f t="shared" si="3"/>
        <v>800</v>
      </c>
      <c r="R21" s="1">
        <f t="shared" si="3"/>
        <v>1000</v>
      </c>
      <c r="S21" s="1">
        <f t="shared" si="3"/>
        <v>1200</v>
      </c>
      <c r="T21" s="1">
        <f t="shared" si="3"/>
        <v>1400</v>
      </c>
      <c r="U21" s="1">
        <f t="shared" si="3"/>
        <v>1550</v>
      </c>
      <c r="V21" s="1">
        <f t="shared" si="3"/>
        <v>1850</v>
      </c>
      <c r="W21" s="1">
        <f t="shared" si="3"/>
        <v>2050</v>
      </c>
      <c r="X21" s="1">
        <f t="shared" si="3"/>
        <v>2150</v>
      </c>
      <c r="Y21" s="1">
        <f t="shared" si="3"/>
        <v>2200</v>
      </c>
      <c r="Z21" s="1">
        <f t="shared" si="3"/>
        <v>2200</v>
      </c>
      <c r="AA21" s="1">
        <f t="shared" si="3"/>
        <v>2300</v>
      </c>
      <c r="AB21" s="1">
        <f t="shared" si="3"/>
        <v>2350</v>
      </c>
      <c r="AC21" s="1">
        <f t="shared" si="3"/>
        <v>2400</v>
      </c>
      <c r="AD21" s="1">
        <f t="shared" si="3"/>
        <v>2400</v>
      </c>
      <c r="AE21" s="1">
        <f t="shared" si="3"/>
        <v>2600</v>
      </c>
      <c r="AF21" s="1">
        <f t="shared" si="3"/>
        <v>2850</v>
      </c>
      <c r="AG21" s="1">
        <f t="shared" si="3"/>
        <v>2850</v>
      </c>
      <c r="AH21" s="1">
        <f t="shared" si="3"/>
        <v>2850</v>
      </c>
      <c r="AI21" s="1">
        <f t="shared" si="3"/>
        <v>2850</v>
      </c>
      <c r="AJ21" s="1">
        <f t="shared" si="3"/>
        <v>2850</v>
      </c>
      <c r="AK21" s="1">
        <f t="shared" si="3"/>
        <v>2850</v>
      </c>
      <c r="AL21" s="1">
        <f t="shared" si="3"/>
        <v>2850</v>
      </c>
      <c r="AM21" s="1">
        <f t="shared" si="3"/>
        <v>2850</v>
      </c>
      <c r="AN21" s="1">
        <f t="shared" si="3"/>
        <v>2850</v>
      </c>
      <c r="AO21" s="1">
        <f t="shared" si="3"/>
        <v>2900</v>
      </c>
      <c r="AP21" s="1">
        <f t="shared" si="3"/>
        <v>2900</v>
      </c>
      <c r="AQ21" s="1">
        <f t="shared" si="3"/>
        <v>2900</v>
      </c>
      <c r="AR21" s="1">
        <f t="shared" si="3"/>
        <v>2900</v>
      </c>
      <c r="AS21" s="1">
        <f t="shared" ref="AS21:BK21" si="4">AS13*50</f>
        <v>2900</v>
      </c>
      <c r="AT21" s="1">
        <f t="shared" si="4"/>
        <v>2900</v>
      </c>
      <c r="AU21" s="1">
        <f t="shared" si="4"/>
        <v>3100</v>
      </c>
      <c r="AV21" s="1">
        <f t="shared" si="4"/>
        <v>3200</v>
      </c>
      <c r="AW21" s="1">
        <f t="shared" si="4"/>
        <v>3250</v>
      </c>
      <c r="AX21" s="1">
        <f t="shared" si="4"/>
        <v>3250</v>
      </c>
      <c r="AY21" s="1">
        <f t="shared" si="4"/>
        <v>3400</v>
      </c>
      <c r="AZ21" s="1">
        <f t="shared" si="4"/>
        <v>3800</v>
      </c>
      <c r="BA21" s="1">
        <f t="shared" si="4"/>
        <v>4050</v>
      </c>
      <c r="BB21" s="1">
        <f t="shared" si="4"/>
        <v>4050</v>
      </c>
      <c r="BC21" s="1">
        <f t="shared" si="4"/>
        <v>4450</v>
      </c>
      <c r="BD21" s="1">
        <f t="shared" si="4"/>
        <v>4800</v>
      </c>
      <c r="BE21" s="1">
        <f t="shared" si="4"/>
        <v>5100</v>
      </c>
      <c r="BF21" s="1">
        <f t="shared" si="4"/>
        <v>5350</v>
      </c>
      <c r="BG21" s="1">
        <f t="shared" si="4"/>
        <v>5600</v>
      </c>
      <c r="BH21" s="1">
        <f t="shared" si="4"/>
        <v>5700</v>
      </c>
      <c r="BI21" s="1">
        <f>BI13*50</f>
        <v>5950</v>
      </c>
      <c r="BJ21" s="1">
        <f>BJ13*50</f>
        <v>6100</v>
      </c>
      <c r="BK21" s="1">
        <f>BK13*50</f>
        <v>6150</v>
      </c>
    </row>
    <row r="22" spans="1:68" x14ac:dyDescent="0.35">
      <c r="A22" s="3" t="s">
        <v>90</v>
      </c>
      <c r="B22" s="59" t="s">
        <v>7</v>
      </c>
      <c r="C22" s="59">
        <v>50</v>
      </c>
      <c r="D22" s="15" t="s">
        <v>68</v>
      </c>
      <c r="E22" s="15" t="s">
        <v>85</v>
      </c>
      <c r="F22" s="2" t="s">
        <v>69</v>
      </c>
      <c r="G22" s="2" t="s">
        <v>86</v>
      </c>
    </row>
    <row r="23" spans="1:68" x14ac:dyDescent="0.35">
      <c r="A23" s="3" t="s">
        <v>91</v>
      </c>
      <c r="B23" s="59" t="s">
        <v>7</v>
      </c>
      <c r="C23" s="59">
        <v>50</v>
      </c>
      <c r="D23" s="15" t="s">
        <v>68</v>
      </c>
      <c r="E23" s="15" t="s">
        <v>85</v>
      </c>
      <c r="F23" s="2" t="s">
        <v>92</v>
      </c>
      <c r="G23" s="2" t="s">
        <v>93</v>
      </c>
    </row>
    <row r="24" spans="1:68" s="1" customFormat="1" x14ac:dyDescent="0.35">
      <c r="A24" s="3"/>
      <c r="B24" s="59"/>
      <c r="C24" s="59"/>
      <c r="D24" s="48"/>
      <c r="E24" s="48"/>
      <c r="F24" s="2"/>
      <c r="G24" s="2"/>
    </row>
    <row r="25" spans="1:68" x14ac:dyDescent="0.35">
      <c r="A25" s="3" t="s">
        <v>94</v>
      </c>
      <c r="B25" s="60" t="s">
        <v>11</v>
      </c>
      <c r="C25" s="60">
        <v>25</v>
      </c>
      <c r="D25" s="15" t="s">
        <v>77</v>
      </c>
      <c r="E25" s="15"/>
      <c r="F25" s="2"/>
      <c r="G25" s="2"/>
      <c r="H25" s="1"/>
      <c r="BL25" s="1"/>
    </row>
    <row r="26" spans="1:68" ht="15.5" x14ac:dyDescent="0.35">
      <c r="A26" s="49" t="s">
        <v>97</v>
      </c>
      <c r="B26" s="50"/>
      <c r="C26" s="50"/>
      <c r="D26" s="50"/>
      <c r="E26" s="50"/>
      <c r="F26" s="2" t="s">
        <v>95</v>
      </c>
      <c r="G26" s="2" t="s">
        <v>96</v>
      </c>
    </row>
    <row r="27" spans="1:68" s="1" customFormat="1" ht="15.5" x14ac:dyDescent="0.35">
      <c r="A27" s="19" t="s">
        <v>61</v>
      </c>
      <c r="B27" s="20" t="s">
        <v>62</v>
      </c>
      <c r="C27" s="20"/>
      <c r="D27" s="20" t="s">
        <v>63</v>
      </c>
      <c r="E27" s="21" t="s">
        <v>64</v>
      </c>
      <c r="F27" s="50"/>
      <c r="G27" s="51"/>
      <c r="H27"/>
    </row>
    <row r="28" spans="1:68" x14ac:dyDescent="0.35">
      <c r="A28" s="3" t="s">
        <v>98</v>
      </c>
      <c r="B28" s="62" t="s">
        <v>16</v>
      </c>
      <c r="C28" s="62">
        <v>5</v>
      </c>
      <c r="D28" s="15" t="s">
        <v>68</v>
      </c>
      <c r="E28" s="2"/>
      <c r="F28" s="21" t="s">
        <v>65</v>
      </c>
      <c r="G28" s="21" t="s">
        <v>66</v>
      </c>
    </row>
    <row r="29" spans="1:68" ht="15.5" x14ac:dyDescent="0.35">
      <c r="A29" s="49" t="s">
        <v>101</v>
      </c>
      <c r="B29" s="50"/>
      <c r="C29" s="50"/>
      <c r="D29" s="50"/>
      <c r="E29" s="50"/>
      <c r="F29" s="2" t="s">
        <v>99</v>
      </c>
      <c r="G29" s="2" t="s">
        <v>100</v>
      </c>
    </row>
    <row r="30" spans="1:68" ht="15.5" x14ac:dyDescent="0.35">
      <c r="A30" s="19" t="s">
        <v>61</v>
      </c>
      <c r="B30" s="20" t="s">
        <v>62</v>
      </c>
      <c r="C30" s="20"/>
      <c r="D30" s="20" t="s">
        <v>63</v>
      </c>
      <c r="E30" s="21" t="s">
        <v>64</v>
      </c>
      <c r="F30" s="50"/>
      <c r="G30" s="51"/>
      <c r="M30"/>
      <c r="O30"/>
      <c r="Q30"/>
      <c r="S30"/>
      <c r="U30"/>
    </row>
    <row r="31" spans="1:68" x14ac:dyDescent="0.35">
      <c r="A31" s="3" t="s">
        <v>102</v>
      </c>
      <c r="B31" s="62" t="s">
        <v>16</v>
      </c>
      <c r="C31" s="62">
        <v>5</v>
      </c>
      <c r="D31" s="15" t="s">
        <v>68</v>
      </c>
      <c r="E31" s="2"/>
      <c r="F31" s="21" t="s">
        <v>65</v>
      </c>
      <c r="G31" s="21" t="s">
        <v>66</v>
      </c>
    </row>
    <row r="32" spans="1:68" x14ac:dyDescent="0.35">
      <c r="A32" s="3" t="s">
        <v>105</v>
      </c>
      <c r="B32" s="59" t="s">
        <v>7</v>
      </c>
      <c r="C32" s="59">
        <v>50</v>
      </c>
      <c r="D32" s="15" t="s">
        <v>68</v>
      </c>
      <c r="E32" s="2"/>
      <c r="F32" s="2" t="s">
        <v>103</v>
      </c>
      <c r="G32" s="2" t="s">
        <v>104</v>
      </c>
    </row>
    <row r="33" spans="1:63" x14ac:dyDescent="0.35">
      <c r="A33" s="3" t="s">
        <v>107</v>
      </c>
      <c r="B33" s="15" t="s">
        <v>20</v>
      </c>
      <c r="C33" s="48">
        <v>100</v>
      </c>
      <c r="D33" s="15" t="s">
        <v>68</v>
      </c>
      <c r="E33" s="2"/>
      <c r="F33" s="2" t="s">
        <v>69</v>
      </c>
      <c r="G33" s="2" t="s">
        <v>106</v>
      </c>
    </row>
    <row r="34" spans="1:63" ht="15.5" x14ac:dyDescent="0.35">
      <c r="A34" s="49" t="s">
        <v>110</v>
      </c>
      <c r="B34" s="50"/>
      <c r="C34" s="50"/>
      <c r="D34" s="50"/>
      <c r="E34" s="50"/>
      <c r="F34" s="2" t="s">
        <v>108</v>
      </c>
      <c r="G34" s="2" t="s">
        <v>109</v>
      </c>
      <c r="K34" s="1"/>
      <c r="L34" s="1"/>
      <c r="N34" s="1"/>
      <c r="P34" s="1"/>
      <c r="R34" s="1"/>
      <c r="T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15.5" x14ac:dyDescent="0.35">
      <c r="A35" s="19" t="s">
        <v>61</v>
      </c>
      <c r="B35" s="20" t="s">
        <v>62</v>
      </c>
      <c r="C35" s="20"/>
      <c r="D35" s="20" t="s">
        <v>63</v>
      </c>
      <c r="E35" s="21" t="s">
        <v>64</v>
      </c>
      <c r="F35" s="50"/>
      <c r="G35" s="51"/>
      <c r="N35" s="1"/>
      <c r="P35" s="1"/>
      <c r="R35" s="1"/>
      <c r="T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x14ac:dyDescent="0.35">
      <c r="A36" s="22" t="s">
        <v>111</v>
      </c>
      <c r="B36" s="15" t="s">
        <v>20</v>
      </c>
      <c r="C36" s="48">
        <v>100</v>
      </c>
      <c r="D36" s="15" t="s">
        <v>68</v>
      </c>
      <c r="E36" s="15"/>
      <c r="F36" s="21" t="s">
        <v>65</v>
      </c>
      <c r="G36" s="21" t="s">
        <v>66</v>
      </c>
      <c r="Q36"/>
      <c r="S36"/>
      <c r="U36"/>
    </row>
    <row r="37" spans="1:63" x14ac:dyDescent="0.35">
      <c r="A37" s="22" t="s">
        <v>114</v>
      </c>
      <c r="B37" s="15" t="s">
        <v>20</v>
      </c>
      <c r="C37" s="48">
        <v>100</v>
      </c>
      <c r="D37" s="15" t="s">
        <v>68</v>
      </c>
      <c r="E37" s="15" t="s">
        <v>115</v>
      </c>
      <c r="F37" s="23" t="s">
        <v>112</v>
      </c>
      <c r="G37" s="2" t="s">
        <v>113</v>
      </c>
      <c r="Q37"/>
      <c r="S37"/>
      <c r="U37"/>
    </row>
    <row r="38" spans="1:63" x14ac:dyDescent="0.35">
      <c r="A38" s="3" t="s">
        <v>118</v>
      </c>
      <c r="B38" s="15" t="s">
        <v>20</v>
      </c>
      <c r="C38" s="48">
        <v>100</v>
      </c>
      <c r="D38" s="15" t="s">
        <v>68</v>
      </c>
      <c r="E38" s="15" t="s">
        <v>115</v>
      </c>
      <c r="F38" s="23" t="s">
        <v>116</v>
      </c>
      <c r="G38" s="2" t="s">
        <v>117</v>
      </c>
      <c r="Q38"/>
      <c r="S38"/>
      <c r="U38"/>
    </row>
    <row r="39" spans="1:63" x14ac:dyDescent="0.35">
      <c r="A39" s="22" t="s">
        <v>121</v>
      </c>
      <c r="B39" s="15" t="s">
        <v>20</v>
      </c>
      <c r="C39" s="48">
        <v>100</v>
      </c>
      <c r="D39" s="15" t="s">
        <v>68</v>
      </c>
      <c r="E39" s="15"/>
      <c r="F39" s="2" t="s">
        <v>119</v>
      </c>
      <c r="G39" s="2" t="s">
        <v>120</v>
      </c>
      <c r="Q39"/>
      <c r="S39"/>
      <c r="U39"/>
    </row>
    <row r="40" spans="1:63" ht="15.5" x14ac:dyDescent="0.35">
      <c r="A40" s="49" t="s">
        <v>124</v>
      </c>
      <c r="B40" s="50"/>
      <c r="C40" s="50"/>
      <c r="D40" s="50"/>
      <c r="E40" s="50"/>
      <c r="F40" s="23" t="s">
        <v>122</v>
      </c>
      <c r="G40" s="2" t="s">
        <v>123</v>
      </c>
      <c r="Q40"/>
      <c r="S40"/>
      <c r="U40"/>
    </row>
    <row r="41" spans="1:63" ht="15.5" x14ac:dyDescent="0.35">
      <c r="A41" s="19" t="s">
        <v>61</v>
      </c>
      <c r="B41" s="20" t="s">
        <v>62</v>
      </c>
      <c r="C41" s="20"/>
      <c r="D41" s="20" t="s">
        <v>63</v>
      </c>
      <c r="E41" s="21"/>
      <c r="F41" s="50"/>
      <c r="G41" s="51"/>
      <c r="Q41"/>
      <c r="S41"/>
      <c r="U41"/>
    </row>
    <row r="42" spans="1:63" x14ac:dyDescent="0.35">
      <c r="A42" s="3" t="s">
        <v>125</v>
      </c>
      <c r="B42" s="59" t="s">
        <v>7</v>
      </c>
      <c r="C42" s="48">
        <v>50</v>
      </c>
      <c r="D42" s="15" t="s">
        <v>68</v>
      </c>
      <c r="E42" s="15"/>
      <c r="F42" s="21" t="s">
        <v>65</v>
      </c>
      <c r="G42" s="21" t="s">
        <v>66</v>
      </c>
      <c r="S42"/>
      <c r="U42"/>
    </row>
    <row r="43" spans="1:63" x14ac:dyDescent="0.35">
      <c r="A43" s="3" t="s">
        <v>128</v>
      </c>
      <c r="B43" s="59" t="s">
        <v>7</v>
      </c>
      <c r="C43" s="48">
        <v>50</v>
      </c>
      <c r="D43" s="15" t="s">
        <v>68</v>
      </c>
      <c r="E43" s="15"/>
      <c r="F43" s="2" t="s">
        <v>126</v>
      </c>
      <c r="G43" s="24" t="s">
        <v>127</v>
      </c>
      <c r="M43"/>
      <c r="O43"/>
      <c r="P43" s="1"/>
      <c r="S43"/>
      <c r="U43"/>
    </row>
    <row r="44" spans="1:63" x14ac:dyDescent="0.35">
      <c r="A44" s="3" t="s">
        <v>130</v>
      </c>
      <c r="B44" s="63" t="s">
        <v>131</v>
      </c>
      <c r="C44" s="48">
        <v>10</v>
      </c>
      <c r="D44" s="15" t="s">
        <v>68</v>
      </c>
      <c r="E44" s="15"/>
      <c r="F44" s="2" t="s">
        <v>69</v>
      </c>
      <c r="G44" s="24" t="s">
        <v>129</v>
      </c>
      <c r="M44"/>
      <c r="O44"/>
      <c r="P44" s="1"/>
      <c r="S44"/>
      <c r="U44"/>
    </row>
    <row r="45" spans="1:63" x14ac:dyDescent="0.35">
      <c r="A45" s="3" t="s">
        <v>134</v>
      </c>
      <c r="B45" s="59" t="s">
        <v>7</v>
      </c>
      <c r="C45" s="48">
        <v>50</v>
      </c>
      <c r="D45" s="15" t="s">
        <v>68</v>
      </c>
      <c r="E45" s="15"/>
      <c r="F45" s="2" t="s">
        <v>132</v>
      </c>
      <c r="G45" s="24" t="s">
        <v>133</v>
      </c>
      <c r="M45"/>
      <c r="O45"/>
      <c r="P45" s="1"/>
      <c r="S45"/>
      <c r="U45"/>
    </row>
    <row r="46" spans="1:63" ht="15.5" x14ac:dyDescent="0.35">
      <c r="A46" s="25" t="s">
        <v>137</v>
      </c>
      <c r="B46" s="26"/>
      <c r="C46" s="52"/>
      <c r="D46" s="26"/>
      <c r="E46" s="26"/>
      <c r="F46" s="2" t="s">
        <v>135</v>
      </c>
      <c r="G46" s="24" t="s">
        <v>136</v>
      </c>
      <c r="M46"/>
      <c r="O46"/>
      <c r="P46" s="1"/>
      <c r="S46"/>
      <c r="U46"/>
    </row>
    <row r="47" spans="1:63" x14ac:dyDescent="0.35">
      <c r="A47" s="19" t="s">
        <v>61</v>
      </c>
      <c r="B47" s="20" t="s">
        <v>62</v>
      </c>
      <c r="C47" s="20"/>
      <c r="D47" s="20" t="s">
        <v>63</v>
      </c>
      <c r="E47" s="21"/>
      <c r="F47" s="26"/>
      <c r="G47" s="27"/>
      <c r="M47"/>
      <c r="O47"/>
      <c r="P47" s="1"/>
      <c r="S47"/>
      <c r="U47"/>
    </row>
    <row r="48" spans="1:63" x14ac:dyDescent="0.35">
      <c r="A48" s="3" t="s">
        <v>138</v>
      </c>
      <c r="B48" s="59" t="s">
        <v>7</v>
      </c>
      <c r="C48" s="48">
        <v>50</v>
      </c>
      <c r="D48" s="15" t="s">
        <v>68</v>
      </c>
      <c r="E48" s="15"/>
      <c r="F48" s="21" t="s">
        <v>65</v>
      </c>
      <c r="G48" s="21" t="s">
        <v>66</v>
      </c>
      <c r="M48"/>
      <c r="O48"/>
      <c r="P48" s="1"/>
      <c r="S48"/>
      <c r="U48"/>
    </row>
    <row r="49" spans="1:21" x14ac:dyDescent="0.35">
      <c r="A49" s="3" t="s">
        <v>140</v>
      </c>
      <c r="B49" s="59" t="s">
        <v>7</v>
      </c>
      <c r="C49" s="48">
        <v>50</v>
      </c>
      <c r="D49" s="15" t="s">
        <v>68</v>
      </c>
      <c r="E49" s="15"/>
      <c r="F49" s="2" t="s">
        <v>139</v>
      </c>
      <c r="G49" s="24" t="s">
        <v>139</v>
      </c>
      <c r="M49"/>
      <c r="O49"/>
      <c r="P49" s="1"/>
      <c r="S49"/>
      <c r="U49"/>
    </row>
    <row r="50" spans="1:21" x14ac:dyDescent="0.35">
      <c r="A50" s="22" t="s">
        <v>142</v>
      </c>
      <c r="B50" s="15" t="s">
        <v>20</v>
      </c>
      <c r="C50" s="48">
        <v>100</v>
      </c>
      <c r="D50" s="15" t="s">
        <v>77</v>
      </c>
      <c r="E50" s="15"/>
      <c r="F50" s="2" t="s">
        <v>69</v>
      </c>
      <c r="G50" s="24" t="s">
        <v>141</v>
      </c>
      <c r="M50"/>
      <c r="O50"/>
      <c r="P50" s="1"/>
      <c r="S50"/>
      <c r="U50"/>
    </row>
    <row r="51" spans="1:21" x14ac:dyDescent="0.35">
      <c r="A51" s="3" t="s">
        <v>144</v>
      </c>
      <c r="B51" s="15" t="s">
        <v>20</v>
      </c>
      <c r="C51" s="48">
        <v>100</v>
      </c>
      <c r="D51" s="15" t="s">
        <v>77</v>
      </c>
      <c r="E51" s="15"/>
      <c r="F51" s="23" t="s">
        <v>122</v>
      </c>
      <c r="G51" s="24" t="s">
        <v>143</v>
      </c>
      <c r="M51"/>
      <c r="O51"/>
      <c r="P51" s="1"/>
      <c r="S51"/>
      <c r="U51"/>
    </row>
    <row r="52" spans="1:21" ht="15.5" x14ac:dyDescent="0.35">
      <c r="A52" s="25" t="s">
        <v>146</v>
      </c>
      <c r="B52" s="26"/>
      <c r="C52" s="48" t="str">
        <f t="shared" ref="C52:C113" si="5">RIGHT(B52,3)</f>
        <v/>
      </c>
      <c r="D52" s="26"/>
      <c r="E52" s="26"/>
      <c r="F52" s="2" t="s">
        <v>119</v>
      </c>
      <c r="G52" s="24" t="s">
        <v>145</v>
      </c>
      <c r="M52"/>
      <c r="O52"/>
      <c r="P52" s="1"/>
      <c r="S52"/>
      <c r="U52"/>
    </row>
    <row r="53" spans="1:21" x14ac:dyDescent="0.35">
      <c r="A53" s="19" t="s">
        <v>61</v>
      </c>
      <c r="B53" s="20" t="s">
        <v>62</v>
      </c>
      <c r="C53" s="48"/>
      <c r="D53" s="20" t="s">
        <v>63</v>
      </c>
      <c r="E53" s="21"/>
      <c r="F53" s="26"/>
      <c r="G53" s="27"/>
      <c r="M53"/>
      <c r="O53"/>
      <c r="P53" s="1"/>
      <c r="S53"/>
      <c r="U53"/>
    </row>
    <row r="54" spans="1:21" x14ac:dyDescent="0.35">
      <c r="A54" s="3" t="s">
        <v>147</v>
      </c>
      <c r="B54" s="48" t="s">
        <v>20</v>
      </c>
      <c r="C54" s="48">
        <v>100</v>
      </c>
      <c r="D54" s="15" t="s">
        <v>68</v>
      </c>
      <c r="E54" s="15" t="s">
        <v>148</v>
      </c>
      <c r="F54" s="21" t="s">
        <v>65</v>
      </c>
      <c r="G54" s="21" t="s">
        <v>66</v>
      </c>
      <c r="M54"/>
      <c r="O54"/>
      <c r="P54" s="1"/>
      <c r="S54"/>
      <c r="U54"/>
    </row>
    <row r="55" spans="1:21" x14ac:dyDescent="0.35">
      <c r="A55" s="22" t="s">
        <v>150</v>
      </c>
      <c r="B55" s="48" t="s">
        <v>20</v>
      </c>
      <c r="C55" s="48">
        <v>100</v>
      </c>
      <c r="D55" s="15" t="s">
        <v>68</v>
      </c>
      <c r="E55" s="15"/>
      <c r="F55" s="2" t="s">
        <v>119</v>
      </c>
      <c r="G55" s="24" t="s">
        <v>149</v>
      </c>
      <c r="M55"/>
      <c r="O55"/>
      <c r="P55" s="1"/>
      <c r="S55"/>
      <c r="U55"/>
    </row>
    <row r="56" spans="1:21" x14ac:dyDescent="0.35">
      <c r="A56" s="3" t="s">
        <v>152</v>
      </c>
      <c r="B56" s="48" t="s">
        <v>20</v>
      </c>
      <c r="C56" s="48">
        <v>100</v>
      </c>
      <c r="D56" s="15" t="s">
        <v>68</v>
      </c>
      <c r="E56" s="2"/>
      <c r="F56" s="28" t="s">
        <v>122</v>
      </c>
      <c r="G56" s="24" t="s">
        <v>151</v>
      </c>
      <c r="M56"/>
      <c r="O56"/>
      <c r="P56" s="1"/>
      <c r="S56"/>
      <c r="U56"/>
    </row>
    <row r="57" spans="1:21" ht="15.5" x14ac:dyDescent="0.35">
      <c r="A57" s="25" t="s">
        <v>155</v>
      </c>
      <c r="B57" s="26"/>
      <c r="C57" s="48" t="str">
        <f t="shared" si="5"/>
        <v/>
      </c>
      <c r="D57" s="26"/>
      <c r="E57" s="26"/>
      <c r="F57" s="23" t="s">
        <v>153</v>
      </c>
      <c r="G57" s="24" t="s">
        <v>154</v>
      </c>
      <c r="M57"/>
      <c r="O57"/>
      <c r="P57" s="1"/>
      <c r="S57"/>
      <c r="U57"/>
    </row>
    <row r="58" spans="1:21" x14ac:dyDescent="0.35">
      <c r="A58" s="19" t="s">
        <v>61</v>
      </c>
      <c r="B58" s="20" t="s">
        <v>62</v>
      </c>
      <c r="C58" s="48"/>
      <c r="D58" s="20" t="s">
        <v>63</v>
      </c>
      <c r="E58" s="21"/>
      <c r="F58" s="26"/>
      <c r="G58" s="27"/>
      <c r="M58"/>
      <c r="O58"/>
      <c r="P58" s="1"/>
      <c r="S58"/>
      <c r="U58"/>
    </row>
    <row r="59" spans="1:21" x14ac:dyDescent="0.35">
      <c r="A59" s="3" t="s">
        <v>156</v>
      </c>
      <c r="B59" s="15" t="s">
        <v>20</v>
      </c>
      <c r="C59" s="48">
        <v>100</v>
      </c>
      <c r="D59" s="15" t="s">
        <v>68</v>
      </c>
      <c r="E59" s="15" t="s">
        <v>148</v>
      </c>
      <c r="F59" s="21" t="s">
        <v>65</v>
      </c>
      <c r="G59" s="21" t="s">
        <v>66</v>
      </c>
      <c r="M59"/>
      <c r="O59"/>
      <c r="P59" s="1"/>
      <c r="S59"/>
      <c r="U59"/>
    </row>
    <row r="60" spans="1:21" x14ac:dyDescent="0.35">
      <c r="A60" s="22" t="s">
        <v>158</v>
      </c>
      <c r="B60" s="48" t="s">
        <v>20</v>
      </c>
      <c r="C60" s="48">
        <v>100</v>
      </c>
      <c r="D60" s="15" t="s">
        <v>68</v>
      </c>
      <c r="E60" s="15" t="s">
        <v>159</v>
      </c>
      <c r="F60" s="2" t="s">
        <v>119</v>
      </c>
      <c r="G60" s="24" t="s">
        <v>157</v>
      </c>
      <c r="M60"/>
      <c r="O60"/>
      <c r="P60" s="1"/>
      <c r="S60"/>
      <c r="U60"/>
    </row>
    <row r="61" spans="1:21" x14ac:dyDescent="0.35">
      <c r="A61" s="3" t="s">
        <v>161</v>
      </c>
      <c r="B61" s="48" t="s">
        <v>20</v>
      </c>
      <c r="C61" s="48">
        <v>100</v>
      </c>
      <c r="D61" s="15" t="s">
        <v>68</v>
      </c>
      <c r="E61" s="15" t="s">
        <v>159</v>
      </c>
      <c r="F61" s="23" t="s">
        <v>122</v>
      </c>
      <c r="G61" s="24" t="s">
        <v>160</v>
      </c>
      <c r="M61"/>
      <c r="O61"/>
      <c r="P61" s="1"/>
      <c r="Q61"/>
      <c r="R61" s="1"/>
      <c r="S61"/>
      <c r="U61"/>
    </row>
    <row r="62" spans="1:21" x14ac:dyDescent="0.35">
      <c r="A62" s="3" t="s">
        <v>162</v>
      </c>
      <c r="B62" s="48" t="s">
        <v>20</v>
      </c>
      <c r="C62" s="48">
        <v>100</v>
      </c>
      <c r="D62" s="15" t="s">
        <v>68</v>
      </c>
      <c r="E62" s="15" t="s">
        <v>159</v>
      </c>
      <c r="F62" s="2" t="s">
        <v>122</v>
      </c>
      <c r="G62" s="24" t="s">
        <v>160</v>
      </c>
      <c r="M62"/>
      <c r="O62"/>
      <c r="P62" s="1"/>
      <c r="Q62"/>
      <c r="R62" s="1"/>
      <c r="S62"/>
      <c r="U62"/>
    </row>
    <row r="63" spans="1:21" x14ac:dyDescent="0.35">
      <c r="A63" s="3" t="s">
        <v>163</v>
      </c>
      <c r="B63" s="48" t="s">
        <v>20</v>
      </c>
      <c r="C63" s="48">
        <v>100</v>
      </c>
      <c r="D63" s="15" t="s">
        <v>68</v>
      </c>
      <c r="E63" s="15" t="s">
        <v>35</v>
      </c>
      <c r="F63" s="2" t="s">
        <v>122</v>
      </c>
      <c r="G63" s="24" t="s">
        <v>160</v>
      </c>
      <c r="M63"/>
      <c r="O63"/>
      <c r="P63" s="1"/>
      <c r="Q63"/>
      <c r="R63" s="1"/>
      <c r="S63"/>
      <c r="U63"/>
    </row>
    <row r="64" spans="1:21" x14ac:dyDescent="0.35">
      <c r="A64" s="3" t="s">
        <v>165</v>
      </c>
      <c r="B64" s="48" t="s">
        <v>20</v>
      </c>
      <c r="C64" s="48">
        <v>100</v>
      </c>
      <c r="D64" s="15" t="s">
        <v>68</v>
      </c>
      <c r="E64" s="15" t="s">
        <v>35</v>
      </c>
      <c r="F64" s="2" t="s">
        <v>119</v>
      </c>
      <c r="G64" s="2" t="s">
        <v>164</v>
      </c>
      <c r="M64"/>
      <c r="O64"/>
      <c r="P64" s="1"/>
      <c r="Q64"/>
      <c r="R64" s="1"/>
      <c r="S64"/>
      <c r="U64"/>
    </row>
    <row r="65" spans="1:21" ht="15.5" x14ac:dyDescent="0.35">
      <c r="A65" s="25" t="s">
        <v>166</v>
      </c>
      <c r="B65" s="26"/>
      <c r="C65" s="48" t="str">
        <f t="shared" si="5"/>
        <v/>
      </c>
      <c r="D65" s="26"/>
      <c r="E65" s="26"/>
      <c r="F65" s="2" t="s">
        <v>119</v>
      </c>
      <c r="G65" s="2" t="s">
        <v>164</v>
      </c>
      <c r="M65"/>
      <c r="O65"/>
      <c r="P65" s="1"/>
      <c r="Q65"/>
      <c r="R65" s="1"/>
      <c r="S65"/>
      <c r="U65"/>
    </row>
    <row r="66" spans="1:21" x14ac:dyDescent="0.35">
      <c r="A66" s="19" t="s">
        <v>61</v>
      </c>
      <c r="B66" s="20" t="s">
        <v>62</v>
      </c>
      <c r="C66" s="48"/>
      <c r="D66" s="20" t="s">
        <v>63</v>
      </c>
      <c r="E66" s="21"/>
      <c r="F66" s="26"/>
      <c r="G66" s="27"/>
      <c r="M66"/>
      <c r="O66"/>
      <c r="P66" s="1"/>
      <c r="Q66"/>
      <c r="R66" s="1"/>
      <c r="S66"/>
      <c r="U66"/>
    </row>
    <row r="67" spans="1:21" x14ac:dyDescent="0.35">
      <c r="A67" s="3" t="s">
        <v>167</v>
      </c>
      <c r="B67" s="48" t="s">
        <v>20</v>
      </c>
      <c r="C67" s="48">
        <v>100</v>
      </c>
      <c r="D67" s="15" t="s">
        <v>68</v>
      </c>
      <c r="E67" s="15" t="s">
        <v>30</v>
      </c>
      <c r="F67" s="21" t="s">
        <v>65</v>
      </c>
      <c r="G67" s="21" t="s">
        <v>66</v>
      </c>
      <c r="M67"/>
      <c r="O67"/>
      <c r="P67" s="1"/>
      <c r="Q67"/>
      <c r="R67" s="1"/>
      <c r="S67"/>
      <c r="U67"/>
    </row>
    <row r="68" spans="1:21" x14ac:dyDescent="0.35">
      <c r="A68" s="3" t="s">
        <v>169</v>
      </c>
      <c r="B68" s="48" t="s">
        <v>20</v>
      </c>
      <c r="C68" s="48">
        <v>100</v>
      </c>
      <c r="D68" s="15" t="s">
        <v>68</v>
      </c>
      <c r="E68" s="15" t="s">
        <v>170</v>
      </c>
      <c r="F68" s="2" t="s">
        <v>119</v>
      </c>
      <c r="G68" s="24" t="s">
        <v>168</v>
      </c>
      <c r="M68"/>
      <c r="O68"/>
      <c r="P68" s="1"/>
      <c r="Q68"/>
      <c r="R68" s="1"/>
      <c r="S68"/>
      <c r="U68"/>
    </row>
    <row r="69" spans="1:21" x14ac:dyDescent="0.35">
      <c r="A69" s="22" t="s">
        <v>171</v>
      </c>
      <c r="B69" s="48" t="s">
        <v>20</v>
      </c>
      <c r="C69" s="48">
        <v>100</v>
      </c>
      <c r="D69" s="15" t="s">
        <v>68</v>
      </c>
      <c r="E69" s="15" t="s">
        <v>170</v>
      </c>
      <c r="F69" s="2" t="s">
        <v>119</v>
      </c>
      <c r="G69" s="24" t="s">
        <v>151</v>
      </c>
      <c r="M69"/>
      <c r="O69"/>
      <c r="P69" s="1"/>
      <c r="Q69"/>
      <c r="R69" s="1"/>
      <c r="S69"/>
      <c r="U69"/>
    </row>
    <row r="70" spans="1:21" x14ac:dyDescent="0.35">
      <c r="A70" s="3" t="s">
        <v>172</v>
      </c>
      <c r="B70" s="48" t="s">
        <v>20</v>
      </c>
      <c r="C70" s="48">
        <v>100</v>
      </c>
      <c r="D70" s="15" t="s">
        <v>68</v>
      </c>
      <c r="E70" s="15" t="s">
        <v>173</v>
      </c>
      <c r="F70" s="2" t="s">
        <v>122</v>
      </c>
      <c r="G70" s="24" t="s">
        <v>151</v>
      </c>
      <c r="M70"/>
      <c r="O70"/>
      <c r="P70" s="1"/>
      <c r="Q70"/>
      <c r="R70" s="1"/>
      <c r="S70"/>
      <c r="U70"/>
    </row>
    <row r="71" spans="1:21" ht="15.5" x14ac:dyDescent="0.35">
      <c r="A71" s="25" t="s">
        <v>174</v>
      </c>
      <c r="B71" s="26"/>
      <c r="C71" s="48" t="str">
        <f t="shared" si="5"/>
        <v/>
      </c>
      <c r="D71" s="26"/>
      <c r="E71" s="26"/>
      <c r="F71" s="2" t="s">
        <v>122</v>
      </c>
      <c r="G71" s="24" t="s">
        <v>154</v>
      </c>
      <c r="O71"/>
      <c r="U71"/>
    </row>
    <row r="72" spans="1:21" x14ac:dyDescent="0.35">
      <c r="A72" s="19" t="s">
        <v>61</v>
      </c>
      <c r="B72" s="20" t="s">
        <v>62</v>
      </c>
      <c r="C72" s="48"/>
      <c r="D72" s="20" t="s">
        <v>63</v>
      </c>
      <c r="E72" s="21"/>
      <c r="F72" s="26"/>
      <c r="G72" s="27"/>
      <c r="O72"/>
      <c r="U72"/>
    </row>
    <row r="73" spans="1:21" x14ac:dyDescent="0.35">
      <c r="A73" s="3" t="s">
        <v>175</v>
      </c>
      <c r="B73" s="59" t="s">
        <v>7</v>
      </c>
      <c r="C73" s="48">
        <v>50</v>
      </c>
      <c r="D73" s="15" t="s">
        <v>68</v>
      </c>
      <c r="E73" s="15"/>
      <c r="F73" s="21" t="s">
        <v>65</v>
      </c>
      <c r="G73" s="21" t="s">
        <v>66</v>
      </c>
      <c r="O73"/>
      <c r="U73"/>
    </row>
    <row r="74" spans="1:21" x14ac:dyDescent="0.35">
      <c r="A74" s="3" t="s">
        <v>178</v>
      </c>
      <c r="B74" s="59" t="s">
        <v>7</v>
      </c>
      <c r="C74" s="48">
        <v>50</v>
      </c>
      <c r="D74" s="15" t="s">
        <v>68</v>
      </c>
      <c r="E74" s="15"/>
      <c r="F74" s="2" t="s">
        <v>176</v>
      </c>
      <c r="G74" s="29" t="s">
        <v>177</v>
      </c>
      <c r="O74"/>
      <c r="U74"/>
    </row>
    <row r="75" spans="1:21" ht="15.5" x14ac:dyDescent="0.35">
      <c r="A75" s="25" t="s">
        <v>180</v>
      </c>
      <c r="B75" s="26"/>
      <c r="C75" s="48" t="str">
        <f t="shared" si="5"/>
        <v/>
      </c>
      <c r="D75" s="26"/>
      <c r="E75" s="26"/>
      <c r="F75" s="2" t="s">
        <v>69</v>
      </c>
      <c r="G75" s="2" t="s">
        <v>179</v>
      </c>
      <c r="O75"/>
      <c r="U75"/>
    </row>
    <row r="76" spans="1:21" x14ac:dyDescent="0.35">
      <c r="A76" s="19" t="s">
        <v>61</v>
      </c>
      <c r="B76" s="20" t="s">
        <v>62</v>
      </c>
      <c r="C76" s="48"/>
      <c r="D76" s="20" t="s">
        <v>63</v>
      </c>
      <c r="E76" s="21"/>
      <c r="F76" s="26"/>
      <c r="G76" s="27"/>
      <c r="O76"/>
      <c r="U76"/>
    </row>
    <row r="77" spans="1:21" ht="15" thickBot="1" x14ac:dyDescent="0.4">
      <c r="A77" s="30" t="s">
        <v>181</v>
      </c>
      <c r="B77" s="48" t="s">
        <v>20</v>
      </c>
      <c r="C77" s="48">
        <v>100</v>
      </c>
      <c r="D77" s="31" t="s">
        <v>68</v>
      </c>
      <c r="E77" s="31" t="s">
        <v>182</v>
      </c>
      <c r="F77" s="21" t="s">
        <v>65</v>
      </c>
      <c r="G77" s="21" t="s">
        <v>66</v>
      </c>
      <c r="O77"/>
      <c r="U77"/>
    </row>
    <row r="78" spans="1:21" ht="16" thickBot="1" x14ac:dyDescent="0.4">
      <c r="A78" s="34" t="s">
        <v>184</v>
      </c>
      <c r="B78" s="35"/>
      <c r="C78" s="48" t="str">
        <f t="shared" si="5"/>
        <v/>
      </c>
      <c r="D78" s="35"/>
      <c r="E78" s="35"/>
      <c r="F78" s="32" t="s">
        <v>119</v>
      </c>
      <c r="G78" s="33" t="s">
        <v>183</v>
      </c>
      <c r="O78"/>
      <c r="U78"/>
    </row>
    <row r="79" spans="1:21" ht="15.5" x14ac:dyDescent="0.35">
      <c r="A79" s="19" t="s">
        <v>61</v>
      </c>
      <c r="B79" s="20" t="s">
        <v>62</v>
      </c>
      <c r="C79" s="48"/>
      <c r="D79" s="20" t="s">
        <v>63</v>
      </c>
      <c r="E79" s="21"/>
      <c r="F79" s="35"/>
      <c r="G79" s="36"/>
      <c r="H79" s="47">
        <v>2019</v>
      </c>
      <c r="O79"/>
      <c r="U79"/>
    </row>
    <row r="80" spans="1:21" x14ac:dyDescent="0.35">
      <c r="A80" s="3" t="s">
        <v>185</v>
      </c>
      <c r="B80" s="48" t="s">
        <v>20</v>
      </c>
      <c r="C80" s="48">
        <v>100</v>
      </c>
      <c r="D80" s="15" t="s">
        <v>68</v>
      </c>
      <c r="E80" s="15" t="s">
        <v>33</v>
      </c>
      <c r="F80" s="21" t="s">
        <v>65</v>
      </c>
      <c r="G80" s="21" t="s">
        <v>66</v>
      </c>
      <c r="O80"/>
      <c r="U80"/>
    </row>
    <row r="81" spans="1:21" x14ac:dyDescent="0.35">
      <c r="A81" s="3" t="s">
        <v>186</v>
      </c>
      <c r="B81" s="59" t="s">
        <v>7</v>
      </c>
      <c r="C81" s="48">
        <v>50</v>
      </c>
      <c r="D81" s="15" t="s">
        <v>187</v>
      </c>
      <c r="E81" s="15" t="s">
        <v>188</v>
      </c>
      <c r="F81" s="2" t="s">
        <v>119</v>
      </c>
      <c r="G81" s="24" t="s">
        <v>183</v>
      </c>
      <c r="Q81"/>
      <c r="R81" s="1"/>
      <c r="S81"/>
      <c r="T81" s="1"/>
      <c r="U81"/>
    </row>
    <row r="82" spans="1:21" ht="15.5" x14ac:dyDescent="0.35">
      <c r="A82" s="25" t="s">
        <v>191</v>
      </c>
      <c r="B82" s="26"/>
      <c r="C82" s="48" t="str">
        <f t="shared" si="5"/>
        <v/>
      </c>
      <c r="D82" s="26"/>
      <c r="E82" s="26"/>
      <c r="F82" s="2" t="s">
        <v>189</v>
      </c>
      <c r="G82" s="24" t="s">
        <v>190</v>
      </c>
      <c r="Q82"/>
      <c r="R82" s="1"/>
      <c r="S82"/>
      <c r="T82" s="1"/>
      <c r="U82"/>
    </row>
    <row r="83" spans="1:21" x14ac:dyDescent="0.35">
      <c r="A83" s="3" t="s">
        <v>192</v>
      </c>
      <c r="B83" s="48" t="s">
        <v>20</v>
      </c>
      <c r="C83" s="48">
        <v>100</v>
      </c>
      <c r="D83" s="15" t="s">
        <v>68</v>
      </c>
      <c r="E83" s="15" t="s">
        <v>34</v>
      </c>
      <c r="F83" s="26"/>
      <c r="G83" s="27"/>
      <c r="Q83"/>
      <c r="R83" s="1"/>
      <c r="S83"/>
      <c r="T83" s="1"/>
      <c r="U83"/>
    </row>
    <row r="84" spans="1:21" ht="15.5" x14ac:dyDescent="0.35">
      <c r="A84" s="49" t="s">
        <v>194</v>
      </c>
      <c r="B84" s="52"/>
      <c r="C84" s="48" t="str">
        <f t="shared" si="5"/>
        <v/>
      </c>
      <c r="D84" s="52"/>
      <c r="E84" s="52"/>
      <c r="F84" s="2" t="s">
        <v>119</v>
      </c>
      <c r="G84" s="24" t="s">
        <v>193</v>
      </c>
      <c r="Q84"/>
      <c r="R84" s="1"/>
      <c r="S84"/>
      <c r="T84" s="1"/>
      <c r="U84"/>
    </row>
    <row r="85" spans="1:21" x14ac:dyDescent="0.35">
      <c r="A85" s="3" t="s">
        <v>195</v>
      </c>
      <c r="B85" s="59" t="s">
        <v>7</v>
      </c>
      <c r="C85" s="48">
        <v>50</v>
      </c>
      <c r="D85" s="15" t="s">
        <v>187</v>
      </c>
      <c r="E85" s="15" t="s">
        <v>188</v>
      </c>
      <c r="F85" s="52"/>
      <c r="G85" s="53"/>
      <c r="Q85"/>
      <c r="R85" s="1"/>
      <c r="S85"/>
      <c r="T85" s="1"/>
      <c r="U85"/>
    </row>
    <row r="86" spans="1:21" ht="15.5" x14ac:dyDescent="0.35">
      <c r="A86" s="25" t="s">
        <v>197</v>
      </c>
      <c r="B86" s="26"/>
      <c r="C86" s="48" t="str">
        <f t="shared" si="5"/>
        <v/>
      </c>
      <c r="D86" s="26"/>
      <c r="E86" s="26"/>
      <c r="F86" s="2" t="s">
        <v>196</v>
      </c>
      <c r="G86" s="24" t="s">
        <v>190</v>
      </c>
      <c r="Q86"/>
      <c r="R86" s="1"/>
      <c r="S86"/>
      <c r="T86" s="1"/>
      <c r="U86"/>
    </row>
    <row r="87" spans="1:21" x14ac:dyDescent="0.35">
      <c r="A87" s="3" t="s">
        <v>198</v>
      </c>
      <c r="B87" s="48" t="s">
        <v>20</v>
      </c>
      <c r="C87" s="48">
        <v>100</v>
      </c>
      <c r="D87" s="15" t="s">
        <v>187</v>
      </c>
      <c r="E87" s="15" t="s">
        <v>199</v>
      </c>
      <c r="F87" s="26"/>
      <c r="G87" s="27"/>
      <c r="Q87"/>
      <c r="R87" s="1"/>
      <c r="S87"/>
      <c r="T87" s="1"/>
      <c r="U87"/>
    </row>
    <row r="88" spans="1:21" ht="29" x14ac:dyDescent="0.35">
      <c r="A88" s="22" t="s">
        <v>201</v>
      </c>
      <c r="B88" s="48" t="s">
        <v>20</v>
      </c>
      <c r="C88" s="48">
        <v>100</v>
      </c>
      <c r="D88" s="15" t="s">
        <v>187</v>
      </c>
      <c r="E88" s="37" t="s">
        <v>202</v>
      </c>
      <c r="F88" s="2" t="s">
        <v>119</v>
      </c>
      <c r="G88" s="24" t="s">
        <v>200</v>
      </c>
      <c r="Q88"/>
      <c r="R88" s="1"/>
      <c r="S88"/>
      <c r="T88" s="1"/>
      <c r="U88"/>
    </row>
    <row r="89" spans="1:21" x14ac:dyDescent="0.35">
      <c r="A89" s="3" t="s">
        <v>204</v>
      </c>
      <c r="B89" s="48" t="s">
        <v>20</v>
      </c>
      <c r="C89" s="48">
        <v>100</v>
      </c>
      <c r="D89" s="15" t="s">
        <v>187</v>
      </c>
      <c r="E89" s="15" t="s">
        <v>199</v>
      </c>
      <c r="F89" s="23" t="s">
        <v>122</v>
      </c>
      <c r="G89" s="24" t="s">
        <v>203</v>
      </c>
    </row>
    <row r="90" spans="1:21" x14ac:dyDescent="0.35">
      <c r="A90" s="3" t="s">
        <v>205</v>
      </c>
      <c r="B90" s="48" t="s">
        <v>20</v>
      </c>
      <c r="C90" s="48">
        <v>100</v>
      </c>
      <c r="D90" s="15" t="s">
        <v>187</v>
      </c>
      <c r="E90" s="15" t="s">
        <v>199</v>
      </c>
      <c r="F90" s="2" t="s">
        <v>119</v>
      </c>
      <c r="G90" s="24" t="s">
        <v>200</v>
      </c>
    </row>
    <row r="91" spans="1:21" ht="15.5" x14ac:dyDescent="0.35">
      <c r="A91" s="25" t="s">
        <v>206</v>
      </c>
      <c r="B91" s="26"/>
      <c r="C91" s="48" t="str">
        <f t="shared" si="5"/>
        <v/>
      </c>
      <c r="D91" s="26"/>
      <c r="E91" s="26"/>
      <c r="F91" s="2" t="s">
        <v>119</v>
      </c>
      <c r="G91" s="24" t="s">
        <v>200</v>
      </c>
    </row>
    <row r="92" spans="1:21" x14ac:dyDescent="0.35">
      <c r="A92" s="3" t="s">
        <v>207</v>
      </c>
      <c r="B92" s="48" t="s">
        <v>20</v>
      </c>
      <c r="C92" s="48">
        <v>100</v>
      </c>
      <c r="D92" s="15" t="s">
        <v>187</v>
      </c>
      <c r="E92" s="15" t="s">
        <v>199</v>
      </c>
      <c r="F92" s="26"/>
      <c r="G92" s="27"/>
    </row>
    <row r="93" spans="1:21" x14ac:dyDescent="0.35">
      <c r="A93" s="3" t="s">
        <v>208</v>
      </c>
      <c r="B93" s="48" t="s">
        <v>20</v>
      </c>
      <c r="C93" s="48">
        <v>100</v>
      </c>
      <c r="D93" s="15" t="s">
        <v>187</v>
      </c>
      <c r="E93" s="15" t="s">
        <v>199</v>
      </c>
      <c r="F93" s="2" t="s">
        <v>119</v>
      </c>
      <c r="G93" s="24" t="s">
        <v>200</v>
      </c>
    </row>
    <row r="94" spans="1:21" x14ac:dyDescent="0.35">
      <c r="A94" s="3" t="s">
        <v>209</v>
      </c>
      <c r="B94" s="48" t="s">
        <v>20</v>
      </c>
      <c r="C94" s="48">
        <v>100</v>
      </c>
      <c r="D94" s="15" t="s">
        <v>187</v>
      </c>
      <c r="E94" s="15" t="s">
        <v>210</v>
      </c>
      <c r="F94" s="2" t="s">
        <v>119</v>
      </c>
      <c r="G94" s="24" t="s">
        <v>200</v>
      </c>
    </row>
    <row r="95" spans="1:21" x14ac:dyDescent="0.35">
      <c r="A95" s="3"/>
      <c r="B95" s="48"/>
      <c r="C95" s="48" t="str">
        <f t="shared" si="5"/>
        <v/>
      </c>
      <c r="D95" s="15"/>
      <c r="E95" s="15"/>
      <c r="F95" s="2" t="s">
        <v>119</v>
      </c>
      <c r="G95" s="24" t="s">
        <v>211</v>
      </c>
    </row>
    <row r="96" spans="1:21" ht="15" thickBot="1" x14ac:dyDescent="0.4">
      <c r="A96" s="30" t="s">
        <v>214</v>
      </c>
      <c r="B96" s="48" t="s">
        <v>20</v>
      </c>
      <c r="C96" s="48">
        <v>100</v>
      </c>
      <c r="D96" s="31" t="s">
        <v>187</v>
      </c>
      <c r="E96" s="31" t="s">
        <v>215</v>
      </c>
      <c r="F96" s="2" t="s">
        <v>212</v>
      </c>
      <c r="G96" s="24" t="s">
        <v>213</v>
      </c>
    </row>
    <row r="97" spans="1:8" ht="16" thickBot="1" x14ac:dyDescent="0.4">
      <c r="A97" s="34" t="s">
        <v>217</v>
      </c>
      <c r="B97" s="35"/>
      <c r="C97" s="48" t="str">
        <f t="shared" si="5"/>
        <v/>
      </c>
      <c r="D97" s="35"/>
      <c r="E97" s="35"/>
      <c r="F97" s="32" t="s">
        <v>119</v>
      </c>
      <c r="G97" s="33" t="s">
        <v>216</v>
      </c>
    </row>
    <row r="98" spans="1:8" ht="15.5" x14ac:dyDescent="0.35">
      <c r="A98" s="3" t="s">
        <v>218</v>
      </c>
      <c r="B98" s="48" t="s">
        <v>20</v>
      </c>
      <c r="C98" s="48">
        <v>100</v>
      </c>
      <c r="D98" s="15" t="s">
        <v>187</v>
      </c>
      <c r="E98" s="15" t="s">
        <v>36</v>
      </c>
      <c r="F98" s="35"/>
      <c r="G98" s="36"/>
      <c r="H98" s="47">
        <v>2020</v>
      </c>
    </row>
    <row r="99" spans="1:8" ht="15.5" x14ac:dyDescent="0.35">
      <c r="A99" s="25" t="s">
        <v>220</v>
      </c>
      <c r="B99" s="26"/>
      <c r="C99" s="48" t="str">
        <f t="shared" si="5"/>
        <v/>
      </c>
      <c r="D99" s="26"/>
      <c r="E99" s="26"/>
      <c r="F99" s="23" t="s">
        <v>119</v>
      </c>
      <c r="G99" s="24" t="s">
        <v>219</v>
      </c>
    </row>
    <row r="100" spans="1:8" x14ac:dyDescent="0.35">
      <c r="A100" s="3" t="s">
        <v>221</v>
      </c>
      <c r="B100" s="48" t="s">
        <v>20</v>
      </c>
      <c r="C100" s="48">
        <v>100</v>
      </c>
      <c r="D100" s="15" t="s">
        <v>187</v>
      </c>
      <c r="E100" s="15" t="s">
        <v>36</v>
      </c>
      <c r="F100" s="26"/>
      <c r="G100" s="27"/>
    </row>
    <row r="101" spans="1:8" x14ac:dyDescent="0.35">
      <c r="A101" s="3" t="s">
        <v>224</v>
      </c>
      <c r="B101" s="48" t="s">
        <v>20</v>
      </c>
      <c r="C101" s="48">
        <v>100</v>
      </c>
      <c r="D101" s="15" t="s">
        <v>187</v>
      </c>
      <c r="E101" s="15" t="s">
        <v>36</v>
      </c>
      <c r="F101" s="2" t="s">
        <v>222</v>
      </c>
      <c r="G101" s="24" t="s">
        <v>223</v>
      </c>
    </row>
    <row r="102" spans="1:8" x14ac:dyDescent="0.35">
      <c r="A102" s="3" t="s">
        <v>227</v>
      </c>
      <c r="B102" s="48" t="s">
        <v>20</v>
      </c>
      <c r="C102" s="48">
        <v>100</v>
      </c>
      <c r="D102" s="15" t="s">
        <v>187</v>
      </c>
      <c r="E102" s="15" t="s">
        <v>36</v>
      </c>
      <c r="F102" s="2" t="s">
        <v>225</v>
      </c>
      <c r="G102" s="24" t="s">
        <v>226</v>
      </c>
    </row>
    <row r="103" spans="1:8" x14ac:dyDescent="0.35">
      <c r="A103" s="3" t="s">
        <v>230</v>
      </c>
      <c r="B103" s="48" t="s">
        <v>20</v>
      </c>
      <c r="C103" s="48">
        <v>100</v>
      </c>
      <c r="D103" s="15" t="s">
        <v>187</v>
      </c>
      <c r="E103" s="15" t="s">
        <v>36</v>
      </c>
      <c r="F103" s="2" t="s">
        <v>228</v>
      </c>
      <c r="G103" s="38" t="s">
        <v>229</v>
      </c>
    </row>
    <row r="104" spans="1:8" ht="15.5" x14ac:dyDescent="0.35">
      <c r="A104" s="25" t="s">
        <v>232</v>
      </c>
      <c r="B104" s="26"/>
      <c r="C104" s="48" t="str">
        <f t="shared" si="5"/>
        <v/>
      </c>
      <c r="D104" s="26"/>
      <c r="E104" s="26"/>
      <c r="F104" s="2" t="s">
        <v>222</v>
      </c>
      <c r="G104" s="24" t="s">
        <v>231</v>
      </c>
    </row>
    <row r="105" spans="1:8" x14ac:dyDescent="0.35">
      <c r="A105" s="22" t="s">
        <v>233</v>
      </c>
      <c r="B105" s="48" t="s">
        <v>20</v>
      </c>
      <c r="C105" s="48">
        <v>100</v>
      </c>
      <c r="D105" s="15" t="s">
        <v>187</v>
      </c>
      <c r="E105" s="15" t="s">
        <v>36</v>
      </c>
      <c r="F105" s="26"/>
      <c r="G105" s="27"/>
    </row>
    <row r="106" spans="1:8" x14ac:dyDescent="0.35">
      <c r="A106" s="22" t="s">
        <v>235</v>
      </c>
      <c r="B106" s="48" t="s">
        <v>20</v>
      </c>
      <c r="C106" s="48">
        <v>100</v>
      </c>
      <c r="D106" s="15" t="s">
        <v>187</v>
      </c>
      <c r="E106" s="39" t="s">
        <v>236</v>
      </c>
      <c r="F106" s="2" t="s">
        <v>222</v>
      </c>
      <c r="G106" s="24" t="s">
        <v>234</v>
      </c>
    </row>
    <row r="107" spans="1:8" ht="15.5" x14ac:dyDescent="0.35">
      <c r="A107" s="25" t="s">
        <v>238</v>
      </c>
      <c r="B107" s="26"/>
      <c r="C107" s="48"/>
      <c r="D107" s="26"/>
      <c r="E107" s="26"/>
      <c r="F107" s="2" t="s">
        <v>222</v>
      </c>
      <c r="G107" s="24" t="s">
        <v>237</v>
      </c>
    </row>
    <row r="108" spans="1:8" ht="15" thickBot="1" x14ac:dyDescent="0.4">
      <c r="A108" s="40" t="s">
        <v>239</v>
      </c>
      <c r="B108" s="48" t="s">
        <v>20</v>
      </c>
      <c r="C108" s="48">
        <v>100</v>
      </c>
      <c r="D108" s="31" t="s">
        <v>187</v>
      </c>
      <c r="E108" s="41" t="s">
        <v>38</v>
      </c>
      <c r="F108" s="26"/>
      <c r="G108" s="27"/>
    </row>
    <row r="109" spans="1:8" ht="16" thickBot="1" x14ac:dyDescent="0.4">
      <c r="A109" s="34" t="s">
        <v>241</v>
      </c>
      <c r="B109" s="35"/>
      <c r="C109" s="48" t="str">
        <f t="shared" si="5"/>
        <v/>
      </c>
      <c r="D109" s="35"/>
      <c r="E109" s="35"/>
      <c r="F109" s="42" t="s">
        <v>240</v>
      </c>
      <c r="G109" s="33"/>
    </row>
    <row r="110" spans="1:8" ht="15.5" x14ac:dyDescent="0.35">
      <c r="A110" s="40" t="s">
        <v>242</v>
      </c>
      <c r="B110" s="41" t="s">
        <v>20</v>
      </c>
      <c r="C110" s="48">
        <v>100</v>
      </c>
      <c r="D110" s="31" t="s">
        <v>187</v>
      </c>
      <c r="E110" s="41" t="s">
        <v>38</v>
      </c>
      <c r="F110" s="35"/>
      <c r="G110" s="36"/>
      <c r="H110" s="47">
        <v>2021</v>
      </c>
    </row>
    <row r="111" spans="1:8" x14ac:dyDescent="0.35">
      <c r="A111" s="22" t="s">
        <v>244</v>
      </c>
      <c r="B111" s="61" t="s">
        <v>11</v>
      </c>
      <c r="C111" s="48">
        <v>25</v>
      </c>
      <c r="D111" s="15" t="s">
        <v>187</v>
      </c>
      <c r="E111" s="39" t="s">
        <v>39</v>
      </c>
      <c r="F111" s="42" t="s">
        <v>243</v>
      </c>
      <c r="G111" s="33"/>
    </row>
    <row r="112" spans="1:8" x14ac:dyDescent="0.35">
      <c r="A112" s="22" t="s">
        <v>247</v>
      </c>
      <c r="B112" s="61" t="s">
        <v>11</v>
      </c>
      <c r="C112" s="48">
        <v>25</v>
      </c>
      <c r="D112" s="15" t="s">
        <v>187</v>
      </c>
      <c r="E112" s="39" t="s">
        <v>39</v>
      </c>
      <c r="F112" s="2" t="s">
        <v>245</v>
      </c>
      <c r="G112" s="22" t="s">
        <v>246</v>
      </c>
    </row>
    <row r="113" spans="1:7" ht="15.5" x14ac:dyDescent="0.35">
      <c r="A113" s="43" t="s">
        <v>249</v>
      </c>
      <c r="B113" s="44"/>
      <c r="C113" s="48" t="str">
        <f t="shared" si="5"/>
        <v/>
      </c>
      <c r="D113" s="44"/>
      <c r="E113" s="44"/>
      <c r="F113" s="2" t="s">
        <v>248</v>
      </c>
      <c r="G113" s="22" t="s">
        <v>246</v>
      </c>
    </row>
    <row r="114" spans="1:7" x14ac:dyDescent="0.35">
      <c r="A114" s="22" t="s">
        <v>250</v>
      </c>
      <c r="B114" s="61" t="s">
        <v>11</v>
      </c>
      <c r="C114" s="48">
        <v>25</v>
      </c>
      <c r="D114" s="39" t="s">
        <v>187</v>
      </c>
      <c r="E114" s="39" t="s">
        <v>39</v>
      </c>
      <c r="F114" s="44"/>
      <c r="G114" s="45"/>
    </row>
    <row r="115" spans="1:7" x14ac:dyDescent="0.35">
      <c r="A115" s="22" t="s">
        <v>253</v>
      </c>
      <c r="B115" s="61" t="s">
        <v>11</v>
      </c>
      <c r="C115" s="48">
        <v>25</v>
      </c>
      <c r="D115" s="39" t="s">
        <v>187</v>
      </c>
      <c r="E115" s="39" t="s">
        <v>39</v>
      </c>
      <c r="F115" s="22" t="s">
        <v>251</v>
      </c>
      <c r="G115" s="22" t="s">
        <v>252</v>
      </c>
    </row>
    <row r="116" spans="1:7" x14ac:dyDescent="0.35">
      <c r="A116" s="22" t="s">
        <v>254</v>
      </c>
      <c r="B116" s="61" t="s">
        <v>11</v>
      </c>
      <c r="C116" s="48">
        <v>25</v>
      </c>
      <c r="D116" s="39" t="s">
        <v>187</v>
      </c>
      <c r="E116" s="39" t="s">
        <v>39</v>
      </c>
      <c r="F116" s="22" t="s">
        <v>248</v>
      </c>
      <c r="G116" s="22" t="s">
        <v>252</v>
      </c>
    </row>
    <row r="117" spans="1:7" x14ac:dyDescent="0.35">
      <c r="A117" s="22" t="s">
        <v>257</v>
      </c>
      <c r="B117" s="61" t="s">
        <v>11</v>
      </c>
      <c r="C117" s="48">
        <v>25</v>
      </c>
      <c r="D117" s="39" t="s">
        <v>187</v>
      </c>
      <c r="E117" s="39" t="s">
        <v>39</v>
      </c>
      <c r="F117" s="22" t="s">
        <v>255</v>
      </c>
      <c r="G117" s="22" t="s">
        <v>256</v>
      </c>
    </row>
    <row r="118" spans="1:7" x14ac:dyDescent="0.35">
      <c r="A118" s="22" t="s">
        <v>259</v>
      </c>
      <c r="B118" s="61" t="s">
        <v>11</v>
      </c>
      <c r="C118" s="48">
        <v>25</v>
      </c>
      <c r="D118" s="39" t="s">
        <v>187</v>
      </c>
      <c r="E118" s="39" t="s">
        <v>39</v>
      </c>
      <c r="F118" s="22" t="s">
        <v>258</v>
      </c>
      <c r="G118" s="22" t="s">
        <v>256</v>
      </c>
    </row>
    <row r="119" spans="1:7" x14ac:dyDescent="0.35">
      <c r="A119" s="22" t="s">
        <v>262</v>
      </c>
      <c r="B119" s="61" t="s">
        <v>11</v>
      </c>
      <c r="C119" s="48">
        <v>25</v>
      </c>
      <c r="D119" s="39" t="s">
        <v>187</v>
      </c>
      <c r="E119" s="39" t="s">
        <v>39</v>
      </c>
      <c r="F119" s="22" t="s">
        <v>260</v>
      </c>
      <c r="G119" s="22" t="s">
        <v>261</v>
      </c>
    </row>
    <row r="120" spans="1:7" x14ac:dyDescent="0.35">
      <c r="A120" s="22" t="s">
        <v>264</v>
      </c>
      <c r="B120" s="61" t="s">
        <v>11</v>
      </c>
      <c r="C120" s="48">
        <v>25</v>
      </c>
      <c r="D120" s="39" t="s">
        <v>187</v>
      </c>
      <c r="E120" s="39" t="s">
        <v>39</v>
      </c>
      <c r="F120" s="22" t="s">
        <v>263</v>
      </c>
      <c r="G120" s="22" t="s">
        <v>261</v>
      </c>
    </row>
    <row r="121" spans="1:7" x14ac:dyDescent="0.35">
      <c r="A121" s="22" t="s">
        <v>266</v>
      </c>
      <c r="B121" s="61" t="s">
        <v>11</v>
      </c>
      <c r="C121" s="48">
        <v>25</v>
      </c>
      <c r="D121" s="39" t="s">
        <v>187</v>
      </c>
      <c r="E121" s="39" t="s">
        <v>39</v>
      </c>
      <c r="F121" s="22" t="s">
        <v>255</v>
      </c>
      <c r="G121" s="22" t="s">
        <v>265</v>
      </c>
    </row>
    <row r="122" spans="1:7" ht="15.5" x14ac:dyDescent="0.35">
      <c r="A122" s="25" t="s">
        <v>268</v>
      </c>
      <c r="B122" s="26"/>
      <c r="C122" s="48" t="str">
        <f t="shared" ref="C122:C177" si="6">RIGHT(B122,3)</f>
        <v/>
      </c>
      <c r="D122" s="26"/>
      <c r="E122" s="26"/>
      <c r="F122" s="22" t="s">
        <v>263</v>
      </c>
      <c r="G122" s="22" t="s">
        <v>267</v>
      </c>
    </row>
    <row r="123" spans="1:7" x14ac:dyDescent="0.35">
      <c r="A123" s="22" t="s">
        <v>269</v>
      </c>
      <c r="B123" s="39" t="s">
        <v>20</v>
      </c>
      <c r="C123" s="48">
        <v>100</v>
      </c>
      <c r="D123" s="15" t="s">
        <v>187</v>
      </c>
      <c r="E123" s="39" t="s">
        <v>38</v>
      </c>
      <c r="F123" s="26"/>
      <c r="G123" s="27"/>
    </row>
    <row r="124" spans="1:7" x14ac:dyDescent="0.35">
      <c r="A124" s="22" t="s">
        <v>272</v>
      </c>
      <c r="B124" s="61" t="s">
        <v>11</v>
      </c>
      <c r="C124" s="48">
        <v>25</v>
      </c>
      <c r="D124" s="15" t="s">
        <v>187</v>
      </c>
      <c r="E124" s="39" t="s">
        <v>39</v>
      </c>
      <c r="F124" s="23" t="s">
        <v>270</v>
      </c>
      <c r="G124" s="23" t="s">
        <v>271</v>
      </c>
    </row>
    <row r="125" spans="1:7" x14ac:dyDescent="0.35">
      <c r="A125" s="22" t="s">
        <v>274</v>
      </c>
      <c r="B125" s="61" t="s">
        <v>11</v>
      </c>
      <c r="C125" s="48">
        <v>25</v>
      </c>
      <c r="D125" s="15" t="s">
        <v>187</v>
      </c>
      <c r="E125" s="39" t="s">
        <v>39</v>
      </c>
      <c r="F125" s="22" t="s">
        <v>255</v>
      </c>
      <c r="G125" s="22" t="s">
        <v>273</v>
      </c>
    </row>
    <row r="126" spans="1:7" x14ac:dyDescent="0.35">
      <c r="A126" s="22" t="s">
        <v>276</v>
      </c>
      <c r="B126" s="61" t="s">
        <v>11</v>
      </c>
      <c r="C126" s="48">
        <v>25</v>
      </c>
      <c r="D126" s="15" t="s">
        <v>187</v>
      </c>
      <c r="E126" s="39" t="s">
        <v>39</v>
      </c>
      <c r="F126" s="22" t="s">
        <v>263</v>
      </c>
      <c r="G126" s="22" t="s">
        <v>275</v>
      </c>
    </row>
    <row r="127" spans="1:7" x14ac:dyDescent="0.35">
      <c r="A127" s="22" t="s">
        <v>278</v>
      </c>
      <c r="B127" s="61" t="s">
        <v>11</v>
      </c>
      <c r="C127" s="48">
        <v>25</v>
      </c>
      <c r="D127" s="15" t="s">
        <v>187</v>
      </c>
      <c r="E127" s="39" t="s">
        <v>39</v>
      </c>
      <c r="F127" s="22" t="s">
        <v>255</v>
      </c>
      <c r="G127" s="22" t="s">
        <v>277</v>
      </c>
    </row>
    <row r="128" spans="1:7" ht="15.5" x14ac:dyDescent="0.35">
      <c r="A128" s="25" t="s">
        <v>280</v>
      </c>
      <c r="B128" s="26"/>
      <c r="C128" s="48" t="str">
        <f t="shared" si="6"/>
        <v/>
      </c>
      <c r="D128" s="26"/>
      <c r="E128" s="26"/>
      <c r="F128" s="22" t="s">
        <v>263</v>
      </c>
      <c r="G128" s="22" t="s">
        <v>279</v>
      </c>
    </row>
    <row r="129" spans="1:7" x14ac:dyDescent="0.35">
      <c r="A129" s="22" t="s">
        <v>281</v>
      </c>
      <c r="B129" s="61" t="s">
        <v>11</v>
      </c>
      <c r="C129" s="48">
        <v>25</v>
      </c>
      <c r="D129" s="15" t="s">
        <v>187</v>
      </c>
      <c r="E129" s="39" t="s">
        <v>39</v>
      </c>
      <c r="F129" s="26"/>
      <c r="G129" s="27"/>
    </row>
    <row r="130" spans="1:7" x14ac:dyDescent="0.35">
      <c r="A130" s="22" t="s">
        <v>283</v>
      </c>
      <c r="B130" s="61" t="s">
        <v>11</v>
      </c>
      <c r="C130" s="48">
        <v>25</v>
      </c>
      <c r="D130" s="15" t="s">
        <v>187</v>
      </c>
      <c r="E130" s="39" t="s">
        <v>39</v>
      </c>
      <c r="F130" s="22" t="s">
        <v>255</v>
      </c>
      <c r="G130" s="22" t="s">
        <v>282</v>
      </c>
    </row>
    <row r="131" spans="1:7" x14ac:dyDescent="0.35">
      <c r="A131" s="22" t="s">
        <v>285</v>
      </c>
      <c r="B131" s="39" t="s">
        <v>20</v>
      </c>
      <c r="C131" s="48">
        <v>100</v>
      </c>
      <c r="D131" s="15" t="s">
        <v>187</v>
      </c>
      <c r="E131" s="39" t="s">
        <v>38</v>
      </c>
      <c r="F131" s="22" t="s">
        <v>263</v>
      </c>
      <c r="G131" s="22" t="s">
        <v>284</v>
      </c>
    </row>
    <row r="132" spans="1:7" x14ac:dyDescent="0.35">
      <c r="A132" s="22" t="s">
        <v>287</v>
      </c>
      <c r="B132" s="61" t="s">
        <v>11</v>
      </c>
      <c r="C132" s="48">
        <v>25</v>
      </c>
      <c r="D132" s="15" t="s">
        <v>187</v>
      </c>
      <c r="E132" s="39" t="s">
        <v>39</v>
      </c>
      <c r="F132" s="23" t="s">
        <v>270</v>
      </c>
      <c r="G132" s="22" t="s">
        <v>286</v>
      </c>
    </row>
    <row r="133" spans="1:7" x14ac:dyDescent="0.35">
      <c r="A133" s="22" t="s">
        <v>290</v>
      </c>
      <c r="B133" s="39" t="s">
        <v>20</v>
      </c>
      <c r="C133" s="48">
        <v>100</v>
      </c>
      <c r="D133" s="15" t="s">
        <v>187</v>
      </c>
      <c r="E133" s="39" t="s">
        <v>50</v>
      </c>
      <c r="F133" s="2" t="s">
        <v>288</v>
      </c>
      <c r="G133" s="22" t="s">
        <v>289</v>
      </c>
    </row>
    <row r="134" spans="1:7" x14ac:dyDescent="0.35">
      <c r="A134" s="22" t="s">
        <v>292</v>
      </c>
      <c r="B134" s="61" t="s">
        <v>11</v>
      </c>
      <c r="C134" s="48">
        <v>25</v>
      </c>
      <c r="D134" s="15" t="s">
        <v>187</v>
      </c>
      <c r="E134" s="39" t="s">
        <v>39</v>
      </c>
      <c r="F134" s="23" t="s">
        <v>270</v>
      </c>
      <c r="G134" s="23" t="s">
        <v>291</v>
      </c>
    </row>
    <row r="135" spans="1:7" x14ac:dyDescent="0.35">
      <c r="A135" s="22" t="s">
        <v>294</v>
      </c>
      <c r="B135" s="39" t="s">
        <v>20</v>
      </c>
      <c r="C135" s="48">
        <v>100</v>
      </c>
      <c r="D135" s="15" t="s">
        <v>295</v>
      </c>
      <c r="E135" s="39" t="s">
        <v>50</v>
      </c>
      <c r="F135" s="2" t="s">
        <v>288</v>
      </c>
      <c r="G135" s="22" t="s">
        <v>293</v>
      </c>
    </row>
    <row r="136" spans="1:7" x14ac:dyDescent="0.35">
      <c r="A136" s="22" t="s">
        <v>297</v>
      </c>
      <c r="B136" s="39" t="s">
        <v>20</v>
      </c>
      <c r="C136" s="48">
        <v>100</v>
      </c>
      <c r="D136" s="15" t="s">
        <v>298</v>
      </c>
      <c r="E136" s="39" t="s">
        <v>50</v>
      </c>
      <c r="F136" s="23" t="s">
        <v>270</v>
      </c>
      <c r="G136" s="22" t="s">
        <v>296</v>
      </c>
    </row>
    <row r="137" spans="1:7" ht="15.5" x14ac:dyDescent="0.35">
      <c r="A137" s="25" t="s">
        <v>300</v>
      </c>
      <c r="B137" s="26"/>
      <c r="C137" s="48" t="str">
        <f t="shared" si="6"/>
        <v/>
      </c>
      <c r="D137" s="26"/>
      <c r="E137" s="26"/>
      <c r="F137" s="23" t="s">
        <v>270</v>
      </c>
      <c r="G137" s="22" t="s">
        <v>299</v>
      </c>
    </row>
    <row r="138" spans="1:7" x14ac:dyDescent="0.35">
      <c r="A138" s="22" t="s">
        <v>301</v>
      </c>
      <c r="B138" s="61" t="s">
        <v>11</v>
      </c>
      <c r="C138" s="48">
        <v>25</v>
      </c>
      <c r="D138" s="15" t="s">
        <v>187</v>
      </c>
      <c r="E138" s="39" t="s">
        <v>39</v>
      </c>
      <c r="F138" s="26"/>
      <c r="G138" s="27"/>
    </row>
    <row r="139" spans="1:7" x14ac:dyDescent="0.35">
      <c r="A139" s="22" t="s">
        <v>303</v>
      </c>
      <c r="B139" s="61" t="s">
        <v>11</v>
      </c>
      <c r="C139" s="48">
        <v>25</v>
      </c>
      <c r="D139" s="15" t="s">
        <v>187</v>
      </c>
      <c r="E139" s="39" t="s">
        <v>39</v>
      </c>
      <c r="F139" s="22" t="s">
        <v>255</v>
      </c>
      <c r="G139" s="24" t="s">
        <v>302</v>
      </c>
    </row>
    <row r="140" spans="1:7" x14ac:dyDescent="0.35">
      <c r="A140" s="22" t="s">
        <v>305</v>
      </c>
      <c r="B140" s="39" t="s">
        <v>20</v>
      </c>
      <c r="C140" s="48">
        <v>100</v>
      </c>
      <c r="D140" s="15" t="s">
        <v>77</v>
      </c>
      <c r="E140" s="39" t="s">
        <v>50</v>
      </c>
      <c r="F140" s="22" t="s">
        <v>263</v>
      </c>
      <c r="G140" s="24" t="s">
        <v>304</v>
      </c>
    </row>
    <row r="141" spans="1:7" x14ac:dyDescent="0.35">
      <c r="A141" s="22" t="s">
        <v>307</v>
      </c>
      <c r="B141" s="39" t="s">
        <v>20</v>
      </c>
      <c r="C141" s="48">
        <v>100</v>
      </c>
      <c r="D141" s="15" t="s">
        <v>77</v>
      </c>
      <c r="E141" s="39" t="s">
        <v>50</v>
      </c>
      <c r="F141" s="23" t="s">
        <v>270</v>
      </c>
      <c r="G141" s="22" t="s">
        <v>306</v>
      </c>
    </row>
    <row r="142" spans="1:7" x14ac:dyDescent="0.35">
      <c r="A142" s="22" t="s">
        <v>309</v>
      </c>
      <c r="B142" s="39" t="s">
        <v>20</v>
      </c>
      <c r="C142" s="48">
        <v>100</v>
      </c>
      <c r="D142" s="15" t="s">
        <v>77</v>
      </c>
      <c r="E142" s="39" t="s">
        <v>50</v>
      </c>
      <c r="F142" s="23" t="s">
        <v>270</v>
      </c>
      <c r="G142" s="22" t="s">
        <v>308</v>
      </c>
    </row>
    <row r="143" spans="1:7" x14ac:dyDescent="0.35">
      <c r="A143" s="22" t="s">
        <v>310</v>
      </c>
      <c r="B143" s="61" t="s">
        <v>11</v>
      </c>
      <c r="C143" s="48">
        <v>25</v>
      </c>
      <c r="D143" s="15" t="s">
        <v>187</v>
      </c>
      <c r="E143" s="39" t="s">
        <v>52</v>
      </c>
      <c r="F143" s="23" t="s">
        <v>270</v>
      </c>
      <c r="G143" s="22" t="s">
        <v>308</v>
      </c>
    </row>
    <row r="144" spans="1:7" x14ac:dyDescent="0.35">
      <c r="A144" s="22" t="s">
        <v>312</v>
      </c>
      <c r="B144" s="61" t="s">
        <v>11</v>
      </c>
      <c r="C144" s="48">
        <v>25</v>
      </c>
      <c r="D144" s="15" t="s">
        <v>187</v>
      </c>
      <c r="E144" s="39" t="s">
        <v>52</v>
      </c>
      <c r="F144" s="22" t="s">
        <v>255</v>
      </c>
      <c r="G144" s="24" t="s">
        <v>311</v>
      </c>
    </row>
    <row r="145" spans="1:7" ht="15.5" x14ac:dyDescent="0.35">
      <c r="A145" s="25" t="s">
        <v>314</v>
      </c>
      <c r="B145" s="26"/>
      <c r="C145" s="48" t="str">
        <f t="shared" si="6"/>
        <v/>
      </c>
      <c r="D145" s="26"/>
      <c r="E145" s="26"/>
      <c r="F145" s="22" t="s">
        <v>263</v>
      </c>
      <c r="G145" s="24" t="s">
        <v>313</v>
      </c>
    </row>
    <row r="146" spans="1:7" x14ac:dyDescent="0.35">
      <c r="A146" s="22" t="s">
        <v>315</v>
      </c>
      <c r="B146" s="61" t="s">
        <v>11</v>
      </c>
      <c r="C146" s="48">
        <v>25</v>
      </c>
      <c r="D146" s="15" t="s">
        <v>187</v>
      </c>
      <c r="E146" s="39" t="s">
        <v>52</v>
      </c>
      <c r="F146" s="26"/>
      <c r="G146" s="27"/>
    </row>
    <row r="147" spans="1:7" x14ac:dyDescent="0.35">
      <c r="A147" s="22" t="s">
        <v>317</v>
      </c>
      <c r="B147" s="61" t="s">
        <v>11</v>
      </c>
      <c r="C147" s="48">
        <v>25</v>
      </c>
      <c r="D147" s="15" t="s">
        <v>187</v>
      </c>
      <c r="E147" s="39" t="s">
        <v>52</v>
      </c>
      <c r="F147" s="22" t="s">
        <v>255</v>
      </c>
      <c r="G147" s="24" t="s">
        <v>316</v>
      </c>
    </row>
    <row r="148" spans="1:7" x14ac:dyDescent="0.35">
      <c r="A148" s="22" t="s">
        <v>318</v>
      </c>
      <c r="B148" s="39" t="s">
        <v>20</v>
      </c>
      <c r="C148" s="48">
        <v>100</v>
      </c>
      <c r="D148" s="39" t="s">
        <v>298</v>
      </c>
      <c r="E148" s="39" t="s">
        <v>50</v>
      </c>
      <c r="F148" s="22" t="s">
        <v>263</v>
      </c>
      <c r="G148" s="24" t="s">
        <v>313</v>
      </c>
    </row>
    <row r="149" spans="1:7" x14ac:dyDescent="0.35">
      <c r="A149" s="22" t="s">
        <v>321</v>
      </c>
      <c r="B149" s="39" t="s">
        <v>20</v>
      </c>
      <c r="C149" s="48">
        <v>100</v>
      </c>
      <c r="D149" s="39" t="s">
        <v>298</v>
      </c>
      <c r="E149" s="39" t="s">
        <v>51</v>
      </c>
      <c r="F149" s="23" t="s">
        <v>319</v>
      </c>
      <c r="G149" s="22" t="s">
        <v>320</v>
      </c>
    </row>
    <row r="150" spans="1:7" x14ac:dyDescent="0.35">
      <c r="A150" s="22" t="s">
        <v>324</v>
      </c>
      <c r="B150" s="39" t="s">
        <v>20</v>
      </c>
      <c r="C150" s="48">
        <v>100</v>
      </c>
      <c r="D150" s="39" t="s">
        <v>298</v>
      </c>
      <c r="E150" s="39" t="s">
        <v>51</v>
      </c>
      <c r="F150" s="23" t="s">
        <v>322</v>
      </c>
      <c r="G150" s="22" t="s">
        <v>323</v>
      </c>
    </row>
    <row r="151" spans="1:7" x14ac:dyDescent="0.35">
      <c r="A151" s="22" t="s">
        <v>326</v>
      </c>
      <c r="B151" s="39" t="s">
        <v>20</v>
      </c>
      <c r="C151" s="48">
        <v>100</v>
      </c>
      <c r="D151" s="39" t="s">
        <v>298</v>
      </c>
      <c r="E151" s="39" t="s">
        <v>51</v>
      </c>
      <c r="F151" s="23" t="s">
        <v>322</v>
      </c>
      <c r="G151" s="22" t="s">
        <v>325</v>
      </c>
    </row>
    <row r="152" spans="1:7" ht="15.5" x14ac:dyDescent="0.35">
      <c r="A152" s="54" t="s">
        <v>328</v>
      </c>
      <c r="B152" s="52"/>
      <c r="C152" s="48" t="str">
        <f t="shared" si="6"/>
        <v/>
      </c>
      <c r="D152" s="52"/>
      <c r="E152" s="52"/>
      <c r="F152" s="23" t="s">
        <v>322</v>
      </c>
      <c r="G152" s="22" t="s">
        <v>327</v>
      </c>
    </row>
    <row r="153" spans="1:7" x14ac:dyDescent="0.35">
      <c r="A153" s="22" t="s">
        <v>329</v>
      </c>
      <c r="B153" s="39" t="s">
        <v>20</v>
      </c>
      <c r="C153" s="48">
        <v>100</v>
      </c>
      <c r="D153" s="39" t="s">
        <v>298</v>
      </c>
      <c r="E153" s="39" t="s">
        <v>51</v>
      </c>
      <c r="F153" s="52"/>
      <c r="G153" s="53"/>
    </row>
    <row r="154" spans="1:7" x14ac:dyDescent="0.35">
      <c r="A154" s="22" t="s">
        <v>331</v>
      </c>
      <c r="B154" s="39" t="s">
        <v>20</v>
      </c>
      <c r="C154" s="48">
        <v>100</v>
      </c>
      <c r="D154" s="39" t="s">
        <v>298</v>
      </c>
      <c r="E154" s="39" t="s">
        <v>51</v>
      </c>
      <c r="F154" s="23" t="s">
        <v>322</v>
      </c>
      <c r="G154" s="22" t="s">
        <v>330</v>
      </c>
    </row>
    <row r="155" spans="1:7" x14ac:dyDescent="0.35">
      <c r="A155" s="22" t="s">
        <v>333</v>
      </c>
      <c r="B155" s="39" t="s">
        <v>20</v>
      </c>
      <c r="C155" s="48">
        <v>100</v>
      </c>
      <c r="D155" s="39" t="s">
        <v>298</v>
      </c>
      <c r="E155" s="39" t="s">
        <v>54</v>
      </c>
      <c r="F155" s="23" t="s">
        <v>322</v>
      </c>
      <c r="G155" s="22" t="s">
        <v>332</v>
      </c>
    </row>
    <row r="156" spans="1:7" x14ac:dyDescent="0.35">
      <c r="A156" s="22" t="s">
        <v>335</v>
      </c>
      <c r="B156" s="39" t="s">
        <v>20</v>
      </c>
      <c r="C156" s="48">
        <v>100</v>
      </c>
      <c r="D156" s="39" t="s">
        <v>298</v>
      </c>
      <c r="E156" s="39"/>
      <c r="F156" s="23" t="s">
        <v>334</v>
      </c>
      <c r="G156" s="22" t="s">
        <v>332</v>
      </c>
    </row>
    <row r="157" spans="1:7" x14ac:dyDescent="0.35">
      <c r="A157" s="22" t="s">
        <v>337</v>
      </c>
      <c r="B157" s="39" t="s">
        <v>20</v>
      </c>
      <c r="C157" s="48">
        <v>100</v>
      </c>
      <c r="D157" s="39" t="s">
        <v>187</v>
      </c>
      <c r="E157" s="39" t="s">
        <v>8</v>
      </c>
      <c r="F157" s="23" t="s">
        <v>336</v>
      </c>
      <c r="G157" s="22" t="s">
        <v>323</v>
      </c>
    </row>
    <row r="158" spans="1:7" ht="15.5" x14ac:dyDescent="0.35">
      <c r="A158" s="46" t="s">
        <v>339</v>
      </c>
      <c r="B158" s="26"/>
      <c r="C158" s="48" t="str">
        <f t="shared" si="6"/>
        <v/>
      </c>
      <c r="D158" s="26"/>
      <c r="E158" s="26"/>
      <c r="F158" s="23" t="s">
        <v>336</v>
      </c>
      <c r="G158" s="22" t="s">
        <v>338</v>
      </c>
    </row>
    <row r="159" spans="1:7" x14ac:dyDescent="0.35">
      <c r="A159" s="22" t="s">
        <v>340</v>
      </c>
      <c r="B159" s="39" t="s">
        <v>20</v>
      </c>
      <c r="C159" s="48">
        <v>100</v>
      </c>
      <c r="D159" s="39" t="s">
        <v>298</v>
      </c>
      <c r="E159" s="39" t="s">
        <v>56</v>
      </c>
      <c r="F159" s="26"/>
      <c r="G159" s="27"/>
    </row>
    <row r="160" spans="1:7" x14ac:dyDescent="0.35">
      <c r="A160" s="22" t="s">
        <v>342</v>
      </c>
      <c r="B160" s="39" t="s">
        <v>20</v>
      </c>
      <c r="C160" s="48">
        <v>100</v>
      </c>
      <c r="D160" s="39" t="s">
        <v>298</v>
      </c>
      <c r="E160" s="39"/>
      <c r="F160" s="23" t="s">
        <v>336</v>
      </c>
      <c r="G160" s="22" t="s">
        <v>341</v>
      </c>
    </row>
    <row r="161" spans="1:68" x14ac:dyDescent="0.35">
      <c r="A161" s="22" t="s">
        <v>345</v>
      </c>
      <c r="B161" s="39" t="s">
        <v>20</v>
      </c>
      <c r="C161" s="48">
        <v>100</v>
      </c>
      <c r="D161" s="39" t="s">
        <v>298</v>
      </c>
      <c r="E161" s="39" t="s">
        <v>56</v>
      </c>
      <c r="F161" s="23" t="s">
        <v>343</v>
      </c>
      <c r="G161" s="22" t="s">
        <v>344</v>
      </c>
    </row>
    <row r="162" spans="1:68" x14ac:dyDescent="0.35">
      <c r="A162" s="22" t="s">
        <v>347</v>
      </c>
      <c r="B162" s="39" t="s">
        <v>20</v>
      </c>
      <c r="C162" s="48">
        <v>100</v>
      </c>
      <c r="D162" s="39" t="s">
        <v>187</v>
      </c>
      <c r="E162" s="39"/>
      <c r="F162" s="23" t="s">
        <v>336</v>
      </c>
      <c r="G162" s="22" t="s">
        <v>346</v>
      </c>
    </row>
    <row r="163" spans="1:68" x14ac:dyDescent="0.35">
      <c r="A163" s="22" t="s">
        <v>349</v>
      </c>
      <c r="B163" s="39" t="s">
        <v>20</v>
      </c>
      <c r="C163" s="48">
        <v>100</v>
      </c>
      <c r="D163" s="39" t="s">
        <v>298</v>
      </c>
      <c r="E163" s="39" t="s">
        <v>56</v>
      </c>
      <c r="F163" s="23" t="s">
        <v>336</v>
      </c>
      <c r="G163" s="22" t="s">
        <v>348</v>
      </c>
    </row>
    <row r="164" spans="1:68" ht="15.5" x14ac:dyDescent="0.35">
      <c r="A164" s="25" t="s">
        <v>350</v>
      </c>
      <c r="B164" s="26"/>
      <c r="C164" s="48" t="str">
        <f t="shared" si="6"/>
        <v/>
      </c>
      <c r="D164" s="26"/>
      <c r="E164" s="26"/>
      <c r="F164" s="23" t="s">
        <v>336</v>
      </c>
      <c r="G164" s="22" t="s">
        <v>346</v>
      </c>
    </row>
    <row r="165" spans="1:68" x14ac:dyDescent="0.35">
      <c r="A165" s="22" t="s">
        <v>351</v>
      </c>
      <c r="B165" s="39" t="s">
        <v>20</v>
      </c>
      <c r="C165" s="48">
        <v>100</v>
      </c>
      <c r="D165" s="39" t="s">
        <v>187</v>
      </c>
      <c r="E165" s="39" t="s">
        <v>57</v>
      </c>
      <c r="F165" s="26"/>
      <c r="G165" s="27"/>
    </row>
    <row r="166" spans="1:68" x14ac:dyDescent="0.35">
      <c r="A166" s="3" t="s">
        <v>352</v>
      </c>
      <c r="B166" s="39" t="s">
        <v>20</v>
      </c>
      <c r="C166" s="48">
        <v>100</v>
      </c>
      <c r="D166" s="39" t="s">
        <v>298</v>
      </c>
      <c r="E166" s="15" t="s">
        <v>58</v>
      </c>
      <c r="F166" s="23" t="s">
        <v>336</v>
      </c>
      <c r="G166" s="22" t="s">
        <v>348</v>
      </c>
    </row>
    <row r="167" spans="1:68" ht="15.5" x14ac:dyDescent="0.35">
      <c r="A167" s="25" t="s">
        <v>379</v>
      </c>
      <c r="B167" s="26"/>
      <c r="C167" s="48" t="str">
        <f t="shared" si="6"/>
        <v/>
      </c>
      <c r="D167" s="26"/>
      <c r="E167" s="26"/>
      <c r="F167" s="23" t="s">
        <v>336</v>
      </c>
      <c r="G167" s="2" t="s">
        <v>353</v>
      </c>
    </row>
    <row r="168" spans="1:68" x14ac:dyDescent="0.35">
      <c r="A168" s="3" t="s">
        <v>354</v>
      </c>
      <c r="B168" s="39" t="s">
        <v>20</v>
      </c>
      <c r="C168" s="48">
        <v>100</v>
      </c>
      <c r="D168" s="39" t="s">
        <v>187</v>
      </c>
      <c r="E168" s="39" t="s">
        <v>57</v>
      </c>
      <c r="F168" s="23"/>
      <c r="G168" s="2"/>
      <c r="H168" s="1"/>
    </row>
    <row r="169" spans="1:68" x14ac:dyDescent="0.35">
      <c r="A169" s="3" t="s">
        <v>357</v>
      </c>
      <c r="B169" s="39" t="s">
        <v>20</v>
      </c>
      <c r="C169" s="48">
        <v>100</v>
      </c>
      <c r="D169" s="39" t="s">
        <v>77</v>
      </c>
      <c r="E169" s="15" t="s">
        <v>58</v>
      </c>
      <c r="F169" s="23" t="s">
        <v>355</v>
      </c>
      <c r="G169" s="2" t="s">
        <v>356</v>
      </c>
    </row>
    <row r="170" spans="1:68" s="1" customFormat="1" x14ac:dyDescent="0.35">
      <c r="A170" s="22" t="s">
        <v>358</v>
      </c>
      <c r="B170" s="39" t="s">
        <v>20</v>
      </c>
      <c r="C170" s="48">
        <v>100</v>
      </c>
      <c r="D170" s="39" t="s">
        <v>77</v>
      </c>
      <c r="E170" s="15" t="s">
        <v>58</v>
      </c>
      <c r="F170" s="23" t="s">
        <v>336</v>
      </c>
      <c r="G170" s="2" t="s">
        <v>353</v>
      </c>
      <c r="H170"/>
      <c r="K170"/>
      <c r="L170"/>
      <c r="N170"/>
      <c r="P170"/>
      <c r="R170"/>
      <c r="T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</row>
    <row r="171" spans="1:68" x14ac:dyDescent="0.35">
      <c r="A171" s="22" t="s">
        <v>359</v>
      </c>
      <c r="B171" s="39" t="s">
        <v>20</v>
      </c>
      <c r="C171" s="48">
        <v>100</v>
      </c>
      <c r="D171" s="39" t="s">
        <v>77</v>
      </c>
      <c r="E171" s="15" t="s">
        <v>58</v>
      </c>
      <c r="F171" s="23" t="s">
        <v>336</v>
      </c>
      <c r="G171" s="23" t="s">
        <v>353</v>
      </c>
      <c r="BL171" s="1"/>
      <c r="BM171" s="1"/>
      <c r="BN171" s="1"/>
      <c r="BO171" s="1"/>
      <c r="BP171" s="1"/>
    </row>
    <row r="172" spans="1:68" x14ac:dyDescent="0.35">
      <c r="A172" s="22" t="s">
        <v>360</v>
      </c>
      <c r="B172" s="39" t="s">
        <v>20</v>
      </c>
      <c r="C172" s="48">
        <v>100</v>
      </c>
      <c r="D172" s="39" t="s">
        <v>77</v>
      </c>
      <c r="E172" s="15" t="s">
        <v>58</v>
      </c>
      <c r="F172" s="23" t="s">
        <v>336</v>
      </c>
      <c r="G172" s="23" t="s">
        <v>353</v>
      </c>
    </row>
    <row r="173" spans="1:68" ht="15.5" x14ac:dyDescent="0.35">
      <c r="A173" s="25" t="s">
        <v>380</v>
      </c>
      <c r="B173" s="26"/>
      <c r="C173" s="48" t="str">
        <f t="shared" si="6"/>
        <v/>
      </c>
      <c r="D173" s="26"/>
      <c r="E173" s="26"/>
      <c r="F173" s="23" t="s">
        <v>336</v>
      </c>
      <c r="G173" s="23" t="s">
        <v>353</v>
      </c>
    </row>
    <row r="174" spans="1:68" x14ac:dyDescent="0.35">
      <c r="A174" s="22" t="s">
        <v>361</v>
      </c>
      <c r="B174" s="39" t="s">
        <v>20</v>
      </c>
      <c r="C174" s="48">
        <v>100</v>
      </c>
      <c r="D174" s="39" t="s">
        <v>77</v>
      </c>
      <c r="E174" s="15" t="s">
        <v>58</v>
      </c>
      <c r="F174" s="23"/>
      <c r="G174" s="23"/>
      <c r="H174" s="1"/>
    </row>
    <row r="175" spans="1:68" x14ac:dyDescent="0.35">
      <c r="A175" s="22" t="s">
        <v>362</v>
      </c>
      <c r="B175" s="39" t="s">
        <v>20</v>
      </c>
      <c r="C175" s="48">
        <v>100</v>
      </c>
      <c r="D175" s="39" t="s">
        <v>77</v>
      </c>
      <c r="E175" s="15" t="s">
        <v>58</v>
      </c>
      <c r="F175" s="23" t="s">
        <v>336</v>
      </c>
      <c r="G175" s="23" t="s">
        <v>353</v>
      </c>
    </row>
    <row r="176" spans="1:68" s="1" customFormat="1" x14ac:dyDescent="0.35">
      <c r="A176" s="22" t="s">
        <v>363</v>
      </c>
      <c r="B176" s="39" t="s">
        <v>20</v>
      </c>
      <c r="C176" s="48">
        <v>100</v>
      </c>
      <c r="D176" s="39" t="s">
        <v>77</v>
      </c>
      <c r="E176" s="15" t="s">
        <v>58</v>
      </c>
      <c r="F176" s="23" t="s">
        <v>336</v>
      </c>
      <c r="G176" s="23" t="s">
        <v>353</v>
      </c>
      <c r="H176"/>
      <c r="K176"/>
      <c r="L176"/>
      <c r="N176"/>
      <c r="P176"/>
      <c r="R176"/>
      <c r="T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</row>
    <row r="177" spans="1:68" ht="15.5" x14ac:dyDescent="0.35">
      <c r="A177" s="25" t="s">
        <v>364</v>
      </c>
      <c r="B177" s="26"/>
      <c r="C177" s="48" t="str">
        <f t="shared" si="6"/>
        <v/>
      </c>
      <c r="D177" s="26"/>
      <c r="E177" s="26"/>
      <c r="F177" s="23" t="s">
        <v>336</v>
      </c>
      <c r="G177" s="23" t="s">
        <v>353</v>
      </c>
      <c r="K177" s="1"/>
      <c r="L177" s="1"/>
      <c r="N177" s="1"/>
      <c r="P177" s="1"/>
      <c r="R177" s="1"/>
      <c r="T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ht="15.5" x14ac:dyDescent="0.35">
      <c r="A178" s="22" t="s">
        <v>365</v>
      </c>
      <c r="B178" s="39" t="s">
        <v>20</v>
      </c>
      <c r="C178" s="48">
        <v>100</v>
      </c>
      <c r="D178" s="39" t="s">
        <v>77</v>
      </c>
      <c r="E178" s="15" t="s">
        <v>58</v>
      </c>
      <c r="F178" s="26"/>
      <c r="G178" s="27"/>
      <c r="H178" s="47">
        <v>2022</v>
      </c>
    </row>
    <row r="179" spans="1:68" s="1" customFormat="1" ht="15.5" x14ac:dyDescent="0.35">
      <c r="A179" s="25" t="s">
        <v>397</v>
      </c>
      <c r="B179" s="73"/>
      <c r="C179" s="73"/>
      <c r="D179" s="73"/>
      <c r="E179" s="73"/>
      <c r="F179" s="73"/>
      <c r="G179" s="74"/>
      <c r="H179" s="93"/>
    </row>
    <row r="180" spans="1:68" s="1" customFormat="1" ht="15.5" x14ac:dyDescent="0.35">
      <c r="A180" s="22" t="s">
        <v>398</v>
      </c>
      <c r="B180" s="39" t="s">
        <v>20</v>
      </c>
      <c r="C180" s="39" t="s">
        <v>77</v>
      </c>
      <c r="D180" s="68"/>
      <c r="E180" s="23"/>
      <c r="F180" s="73"/>
      <c r="G180" s="74"/>
      <c r="H180" s="93"/>
    </row>
    <row r="181" spans="1:68" s="1" customFormat="1" ht="15.5" x14ac:dyDescent="0.35">
      <c r="A181" s="22" t="s">
        <v>399</v>
      </c>
      <c r="B181" s="39" t="s">
        <v>20</v>
      </c>
      <c r="C181" s="39" t="s">
        <v>77</v>
      </c>
      <c r="D181" s="68"/>
      <c r="E181" s="23"/>
      <c r="F181" s="73"/>
      <c r="G181" s="74"/>
      <c r="H181" s="93"/>
    </row>
    <row r="182" spans="1:68" x14ac:dyDescent="0.35">
      <c r="A182" s="22" t="s">
        <v>400</v>
      </c>
      <c r="B182" s="39" t="s">
        <v>20</v>
      </c>
      <c r="C182" s="39" t="s">
        <v>77</v>
      </c>
      <c r="D182" s="68"/>
      <c r="E182" s="23"/>
      <c r="F182" s="23" t="s">
        <v>336</v>
      </c>
      <c r="G182" s="23" t="s">
        <v>353</v>
      </c>
    </row>
    <row r="183" spans="1:68" s="1" customFormat="1" x14ac:dyDescent="0.35">
      <c r="A183" s="90"/>
      <c r="B183" s="91"/>
      <c r="C183" s="91"/>
      <c r="D183" s="92"/>
      <c r="E183" s="94"/>
      <c r="F183" s="94"/>
      <c r="G183" s="94"/>
    </row>
    <row r="184" spans="1:68" x14ac:dyDescent="0.35">
      <c r="A184" s="17" t="s">
        <v>366</v>
      </c>
      <c r="B184" s="18">
        <f>COUNTA(B7:B182)</f>
        <v>139</v>
      </c>
      <c r="C184" s="18"/>
    </row>
    <row r="185" spans="1:68" x14ac:dyDescent="0.35">
      <c r="A185" s="17"/>
      <c r="B185" s="18"/>
      <c r="C185" s="18"/>
    </row>
    <row r="186" spans="1:68" x14ac:dyDescent="0.35">
      <c r="A186" s="17"/>
      <c r="B186" s="18"/>
      <c r="C186" s="18"/>
    </row>
    <row r="187" spans="1:68" x14ac:dyDescent="0.35">
      <c r="A187" s="17"/>
      <c r="B187" s="18"/>
      <c r="C187" s="18"/>
      <c r="K187" s="1"/>
      <c r="L187" s="1"/>
      <c r="N187" s="1"/>
      <c r="P187" s="1"/>
      <c r="R187" s="1"/>
      <c r="T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8" x14ac:dyDescent="0.35">
      <c r="A188" s="17"/>
      <c r="B188" s="18"/>
      <c r="C188" s="18"/>
    </row>
    <row r="189" spans="1:68" x14ac:dyDescent="0.35">
      <c r="A189" s="17"/>
      <c r="B189" s="18"/>
      <c r="C189" s="18"/>
    </row>
    <row r="190" spans="1:68" x14ac:dyDescent="0.35">
      <c r="A190" s="17"/>
      <c r="B190" s="18"/>
      <c r="C190" s="18"/>
    </row>
    <row r="191" spans="1:68" x14ac:dyDescent="0.35">
      <c r="A191" s="17"/>
      <c r="B191" s="18"/>
      <c r="C191" s="18"/>
    </row>
    <row r="192" spans="1:68" x14ac:dyDescent="0.35">
      <c r="A192" s="17"/>
      <c r="B192" s="18"/>
      <c r="C192" s="18"/>
    </row>
    <row r="193" spans="1:3" x14ac:dyDescent="0.35">
      <c r="A193" s="17"/>
      <c r="B193" s="18"/>
      <c r="C193" s="18"/>
    </row>
    <row r="194" spans="1:3" x14ac:dyDescent="0.35">
      <c r="A194" s="17"/>
      <c r="B194" s="18"/>
      <c r="C194" s="18"/>
    </row>
    <row r="195" spans="1:3" x14ac:dyDescent="0.35">
      <c r="A195" s="17"/>
      <c r="B195" s="18"/>
      <c r="C195" s="18"/>
    </row>
    <row r="196" spans="1:3" x14ac:dyDescent="0.35">
      <c r="A196" s="17"/>
      <c r="B196" s="18"/>
      <c r="C196" s="18"/>
    </row>
    <row r="197" spans="1:3" x14ac:dyDescent="0.35">
      <c r="A197" s="17"/>
      <c r="B197" s="18"/>
      <c r="C197" s="18"/>
    </row>
    <row r="198" spans="1:3" x14ac:dyDescent="0.35">
      <c r="A198" s="17"/>
      <c r="B198" s="18"/>
      <c r="C198" s="18"/>
    </row>
    <row r="199" spans="1:3" x14ac:dyDescent="0.35">
      <c r="A199" s="17"/>
      <c r="B199" s="18"/>
      <c r="C199" s="18"/>
    </row>
    <row r="200" spans="1:3" x14ac:dyDescent="0.35">
      <c r="A200" s="17"/>
      <c r="B200" s="18"/>
      <c r="C200" s="18"/>
    </row>
    <row r="201" spans="1:3" x14ac:dyDescent="0.35">
      <c r="A201" s="17"/>
      <c r="B201" s="18"/>
      <c r="C201" s="18"/>
    </row>
    <row r="202" spans="1:3" x14ac:dyDescent="0.35">
      <c r="A202" s="17"/>
      <c r="B202" s="18"/>
      <c r="C202" s="18"/>
    </row>
    <row r="203" spans="1:3" x14ac:dyDescent="0.35">
      <c r="A203" s="17"/>
      <c r="B203" s="18"/>
      <c r="C203" s="18"/>
    </row>
    <row r="204" spans="1:3" x14ac:dyDescent="0.35">
      <c r="A204" s="17"/>
      <c r="B204" s="18"/>
      <c r="C204" s="18"/>
    </row>
    <row r="205" spans="1:3" x14ac:dyDescent="0.35">
      <c r="A205" s="17"/>
      <c r="B205" s="18"/>
      <c r="C205" s="18"/>
    </row>
    <row r="206" spans="1:3" x14ac:dyDescent="0.35">
      <c r="A206" s="17"/>
      <c r="B206" s="18"/>
      <c r="C206" s="18"/>
    </row>
    <row r="207" spans="1:3" x14ac:dyDescent="0.35">
      <c r="A207" s="17"/>
      <c r="B207" s="18"/>
      <c r="C207" s="18"/>
    </row>
    <row r="208" spans="1:3" x14ac:dyDescent="0.35">
      <c r="A208" s="17"/>
      <c r="B208" s="18"/>
      <c r="C208" s="18"/>
    </row>
    <row r="209" spans="1:3" x14ac:dyDescent="0.35">
      <c r="A209" s="17"/>
      <c r="B209" s="18"/>
      <c r="C209" s="18"/>
    </row>
    <row r="210" spans="1:3" x14ac:dyDescent="0.35">
      <c r="A210" s="17"/>
      <c r="B210" s="18"/>
      <c r="C210" s="18"/>
    </row>
    <row r="211" spans="1:3" x14ac:dyDescent="0.35">
      <c r="A211" s="17"/>
      <c r="B211" s="18"/>
      <c r="C211" s="18"/>
    </row>
    <row r="212" spans="1:3" x14ac:dyDescent="0.35">
      <c r="A212" s="17"/>
      <c r="B212" s="18"/>
      <c r="C212" s="18"/>
    </row>
    <row r="213" spans="1:3" x14ac:dyDescent="0.35">
      <c r="A213" s="17"/>
      <c r="B213" s="18"/>
      <c r="C213" s="18"/>
    </row>
    <row r="214" spans="1:3" x14ac:dyDescent="0.35">
      <c r="A214" s="17"/>
      <c r="B214" s="18"/>
      <c r="C214" s="18"/>
    </row>
    <row r="215" spans="1:3" x14ac:dyDescent="0.35">
      <c r="A215" s="17"/>
      <c r="B215" s="18"/>
      <c r="C215" s="18"/>
    </row>
    <row r="216" spans="1:3" x14ac:dyDescent="0.35">
      <c r="A216" s="17"/>
      <c r="B216" s="18"/>
      <c r="C216" s="18"/>
    </row>
    <row r="217" spans="1:3" x14ac:dyDescent="0.35">
      <c r="A217" s="17"/>
      <c r="B217" s="18"/>
      <c r="C217" s="18"/>
    </row>
    <row r="218" spans="1:3" x14ac:dyDescent="0.35">
      <c r="A218" s="17"/>
      <c r="B218" s="18"/>
      <c r="C218" s="18"/>
    </row>
    <row r="219" spans="1:3" x14ac:dyDescent="0.35">
      <c r="A219" s="17"/>
      <c r="B219" s="18"/>
      <c r="C219" s="18"/>
    </row>
    <row r="220" spans="1:3" x14ac:dyDescent="0.35">
      <c r="A220" s="17"/>
      <c r="B220" s="18"/>
      <c r="C220" s="18"/>
    </row>
    <row r="221" spans="1:3" x14ac:dyDescent="0.35">
      <c r="A221" s="17"/>
      <c r="B221" s="18"/>
      <c r="C221" s="18"/>
    </row>
    <row r="222" spans="1:3" x14ac:dyDescent="0.35">
      <c r="A222" s="17"/>
      <c r="B222" s="18"/>
      <c r="C222" s="18"/>
    </row>
    <row r="223" spans="1:3" x14ac:dyDescent="0.35">
      <c r="A223" s="17"/>
      <c r="B223" s="18"/>
      <c r="C223" s="18"/>
    </row>
    <row r="224" spans="1:3" x14ac:dyDescent="0.35">
      <c r="A224" s="17"/>
      <c r="B224" s="18"/>
      <c r="C224" s="18"/>
    </row>
    <row r="225" spans="1:3" x14ac:dyDescent="0.35">
      <c r="A225" s="17"/>
      <c r="B225" s="18"/>
      <c r="C225" s="18"/>
    </row>
    <row r="226" spans="1:3" x14ac:dyDescent="0.35">
      <c r="A226" s="17"/>
      <c r="B226" s="18"/>
      <c r="C226" s="18"/>
    </row>
    <row r="227" spans="1:3" x14ac:dyDescent="0.35">
      <c r="A227" s="17"/>
      <c r="B227" s="18"/>
      <c r="C227" s="18"/>
    </row>
    <row r="228" spans="1:3" x14ac:dyDescent="0.35">
      <c r="A228" s="17"/>
      <c r="B228" s="18"/>
      <c r="C228" s="18"/>
    </row>
    <row r="229" spans="1:3" x14ac:dyDescent="0.35">
      <c r="A229" s="17"/>
      <c r="B229" s="18"/>
      <c r="C229" s="18"/>
    </row>
    <row r="230" spans="1:3" x14ac:dyDescent="0.35">
      <c r="A230" s="17"/>
      <c r="B230" s="18"/>
      <c r="C230" s="18"/>
    </row>
    <row r="231" spans="1:3" x14ac:dyDescent="0.35">
      <c r="A231" s="17"/>
      <c r="B231" s="18"/>
      <c r="C231" s="18"/>
    </row>
    <row r="232" spans="1:3" x14ac:dyDescent="0.35">
      <c r="A232" s="17"/>
      <c r="B232" s="18"/>
      <c r="C232" s="18"/>
    </row>
    <row r="233" spans="1:3" x14ac:dyDescent="0.35">
      <c r="A233" s="17"/>
      <c r="B233" s="18"/>
      <c r="C233" s="18"/>
    </row>
    <row r="234" spans="1:3" x14ac:dyDescent="0.35">
      <c r="A234" s="17"/>
      <c r="B234" s="18"/>
      <c r="C234" s="18"/>
    </row>
    <row r="235" spans="1:3" x14ac:dyDescent="0.35">
      <c r="A235" s="17"/>
      <c r="B235" s="18"/>
      <c r="C235" s="18"/>
    </row>
    <row r="236" spans="1:3" x14ac:dyDescent="0.35">
      <c r="A236" s="17"/>
      <c r="B236" s="18"/>
      <c r="C236" s="18"/>
    </row>
    <row r="237" spans="1:3" x14ac:dyDescent="0.35">
      <c r="A237" s="17"/>
      <c r="B237" s="18"/>
      <c r="C237" s="18"/>
    </row>
    <row r="238" spans="1:3" x14ac:dyDescent="0.35">
      <c r="A238" s="17"/>
      <c r="B238" s="18"/>
      <c r="C238" s="18"/>
    </row>
    <row r="239" spans="1:3" x14ac:dyDescent="0.35">
      <c r="A239" s="17"/>
      <c r="B239" s="18"/>
      <c r="C239" s="18"/>
    </row>
    <row r="240" spans="1:3" x14ac:dyDescent="0.35">
      <c r="A240" s="17"/>
      <c r="B240" s="18"/>
      <c r="C240" s="18"/>
    </row>
    <row r="241" spans="1:3" x14ac:dyDescent="0.35">
      <c r="A241" s="17"/>
      <c r="B241" s="18"/>
      <c r="C241" s="18"/>
    </row>
    <row r="242" spans="1:3" x14ac:dyDescent="0.35">
      <c r="A242" s="17"/>
      <c r="B242" s="18"/>
      <c r="C242" s="18"/>
    </row>
    <row r="243" spans="1:3" x14ac:dyDescent="0.35">
      <c r="A243" s="17"/>
      <c r="B243" s="18"/>
      <c r="C243" s="18"/>
    </row>
    <row r="244" spans="1:3" x14ac:dyDescent="0.35">
      <c r="A244" s="17"/>
      <c r="B244" s="18"/>
      <c r="C244" s="18"/>
    </row>
    <row r="245" spans="1:3" x14ac:dyDescent="0.35">
      <c r="A245" s="17"/>
      <c r="B245" s="18"/>
      <c r="C245" s="18"/>
    </row>
    <row r="246" spans="1:3" x14ac:dyDescent="0.35">
      <c r="A246" s="17"/>
      <c r="B246" s="18"/>
      <c r="C246" s="18"/>
    </row>
    <row r="247" spans="1:3" x14ac:dyDescent="0.35">
      <c r="A247" s="17"/>
      <c r="B247" s="18"/>
      <c r="C247" s="18"/>
    </row>
    <row r="248" spans="1:3" x14ac:dyDescent="0.35">
      <c r="A248" s="17"/>
      <c r="B248" s="18"/>
      <c r="C248" s="18"/>
    </row>
    <row r="249" spans="1:3" x14ac:dyDescent="0.35">
      <c r="A249" s="17"/>
      <c r="B249" s="18"/>
      <c r="C249" s="18"/>
    </row>
    <row r="250" spans="1:3" x14ac:dyDescent="0.35">
      <c r="A250" s="17"/>
      <c r="B250" s="18"/>
      <c r="C250" s="18"/>
    </row>
    <row r="251" spans="1:3" x14ac:dyDescent="0.35">
      <c r="A251" s="17"/>
      <c r="B251" s="18"/>
      <c r="C251" s="18"/>
    </row>
    <row r="252" spans="1:3" x14ac:dyDescent="0.35">
      <c r="A252" s="17"/>
      <c r="B252" s="18"/>
      <c r="C252" s="18"/>
    </row>
    <row r="253" spans="1:3" x14ac:dyDescent="0.35">
      <c r="A253" s="17"/>
      <c r="B253" s="18"/>
      <c r="C253" s="18"/>
    </row>
    <row r="254" spans="1:3" x14ac:dyDescent="0.35">
      <c r="A254" s="17"/>
      <c r="B254" s="18"/>
      <c r="C254" s="18"/>
    </row>
    <row r="255" spans="1:3" x14ac:dyDescent="0.35">
      <c r="A255" s="17"/>
      <c r="B255" s="18"/>
      <c r="C255" s="18"/>
    </row>
    <row r="256" spans="1:3" x14ac:dyDescent="0.35">
      <c r="A256" s="17"/>
      <c r="B256" s="18"/>
      <c r="C256" s="18"/>
    </row>
    <row r="257" spans="1:3" x14ac:dyDescent="0.35">
      <c r="A257" s="17"/>
      <c r="B257" s="18"/>
      <c r="C257" s="18"/>
    </row>
    <row r="258" spans="1:3" x14ac:dyDescent="0.35">
      <c r="A258" s="17"/>
      <c r="B258" s="18"/>
      <c r="C258" s="18"/>
    </row>
    <row r="259" spans="1:3" x14ac:dyDescent="0.35">
      <c r="A259" s="17"/>
      <c r="B259" s="18"/>
      <c r="C259" s="18"/>
    </row>
    <row r="260" spans="1:3" x14ac:dyDescent="0.35">
      <c r="A260" s="17"/>
      <c r="B260" s="18"/>
      <c r="C260" s="18"/>
    </row>
    <row r="261" spans="1:3" x14ac:dyDescent="0.35">
      <c r="A261" s="17"/>
      <c r="B261" s="18"/>
      <c r="C261" s="18"/>
    </row>
    <row r="262" spans="1:3" x14ac:dyDescent="0.35">
      <c r="A262" s="17"/>
      <c r="B262" s="18"/>
      <c r="C262" s="18"/>
    </row>
    <row r="263" spans="1:3" x14ac:dyDescent="0.35">
      <c r="A263" s="17"/>
      <c r="B263" s="18"/>
      <c r="C263" s="18"/>
    </row>
    <row r="264" spans="1:3" x14ac:dyDescent="0.35">
      <c r="A264" s="17"/>
      <c r="B264" s="18"/>
      <c r="C264" s="18"/>
    </row>
    <row r="265" spans="1:3" x14ac:dyDescent="0.35">
      <c r="A265" s="17"/>
      <c r="B265" s="18"/>
      <c r="C265" s="18"/>
    </row>
    <row r="266" spans="1:3" x14ac:dyDescent="0.35">
      <c r="A266" s="17"/>
      <c r="B266" s="18"/>
      <c r="C266" s="18"/>
    </row>
    <row r="267" spans="1:3" x14ac:dyDescent="0.35">
      <c r="A267" s="17"/>
      <c r="B267" s="18"/>
      <c r="C267" s="18"/>
    </row>
    <row r="268" spans="1:3" x14ac:dyDescent="0.35">
      <c r="A268" s="17"/>
      <c r="B268" s="18"/>
      <c r="C268" s="18"/>
    </row>
    <row r="269" spans="1:3" x14ac:dyDescent="0.35">
      <c r="A269" s="17"/>
      <c r="B269" s="18"/>
      <c r="C269" s="18"/>
    </row>
    <row r="270" spans="1:3" x14ac:dyDescent="0.35">
      <c r="A270" s="17"/>
      <c r="B270" s="18"/>
      <c r="C270" s="18"/>
    </row>
    <row r="271" spans="1:3" x14ac:dyDescent="0.35">
      <c r="A271" s="17"/>
      <c r="B271" s="18"/>
      <c r="C271" s="18"/>
    </row>
    <row r="272" spans="1:3" x14ac:dyDescent="0.35">
      <c r="A272" s="17"/>
      <c r="B272" s="18"/>
      <c r="C272" s="18"/>
    </row>
    <row r="273" spans="1:3" x14ac:dyDescent="0.35">
      <c r="A273" s="17"/>
      <c r="B273" s="18"/>
      <c r="C273" s="18"/>
    </row>
    <row r="274" spans="1:3" x14ac:dyDescent="0.35">
      <c r="A274" s="17"/>
      <c r="B274" s="18"/>
      <c r="C274" s="18"/>
    </row>
    <row r="275" spans="1:3" x14ac:dyDescent="0.35">
      <c r="A275" s="17"/>
      <c r="B275" s="18"/>
      <c r="C275" s="18"/>
    </row>
    <row r="276" spans="1:3" x14ac:dyDescent="0.35">
      <c r="A276" s="17"/>
      <c r="B276" s="18"/>
      <c r="C276" s="18"/>
    </row>
    <row r="277" spans="1:3" x14ac:dyDescent="0.35">
      <c r="A277" s="17"/>
      <c r="B277" s="18"/>
      <c r="C277" s="18"/>
    </row>
    <row r="278" spans="1:3" x14ac:dyDescent="0.35">
      <c r="A278" s="17"/>
      <c r="B278" s="18"/>
      <c r="C278" s="18"/>
    </row>
    <row r="279" spans="1:3" x14ac:dyDescent="0.35">
      <c r="A279" s="17"/>
      <c r="B279" s="18"/>
      <c r="C279" s="18"/>
    </row>
    <row r="280" spans="1:3" x14ac:dyDescent="0.35">
      <c r="A280" s="17"/>
      <c r="B280" s="18"/>
      <c r="C280" s="18"/>
    </row>
    <row r="281" spans="1:3" x14ac:dyDescent="0.35">
      <c r="A281" s="17"/>
      <c r="B281" s="18"/>
      <c r="C281" s="18"/>
    </row>
    <row r="282" spans="1:3" x14ac:dyDescent="0.35">
      <c r="A282" s="17"/>
      <c r="B282" s="18"/>
      <c r="C282" s="18"/>
    </row>
    <row r="283" spans="1:3" x14ac:dyDescent="0.35">
      <c r="A283" s="17"/>
      <c r="B283" s="18"/>
      <c r="C283" s="18"/>
    </row>
    <row r="284" spans="1:3" x14ac:dyDescent="0.35">
      <c r="A284" s="17"/>
      <c r="B284" s="18"/>
      <c r="C284" s="18"/>
    </row>
    <row r="285" spans="1:3" x14ac:dyDescent="0.35">
      <c r="A285" s="17"/>
      <c r="B285" s="18"/>
      <c r="C285" s="18"/>
    </row>
    <row r="286" spans="1:3" x14ac:dyDescent="0.35">
      <c r="A286" s="17"/>
      <c r="B286" s="18"/>
      <c r="C286" s="18"/>
    </row>
    <row r="287" spans="1:3" x14ac:dyDescent="0.35">
      <c r="A287" s="17"/>
      <c r="B287" s="18"/>
      <c r="C287" s="18"/>
    </row>
    <row r="288" spans="1:3" x14ac:dyDescent="0.35">
      <c r="A288" s="17"/>
      <c r="B288" s="18"/>
      <c r="C288" s="18"/>
    </row>
    <row r="289" spans="1:3" x14ac:dyDescent="0.35">
      <c r="A289" s="17"/>
      <c r="B289" s="18"/>
      <c r="C289" s="18"/>
    </row>
    <row r="290" spans="1:3" x14ac:dyDescent="0.35">
      <c r="A290" s="17"/>
      <c r="B290" s="18"/>
      <c r="C290" s="18"/>
    </row>
    <row r="291" spans="1:3" x14ac:dyDescent="0.35">
      <c r="A291" s="17"/>
      <c r="B291" s="18"/>
      <c r="C291" s="18"/>
    </row>
    <row r="292" spans="1:3" x14ac:dyDescent="0.35">
      <c r="A292" s="17"/>
      <c r="B292" s="18"/>
      <c r="C292" s="18"/>
    </row>
    <row r="293" spans="1:3" x14ac:dyDescent="0.35">
      <c r="A293" s="17"/>
      <c r="B293" s="18"/>
      <c r="C293" s="18"/>
    </row>
    <row r="294" spans="1:3" x14ac:dyDescent="0.35">
      <c r="A294" s="17"/>
      <c r="B294" s="18"/>
      <c r="C294" s="18"/>
    </row>
    <row r="295" spans="1:3" x14ac:dyDescent="0.35">
      <c r="A295" s="17"/>
      <c r="B295" s="18"/>
      <c r="C295" s="18"/>
    </row>
    <row r="296" spans="1:3" x14ac:dyDescent="0.35">
      <c r="A296" s="17"/>
      <c r="B296" s="18"/>
      <c r="C296" s="18"/>
    </row>
    <row r="297" spans="1:3" x14ac:dyDescent="0.35">
      <c r="A297" s="17"/>
      <c r="B297" s="18"/>
      <c r="C297" s="18"/>
    </row>
    <row r="298" spans="1:3" x14ac:dyDescent="0.35">
      <c r="A298" s="17"/>
      <c r="B298" s="18"/>
      <c r="C298" s="18"/>
    </row>
    <row r="299" spans="1:3" x14ac:dyDescent="0.35">
      <c r="A299" s="17"/>
      <c r="B299" s="18"/>
      <c r="C299" s="18"/>
    </row>
    <row r="300" spans="1:3" x14ac:dyDescent="0.35">
      <c r="A300" s="17"/>
      <c r="B300" s="18"/>
      <c r="C300" s="18"/>
    </row>
    <row r="301" spans="1:3" x14ac:dyDescent="0.35">
      <c r="A301" s="17"/>
      <c r="B301" s="18"/>
      <c r="C301" s="18"/>
    </row>
    <row r="302" spans="1:3" x14ac:dyDescent="0.35">
      <c r="A302" s="17"/>
      <c r="B302" s="18"/>
      <c r="C302" s="18"/>
    </row>
    <row r="303" spans="1:3" x14ac:dyDescent="0.35">
      <c r="A303" s="17"/>
      <c r="B303" s="18"/>
      <c r="C303" s="18"/>
    </row>
    <row r="304" spans="1:3" x14ac:dyDescent="0.35">
      <c r="A304" s="17"/>
      <c r="B304" s="18"/>
      <c r="C304" s="18"/>
    </row>
    <row r="305" spans="1:3" x14ac:dyDescent="0.35">
      <c r="A305" s="17"/>
      <c r="B305" s="18"/>
      <c r="C305" s="18"/>
    </row>
    <row r="306" spans="1:3" x14ac:dyDescent="0.35">
      <c r="A306" s="17"/>
      <c r="B306" s="18"/>
      <c r="C306" s="18"/>
    </row>
    <row r="307" spans="1:3" x14ac:dyDescent="0.35">
      <c r="A307" s="17"/>
      <c r="B307" s="18"/>
      <c r="C307" s="18"/>
    </row>
    <row r="308" spans="1:3" x14ac:dyDescent="0.35">
      <c r="A308" s="17"/>
      <c r="B308" s="18"/>
      <c r="C308" s="18"/>
    </row>
    <row r="309" spans="1:3" x14ac:dyDescent="0.35">
      <c r="A309" s="17"/>
      <c r="B309" s="18"/>
      <c r="C309" s="18"/>
    </row>
    <row r="310" spans="1:3" x14ac:dyDescent="0.35">
      <c r="A310" s="17"/>
      <c r="B310" s="18"/>
      <c r="C310" s="18"/>
    </row>
    <row r="311" spans="1:3" x14ac:dyDescent="0.35">
      <c r="A311" s="17"/>
      <c r="B311" s="18"/>
      <c r="C311" s="18"/>
    </row>
    <row r="312" spans="1:3" x14ac:dyDescent="0.35">
      <c r="A312" s="17"/>
      <c r="B312" s="18"/>
      <c r="C312" s="18"/>
    </row>
    <row r="313" spans="1:3" x14ac:dyDescent="0.35">
      <c r="A313" s="17"/>
      <c r="B313" s="18"/>
      <c r="C313" s="18"/>
    </row>
    <row r="314" spans="1:3" x14ac:dyDescent="0.35">
      <c r="A314" s="17"/>
      <c r="B314" s="18"/>
      <c r="C314" s="18"/>
    </row>
    <row r="315" spans="1:3" x14ac:dyDescent="0.35">
      <c r="A315" s="17"/>
      <c r="B315" s="18"/>
      <c r="C315" s="18"/>
    </row>
    <row r="316" spans="1:3" x14ac:dyDescent="0.35">
      <c r="A316" s="17"/>
      <c r="B316" s="18"/>
      <c r="C316" s="18"/>
    </row>
    <row r="317" spans="1:3" x14ac:dyDescent="0.35">
      <c r="A317" s="17"/>
      <c r="B317" s="18"/>
      <c r="C317" s="18"/>
    </row>
    <row r="318" spans="1:3" x14ac:dyDescent="0.35">
      <c r="A318" s="17"/>
      <c r="B318" s="18"/>
      <c r="C318" s="18"/>
    </row>
    <row r="319" spans="1:3" x14ac:dyDescent="0.35">
      <c r="A319" s="17"/>
      <c r="B319" s="18"/>
      <c r="C319" s="18"/>
    </row>
    <row r="320" spans="1:3" x14ac:dyDescent="0.35">
      <c r="A320" s="17"/>
      <c r="B320" s="18"/>
      <c r="C320" s="18"/>
    </row>
    <row r="321" spans="1:3" x14ac:dyDescent="0.35">
      <c r="A321" s="17"/>
      <c r="B321" s="18"/>
      <c r="C321" s="18"/>
    </row>
    <row r="322" spans="1:3" x14ac:dyDescent="0.35">
      <c r="A322" s="17"/>
      <c r="B322" s="18"/>
      <c r="C322" s="18"/>
    </row>
    <row r="323" spans="1:3" x14ac:dyDescent="0.35">
      <c r="A323" s="17"/>
      <c r="B323" s="18"/>
      <c r="C323" s="18"/>
    </row>
    <row r="324" spans="1:3" x14ac:dyDescent="0.35">
      <c r="A324" s="17"/>
      <c r="B324" s="18"/>
      <c r="C324" s="18"/>
    </row>
    <row r="325" spans="1:3" x14ac:dyDescent="0.35">
      <c r="A325" s="17"/>
      <c r="B325" s="18"/>
      <c r="C325" s="18"/>
    </row>
    <row r="326" spans="1:3" x14ac:dyDescent="0.35">
      <c r="A326" s="17"/>
      <c r="B326" s="18"/>
      <c r="C326" s="18"/>
    </row>
    <row r="327" spans="1:3" x14ac:dyDescent="0.35">
      <c r="A327" s="17"/>
      <c r="B327" s="18"/>
      <c r="C327" s="18"/>
    </row>
    <row r="328" spans="1:3" x14ac:dyDescent="0.35">
      <c r="A328" s="17"/>
      <c r="B328" s="18"/>
      <c r="C328" s="18"/>
    </row>
    <row r="329" spans="1:3" x14ac:dyDescent="0.35">
      <c r="A329" s="17"/>
      <c r="B329" s="18"/>
      <c r="C329" s="18"/>
    </row>
    <row r="330" spans="1:3" x14ac:dyDescent="0.35">
      <c r="A330" s="17"/>
      <c r="B330" s="18"/>
      <c r="C330" s="18"/>
    </row>
    <row r="331" spans="1:3" x14ac:dyDescent="0.35">
      <c r="A331" s="17"/>
      <c r="B331" s="18"/>
      <c r="C331" s="18"/>
    </row>
    <row r="332" spans="1:3" x14ac:dyDescent="0.35">
      <c r="A332" s="17"/>
      <c r="B332" s="18"/>
      <c r="C332" s="18"/>
    </row>
    <row r="333" spans="1:3" x14ac:dyDescent="0.35">
      <c r="A333" s="17"/>
      <c r="B333" s="18"/>
      <c r="C333" s="18"/>
    </row>
    <row r="334" spans="1:3" x14ac:dyDescent="0.35">
      <c r="A334" s="17"/>
      <c r="B334" s="18"/>
      <c r="C334" s="18"/>
    </row>
    <row r="335" spans="1:3" x14ac:dyDescent="0.35">
      <c r="A335" s="17"/>
      <c r="B335" s="18"/>
      <c r="C335" s="18"/>
    </row>
    <row r="336" spans="1:3" x14ac:dyDescent="0.35">
      <c r="A336" s="17"/>
      <c r="B336" s="18"/>
      <c r="C336" s="18"/>
    </row>
    <row r="337" spans="1:3" x14ac:dyDescent="0.35">
      <c r="A337" s="17"/>
      <c r="B337" s="18"/>
      <c r="C337" s="18"/>
    </row>
    <row r="338" spans="1:3" x14ac:dyDescent="0.35">
      <c r="A338" s="17"/>
      <c r="B338" s="18"/>
      <c r="C338" s="18"/>
    </row>
    <row r="339" spans="1:3" x14ac:dyDescent="0.35">
      <c r="A339" s="17"/>
      <c r="B339" s="18"/>
      <c r="C339" s="18"/>
    </row>
    <row r="340" spans="1:3" x14ac:dyDescent="0.35">
      <c r="A340" s="17"/>
      <c r="B340" s="18"/>
      <c r="C340" s="18"/>
    </row>
    <row r="341" spans="1:3" x14ac:dyDescent="0.35">
      <c r="A341" s="17"/>
      <c r="B341" s="18"/>
      <c r="C341" s="18"/>
    </row>
    <row r="342" spans="1:3" x14ac:dyDescent="0.35">
      <c r="A342" s="17"/>
      <c r="B342" s="18"/>
      <c r="C342" s="18"/>
    </row>
    <row r="343" spans="1:3" x14ac:dyDescent="0.35">
      <c r="A343" s="17"/>
      <c r="B343" s="18"/>
      <c r="C343" s="18"/>
    </row>
    <row r="344" spans="1:3" x14ac:dyDescent="0.35">
      <c r="A344" s="17"/>
      <c r="B344" s="18"/>
      <c r="C344" s="18"/>
    </row>
    <row r="345" spans="1:3" x14ac:dyDescent="0.35">
      <c r="A345" s="17"/>
      <c r="B345" s="18"/>
      <c r="C345" s="18"/>
    </row>
    <row r="346" spans="1:3" x14ac:dyDescent="0.35">
      <c r="A346" s="17"/>
      <c r="B346" s="18"/>
      <c r="C346" s="18"/>
    </row>
    <row r="347" spans="1:3" x14ac:dyDescent="0.35">
      <c r="A347" s="17"/>
      <c r="B347" s="18"/>
      <c r="C347" s="18"/>
    </row>
    <row r="348" spans="1:3" x14ac:dyDescent="0.35">
      <c r="A348" s="17"/>
      <c r="B348" s="18"/>
      <c r="C348" s="18"/>
    </row>
    <row r="349" spans="1:3" x14ac:dyDescent="0.35">
      <c r="A349" s="17"/>
      <c r="B349" s="18"/>
      <c r="C349" s="18"/>
    </row>
    <row r="350" spans="1:3" x14ac:dyDescent="0.35">
      <c r="A350" s="17"/>
      <c r="B350" s="18"/>
      <c r="C350" s="18"/>
    </row>
    <row r="351" spans="1:3" x14ac:dyDescent="0.35">
      <c r="A351" s="17"/>
      <c r="B351" s="18"/>
      <c r="C351" s="18"/>
    </row>
    <row r="352" spans="1:3" x14ac:dyDescent="0.35">
      <c r="A352" s="17"/>
      <c r="B352" s="18"/>
      <c r="C352" s="18"/>
    </row>
    <row r="353" spans="1:3" x14ac:dyDescent="0.35">
      <c r="A353" s="17"/>
      <c r="B353" s="18"/>
      <c r="C353" s="18"/>
    </row>
    <row r="354" spans="1:3" x14ac:dyDescent="0.35">
      <c r="A354" s="17"/>
      <c r="B354" s="18"/>
      <c r="C354" s="18"/>
    </row>
    <row r="355" spans="1:3" x14ac:dyDescent="0.35">
      <c r="A355" s="17"/>
      <c r="B355" s="18"/>
      <c r="C355" s="18"/>
    </row>
    <row r="356" spans="1:3" x14ac:dyDescent="0.35">
      <c r="A356" s="17"/>
      <c r="B356" s="18"/>
      <c r="C356" s="18"/>
    </row>
    <row r="357" spans="1:3" x14ac:dyDescent="0.35">
      <c r="A357" s="17"/>
      <c r="B357" s="18"/>
      <c r="C357" s="18"/>
    </row>
    <row r="358" spans="1:3" x14ac:dyDescent="0.35">
      <c r="A358" s="17"/>
      <c r="B358" s="18"/>
      <c r="C358" s="18"/>
    </row>
    <row r="359" spans="1:3" x14ac:dyDescent="0.35">
      <c r="A359" s="17"/>
      <c r="B359" s="18"/>
      <c r="C359" s="18"/>
    </row>
    <row r="360" spans="1:3" x14ac:dyDescent="0.35">
      <c r="A360" s="17"/>
      <c r="B360" s="18"/>
      <c r="C360" s="18"/>
    </row>
    <row r="361" spans="1:3" x14ac:dyDescent="0.35">
      <c r="A361" s="17"/>
      <c r="B361" s="18"/>
      <c r="C361" s="18"/>
    </row>
    <row r="362" spans="1:3" x14ac:dyDescent="0.35">
      <c r="A362" s="17"/>
      <c r="B362" s="18"/>
      <c r="C362" s="18"/>
    </row>
    <row r="363" spans="1:3" x14ac:dyDescent="0.35">
      <c r="A363" s="17"/>
      <c r="B363" s="18"/>
      <c r="C363" s="18"/>
    </row>
    <row r="364" spans="1:3" x14ac:dyDescent="0.35">
      <c r="A364" s="17"/>
      <c r="B364" s="18"/>
      <c r="C364" s="18"/>
    </row>
    <row r="365" spans="1:3" x14ac:dyDescent="0.35">
      <c r="A365" s="17"/>
      <c r="B365" s="18"/>
      <c r="C365" s="18"/>
    </row>
    <row r="366" spans="1:3" x14ac:dyDescent="0.35">
      <c r="A366" s="17"/>
      <c r="B366" s="18"/>
      <c r="C366" s="18"/>
    </row>
    <row r="367" spans="1:3" x14ac:dyDescent="0.35">
      <c r="A367" s="17"/>
      <c r="B367" s="18"/>
      <c r="C367" s="18"/>
    </row>
    <row r="368" spans="1:3" x14ac:dyDescent="0.35">
      <c r="A368" s="17"/>
      <c r="B368" s="18"/>
      <c r="C368" s="18"/>
    </row>
    <row r="369" spans="1:3" x14ac:dyDescent="0.35">
      <c r="A369" s="17"/>
      <c r="B369" s="18"/>
      <c r="C369" s="18"/>
    </row>
    <row r="370" spans="1:3" x14ac:dyDescent="0.35">
      <c r="A370" s="17"/>
      <c r="B370" s="18"/>
      <c r="C370" s="18"/>
    </row>
    <row r="371" spans="1:3" x14ac:dyDescent="0.35">
      <c r="A371" s="17"/>
      <c r="B371" s="18"/>
      <c r="C371" s="18"/>
    </row>
    <row r="372" spans="1:3" x14ac:dyDescent="0.35">
      <c r="A372" s="17"/>
      <c r="B372" s="18"/>
      <c r="C372" s="18"/>
    </row>
    <row r="373" spans="1:3" x14ac:dyDescent="0.35">
      <c r="A373" s="17"/>
      <c r="B373" s="18"/>
      <c r="C373" s="18"/>
    </row>
    <row r="374" spans="1:3" x14ac:dyDescent="0.35">
      <c r="A374" s="17"/>
      <c r="B374" s="18"/>
      <c r="C374" s="18"/>
    </row>
    <row r="375" spans="1:3" x14ac:dyDescent="0.35">
      <c r="A375" s="17"/>
      <c r="B375" s="18"/>
      <c r="C375" s="18"/>
    </row>
    <row r="376" spans="1:3" x14ac:dyDescent="0.35">
      <c r="A376" s="17"/>
      <c r="B376" s="18"/>
      <c r="C376" s="18"/>
    </row>
    <row r="377" spans="1:3" x14ac:dyDescent="0.35">
      <c r="A377" s="17"/>
      <c r="B377" s="18"/>
      <c r="C377" s="18"/>
    </row>
    <row r="378" spans="1:3" x14ac:dyDescent="0.35">
      <c r="A378" s="17"/>
      <c r="B378" s="18"/>
      <c r="C378" s="18"/>
    </row>
    <row r="379" spans="1:3" x14ac:dyDescent="0.35">
      <c r="A379" s="17"/>
      <c r="B379" s="18"/>
      <c r="C379" s="18"/>
    </row>
    <row r="380" spans="1:3" x14ac:dyDescent="0.35">
      <c r="A380" s="17"/>
      <c r="B380" s="18"/>
      <c r="C380" s="18"/>
    </row>
    <row r="381" spans="1:3" x14ac:dyDescent="0.35">
      <c r="A381" s="17"/>
      <c r="B381" s="18"/>
      <c r="C381" s="18"/>
    </row>
    <row r="382" spans="1:3" x14ac:dyDescent="0.35">
      <c r="A382" s="17"/>
      <c r="B382" s="18"/>
      <c r="C382" s="18"/>
    </row>
    <row r="383" spans="1:3" x14ac:dyDescent="0.35">
      <c r="A383" s="17"/>
      <c r="B383" s="18"/>
      <c r="C383" s="18"/>
    </row>
    <row r="384" spans="1:3" x14ac:dyDescent="0.35">
      <c r="A384" s="17"/>
      <c r="B384" s="18"/>
      <c r="C384" s="18"/>
    </row>
    <row r="385" spans="1:3" x14ac:dyDescent="0.35">
      <c r="A385" s="17"/>
      <c r="B385" s="18"/>
      <c r="C385" s="18"/>
    </row>
    <row r="386" spans="1:3" x14ac:dyDescent="0.35">
      <c r="A386" s="17"/>
      <c r="B386" s="18"/>
      <c r="C386" s="18"/>
    </row>
    <row r="387" spans="1:3" x14ac:dyDescent="0.35">
      <c r="A387" s="17"/>
      <c r="B387" s="18"/>
      <c r="C387" s="18"/>
    </row>
    <row r="388" spans="1:3" x14ac:dyDescent="0.35">
      <c r="A388" s="17"/>
      <c r="B388" s="18"/>
      <c r="C388" s="18"/>
    </row>
    <row r="389" spans="1:3" x14ac:dyDescent="0.35">
      <c r="A389" s="17"/>
      <c r="B389" s="18"/>
      <c r="C389" s="18"/>
    </row>
    <row r="390" spans="1:3" x14ac:dyDescent="0.35">
      <c r="A390" s="17"/>
      <c r="B390" s="18"/>
      <c r="C390" s="18"/>
    </row>
    <row r="391" spans="1:3" x14ac:dyDescent="0.35">
      <c r="A391" s="17"/>
      <c r="B391" s="18"/>
      <c r="C391" s="18"/>
    </row>
    <row r="392" spans="1:3" x14ac:dyDescent="0.35">
      <c r="A392" s="17"/>
      <c r="B392" s="18"/>
      <c r="C392" s="18"/>
    </row>
    <row r="393" spans="1:3" x14ac:dyDescent="0.35">
      <c r="A393" s="17"/>
      <c r="B393" s="18"/>
      <c r="C393" s="18"/>
    </row>
    <row r="394" spans="1:3" x14ac:dyDescent="0.35">
      <c r="A394" s="17"/>
      <c r="B394" s="18"/>
      <c r="C394" s="18"/>
    </row>
    <row r="395" spans="1:3" x14ac:dyDescent="0.35">
      <c r="A395" s="17"/>
      <c r="B395" s="18"/>
      <c r="C395" s="18"/>
    </row>
    <row r="396" spans="1:3" x14ac:dyDescent="0.35">
      <c r="A396" s="17"/>
      <c r="B396" s="18"/>
      <c r="C396" s="18"/>
    </row>
    <row r="397" spans="1:3" x14ac:dyDescent="0.35">
      <c r="A397" s="17"/>
      <c r="B397" s="18"/>
      <c r="C397" s="18"/>
    </row>
    <row r="398" spans="1:3" x14ac:dyDescent="0.35">
      <c r="A398" s="17"/>
      <c r="B398" s="18"/>
      <c r="C398" s="18"/>
    </row>
    <row r="399" spans="1:3" x14ac:dyDescent="0.35">
      <c r="A399" s="17"/>
      <c r="B399" s="18"/>
      <c r="C399" s="18"/>
    </row>
    <row r="400" spans="1:3" x14ac:dyDescent="0.35">
      <c r="A400" s="17"/>
      <c r="B400" s="18"/>
      <c r="C400" s="18"/>
    </row>
    <row r="401" spans="1:3" x14ac:dyDescent="0.35">
      <c r="A401" s="17"/>
      <c r="B401" s="18"/>
      <c r="C401" s="18"/>
    </row>
    <row r="402" spans="1:3" x14ac:dyDescent="0.35">
      <c r="A402" s="17"/>
      <c r="B402" s="18"/>
      <c r="C402" s="18"/>
    </row>
    <row r="403" spans="1:3" x14ac:dyDescent="0.35">
      <c r="A403" s="17"/>
      <c r="B403" s="18"/>
      <c r="C403" s="18"/>
    </row>
    <row r="404" spans="1:3" x14ac:dyDescent="0.35">
      <c r="A404" s="17"/>
      <c r="B404" s="18"/>
      <c r="C404" s="18"/>
    </row>
    <row r="405" spans="1:3" x14ac:dyDescent="0.35">
      <c r="A405" s="17"/>
      <c r="B405" s="18"/>
      <c r="C405" s="18"/>
    </row>
    <row r="406" spans="1:3" x14ac:dyDescent="0.35">
      <c r="A406" s="17"/>
      <c r="B406" s="18"/>
      <c r="C406" s="18"/>
    </row>
    <row r="407" spans="1:3" x14ac:dyDescent="0.35">
      <c r="A407" s="17"/>
      <c r="B407" s="18"/>
      <c r="C407" s="18"/>
    </row>
    <row r="408" spans="1:3" x14ac:dyDescent="0.35">
      <c r="A408" s="17"/>
      <c r="B408" s="18"/>
      <c r="C408" s="18"/>
    </row>
    <row r="409" spans="1:3" x14ac:dyDescent="0.35">
      <c r="A409" s="17"/>
      <c r="B409" s="18"/>
      <c r="C409" s="18"/>
    </row>
    <row r="410" spans="1:3" x14ac:dyDescent="0.35">
      <c r="A410" s="17"/>
      <c r="B410" s="18"/>
      <c r="C410" s="18"/>
    </row>
    <row r="411" spans="1:3" x14ac:dyDescent="0.35">
      <c r="A411" s="17"/>
      <c r="B411" s="18"/>
      <c r="C411" s="18"/>
    </row>
    <row r="412" spans="1:3" x14ac:dyDescent="0.35">
      <c r="A412" s="17"/>
      <c r="B412" s="18"/>
      <c r="C412" s="18"/>
    </row>
    <row r="413" spans="1:3" x14ac:dyDescent="0.35">
      <c r="A413" s="17"/>
      <c r="B413" s="18"/>
      <c r="C413" s="18"/>
    </row>
    <row r="414" spans="1:3" x14ac:dyDescent="0.35">
      <c r="A414" s="17"/>
      <c r="B414" s="18"/>
      <c r="C414" s="18"/>
    </row>
    <row r="415" spans="1:3" x14ac:dyDescent="0.35">
      <c r="A415" s="17"/>
      <c r="B415" s="18"/>
      <c r="C415" s="18"/>
    </row>
    <row r="416" spans="1:3" x14ac:dyDescent="0.35">
      <c r="A416" s="17"/>
      <c r="B416" s="18"/>
      <c r="C416" s="18"/>
    </row>
    <row r="417" spans="1:3" x14ac:dyDescent="0.35">
      <c r="A417" s="17"/>
      <c r="B417" s="18"/>
      <c r="C417" s="18"/>
    </row>
    <row r="418" spans="1:3" x14ac:dyDescent="0.35">
      <c r="A418" s="17"/>
      <c r="B418" s="18"/>
      <c r="C418" s="18"/>
    </row>
    <row r="419" spans="1:3" x14ac:dyDescent="0.35">
      <c r="A419" s="17"/>
      <c r="B419" s="18"/>
      <c r="C419" s="18"/>
    </row>
    <row r="420" spans="1:3" x14ac:dyDescent="0.35">
      <c r="A420" s="17"/>
      <c r="B420" s="18"/>
      <c r="C420" s="18"/>
    </row>
    <row r="421" spans="1:3" x14ac:dyDescent="0.35">
      <c r="A421" s="17"/>
      <c r="B421" s="18"/>
      <c r="C421" s="18"/>
    </row>
    <row r="422" spans="1:3" x14ac:dyDescent="0.35">
      <c r="A422" s="17"/>
      <c r="B422" s="18"/>
      <c r="C422" s="18"/>
    </row>
    <row r="423" spans="1:3" x14ac:dyDescent="0.35">
      <c r="A423" s="17"/>
      <c r="B423" s="18"/>
      <c r="C423" s="18"/>
    </row>
    <row r="424" spans="1:3" x14ac:dyDescent="0.35">
      <c r="A424" s="17"/>
      <c r="B424" s="18"/>
      <c r="C424" s="18"/>
    </row>
    <row r="425" spans="1:3" x14ac:dyDescent="0.35">
      <c r="A425" s="17"/>
      <c r="B425" s="18"/>
      <c r="C425" s="18"/>
    </row>
    <row r="426" spans="1:3" x14ac:dyDescent="0.35">
      <c r="A426" s="17"/>
      <c r="B426" s="18"/>
      <c r="C426" s="18"/>
    </row>
    <row r="427" spans="1:3" x14ac:dyDescent="0.35">
      <c r="A427" s="17"/>
      <c r="B427" s="18"/>
      <c r="C427" s="18"/>
    </row>
    <row r="428" spans="1:3" x14ac:dyDescent="0.35">
      <c r="A428" s="17"/>
      <c r="B428" s="18"/>
      <c r="C428" s="18"/>
    </row>
    <row r="429" spans="1:3" x14ac:dyDescent="0.35">
      <c r="A429" s="17"/>
      <c r="B429" s="18"/>
      <c r="C429" s="18"/>
    </row>
    <row r="430" spans="1:3" x14ac:dyDescent="0.35">
      <c r="A430" s="17"/>
      <c r="B430" s="18"/>
      <c r="C430" s="18"/>
    </row>
    <row r="431" spans="1:3" x14ac:dyDescent="0.35">
      <c r="A431" s="17"/>
      <c r="B431" s="18"/>
      <c r="C431" s="18"/>
    </row>
    <row r="432" spans="1:3" x14ac:dyDescent="0.35">
      <c r="A432" s="17"/>
      <c r="B432" s="18"/>
      <c r="C432" s="18"/>
    </row>
    <row r="433" spans="1:3" x14ac:dyDescent="0.35">
      <c r="A433" s="17"/>
      <c r="B433" s="18"/>
      <c r="C433" s="18"/>
    </row>
    <row r="434" spans="1:3" x14ac:dyDescent="0.35">
      <c r="A434" s="17"/>
      <c r="B434" s="18"/>
      <c r="C434" s="18"/>
    </row>
    <row r="435" spans="1:3" x14ac:dyDescent="0.35">
      <c r="A435" s="17"/>
      <c r="B435" s="18"/>
      <c r="C435" s="18"/>
    </row>
    <row r="436" spans="1:3" x14ac:dyDescent="0.35">
      <c r="A436" s="17"/>
      <c r="B436" s="18"/>
      <c r="C436" s="18"/>
    </row>
    <row r="437" spans="1:3" x14ac:dyDescent="0.35">
      <c r="A437" s="17"/>
      <c r="B437" s="18"/>
      <c r="C437" s="18"/>
    </row>
    <row r="438" spans="1:3" x14ac:dyDescent="0.35">
      <c r="A438" s="17"/>
      <c r="B438" s="18"/>
      <c r="C438" s="18"/>
    </row>
    <row r="439" spans="1:3" x14ac:dyDescent="0.35">
      <c r="A439" s="17"/>
      <c r="B439" s="18"/>
      <c r="C439" s="18"/>
    </row>
    <row r="440" spans="1:3" x14ac:dyDescent="0.35">
      <c r="A440" s="17"/>
      <c r="B440" s="18"/>
      <c r="C440" s="18"/>
    </row>
    <row r="441" spans="1:3" x14ac:dyDescent="0.35">
      <c r="A441" s="17"/>
      <c r="B441" s="18"/>
      <c r="C441" s="18"/>
    </row>
    <row r="442" spans="1:3" x14ac:dyDescent="0.35">
      <c r="A442" s="17"/>
      <c r="B442" s="18"/>
      <c r="C442" s="18"/>
    </row>
    <row r="443" spans="1:3" x14ac:dyDescent="0.35">
      <c r="A443" s="17"/>
      <c r="B443" s="18"/>
      <c r="C443" s="18"/>
    </row>
    <row r="444" spans="1:3" x14ac:dyDescent="0.35">
      <c r="A444" s="17"/>
      <c r="B444" s="18"/>
      <c r="C444" s="18"/>
    </row>
    <row r="445" spans="1:3" x14ac:dyDescent="0.35">
      <c r="A445" s="17"/>
      <c r="B445" s="18"/>
      <c r="C445" s="18"/>
    </row>
    <row r="446" spans="1:3" x14ac:dyDescent="0.35">
      <c r="A446" s="17"/>
      <c r="B446" s="18"/>
      <c r="C446" s="18"/>
    </row>
    <row r="447" spans="1:3" x14ac:dyDescent="0.35">
      <c r="A447" s="17"/>
      <c r="B447" s="18"/>
      <c r="C447" s="18"/>
    </row>
    <row r="448" spans="1:3" x14ac:dyDescent="0.35">
      <c r="A448" s="17"/>
      <c r="B448" s="18"/>
      <c r="C448" s="18"/>
    </row>
    <row r="449" spans="1:3" x14ac:dyDescent="0.35">
      <c r="A449" s="17"/>
      <c r="B449" s="18"/>
      <c r="C449" s="18"/>
    </row>
    <row r="450" spans="1:3" x14ac:dyDescent="0.35">
      <c r="A450" s="17"/>
      <c r="B450" s="18"/>
      <c r="C450" s="18"/>
    </row>
    <row r="451" spans="1:3" x14ac:dyDescent="0.35">
      <c r="A451" s="17"/>
      <c r="B451" s="18"/>
      <c r="C451" s="18"/>
    </row>
    <row r="452" spans="1:3" x14ac:dyDescent="0.35">
      <c r="A452" s="17"/>
      <c r="B452" s="18"/>
      <c r="C452" s="18"/>
    </row>
    <row r="453" spans="1:3" x14ac:dyDescent="0.35">
      <c r="A453" s="17"/>
      <c r="B453" s="18"/>
      <c r="C453" s="18"/>
    </row>
    <row r="454" spans="1:3" x14ac:dyDescent="0.35">
      <c r="A454" s="17"/>
      <c r="B454" s="18"/>
      <c r="C454" s="18"/>
    </row>
    <row r="455" spans="1:3" x14ac:dyDescent="0.35">
      <c r="A455" s="17"/>
      <c r="B455" s="18"/>
      <c r="C455" s="18"/>
    </row>
    <row r="456" spans="1:3" x14ac:dyDescent="0.35">
      <c r="A456" s="17"/>
      <c r="B456" s="18"/>
      <c r="C456" s="18"/>
    </row>
    <row r="457" spans="1:3" x14ac:dyDescent="0.35">
      <c r="A457" s="17"/>
      <c r="B457" s="18"/>
      <c r="C457" s="18"/>
    </row>
    <row r="458" spans="1:3" x14ac:dyDescent="0.35">
      <c r="A458" s="17"/>
      <c r="B458" s="18"/>
      <c r="C458" s="18"/>
    </row>
    <row r="459" spans="1:3" x14ac:dyDescent="0.35">
      <c r="A459" s="17"/>
      <c r="B459" s="18"/>
      <c r="C459" s="18"/>
    </row>
    <row r="460" spans="1:3" x14ac:dyDescent="0.35">
      <c r="A460" s="17"/>
      <c r="B460" s="18"/>
      <c r="C460" s="18"/>
    </row>
    <row r="461" spans="1:3" x14ac:dyDescent="0.35">
      <c r="A461" s="17"/>
      <c r="B461" s="18"/>
      <c r="C461" s="18"/>
    </row>
    <row r="462" spans="1:3" x14ac:dyDescent="0.35">
      <c r="A462" s="17"/>
      <c r="B462" s="18"/>
      <c r="C462" s="18"/>
    </row>
    <row r="463" spans="1:3" x14ac:dyDescent="0.35">
      <c r="A463" s="17"/>
      <c r="B463" s="18"/>
      <c r="C463" s="18"/>
    </row>
    <row r="464" spans="1:3" x14ac:dyDescent="0.35">
      <c r="A464" s="17"/>
      <c r="B464" s="18"/>
      <c r="C464" s="18"/>
    </row>
    <row r="465" spans="1:3" x14ac:dyDescent="0.35">
      <c r="A465" s="17"/>
      <c r="B465" s="18"/>
      <c r="C465" s="18"/>
    </row>
    <row r="466" spans="1:3" x14ac:dyDescent="0.35">
      <c r="A466" s="17"/>
      <c r="B466" s="18"/>
      <c r="C466" s="18"/>
    </row>
    <row r="467" spans="1:3" x14ac:dyDescent="0.35">
      <c r="A467" s="17"/>
      <c r="B467" s="18"/>
      <c r="C467" s="18"/>
    </row>
    <row r="468" spans="1:3" x14ac:dyDescent="0.35">
      <c r="A468" s="17"/>
      <c r="B468" s="18"/>
      <c r="C468" s="18"/>
    </row>
    <row r="469" spans="1:3" x14ac:dyDescent="0.35">
      <c r="A469" s="17"/>
      <c r="B469" s="18"/>
      <c r="C469" s="18"/>
    </row>
    <row r="470" spans="1:3" x14ac:dyDescent="0.35">
      <c r="A470" s="17"/>
      <c r="B470" s="18"/>
      <c r="C470" s="18"/>
    </row>
    <row r="471" spans="1:3" x14ac:dyDescent="0.35">
      <c r="A471" s="17"/>
      <c r="B471" s="18"/>
      <c r="C471" s="18"/>
    </row>
    <row r="472" spans="1:3" x14ac:dyDescent="0.35">
      <c r="A472" s="17"/>
      <c r="B472" s="18"/>
      <c r="C472" s="18"/>
    </row>
    <row r="473" spans="1:3" x14ac:dyDescent="0.35">
      <c r="A473" s="17"/>
      <c r="B473" s="18"/>
      <c r="C473" s="18"/>
    </row>
    <row r="474" spans="1:3" x14ac:dyDescent="0.35">
      <c r="A474" s="17"/>
      <c r="B474" s="18"/>
      <c r="C474" s="18"/>
    </row>
    <row r="475" spans="1:3" x14ac:dyDescent="0.35">
      <c r="A475" s="17"/>
      <c r="B475" s="18"/>
      <c r="C475" s="18"/>
    </row>
    <row r="476" spans="1:3" x14ac:dyDescent="0.35">
      <c r="A476" s="17"/>
      <c r="B476" s="18"/>
      <c r="C476" s="18"/>
    </row>
    <row r="477" spans="1:3" x14ac:dyDescent="0.35">
      <c r="A477" s="17"/>
      <c r="B477" s="18"/>
      <c r="C477" s="18"/>
    </row>
    <row r="478" spans="1:3" x14ac:dyDescent="0.35">
      <c r="A478" s="17"/>
      <c r="B478" s="18"/>
      <c r="C478" s="18"/>
    </row>
    <row r="479" spans="1:3" x14ac:dyDescent="0.35">
      <c r="A479" s="17"/>
      <c r="B479" s="18"/>
      <c r="C479" s="18"/>
    </row>
    <row r="480" spans="1:3" x14ac:dyDescent="0.35">
      <c r="A480" s="17"/>
      <c r="B480" s="18"/>
      <c r="C480" s="18"/>
    </row>
    <row r="481" spans="1:3" x14ac:dyDescent="0.35">
      <c r="A481" s="17"/>
      <c r="B481" s="18"/>
      <c r="C481" s="18"/>
    </row>
    <row r="482" spans="1:3" x14ac:dyDescent="0.35">
      <c r="A482" s="17"/>
      <c r="B482" s="18"/>
      <c r="C482" s="18"/>
    </row>
    <row r="483" spans="1:3" x14ac:dyDescent="0.35">
      <c r="A483" s="17"/>
      <c r="B483" s="18"/>
      <c r="C483" s="18"/>
    </row>
    <row r="484" spans="1:3" x14ac:dyDescent="0.35">
      <c r="A484" s="17"/>
      <c r="B484" s="18"/>
      <c r="C484" s="18"/>
    </row>
    <row r="485" spans="1:3" x14ac:dyDescent="0.35">
      <c r="A485" s="17"/>
      <c r="B485" s="18"/>
      <c r="C485" s="18"/>
    </row>
    <row r="486" spans="1:3" x14ac:dyDescent="0.35">
      <c r="A486" s="17"/>
      <c r="B486" s="18"/>
      <c r="C486" s="18"/>
    </row>
    <row r="487" spans="1:3" x14ac:dyDescent="0.35">
      <c r="A487" s="17"/>
      <c r="B487" s="18"/>
      <c r="C487" s="18"/>
    </row>
    <row r="488" spans="1:3" x14ac:dyDescent="0.35">
      <c r="A488" s="17"/>
      <c r="B488" s="18"/>
      <c r="C488" s="18"/>
    </row>
    <row r="489" spans="1:3" x14ac:dyDescent="0.35">
      <c r="A489" s="17"/>
      <c r="B489" s="18"/>
      <c r="C489" s="18"/>
    </row>
    <row r="490" spans="1:3" x14ac:dyDescent="0.35">
      <c r="A490" s="17"/>
      <c r="B490" s="18"/>
      <c r="C490" s="18"/>
    </row>
    <row r="491" spans="1:3" x14ac:dyDescent="0.35">
      <c r="A491" s="17"/>
      <c r="B491" s="18"/>
      <c r="C491" s="18"/>
    </row>
    <row r="492" spans="1:3" x14ac:dyDescent="0.35">
      <c r="A492" s="17"/>
      <c r="B492" s="18"/>
      <c r="C492" s="18"/>
    </row>
    <row r="493" spans="1:3" x14ac:dyDescent="0.35">
      <c r="A493" s="17"/>
      <c r="B493" s="18"/>
      <c r="C493" s="18"/>
    </row>
    <row r="494" spans="1:3" x14ac:dyDescent="0.35">
      <c r="A494" s="17"/>
      <c r="B494" s="18"/>
      <c r="C494" s="18"/>
    </row>
    <row r="495" spans="1:3" x14ac:dyDescent="0.35">
      <c r="A495" s="17"/>
      <c r="B495" s="18"/>
      <c r="C495" s="18"/>
    </row>
    <row r="496" spans="1:3" x14ac:dyDescent="0.35">
      <c r="A496" s="17"/>
      <c r="B496" s="18"/>
      <c r="C496" s="18"/>
    </row>
    <row r="497" spans="1:3" x14ac:dyDescent="0.35">
      <c r="A497" s="17"/>
      <c r="B497" s="18"/>
      <c r="C497" s="18"/>
    </row>
    <row r="498" spans="1:3" x14ac:dyDescent="0.35">
      <c r="A498" s="17"/>
      <c r="B498" s="18"/>
      <c r="C498" s="18"/>
    </row>
    <row r="499" spans="1:3" x14ac:dyDescent="0.35">
      <c r="A499" s="17"/>
      <c r="B499" s="18"/>
      <c r="C499" s="18"/>
    </row>
    <row r="500" spans="1:3" x14ac:dyDescent="0.35">
      <c r="A500" s="17"/>
      <c r="B500" s="18"/>
      <c r="C500" s="18"/>
    </row>
    <row r="501" spans="1:3" x14ac:dyDescent="0.35">
      <c r="A501" s="17"/>
      <c r="B501" s="18"/>
      <c r="C501" s="18"/>
    </row>
    <row r="502" spans="1:3" x14ac:dyDescent="0.35">
      <c r="A502" s="17"/>
      <c r="B502" s="18"/>
      <c r="C502" s="18"/>
    </row>
    <row r="503" spans="1:3" x14ac:dyDescent="0.35">
      <c r="A503" s="17"/>
      <c r="B503" s="18"/>
      <c r="C503" s="18"/>
    </row>
    <row r="504" spans="1:3" x14ac:dyDescent="0.35">
      <c r="A504" s="17"/>
      <c r="B504" s="18"/>
      <c r="C504" s="18"/>
    </row>
    <row r="505" spans="1:3" x14ac:dyDescent="0.35">
      <c r="A505" s="17"/>
      <c r="B505" s="18"/>
      <c r="C505" s="18"/>
    </row>
    <row r="506" spans="1:3" x14ac:dyDescent="0.35">
      <c r="A506" s="17"/>
      <c r="B506" s="18"/>
      <c r="C506" s="18"/>
    </row>
    <row r="507" spans="1:3" x14ac:dyDescent="0.35">
      <c r="A507" s="17"/>
      <c r="B507" s="18"/>
      <c r="C507" s="18"/>
    </row>
    <row r="508" spans="1:3" x14ac:dyDescent="0.35">
      <c r="A508" s="17"/>
      <c r="B508" s="18"/>
      <c r="C508" s="18"/>
    </row>
    <row r="509" spans="1:3" x14ac:dyDescent="0.35">
      <c r="A509" s="17"/>
      <c r="B509" s="18"/>
      <c r="C509" s="18"/>
    </row>
    <row r="510" spans="1:3" x14ac:dyDescent="0.35">
      <c r="A510" s="17"/>
      <c r="B510" s="18"/>
      <c r="C510" s="18"/>
    </row>
    <row r="511" spans="1:3" x14ac:dyDescent="0.35">
      <c r="A511" s="17"/>
      <c r="B511" s="18"/>
      <c r="C511" s="18"/>
    </row>
    <row r="512" spans="1:3" x14ac:dyDescent="0.35">
      <c r="A512" s="17"/>
      <c r="B512" s="18"/>
      <c r="C512" s="18"/>
    </row>
    <row r="513" spans="1:3" x14ac:dyDescent="0.35">
      <c r="A513" s="17"/>
      <c r="B513" s="18"/>
      <c r="C513" s="18"/>
    </row>
    <row r="514" spans="1:3" x14ac:dyDescent="0.35">
      <c r="A514" s="17"/>
      <c r="B514" s="18"/>
      <c r="C514" s="18"/>
    </row>
    <row r="515" spans="1:3" x14ac:dyDescent="0.35">
      <c r="A515" s="17"/>
      <c r="B515" s="18"/>
      <c r="C515" s="18"/>
    </row>
    <row r="516" spans="1:3" x14ac:dyDescent="0.35">
      <c r="A516" s="17"/>
      <c r="B516" s="18"/>
      <c r="C516" s="18"/>
    </row>
    <row r="517" spans="1:3" x14ac:dyDescent="0.35">
      <c r="A517" s="17"/>
      <c r="B517" s="18"/>
      <c r="C517" s="18"/>
    </row>
    <row r="518" spans="1:3" x14ac:dyDescent="0.35">
      <c r="A518" s="17"/>
      <c r="B518" s="18"/>
      <c r="C518" s="18"/>
    </row>
    <row r="519" spans="1:3" x14ac:dyDescent="0.35">
      <c r="A519" s="17"/>
      <c r="B519" s="18"/>
      <c r="C519" s="18"/>
    </row>
    <row r="520" spans="1:3" x14ac:dyDescent="0.35">
      <c r="A520" s="17"/>
      <c r="B520" s="18"/>
      <c r="C520" s="18"/>
    </row>
    <row r="521" spans="1:3" x14ac:dyDescent="0.35">
      <c r="A521" s="17"/>
      <c r="B521" s="18"/>
      <c r="C521" s="18"/>
    </row>
    <row r="522" spans="1:3" x14ac:dyDescent="0.35">
      <c r="A522" s="17"/>
      <c r="B522" s="18"/>
      <c r="C522" s="18"/>
    </row>
    <row r="523" spans="1:3" x14ac:dyDescent="0.35">
      <c r="A523" s="17"/>
      <c r="B523" s="18"/>
      <c r="C523" s="18"/>
    </row>
    <row r="524" spans="1:3" x14ac:dyDescent="0.35">
      <c r="A524" s="17"/>
      <c r="B524" s="18"/>
      <c r="C524" s="18"/>
    </row>
    <row r="525" spans="1:3" x14ac:dyDescent="0.35">
      <c r="A525" s="17"/>
      <c r="B525" s="18"/>
      <c r="C525" s="18"/>
    </row>
    <row r="526" spans="1:3" x14ac:dyDescent="0.35">
      <c r="A526" s="17"/>
      <c r="B526" s="18"/>
      <c r="C526" s="18"/>
    </row>
    <row r="527" spans="1:3" x14ac:dyDescent="0.35">
      <c r="A527" s="17"/>
      <c r="B527" s="18"/>
      <c r="C527" s="18"/>
    </row>
    <row r="528" spans="1:3" x14ac:dyDescent="0.35">
      <c r="A528" s="17"/>
      <c r="B528" s="18"/>
      <c r="C528" s="18"/>
    </row>
    <row r="529" spans="1:3" x14ac:dyDescent="0.35">
      <c r="A529" s="17"/>
      <c r="B529" s="18"/>
      <c r="C529" s="18"/>
    </row>
    <row r="530" spans="1:3" x14ac:dyDescent="0.35">
      <c r="A530" s="17"/>
      <c r="B530" s="18"/>
      <c r="C530" s="18"/>
    </row>
    <row r="531" spans="1:3" x14ac:dyDescent="0.35">
      <c r="A531" s="17"/>
      <c r="B531" s="18"/>
      <c r="C531" s="18"/>
    </row>
    <row r="532" spans="1:3" x14ac:dyDescent="0.35">
      <c r="A532" s="17"/>
      <c r="B532" s="18"/>
      <c r="C532" s="18"/>
    </row>
    <row r="533" spans="1:3" x14ac:dyDescent="0.35">
      <c r="A533" s="17"/>
      <c r="B533" s="18"/>
      <c r="C533" s="18"/>
    </row>
    <row r="534" spans="1:3" x14ac:dyDescent="0.35">
      <c r="A534" s="17"/>
      <c r="B534" s="18"/>
      <c r="C534" s="18"/>
    </row>
    <row r="535" spans="1:3" x14ac:dyDescent="0.35">
      <c r="A535" s="17"/>
      <c r="B535" s="18"/>
      <c r="C535" s="18"/>
    </row>
    <row r="536" spans="1:3" x14ac:dyDescent="0.35">
      <c r="A536" s="17"/>
      <c r="B536" s="18"/>
      <c r="C536" s="18"/>
    </row>
    <row r="537" spans="1:3" x14ac:dyDescent="0.35">
      <c r="A537" s="17"/>
      <c r="B537" s="18"/>
      <c r="C537" s="18"/>
    </row>
    <row r="538" spans="1:3" x14ac:dyDescent="0.35">
      <c r="A538" s="17"/>
      <c r="B538" s="18"/>
      <c r="C538" s="18"/>
    </row>
    <row r="539" spans="1:3" x14ac:dyDescent="0.35">
      <c r="A539" s="17"/>
      <c r="B539" s="18"/>
      <c r="C539" s="18"/>
    </row>
    <row r="540" spans="1:3" x14ac:dyDescent="0.35">
      <c r="A540" s="17"/>
      <c r="B540" s="18"/>
      <c r="C540" s="18"/>
    </row>
    <row r="541" spans="1:3" x14ac:dyDescent="0.35">
      <c r="A541" s="17"/>
      <c r="B541" s="18"/>
      <c r="C541" s="18"/>
    </row>
    <row r="542" spans="1:3" x14ac:dyDescent="0.35">
      <c r="A542" s="17"/>
      <c r="B542" s="18"/>
      <c r="C542" s="18"/>
    </row>
    <row r="543" spans="1:3" x14ac:dyDescent="0.35">
      <c r="A543" s="17"/>
      <c r="B543" s="18"/>
      <c r="C543" s="18"/>
    </row>
    <row r="544" spans="1:3" x14ac:dyDescent="0.35">
      <c r="A544" s="17"/>
      <c r="B544" s="18"/>
      <c r="C544" s="18"/>
    </row>
    <row r="545" spans="1:3" x14ac:dyDescent="0.35">
      <c r="A545" s="17"/>
      <c r="B545" s="18"/>
      <c r="C545" s="18"/>
    </row>
    <row r="546" spans="1:3" x14ac:dyDescent="0.35">
      <c r="A546" s="17"/>
      <c r="B546" s="18"/>
      <c r="C546" s="18"/>
    </row>
    <row r="547" spans="1:3" x14ac:dyDescent="0.35">
      <c r="A547" s="17"/>
      <c r="B547" s="18"/>
      <c r="C547" s="18"/>
    </row>
    <row r="548" spans="1:3" x14ac:dyDescent="0.35">
      <c r="A548" s="17"/>
      <c r="B548" s="18"/>
      <c r="C548" s="18"/>
    </row>
    <row r="549" spans="1:3" x14ac:dyDescent="0.35">
      <c r="A549" s="17"/>
      <c r="B549" s="18"/>
      <c r="C549" s="18"/>
    </row>
    <row r="550" spans="1:3" x14ac:dyDescent="0.35">
      <c r="A550" s="17"/>
      <c r="B550" s="18"/>
      <c r="C550" s="18"/>
    </row>
    <row r="551" spans="1:3" x14ac:dyDescent="0.35">
      <c r="A551" s="17"/>
      <c r="B551" s="18"/>
      <c r="C551" s="18"/>
    </row>
    <row r="552" spans="1:3" x14ac:dyDescent="0.35">
      <c r="A552" s="17"/>
      <c r="B552" s="18"/>
      <c r="C552" s="18"/>
    </row>
    <row r="553" spans="1:3" x14ac:dyDescent="0.35">
      <c r="A553" s="17"/>
      <c r="B553" s="18"/>
      <c r="C553" s="18"/>
    </row>
    <row r="554" spans="1:3" x14ac:dyDescent="0.35">
      <c r="A554" s="17"/>
      <c r="B554" s="18"/>
      <c r="C554" s="18"/>
    </row>
    <row r="555" spans="1:3" x14ac:dyDescent="0.35">
      <c r="A555" s="17"/>
      <c r="B555" s="18"/>
      <c r="C555" s="18"/>
    </row>
    <row r="556" spans="1:3" x14ac:dyDescent="0.35">
      <c r="A556" s="17"/>
      <c r="B556" s="18"/>
      <c r="C556" s="18"/>
    </row>
    <row r="557" spans="1:3" x14ac:dyDescent="0.35">
      <c r="A557" s="17"/>
      <c r="B557" s="18"/>
      <c r="C557" s="18"/>
    </row>
    <row r="558" spans="1:3" x14ac:dyDescent="0.35">
      <c r="A558" s="17"/>
      <c r="B558" s="18"/>
      <c r="C558" s="18"/>
    </row>
    <row r="559" spans="1:3" x14ac:dyDescent="0.35">
      <c r="A559" s="17"/>
      <c r="B559" s="18"/>
      <c r="C559" s="18"/>
    </row>
    <row r="560" spans="1:3" x14ac:dyDescent="0.35">
      <c r="A560" s="17"/>
      <c r="B560" s="18"/>
      <c r="C560" s="18"/>
    </row>
    <row r="561" spans="1:3" x14ac:dyDescent="0.35">
      <c r="A561" s="17"/>
      <c r="B561" s="18"/>
      <c r="C561" s="18"/>
    </row>
    <row r="562" spans="1:3" x14ac:dyDescent="0.35">
      <c r="A562" s="17"/>
      <c r="B562" s="18"/>
      <c r="C562" s="18"/>
    </row>
    <row r="563" spans="1:3" x14ac:dyDescent="0.35">
      <c r="A563" s="17"/>
      <c r="B563" s="18"/>
      <c r="C563" s="18"/>
    </row>
    <row r="564" spans="1:3" x14ac:dyDescent="0.35">
      <c r="A564" s="17"/>
      <c r="B564" s="18"/>
      <c r="C564" s="18"/>
    </row>
    <row r="565" spans="1:3" x14ac:dyDescent="0.35">
      <c r="A565" s="17"/>
      <c r="B565" s="18"/>
      <c r="C565" s="18"/>
    </row>
    <row r="566" spans="1:3" x14ac:dyDescent="0.35">
      <c r="A566" s="17"/>
      <c r="B566" s="18"/>
      <c r="C566" s="18"/>
    </row>
    <row r="567" spans="1:3" x14ac:dyDescent="0.35">
      <c r="A567" s="17"/>
      <c r="B567" s="18"/>
      <c r="C567" s="18"/>
    </row>
    <row r="568" spans="1:3" x14ac:dyDescent="0.35">
      <c r="A568" s="17"/>
      <c r="B568" s="18"/>
      <c r="C568" s="18"/>
    </row>
    <row r="569" spans="1:3" x14ac:dyDescent="0.35">
      <c r="A569" s="17"/>
      <c r="B569" s="18"/>
      <c r="C569" s="18"/>
    </row>
    <row r="570" spans="1:3" x14ac:dyDescent="0.35">
      <c r="A570" s="17"/>
      <c r="B570" s="18"/>
      <c r="C570" s="18"/>
    </row>
    <row r="571" spans="1:3" x14ac:dyDescent="0.35">
      <c r="A571" s="17"/>
      <c r="B571" s="18"/>
      <c r="C571" s="18"/>
    </row>
    <row r="572" spans="1:3" x14ac:dyDescent="0.35">
      <c r="A572" s="17"/>
      <c r="B572" s="18"/>
      <c r="C572" s="18"/>
    </row>
    <row r="573" spans="1:3" x14ac:dyDescent="0.35">
      <c r="A573" s="17"/>
      <c r="B573" s="18"/>
      <c r="C573" s="18"/>
    </row>
    <row r="574" spans="1:3" x14ac:dyDescent="0.35">
      <c r="A574" s="17"/>
      <c r="B574" s="18"/>
      <c r="C574" s="18"/>
    </row>
    <row r="575" spans="1:3" x14ac:dyDescent="0.35">
      <c r="A575" s="17"/>
      <c r="B575" s="18"/>
      <c r="C575" s="18"/>
    </row>
    <row r="576" spans="1:3" x14ac:dyDescent="0.35">
      <c r="A576" s="17"/>
      <c r="B576" s="18"/>
      <c r="C576" s="18"/>
    </row>
    <row r="577" spans="1:3" x14ac:dyDescent="0.35">
      <c r="A577" s="17"/>
      <c r="B577" s="18"/>
      <c r="C577" s="18"/>
    </row>
    <row r="578" spans="1:3" x14ac:dyDescent="0.35">
      <c r="A578" s="17"/>
      <c r="B578" s="18"/>
      <c r="C578" s="18"/>
    </row>
    <row r="579" spans="1:3" x14ac:dyDescent="0.35">
      <c r="A579" s="17"/>
      <c r="B579" s="18"/>
      <c r="C579" s="18"/>
    </row>
    <row r="580" spans="1:3" x14ac:dyDescent="0.35">
      <c r="A580" s="17"/>
      <c r="B580" s="18"/>
      <c r="C580" s="18"/>
    </row>
    <row r="581" spans="1:3" x14ac:dyDescent="0.35">
      <c r="A581" s="17"/>
      <c r="B581" s="18"/>
      <c r="C581" s="18"/>
    </row>
    <row r="582" spans="1:3" x14ac:dyDescent="0.35">
      <c r="A582" s="17"/>
      <c r="B582" s="18"/>
      <c r="C582" s="18"/>
    </row>
    <row r="583" spans="1:3" x14ac:dyDescent="0.35">
      <c r="A583" s="17"/>
      <c r="B583" s="18"/>
      <c r="C583" s="18"/>
    </row>
    <row r="584" spans="1:3" x14ac:dyDescent="0.35">
      <c r="A584" s="17"/>
      <c r="B584" s="18"/>
      <c r="C584" s="18"/>
    </row>
    <row r="585" spans="1:3" x14ac:dyDescent="0.35">
      <c r="A585" s="17"/>
      <c r="B585" s="18"/>
      <c r="C585" s="18"/>
    </row>
    <row r="586" spans="1:3" x14ac:dyDescent="0.35">
      <c r="A586" s="17"/>
      <c r="B586" s="18"/>
      <c r="C586" s="18"/>
    </row>
    <row r="587" spans="1:3" x14ac:dyDescent="0.35">
      <c r="A587" s="17"/>
      <c r="B587" s="18"/>
      <c r="C587" s="18"/>
    </row>
    <row r="588" spans="1:3" x14ac:dyDescent="0.35">
      <c r="A588" s="17"/>
      <c r="B588" s="18"/>
      <c r="C588" s="18"/>
    </row>
    <row r="589" spans="1:3" x14ac:dyDescent="0.35">
      <c r="A589" s="17"/>
      <c r="B589" s="18"/>
      <c r="C589" s="18"/>
    </row>
    <row r="590" spans="1:3" x14ac:dyDescent="0.35">
      <c r="A590" s="17"/>
      <c r="B590" s="18"/>
      <c r="C590" s="18"/>
    </row>
    <row r="591" spans="1:3" x14ac:dyDescent="0.35">
      <c r="A591" s="17"/>
      <c r="B591" s="18"/>
      <c r="C591" s="18"/>
    </row>
    <row r="592" spans="1:3" x14ac:dyDescent="0.35">
      <c r="A592" s="17"/>
      <c r="B592" s="18"/>
      <c r="C592" s="18"/>
    </row>
    <row r="593" spans="1:3" x14ac:dyDescent="0.35">
      <c r="A593" s="17"/>
      <c r="B593" s="18"/>
      <c r="C593" s="18"/>
    </row>
    <row r="594" spans="1:3" x14ac:dyDescent="0.35">
      <c r="A594" s="17"/>
      <c r="B594" s="18"/>
      <c r="C594" s="18"/>
    </row>
    <row r="595" spans="1:3" x14ac:dyDescent="0.35">
      <c r="A595" s="17"/>
      <c r="B595" s="18"/>
      <c r="C595" s="18"/>
    </row>
    <row r="596" spans="1:3" x14ac:dyDescent="0.35">
      <c r="A596" s="17"/>
      <c r="B596" s="18"/>
      <c r="C596" s="18"/>
    </row>
    <row r="597" spans="1:3" x14ac:dyDescent="0.35">
      <c r="A597" s="17"/>
      <c r="B597" s="18"/>
      <c r="C597" s="18"/>
    </row>
    <row r="598" spans="1:3" x14ac:dyDescent="0.35">
      <c r="A598" s="17"/>
      <c r="B598" s="18"/>
      <c r="C598" s="18"/>
    </row>
    <row r="599" spans="1:3" x14ac:dyDescent="0.35">
      <c r="A599" s="17"/>
      <c r="B599" s="18"/>
      <c r="C599" s="18"/>
    </row>
    <row r="600" spans="1:3" x14ac:dyDescent="0.35">
      <c r="A600" s="17"/>
      <c r="B600" s="18"/>
      <c r="C600" s="18"/>
    </row>
    <row r="601" spans="1:3" x14ac:dyDescent="0.35">
      <c r="A601" s="17"/>
      <c r="B601" s="18"/>
      <c r="C601" s="18"/>
    </row>
    <row r="602" spans="1:3" x14ac:dyDescent="0.35">
      <c r="A602" s="17"/>
      <c r="B602" s="18"/>
      <c r="C602" s="18"/>
    </row>
    <row r="603" spans="1:3" x14ac:dyDescent="0.35">
      <c r="A603" s="17"/>
      <c r="B603" s="18"/>
      <c r="C603" s="18"/>
    </row>
    <row r="604" spans="1:3" x14ac:dyDescent="0.35">
      <c r="A604" s="17"/>
      <c r="B604" s="18"/>
      <c r="C604" s="18"/>
    </row>
    <row r="605" spans="1:3" x14ac:dyDescent="0.35">
      <c r="A605" s="17"/>
      <c r="B605" s="18"/>
      <c r="C605" s="18"/>
    </row>
    <row r="606" spans="1:3" x14ac:dyDescent="0.35">
      <c r="A606" s="17"/>
      <c r="B606" s="18"/>
      <c r="C606" s="18"/>
    </row>
    <row r="607" spans="1:3" x14ac:dyDescent="0.35">
      <c r="A607" s="17"/>
      <c r="B607" s="18"/>
      <c r="C607" s="18"/>
    </row>
    <row r="608" spans="1:3" x14ac:dyDescent="0.35">
      <c r="A608" s="17"/>
      <c r="B608" s="18"/>
      <c r="C608" s="18"/>
    </row>
    <row r="609" spans="1:3" x14ac:dyDescent="0.35">
      <c r="A609" s="17"/>
      <c r="B609" s="18"/>
      <c r="C609" s="18"/>
    </row>
    <row r="610" spans="1:3" x14ac:dyDescent="0.35">
      <c r="A610" s="17"/>
      <c r="B610" s="18"/>
      <c r="C610" s="18"/>
    </row>
    <row r="611" spans="1:3" x14ac:dyDescent="0.35">
      <c r="A611" s="17"/>
      <c r="B611" s="18"/>
      <c r="C611" s="18"/>
    </row>
    <row r="612" spans="1:3" x14ac:dyDescent="0.35">
      <c r="A612" s="17"/>
      <c r="B612" s="18"/>
      <c r="C612" s="18"/>
    </row>
    <row r="613" spans="1:3" x14ac:dyDescent="0.35">
      <c r="A613" s="17"/>
      <c r="B613" s="18"/>
      <c r="C613" s="18"/>
    </row>
    <row r="614" spans="1:3" x14ac:dyDescent="0.35">
      <c r="A614" s="17"/>
      <c r="B614" s="18"/>
      <c r="C614" s="18"/>
    </row>
    <row r="615" spans="1:3" x14ac:dyDescent="0.35">
      <c r="A615" s="17"/>
      <c r="B615" s="18"/>
      <c r="C615" s="18"/>
    </row>
    <row r="616" spans="1:3" x14ac:dyDescent="0.35">
      <c r="A616" s="17"/>
      <c r="B616" s="18"/>
      <c r="C616" s="18"/>
    </row>
    <row r="617" spans="1:3" x14ac:dyDescent="0.35">
      <c r="A617" s="17"/>
      <c r="B617" s="18"/>
      <c r="C617" s="18"/>
    </row>
    <row r="618" spans="1:3" x14ac:dyDescent="0.35">
      <c r="A618" s="17"/>
      <c r="B618" s="18"/>
      <c r="C618" s="18"/>
    </row>
    <row r="619" spans="1:3" x14ac:dyDescent="0.35">
      <c r="A619" s="17"/>
      <c r="B619" s="18"/>
      <c r="C619" s="18"/>
    </row>
    <row r="620" spans="1:3" x14ac:dyDescent="0.35">
      <c r="A620" s="17"/>
      <c r="B620" s="18"/>
      <c r="C620" s="18"/>
    </row>
    <row r="621" spans="1:3" x14ac:dyDescent="0.35">
      <c r="A621" s="17"/>
      <c r="B621" s="18"/>
      <c r="C621" s="18"/>
    </row>
    <row r="622" spans="1:3" x14ac:dyDescent="0.35">
      <c r="A622" s="17"/>
      <c r="B622" s="18"/>
      <c r="C622" s="18"/>
    </row>
    <row r="623" spans="1:3" x14ac:dyDescent="0.35">
      <c r="A623" s="17"/>
      <c r="B623" s="18"/>
      <c r="C623" s="18"/>
    </row>
    <row r="624" spans="1:3" x14ac:dyDescent="0.35">
      <c r="A624" s="17"/>
      <c r="B624" s="18"/>
      <c r="C624" s="18"/>
    </row>
    <row r="625" spans="1:3" x14ac:dyDescent="0.35">
      <c r="A625" s="17"/>
      <c r="B625" s="18"/>
      <c r="C625" s="18"/>
    </row>
    <row r="626" spans="1:3" x14ac:dyDescent="0.35">
      <c r="A626" s="17"/>
      <c r="B626" s="18"/>
      <c r="C626" s="18"/>
    </row>
    <row r="627" spans="1:3" x14ac:dyDescent="0.35">
      <c r="A627" s="17"/>
      <c r="B627" s="18"/>
      <c r="C627" s="18"/>
    </row>
    <row r="628" spans="1:3" x14ac:dyDescent="0.35">
      <c r="A628" s="17"/>
      <c r="B628" s="18"/>
      <c r="C628" s="18"/>
    </row>
    <row r="629" spans="1:3" x14ac:dyDescent="0.35">
      <c r="A629" s="17"/>
      <c r="B629" s="18"/>
      <c r="C629" s="18"/>
    </row>
    <row r="630" spans="1:3" x14ac:dyDescent="0.35">
      <c r="A630" s="17"/>
      <c r="B630" s="18"/>
      <c r="C630" s="18"/>
    </row>
    <row r="631" spans="1:3" x14ac:dyDescent="0.35">
      <c r="A631" s="17"/>
      <c r="B631" s="18"/>
      <c r="C631" s="18"/>
    </row>
    <row r="632" spans="1:3" x14ac:dyDescent="0.35">
      <c r="A632" s="17"/>
      <c r="B632" s="18"/>
      <c r="C632" s="18"/>
    </row>
    <row r="633" spans="1:3" x14ac:dyDescent="0.35">
      <c r="A633" s="17"/>
      <c r="B633" s="18"/>
      <c r="C633" s="18"/>
    </row>
    <row r="634" spans="1:3" x14ac:dyDescent="0.35">
      <c r="A634" s="17"/>
      <c r="B634" s="18"/>
      <c r="C634" s="18"/>
    </row>
    <row r="635" spans="1:3" x14ac:dyDescent="0.35">
      <c r="A635" s="17"/>
      <c r="B635" s="18"/>
      <c r="C635" s="18"/>
    </row>
    <row r="636" spans="1:3" x14ac:dyDescent="0.35">
      <c r="A636" s="17"/>
      <c r="B636" s="18"/>
      <c r="C636" s="18"/>
    </row>
    <row r="637" spans="1:3" x14ac:dyDescent="0.35">
      <c r="A637" s="17"/>
      <c r="B637" s="18"/>
      <c r="C637" s="18"/>
    </row>
    <row r="638" spans="1:3" x14ac:dyDescent="0.35">
      <c r="A638" s="17"/>
      <c r="B638" s="18"/>
      <c r="C638" s="18"/>
    </row>
    <row r="639" spans="1:3" x14ac:dyDescent="0.35">
      <c r="A639" s="17"/>
      <c r="B639" s="18"/>
      <c r="C639" s="18"/>
    </row>
    <row r="640" spans="1:3" x14ac:dyDescent="0.35">
      <c r="A640" s="17"/>
      <c r="B640" s="18"/>
      <c r="C640" s="18"/>
    </row>
    <row r="641" spans="1:3" x14ac:dyDescent="0.35">
      <c r="A641" s="17"/>
      <c r="B641" s="18"/>
      <c r="C641" s="18"/>
    </row>
    <row r="642" spans="1:3" x14ac:dyDescent="0.35">
      <c r="A642" s="17"/>
      <c r="B642" s="18"/>
      <c r="C642" s="18"/>
    </row>
    <row r="643" spans="1:3" x14ac:dyDescent="0.35">
      <c r="A643" s="17"/>
      <c r="B643" s="18"/>
      <c r="C643" s="18"/>
    </row>
    <row r="644" spans="1:3" x14ac:dyDescent="0.35">
      <c r="A644" s="17"/>
      <c r="B644" s="18"/>
      <c r="C644" s="18"/>
    </row>
    <row r="645" spans="1:3" x14ac:dyDescent="0.35">
      <c r="A645" s="17"/>
      <c r="B645" s="18"/>
      <c r="C645" s="18"/>
    </row>
    <row r="646" spans="1:3" x14ac:dyDescent="0.35">
      <c r="A646" s="17"/>
      <c r="B646" s="18"/>
      <c r="C646" s="18"/>
    </row>
    <row r="647" spans="1:3" x14ac:dyDescent="0.35">
      <c r="A647" s="17"/>
      <c r="B647" s="18"/>
      <c r="C647" s="18"/>
    </row>
    <row r="648" spans="1:3" x14ac:dyDescent="0.35">
      <c r="A648" s="17"/>
      <c r="B648" s="18"/>
      <c r="C648" s="18"/>
    </row>
    <row r="649" spans="1:3" x14ac:dyDescent="0.35">
      <c r="A649" s="17"/>
      <c r="B649" s="18"/>
      <c r="C649" s="18"/>
    </row>
    <row r="650" spans="1:3" x14ac:dyDescent="0.35">
      <c r="A650" s="17"/>
      <c r="B650" s="18"/>
      <c r="C650" s="18"/>
    </row>
    <row r="651" spans="1:3" x14ac:dyDescent="0.35">
      <c r="A651" s="17"/>
      <c r="B651" s="18"/>
      <c r="C651" s="18"/>
    </row>
    <row r="652" spans="1:3" x14ac:dyDescent="0.35">
      <c r="A652" s="17"/>
      <c r="B652" s="18"/>
      <c r="C652" s="18"/>
    </row>
    <row r="653" spans="1:3" x14ac:dyDescent="0.35">
      <c r="A653" s="17"/>
      <c r="B653" s="18"/>
      <c r="C653" s="18"/>
    </row>
    <row r="654" spans="1:3" x14ac:dyDescent="0.35">
      <c r="A654" s="17"/>
      <c r="B654" s="18"/>
      <c r="C654" s="18"/>
    </row>
    <row r="655" spans="1:3" x14ac:dyDescent="0.35">
      <c r="A655" s="17"/>
      <c r="B655" s="18"/>
      <c r="C655" s="18"/>
    </row>
    <row r="656" spans="1:3" x14ac:dyDescent="0.35">
      <c r="A656" s="17"/>
      <c r="B656" s="18"/>
      <c r="C656" s="18"/>
    </row>
    <row r="657" spans="1:3" x14ac:dyDescent="0.35">
      <c r="A657" s="17"/>
      <c r="B657" s="18"/>
      <c r="C657" s="18"/>
    </row>
    <row r="658" spans="1:3" x14ac:dyDescent="0.35">
      <c r="A658" s="17"/>
      <c r="B658" s="18"/>
      <c r="C658" s="18"/>
    </row>
    <row r="659" spans="1:3" x14ac:dyDescent="0.35">
      <c r="A659" s="17"/>
      <c r="B659" s="18"/>
      <c r="C659" s="18"/>
    </row>
    <row r="660" spans="1:3" x14ac:dyDescent="0.35">
      <c r="A660" s="17"/>
      <c r="B660" s="18"/>
      <c r="C660" s="18"/>
    </row>
    <row r="661" spans="1:3" x14ac:dyDescent="0.35">
      <c r="A661" s="17"/>
      <c r="B661" s="18"/>
      <c r="C661" s="18"/>
    </row>
    <row r="662" spans="1:3" x14ac:dyDescent="0.35">
      <c r="A662" s="17"/>
      <c r="B662" s="18"/>
      <c r="C662" s="18"/>
    </row>
    <row r="663" spans="1:3" x14ac:dyDescent="0.35">
      <c r="A663" s="17"/>
      <c r="B663" s="18"/>
      <c r="C663" s="18"/>
    </row>
    <row r="664" spans="1:3" x14ac:dyDescent="0.35">
      <c r="A664" s="17"/>
      <c r="B664" s="18"/>
      <c r="C664" s="18"/>
    </row>
    <row r="665" spans="1:3" x14ac:dyDescent="0.35">
      <c r="A665" s="17"/>
      <c r="B665" s="18"/>
      <c r="C665" s="18"/>
    </row>
    <row r="666" spans="1:3" x14ac:dyDescent="0.35">
      <c r="A666" s="17"/>
      <c r="B666" s="18"/>
      <c r="C666" s="18"/>
    </row>
    <row r="667" spans="1:3" x14ac:dyDescent="0.35">
      <c r="A667" s="17"/>
      <c r="B667" s="18"/>
      <c r="C667" s="18"/>
    </row>
    <row r="668" spans="1:3" x14ac:dyDescent="0.35">
      <c r="A668" s="17"/>
      <c r="B668" s="18"/>
      <c r="C668" s="18"/>
    </row>
    <row r="669" spans="1:3" x14ac:dyDescent="0.35">
      <c r="A669" s="17"/>
      <c r="B669" s="18"/>
      <c r="C669" s="18"/>
    </row>
    <row r="670" spans="1:3" x14ac:dyDescent="0.35">
      <c r="A670" s="17"/>
      <c r="B670" s="18"/>
      <c r="C670" s="18"/>
    </row>
    <row r="671" spans="1:3" x14ac:dyDescent="0.35">
      <c r="A671" s="17"/>
      <c r="B671" s="18"/>
      <c r="C671" s="18"/>
    </row>
    <row r="672" spans="1:3" x14ac:dyDescent="0.35">
      <c r="A672" s="17"/>
      <c r="B672" s="18"/>
      <c r="C672" s="18"/>
    </row>
    <row r="673" spans="1:3" x14ac:dyDescent="0.35">
      <c r="A673" s="17"/>
      <c r="B673" s="18"/>
      <c r="C673" s="18"/>
    </row>
    <row r="674" spans="1:3" x14ac:dyDescent="0.35">
      <c r="A674" s="17"/>
      <c r="B674" s="18"/>
      <c r="C674" s="18"/>
    </row>
    <row r="675" spans="1:3" x14ac:dyDescent="0.35">
      <c r="A675" s="17"/>
      <c r="B675" s="18"/>
      <c r="C675" s="18"/>
    </row>
    <row r="676" spans="1:3" x14ac:dyDescent="0.35">
      <c r="A676" s="17"/>
      <c r="B676" s="18"/>
      <c r="C676" s="18"/>
    </row>
    <row r="677" spans="1:3" x14ac:dyDescent="0.35">
      <c r="A677" s="17"/>
      <c r="B677" s="18"/>
      <c r="C677" s="18"/>
    </row>
    <row r="678" spans="1:3" x14ac:dyDescent="0.35">
      <c r="A678" s="17"/>
      <c r="B678" s="18"/>
      <c r="C678" s="18"/>
    </row>
    <row r="679" spans="1:3" x14ac:dyDescent="0.35">
      <c r="A679" s="17"/>
      <c r="B679" s="18"/>
      <c r="C679" s="18"/>
    </row>
    <row r="680" spans="1:3" x14ac:dyDescent="0.35">
      <c r="A680" s="17"/>
      <c r="B680" s="18"/>
      <c r="C680" s="18"/>
    </row>
    <row r="681" spans="1:3" x14ac:dyDescent="0.35">
      <c r="A681" s="17"/>
      <c r="B681" s="18"/>
      <c r="C681" s="18"/>
    </row>
    <row r="682" spans="1:3" x14ac:dyDescent="0.35">
      <c r="A682" s="17"/>
      <c r="B682" s="18"/>
      <c r="C682" s="18"/>
    </row>
    <row r="683" spans="1:3" x14ac:dyDescent="0.35">
      <c r="A683" s="17"/>
      <c r="B683" s="18"/>
      <c r="C683" s="18"/>
    </row>
    <row r="684" spans="1:3" x14ac:dyDescent="0.35">
      <c r="A684" s="17"/>
      <c r="B684" s="18"/>
      <c r="C684" s="18"/>
    </row>
    <row r="685" spans="1:3" x14ac:dyDescent="0.35">
      <c r="A685" s="17"/>
      <c r="B685" s="18"/>
      <c r="C685" s="18"/>
    </row>
    <row r="686" spans="1:3" x14ac:dyDescent="0.35">
      <c r="A686" s="17"/>
      <c r="B686" s="18"/>
      <c r="C686" s="18"/>
    </row>
    <row r="687" spans="1:3" x14ac:dyDescent="0.35">
      <c r="A687" s="17"/>
      <c r="B687" s="18"/>
      <c r="C687" s="18"/>
    </row>
    <row r="688" spans="1:3" x14ac:dyDescent="0.35">
      <c r="A688" s="17"/>
      <c r="B688" s="18"/>
      <c r="C688" s="18"/>
    </row>
    <row r="689" spans="1:3" x14ac:dyDescent="0.35">
      <c r="A689" s="17"/>
      <c r="B689" s="18"/>
      <c r="C689" s="18"/>
    </row>
    <row r="690" spans="1:3" x14ac:dyDescent="0.35">
      <c r="A690" s="17"/>
      <c r="B690" s="18"/>
      <c r="C690" s="18"/>
    </row>
    <row r="691" spans="1:3" x14ac:dyDescent="0.35">
      <c r="A691" s="17"/>
      <c r="B691" s="18"/>
      <c r="C691" s="18"/>
    </row>
    <row r="692" spans="1:3" x14ac:dyDescent="0.35">
      <c r="A692" s="17"/>
      <c r="B692" s="18"/>
      <c r="C692" s="18"/>
    </row>
    <row r="693" spans="1:3" x14ac:dyDescent="0.35">
      <c r="A693" s="17"/>
      <c r="B693" s="18"/>
      <c r="C693" s="18"/>
    </row>
    <row r="694" spans="1:3" x14ac:dyDescent="0.35">
      <c r="A694" s="17"/>
      <c r="B694" s="18"/>
      <c r="C694" s="18"/>
    </row>
    <row r="695" spans="1:3" x14ac:dyDescent="0.35">
      <c r="A695" s="17"/>
      <c r="B695" s="18"/>
      <c r="C695" s="18"/>
    </row>
    <row r="696" spans="1:3" x14ac:dyDescent="0.35">
      <c r="A696" s="17"/>
      <c r="B696" s="18"/>
      <c r="C696" s="18"/>
    </row>
    <row r="697" spans="1:3" x14ac:dyDescent="0.35">
      <c r="A697" s="17"/>
      <c r="B697" s="18"/>
      <c r="C697" s="18"/>
    </row>
    <row r="698" spans="1:3" x14ac:dyDescent="0.35">
      <c r="A698" s="17"/>
      <c r="B698" s="18"/>
      <c r="C698" s="18"/>
    </row>
    <row r="699" spans="1:3" x14ac:dyDescent="0.35">
      <c r="A699" s="17"/>
      <c r="B699" s="18"/>
      <c r="C699" s="18"/>
    </row>
    <row r="700" spans="1:3" x14ac:dyDescent="0.35">
      <c r="A700" s="17"/>
      <c r="B700" s="18"/>
      <c r="C700" s="18"/>
    </row>
    <row r="701" spans="1:3" x14ac:dyDescent="0.35">
      <c r="A701" s="17"/>
      <c r="B701" s="18"/>
      <c r="C701" s="18"/>
    </row>
    <row r="702" spans="1:3" x14ac:dyDescent="0.35">
      <c r="A702" s="17"/>
      <c r="B702" s="18"/>
      <c r="C702" s="18"/>
    </row>
    <row r="703" spans="1:3" x14ac:dyDescent="0.35">
      <c r="A703" s="17"/>
      <c r="B703" s="18"/>
      <c r="C703" s="18"/>
    </row>
    <row r="704" spans="1:3" x14ac:dyDescent="0.35">
      <c r="A704" s="17"/>
      <c r="B704" s="18"/>
      <c r="C704" s="18"/>
    </row>
    <row r="705" spans="1:3" x14ac:dyDescent="0.35">
      <c r="A705" s="17"/>
      <c r="B705" s="18"/>
      <c r="C705" s="18"/>
    </row>
    <row r="706" spans="1:3" x14ac:dyDescent="0.35">
      <c r="A706" s="17"/>
      <c r="B706" s="18"/>
      <c r="C706" s="18"/>
    </row>
    <row r="707" spans="1:3" x14ac:dyDescent="0.35">
      <c r="A707" s="17"/>
      <c r="B707" s="18"/>
      <c r="C707" s="18"/>
    </row>
    <row r="708" spans="1:3" x14ac:dyDescent="0.35">
      <c r="A708" s="17"/>
      <c r="B708" s="18"/>
      <c r="C708" s="18"/>
    </row>
    <row r="709" spans="1:3" x14ac:dyDescent="0.35">
      <c r="A709" s="17"/>
      <c r="B709" s="18"/>
      <c r="C709" s="18"/>
    </row>
    <row r="710" spans="1:3" x14ac:dyDescent="0.35">
      <c r="A710" s="17"/>
      <c r="B710" s="18"/>
      <c r="C710" s="18"/>
    </row>
    <row r="711" spans="1:3" x14ac:dyDescent="0.35">
      <c r="A711" s="17"/>
      <c r="B711" s="18"/>
      <c r="C711" s="18"/>
    </row>
    <row r="712" spans="1:3" x14ac:dyDescent="0.35">
      <c r="A712" s="17"/>
      <c r="B712" s="18"/>
      <c r="C712" s="18"/>
    </row>
    <row r="713" spans="1:3" x14ac:dyDescent="0.35">
      <c r="A713" s="17"/>
      <c r="B713" s="18"/>
      <c r="C713" s="18"/>
    </row>
    <row r="714" spans="1:3" x14ac:dyDescent="0.35">
      <c r="A714" s="17"/>
      <c r="B714" s="18"/>
      <c r="C714" s="18"/>
    </row>
    <row r="715" spans="1:3" x14ac:dyDescent="0.35">
      <c r="A715" s="17"/>
      <c r="B715" s="18"/>
      <c r="C715" s="18"/>
    </row>
    <row r="716" spans="1:3" x14ac:dyDescent="0.35">
      <c r="A716" s="17"/>
      <c r="B716" s="18"/>
      <c r="C716" s="18"/>
    </row>
    <row r="717" spans="1:3" x14ac:dyDescent="0.35">
      <c r="A717" s="17"/>
      <c r="B717" s="18"/>
      <c r="C717" s="18"/>
    </row>
    <row r="718" spans="1:3" x14ac:dyDescent="0.35">
      <c r="A718" s="17"/>
      <c r="B718" s="18"/>
      <c r="C718" s="18"/>
    </row>
    <row r="719" spans="1:3" x14ac:dyDescent="0.35">
      <c r="A719" s="17"/>
      <c r="B719" s="18"/>
      <c r="C719" s="18"/>
    </row>
    <row r="720" spans="1:3" x14ac:dyDescent="0.35">
      <c r="A720" s="17"/>
      <c r="B720" s="18"/>
      <c r="C720" s="18"/>
    </row>
    <row r="721" spans="1:3" x14ac:dyDescent="0.35">
      <c r="A721" s="17"/>
      <c r="B721" s="18"/>
      <c r="C721" s="18"/>
    </row>
    <row r="722" spans="1:3" x14ac:dyDescent="0.35">
      <c r="A722" s="17"/>
      <c r="B722" s="18"/>
      <c r="C722" s="18"/>
    </row>
    <row r="723" spans="1:3" x14ac:dyDescent="0.35">
      <c r="A723" s="17"/>
      <c r="B723" s="18"/>
      <c r="C723" s="18"/>
    </row>
    <row r="724" spans="1:3" x14ac:dyDescent="0.35">
      <c r="A724" s="17"/>
      <c r="B724" s="18"/>
      <c r="C724" s="18"/>
    </row>
    <row r="725" spans="1:3" x14ac:dyDescent="0.35">
      <c r="A725" s="17"/>
      <c r="B725" s="18"/>
      <c r="C725" s="18"/>
    </row>
    <row r="726" spans="1:3" x14ac:dyDescent="0.35">
      <c r="A726" s="17"/>
      <c r="B726" s="18"/>
      <c r="C726" s="18"/>
    </row>
    <row r="727" spans="1:3" x14ac:dyDescent="0.35">
      <c r="A727" s="17"/>
      <c r="B727" s="18"/>
      <c r="C727" s="18"/>
    </row>
    <row r="728" spans="1:3" x14ac:dyDescent="0.35">
      <c r="A728" s="17"/>
      <c r="B728" s="18"/>
      <c r="C728" s="18"/>
    </row>
    <row r="729" spans="1:3" x14ac:dyDescent="0.35">
      <c r="A729" s="17"/>
      <c r="B729" s="18"/>
      <c r="C729" s="18"/>
    </row>
    <row r="730" spans="1:3" x14ac:dyDescent="0.35">
      <c r="A730" s="17"/>
      <c r="B730" s="18"/>
      <c r="C730" s="18"/>
    </row>
    <row r="731" spans="1:3" x14ac:dyDescent="0.35">
      <c r="A731" s="17"/>
      <c r="B731" s="18"/>
      <c r="C731" s="18"/>
    </row>
    <row r="732" spans="1:3" x14ac:dyDescent="0.35">
      <c r="A732" s="17"/>
      <c r="B732" s="18"/>
      <c r="C732" s="18"/>
    </row>
    <row r="733" spans="1:3" x14ac:dyDescent="0.35">
      <c r="A733" s="17"/>
      <c r="B733" s="18"/>
      <c r="C733" s="18"/>
    </row>
    <row r="734" spans="1:3" x14ac:dyDescent="0.35">
      <c r="A734" s="17"/>
      <c r="B734" s="18"/>
      <c r="C734" s="18"/>
    </row>
    <row r="735" spans="1:3" x14ac:dyDescent="0.35">
      <c r="A735" s="17"/>
      <c r="B735" s="18"/>
      <c r="C735" s="18"/>
    </row>
    <row r="736" spans="1:3" x14ac:dyDescent="0.35">
      <c r="A736" s="17"/>
      <c r="B736" s="18"/>
      <c r="C736" s="18"/>
    </row>
    <row r="737" spans="1:3" x14ac:dyDescent="0.35">
      <c r="A737" s="17"/>
      <c r="B737" s="18"/>
      <c r="C737" s="18"/>
    </row>
    <row r="738" spans="1:3" x14ac:dyDescent="0.35">
      <c r="A738" s="17"/>
      <c r="B738" s="18"/>
      <c r="C738" s="18"/>
    </row>
    <row r="739" spans="1:3" x14ac:dyDescent="0.35">
      <c r="A739" s="17"/>
      <c r="B739" s="18"/>
      <c r="C739" s="18"/>
    </row>
    <row r="740" spans="1:3" x14ac:dyDescent="0.35">
      <c r="A740" s="17"/>
      <c r="B740" s="18"/>
      <c r="C740" s="18"/>
    </row>
    <row r="741" spans="1:3" x14ac:dyDescent="0.35">
      <c r="A741" s="17"/>
      <c r="B741" s="18"/>
      <c r="C741" s="18"/>
    </row>
    <row r="742" spans="1:3" x14ac:dyDescent="0.35">
      <c r="A742" s="17"/>
      <c r="B742" s="18"/>
      <c r="C742" s="18"/>
    </row>
    <row r="743" spans="1:3" x14ac:dyDescent="0.35">
      <c r="A743" s="17"/>
      <c r="B743" s="18"/>
      <c r="C743" s="18"/>
    </row>
    <row r="744" spans="1:3" x14ac:dyDescent="0.35">
      <c r="A744" s="17"/>
      <c r="B744" s="18"/>
      <c r="C744" s="18"/>
    </row>
    <row r="745" spans="1:3" x14ac:dyDescent="0.35">
      <c r="A745" s="17"/>
      <c r="B745" s="18"/>
      <c r="C745" s="18"/>
    </row>
    <row r="746" spans="1:3" x14ac:dyDescent="0.35">
      <c r="A746" s="17"/>
      <c r="B746" s="18"/>
      <c r="C746" s="18"/>
    </row>
    <row r="747" spans="1:3" x14ac:dyDescent="0.35">
      <c r="A747" s="17"/>
      <c r="B747" s="18"/>
      <c r="C747" s="18"/>
    </row>
    <row r="748" spans="1:3" x14ac:dyDescent="0.35">
      <c r="A748" s="17"/>
      <c r="B748" s="18"/>
      <c r="C748" s="18"/>
    </row>
    <row r="749" spans="1:3" x14ac:dyDescent="0.35">
      <c r="A749" s="17"/>
      <c r="B749" s="18"/>
      <c r="C749" s="18"/>
    </row>
    <row r="750" spans="1:3" x14ac:dyDescent="0.35">
      <c r="A750" s="17"/>
      <c r="B750" s="18"/>
      <c r="C750" s="18"/>
    </row>
    <row r="751" spans="1:3" x14ac:dyDescent="0.35">
      <c r="A751" s="17"/>
      <c r="B751" s="18"/>
      <c r="C751" s="18"/>
    </row>
    <row r="752" spans="1:3" x14ac:dyDescent="0.35">
      <c r="A752" s="17"/>
      <c r="B752" s="18"/>
      <c r="C752" s="18"/>
    </row>
    <row r="753" spans="1:3" x14ac:dyDescent="0.35">
      <c r="A753" s="17"/>
      <c r="B753" s="18"/>
      <c r="C753" s="18"/>
    </row>
    <row r="754" spans="1:3" x14ac:dyDescent="0.35">
      <c r="A754" s="17"/>
      <c r="B754" s="18"/>
      <c r="C754" s="18"/>
    </row>
    <row r="755" spans="1:3" x14ac:dyDescent="0.35">
      <c r="A755" s="17"/>
      <c r="B755" s="18"/>
      <c r="C755" s="18"/>
    </row>
    <row r="756" spans="1:3" x14ac:dyDescent="0.35">
      <c r="A756" s="17"/>
      <c r="B756" s="18"/>
      <c r="C756" s="18"/>
    </row>
    <row r="757" spans="1:3" x14ac:dyDescent="0.35">
      <c r="A757" s="17"/>
      <c r="B757" s="18"/>
      <c r="C757" s="18"/>
    </row>
    <row r="758" spans="1:3" x14ac:dyDescent="0.35">
      <c r="A758" s="17"/>
      <c r="B758" s="18"/>
      <c r="C758" s="18"/>
    </row>
    <row r="759" spans="1:3" x14ac:dyDescent="0.35">
      <c r="A759" s="17"/>
      <c r="B759" s="18"/>
      <c r="C759" s="18"/>
    </row>
    <row r="760" spans="1:3" x14ac:dyDescent="0.35">
      <c r="A760" s="17"/>
      <c r="B760" s="18"/>
      <c r="C760" s="18"/>
    </row>
    <row r="761" spans="1:3" x14ac:dyDescent="0.35">
      <c r="A761" s="17"/>
      <c r="B761" s="18"/>
      <c r="C761" s="18"/>
    </row>
    <row r="762" spans="1:3" x14ac:dyDescent="0.35">
      <c r="A762" s="17"/>
      <c r="B762" s="18"/>
      <c r="C762" s="18"/>
    </row>
    <row r="763" spans="1:3" x14ac:dyDescent="0.35">
      <c r="A763" s="17"/>
      <c r="B763" s="18"/>
      <c r="C763" s="18"/>
    </row>
    <row r="764" spans="1:3" x14ac:dyDescent="0.35">
      <c r="A764" s="17"/>
      <c r="B764" s="18"/>
      <c r="C764" s="18"/>
    </row>
    <row r="765" spans="1:3" x14ac:dyDescent="0.35">
      <c r="A765" s="17"/>
      <c r="B765" s="18"/>
      <c r="C765" s="18"/>
    </row>
    <row r="766" spans="1:3" x14ac:dyDescent="0.35">
      <c r="A766" s="17"/>
      <c r="B766" s="18"/>
      <c r="C766" s="18"/>
    </row>
    <row r="767" spans="1:3" x14ac:dyDescent="0.35">
      <c r="A767" s="17"/>
      <c r="B767" s="18"/>
      <c r="C767" s="18"/>
    </row>
    <row r="768" spans="1:3" x14ac:dyDescent="0.35">
      <c r="A768" s="17"/>
      <c r="B768" s="18"/>
      <c r="C768" s="18"/>
    </row>
    <row r="769" spans="1:3" x14ac:dyDescent="0.35">
      <c r="A769" s="17"/>
      <c r="B769" s="18"/>
      <c r="C769" s="18"/>
    </row>
    <row r="770" spans="1:3" x14ac:dyDescent="0.35">
      <c r="A770" s="17"/>
      <c r="B770" s="18"/>
      <c r="C770" s="18"/>
    </row>
    <row r="771" spans="1:3" x14ac:dyDescent="0.35">
      <c r="A771" s="17"/>
      <c r="B771" s="18"/>
      <c r="C771" s="18"/>
    </row>
    <row r="772" spans="1:3" x14ac:dyDescent="0.35">
      <c r="A772" s="17"/>
      <c r="B772" s="18"/>
      <c r="C772" s="18"/>
    </row>
    <row r="773" spans="1:3" x14ac:dyDescent="0.35">
      <c r="A773" s="17"/>
      <c r="B773" s="18"/>
      <c r="C773" s="18"/>
    </row>
    <row r="774" spans="1:3" x14ac:dyDescent="0.35">
      <c r="A774" s="17"/>
      <c r="B774" s="18"/>
      <c r="C774" s="18"/>
    </row>
    <row r="775" spans="1:3" x14ac:dyDescent="0.35">
      <c r="A775" s="17"/>
      <c r="B775" s="18"/>
      <c r="C775" s="18"/>
    </row>
    <row r="776" spans="1:3" x14ac:dyDescent="0.35">
      <c r="A776" s="17"/>
      <c r="B776" s="18"/>
      <c r="C776" s="18"/>
    </row>
    <row r="777" spans="1:3" x14ac:dyDescent="0.35">
      <c r="A777" s="17"/>
      <c r="B777" s="18"/>
      <c r="C777" s="18"/>
    </row>
    <row r="778" spans="1:3" x14ac:dyDescent="0.35">
      <c r="A778" s="17"/>
      <c r="B778" s="18"/>
      <c r="C778" s="18"/>
    </row>
    <row r="779" spans="1:3" x14ac:dyDescent="0.35">
      <c r="A779" s="17"/>
      <c r="B779" s="18"/>
      <c r="C779" s="18"/>
    </row>
    <row r="780" spans="1:3" x14ac:dyDescent="0.35">
      <c r="A780" s="17"/>
      <c r="B780" s="18"/>
      <c r="C780" s="18"/>
    </row>
    <row r="781" spans="1:3" x14ac:dyDescent="0.35">
      <c r="A781" s="17"/>
      <c r="B781" s="18"/>
      <c r="C781" s="18"/>
    </row>
    <row r="782" spans="1:3" x14ac:dyDescent="0.35">
      <c r="A782" s="17"/>
      <c r="B782" s="18"/>
      <c r="C782" s="18"/>
    </row>
    <row r="783" spans="1:3" x14ac:dyDescent="0.35">
      <c r="A783" s="17"/>
      <c r="B783" s="18"/>
      <c r="C783" s="18"/>
    </row>
    <row r="784" spans="1:3" x14ac:dyDescent="0.35">
      <c r="A784" s="17"/>
      <c r="B784" s="18"/>
      <c r="C784" s="18"/>
    </row>
    <row r="785" spans="1:3" x14ac:dyDescent="0.35">
      <c r="A785" s="17"/>
      <c r="B785" s="18"/>
      <c r="C785" s="18"/>
    </row>
    <row r="786" spans="1:3" x14ac:dyDescent="0.35">
      <c r="A786" s="17"/>
      <c r="B786" s="18"/>
      <c r="C786" s="18"/>
    </row>
    <row r="787" spans="1:3" x14ac:dyDescent="0.35">
      <c r="A787" s="17"/>
      <c r="B787" s="18"/>
      <c r="C787" s="18"/>
    </row>
    <row r="788" spans="1:3" x14ac:dyDescent="0.35">
      <c r="A788" s="17"/>
      <c r="B788" s="18"/>
      <c r="C788" s="18"/>
    </row>
    <row r="789" spans="1:3" x14ac:dyDescent="0.35">
      <c r="A789" s="17"/>
      <c r="B789" s="18"/>
      <c r="C789" s="18"/>
    </row>
    <row r="790" spans="1:3" x14ac:dyDescent="0.35">
      <c r="A790" s="17"/>
      <c r="B790" s="18"/>
      <c r="C790" s="18"/>
    </row>
    <row r="791" spans="1:3" x14ac:dyDescent="0.35">
      <c r="A791" s="17"/>
      <c r="B791" s="18"/>
      <c r="C791" s="18"/>
    </row>
    <row r="792" spans="1:3" x14ac:dyDescent="0.35">
      <c r="A792" s="17"/>
      <c r="B792" s="18"/>
      <c r="C792" s="18"/>
    </row>
    <row r="793" spans="1:3" x14ac:dyDescent="0.35">
      <c r="A793" s="17"/>
      <c r="B793" s="18"/>
      <c r="C793" s="18"/>
    </row>
    <row r="794" spans="1:3" x14ac:dyDescent="0.35">
      <c r="A794" s="17"/>
      <c r="B794" s="18"/>
      <c r="C794" s="18"/>
    </row>
    <row r="795" spans="1:3" x14ac:dyDescent="0.35">
      <c r="A795" s="17"/>
      <c r="B795" s="18"/>
      <c r="C795" s="18"/>
    </row>
    <row r="796" spans="1:3" x14ac:dyDescent="0.35">
      <c r="A796" s="17"/>
      <c r="B796" s="18"/>
      <c r="C796" s="18"/>
    </row>
    <row r="797" spans="1:3" x14ac:dyDescent="0.35">
      <c r="A797" s="17"/>
      <c r="B797" s="18"/>
      <c r="C797" s="18"/>
    </row>
    <row r="798" spans="1:3" x14ac:dyDescent="0.35">
      <c r="A798" s="17"/>
      <c r="B798" s="18"/>
      <c r="C798" s="18"/>
    </row>
    <row r="799" spans="1:3" x14ac:dyDescent="0.35">
      <c r="A799" s="17"/>
      <c r="B799" s="18"/>
      <c r="C799" s="18"/>
    </row>
    <row r="800" spans="1:3" x14ac:dyDescent="0.35">
      <c r="A800" s="17"/>
      <c r="B800" s="18"/>
      <c r="C800" s="18"/>
    </row>
    <row r="801" spans="1:3" x14ac:dyDescent="0.35">
      <c r="A801" s="17"/>
      <c r="B801" s="18"/>
      <c r="C801" s="18"/>
    </row>
    <row r="802" spans="1:3" x14ac:dyDescent="0.35">
      <c r="A802" s="17"/>
      <c r="B802" s="18"/>
      <c r="C802" s="18"/>
    </row>
    <row r="803" spans="1:3" x14ac:dyDescent="0.35">
      <c r="A803" s="17"/>
      <c r="B803" s="18"/>
      <c r="C803" s="18"/>
    </row>
    <row r="804" spans="1:3" x14ac:dyDescent="0.35">
      <c r="A804" s="17"/>
      <c r="B804" s="18"/>
      <c r="C804" s="18"/>
    </row>
    <row r="805" spans="1:3" x14ac:dyDescent="0.35">
      <c r="A805" s="17"/>
      <c r="B805" s="18"/>
      <c r="C805" s="18"/>
    </row>
    <row r="806" spans="1:3" x14ac:dyDescent="0.35">
      <c r="A806" s="17"/>
      <c r="B806" s="18"/>
      <c r="C806" s="18"/>
    </row>
    <row r="807" spans="1:3" x14ac:dyDescent="0.35">
      <c r="A807" s="17"/>
      <c r="B807" s="18"/>
      <c r="C807" s="18"/>
    </row>
    <row r="808" spans="1:3" x14ac:dyDescent="0.35">
      <c r="A808" s="17"/>
      <c r="B808" s="18"/>
      <c r="C808" s="18"/>
    </row>
    <row r="809" spans="1:3" x14ac:dyDescent="0.35">
      <c r="A809" s="17"/>
      <c r="B809" s="18"/>
      <c r="C809" s="18"/>
    </row>
    <row r="810" spans="1:3" x14ac:dyDescent="0.35">
      <c r="A810" s="17"/>
      <c r="B810" s="18"/>
      <c r="C810" s="18"/>
    </row>
    <row r="811" spans="1:3" x14ac:dyDescent="0.35">
      <c r="A811" s="17"/>
      <c r="B811" s="18"/>
      <c r="C811" s="18"/>
    </row>
    <row r="812" spans="1:3" x14ac:dyDescent="0.35">
      <c r="A812" s="17"/>
      <c r="B812" s="18"/>
      <c r="C812" s="18"/>
    </row>
    <row r="813" spans="1:3" x14ac:dyDescent="0.35">
      <c r="A813" s="17"/>
      <c r="B813" s="18"/>
      <c r="C813" s="18"/>
    </row>
    <row r="814" spans="1:3" x14ac:dyDescent="0.35">
      <c r="A814" s="17"/>
      <c r="B814" s="18"/>
      <c r="C814" s="18"/>
    </row>
    <row r="815" spans="1:3" x14ac:dyDescent="0.35">
      <c r="A815" s="17"/>
      <c r="B815" s="18"/>
      <c r="C815" s="18"/>
    </row>
    <row r="816" spans="1:3" x14ac:dyDescent="0.35">
      <c r="A816" s="17"/>
      <c r="B816" s="18"/>
      <c r="C816" s="18"/>
    </row>
    <row r="817" spans="1:3" x14ac:dyDescent="0.35">
      <c r="A817" s="17"/>
      <c r="B817" s="18"/>
      <c r="C817" s="18"/>
    </row>
    <row r="818" spans="1:3" x14ac:dyDescent="0.35">
      <c r="A818" s="17"/>
      <c r="B818" s="18"/>
      <c r="C818" s="18"/>
    </row>
    <row r="819" spans="1:3" x14ac:dyDescent="0.35">
      <c r="A819" s="17"/>
      <c r="B819" s="18"/>
      <c r="C819" s="18"/>
    </row>
    <row r="820" spans="1:3" x14ac:dyDescent="0.35">
      <c r="A820" s="17"/>
      <c r="B820" s="18"/>
      <c r="C820" s="18"/>
    </row>
    <row r="821" spans="1:3" x14ac:dyDescent="0.35">
      <c r="A821" s="17"/>
      <c r="B821" s="18"/>
      <c r="C821" s="18"/>
    </row>
    <row r="822" spans="1:3" x14ac:dyDescent="0.35">
      <c r="A822" s="17"/>
      <c r="B822" s="18"/>
      <c r="C822" s="18"/>
    </row>
    <row r="823" spans="1:3" x14ac:dyDescent="0.35">
      <c r="A823" s="17"/>
      <c r="B823" s="18"/>
      <c r="C823" s="18"/>
    </row>
    <row r="824" spans="1:3" x14ac:dyDescent="0.35">
      <c r="A824" s="17"/>
      <c r="B824" s="18"/>
      <c r="C824" s="18"/>
    </row>
    <row r="825" spans="1:3" x14ac:dyDescent="0.35">
      <c r="A825" s="17"/>
      <c r="B825" s="18"/>
      <c r="C825" s="18"/>
    </row>
    <row r="826" spans="1:3" x14ac:dyDescent="0.35">
      <c r="A826" s="17"/>
      <c r="B826" s="18"/>
      <c r="C826" s="18"/>
    </row>
    <row r="827" spans="1:3" x14ac:dyDescent="0.35">
      <c r="A827" s="17"/>
      <c r="B827" s="18"/>
      <c r="C827" s="18"/>
    </row>
    <row r="828" spans="1:3" x14ac:dyDescent="0.35">
      <c r="A828" s="17"/>
      <c r="B828" s="18"/>
      <c r="C828" s="18"/>
    </row>
    <row r="829" spans="1:3" x14ac:dyDescent="0.35">
      <c r="A829" s="17"/>
      <c r="B829" s="18"/>
      <c r="C829" s="18"/>
    </row>
    <row r="830" spans="1:3" x14ac:dyDescent="0.35">
      <c r="A830" s="17"/>
      <c r="B830" s="18"/>
      <c r="C830" s="18"/>
    </row>
    <row r="831" spans="1:3" x14ac:dyDescent="0.35">
      <c r="A831" s="17"/>
      <c r="B831" s="18"/>
      <c r="C831" s="18"/>
    </row>
    <row r="832" spans="1:3" x14ac:dyDescent="0.35">
      <c r="A832" s="17"/>
      <c r="B832" s="18"/>
      <c r="C832" s="18"/>
    </row>
    <row r="833" spans="1:3" x14ac:dyDescent="0.35">
      <c r="A833" s="17"/>
      <c r="B833" s="18"/>
      <c r="C833" s="18"/>
    </row>
    <row r="834" spans="1:3" x14ac:dyDescent="0.35">
      <c r="A834" s="17"/>
      <c r="B834" s="18"/>
      <c r="C834" s="18"/>
    </row>
    <row r="835" spans="1:3" x14ac:dyDescent="0.35">
      <c r="A835" s="17"/>
      <c r="B835" s="18"/>
      <c r="C835" s="18"/>
    </row>
    <row r="836" spans="1:3" x14ac:dyDescent="0.35">
      <c r="A836" s="17"/>
      <c r="B836" s="18"/>
      <c r="C836" s="18"/>
    </row>
    <row r="837" spans="1:3" x14ac:dyDescent="0.35">
      <c r="A837" s="17"/>
      <c r="B837" s="18"/>
      <c r="C837" s="18"/>
    </row>
    <row r="838" spans="1:3" x14ac:dyDescent="0.35">
      <c r="A838" s="17"/>
      <c r="B838" s="18"/>
      <c r="C838" s="18"/>
    </row>
    <row r="839" spans="1:3" x14ac:dyDescent="0.35">
      <c r="A839" s="17"/>
      <c r="B839" s="18"/>
      <c r="C839" s="18"/>
    </row>
    <row r="840" spans="1:3" x14ac:dyDescent="0.35">
      <c r="A840" s="17"/>
      <c r="B840" s="18"/>
      <c r="C840" s="18"/>
    </row>
    <row r="841" spans="1:3" x14ac:dyDescent="0.35">
      <c r="A841" s="17"/>
      <c r="B841" s="18"/>
      <c r="C841" s="18"/>
    </row>
    <row r="842" spans="1:3" x14ac:dyDescent="0.35">
      <c r="A842" s="17"/>
      <c r="B842" s="18"/>
      <c r="C842" s="18"/>
    </row>
    <row r="843" spans="1:3" x14ac:dyDescent="0.35">
      <c r="A843" s="17"/>
      <c r="B843" s="18"/>
      <c r="C843" s="18"/>
    </row>
    <row r="844" spans="1:3" x14ac:dyDescent="0.35">
      <c r="A844" s="17"/>
      <c r="B844" s="18"/>
      <c r="C844" s="18"/>
    </row>
    <row r="845" spans="1:3" x14ac:dyDescent="0.35">
      <c r="A845" s="17"/>
      <c r="B845" s="18"/>
      <c r="C845" s="18"/>
    </row>
    <row r="846" spans="1:3" x14ac:dyDescent="0.35">
      <c r="A846" s="17"/>
      <c r="B846" s="18"/>
      <c r="C846" s="18"/>
    </row>
    <row r="847" spans="1:3" x14ac:dyDescent="0.35">
      <c r="A847" s="17"/>
      <c r="B847" s="18"/>
      <c r="C847" s="18"/>
    </row>
    <row r="848" spans="1:3" x14ac:dyDescent="0.35">
      <c r="A848" s="17"/>
      <c r="B848" s="18"/>
      <c r="C848" s="18"/>
    </row>
    <row r="849" spans="1:3" x14ac:dyDescent="0.35">
      <c r="A849" s="17"/>
      <c r="B849" s="18"/>
      <c r="C849" s="18"/>
    </row>
    <row r="850" spans="1:3" x14ac:dyDescent="0.35">
      <c r="A850" s="17"/>
      <c r="B850" s="18"/>
      <c r="C850" s="18"/>
    </row>
    <row r="851" spans="1:3" x14ac:dyDescent="0.35">
      <c r="A851" s="17"/>
      <c r="B851" s="18"/>
      <c r="C851" s="18"/>
    </row>
    <row r="852" spans="1:3" x14ac:dyDescent="0.35">
      <c r="A852" s="17"/>
      <c r="B852" s="18"/>
      <c r="C852" s="18"/>
    </row>
    <row r="853" spans="1:3" x14ac:dyDescent="0.35">
      <c r="A853" s="17"/>
      <c r="B853" s="18"/>
      <c r="C853" s="18"/>
    </row>
    <row r="854" spans="1:3" x14ac:dyDescent="0.35">
      <c r="A854" s="17"/>
      <c r="B854" s="18"/>
      <c r="C854" s="18"/>
    </row>
    <row r="855" spans="1:3" x14ac:dyDescent="0.35">
      <c r="A855" s="17"/>
      <c r="B855" s="18"/>
      <c r="C855" s="18"/>
    </row>
    <row r="856" spans="1:3" x14ac:dyDescent="0.35">
      <c r="A856" s="17"/>
      <c r="B856" s="18"/>
      <c r="C856" s="18"/>
    </row>
    <row r="857" spans="1:3" x14ac:dyDescent="0.35">
      <c r="A857" s="17"/>
      <c r="B857" s="18"/>
      <c r="C857" s="18"/>
    </row>
    <row r="858" spans="1:3" x14ac:dyDescent="0.35">
      <c r="A858" s="17"/>
      <c r="B858" s="18"/>
      <c r="C858" s="18"/>
    </row>
    <row r="859" spans="1:3" x14ac:dyDescent="0.35">
      <c r="A859" s="17"/>
      <c r="B859" s="18"/>
      <c r="C859" s="18"/>
    </row>
    <row r="860" spans="1:3" x14ac:dyDescent="0.35">
      <c r="A860" s="17"/>
      <c r="B860" s="18"/>
      <c r="C860" s="18"/>
    </row>
    <row r="861" spans="1:3" x14ac:dyDescent="0.35">
      <c r="A861" s="17"/>
      <c r="B861" s="18"/>
      <c r="C861" s="18"/>
    </row>
    <row r="862" spans="1:3" x14ac:dyDescent="0.35">
      <c r="A862" s="17"/>
      <c r="B862" s="18"/>
      <c r="C862" s="18"/>
    </row>
    <row r="863" spans="1:3" x14ac:dyDescent="0.35">
      <c r="A863" s="17"/>
      <c r="B863" s="18"/>
      <c r="C863" s="18"/>
    </row>
    <row r="864" spans="1:3" x14ac:dyDescent="0.35">
      <c r="A864" s="17"/>
      <c r="B864" s="18"/>
      <c r="C864" s="18"/>
    </row>
    <row r="865" spans="1:3" x14ac:dyDescent="0.35">
      <c r="A865" s="17"/>
      <c r="B865" s="18"/>
      <c r="C865" s="18"/>
    </row>
    <row r="866" spans="1:3" x14ac:dyDescent="0.35">
      <c r="A866" s="17"/>
      <c r="B866" s="18"/>
      <c r="C866" s="18"/>
    </row>
    <row r="867" spans="1:3" x14ac:dyDescent="0.35">
      <c r="A867" s="17"/>
      <c r="B867" s="18"/>
      <c r="C867" s="18"/>
    </row>
    <row r="868" spans="1:3" x14ac:dyDescent="0.35">
      <c r="A868" s="17"/>
      <c r="B868" s="18"/>
      <c r="C868" s="18"/>
    </row>
    <row r="869" spans="1:3" x14ac:dyDescent="0.35">
      <c r="A869" s="17"/>
      <c r="B869" s="18"/>
      <c r="C869" s="18"/>
    </row>
    <row r="870" spans="1:3" x14ac:dyDescent="0.35">
      <c r="A870" s="17"/>
      <c r="B870" s="18"/>
      <c r="C870" s="18"/>
    </row>
    <row r="871" spans="1:3" x14ac:dyDescent="0.35">
      <c r="A871" s="17"/>
      <c r="B871" s="18"/>
      <c r="C871" s="18"/>
    </row>
    <row r="872" spans="1:3" x14ac:dyDescent="0.35">
      <c r="A872" s="17"/>
      <c r="B872" s="18"/>
      <c r="C872" s="18"/>
    </row>
    <row r="873" spans="1:3" x14ac:dyDescent="0.35">
      <c r="A873" s="17"/>
      <c r="B873" s="18"/>
      <c r="C873" s="18"/>
    </row>
    <row r="874" spans="1:3" x14ac:dyDescent="0.35">
      <c r="A874" s="17"/>
      <c r="B874" s="18"/>
      <c r="C874" s="18"/>
    </row>
    <row r="875" spans="1:3" x14ac:dyDescent="0.35">
      <c r="A875" s="17"/>
      <c r="B875" s="18"/>
      <c r="C875" s="18"/>
    </row>
    <row r="876" spans="1:3" x14ac:dyDescent="0.35">
      <c r="A876" s="17"/>
      <c r="B876" s="18"/>
      <c r="C876" s="18"/>
    </row>
    <row r="877" spans="1:3" x14ac:dyDescent="0.35">
      <c r="A877" s="17"/>
      <c r="B877" s="18"/>
      <c r="C877" s="18"/>
    </row>
    <row r="878" spans="1:3" x14ac:dyDescent="0.35">
      <c r="A878" s="17"/>
      <c r="B878" s="18"/>
      <c r="C878" s="18"/>
    </row>
    <row r="879" spans="1:3" x14ac:dyDescent="0.35">
      <c r="A879" s="17"/>
      <c r="B879" s="18"/>
      <c r="C879" s="18"/>
    </row>
    <row r="880" spans="1:3" x14ac:dyDescent="0.35">
      <c r="A880" s="17"/>
      <c r="B880" s="18"/>
      <c r="C880" s="18"/>
    </row>
    <row r="881" spans="1:3" x14ac:dyDescent="0.35">
      <c r="A881" s="17"/>
      <c r="B881" s="18"/>
      <c r="C881" s="18"/>
    </row>
    <row r="882" spans="1:3" x14ac:dyDescent="0.35">
      <c r="A882" s="17"/>
      <c r="B882" s="18"/>
      <c r="C882" s="18"/>
    </row>
    <row r="883" spans="1:3" x14ac:dyDescent="0.35">
      <c r="A883" s="17"/>
      <c r="B883" s="18"/>
      <c r="C883" s="18"/>
    </row>
    <row r="884" spans="1:3" x14ac:dyDescent="0.35">
      <c r="A884" s="17"/>
      <c r="B884" s="18"/>
      <c r="C884" s="18"/>
    </row>
    <row r="885" spans="1:3" x14ac:dyDescent="0.35">
      <c r="A885" s="17"/>
      <c r="B885" s="18"/>
      <c r="C885" s="18"/>
    </row>
    <row r="886" spans="1:3" x14ac:dyDescent="0.35">
      <c r="A886" s="17"/>
      <c r="B886" s="18"/>
      <c r="C886" s="18"/>
    </row>
    <row r="887" spans="1:3" x14ac:dyDescent="0.35">
      <c r="A887" s="17"/>
      <c r="B887" s="18"/>
      <c r="C887" s="18"/>
    </row>
    <row r="888" spans="1:3" x14ac:dyDescent="0.35">
      <c r="A888" s="17"/>
      <c r="B888" s="18"/>
      <c r="C888" s="18"/>
    </row>
    <row r="889" spans="1:3" x14ac:dyDescent="0.35">
      <c r="A889" s="17"/>
      <c r="B889" s="18"/>
      <c r="C889" s="18"/>
    </row>
    <row r="890" spans="1:3" x14ac:dyDescent="0.35">
      <c r="A890" s="17"/>
      <c r="B890" s="18"/>
      <c r="C890" s="18"/>
    </row>
    <row r="891" spans="1:3" x14ac:dyDescent="0.35">
      <c r="A891" s="17"/>
      <c r="B891" s="18"/>
      <c r="C891" s="18"/>
    </row>
    <row r="892" spans="1:3" x14ac:dyDescent="0.35">
      <c r="A892" s="17"/>
      <c r="B892" s="18"/>
      <c r="C892" s="18"/>
    </row>
    <row r="893" spans="1:3" x14ac:dyDescent="0.35">
      <c r="A893" s="17"/>
      <c r="B893" s="18"/>
      <c r="C893" s="18"/>
    </row>
    <row r="894" spans="1:3" x14ac:dyDescent="0.35">
      <c r="A894" s="17"/>
      <c r="B894" s="18"/>
      <c r="C894" s="18"/>
    </row>
    <row r="895" spans="1:3" x14ac:dyDescent="0.35">
      <c r="A895" s="17"/>
      <c r="B895" s="18"/>
      <c r="C895" s="18"/>
    </row>
    <row r="896" spans="1:3" x14ac:dyDescent="0.35">
      <c r="A896" s="17"/>
      <c r="B896" s="18"/>
      <c r="C896" s="18"/>
    </row>
    <row r="897" spans="1:3" x14ac:dyDescent="0.35">
      <c r="A897" s="17"/>
      <c r="B897" s="18"/>
      <c r="C897" s="18"/>
    </row>
    <row r="898" spans="1:3" x14ac:dyDescent="0.35">
      <c r="A898" s="17"/>
      <c r="B898" s="18"/>
      <c r="C898" s="18"/>
    </row>
    <row r="899" spans="1:3" x14ac:dyDescent="0.35">
      <c r="A899" s="17"/>
      <c r="B899" s="18"/>
      <c r="C899" s="18"/>
    </row>
    <row r="900" spans="1:3" x14ac:dyDescent="0.35">
      <c r="A900" s="17"/>
      <c r="B900" s="18"/>
      <c r="C900" s="18"/>
    </row>
    <row r="901" spans="1:3" x14ac:dyDescent="0.35">
      <c r="A901" s="17"/>
      <c r="B901" s="18"/>
      <c r="C901" s="18"/>
    </row>
    <row r="902" spans="1:3" x14ac:dyDescent="0.35">
      <c r="A902" s="17"/>
      <c r="B902" s="18"/>
      <c r="C902" s="18"/>
    </row>
    <row r="903" spans="1:3" x14ac:dyDescent="0.35">
      <c r="A903" s="17"/>
      <c r="B903" s="18"/>
      <c r="C903" s="18"/>
    </row>
    <row r="904" spans="1:3" x14ac:dyDescent="0.35">
      <c r="A904" s="17"/>
      <c r="B904" s="18"/>
      <c r="C904" s="18"/>
    </row>
    <row r="905" spans="1:3" x14ac:dyDescent="0.35">
      <c r="A905" s="17"/>
      <c r="B905" s="18"/>
      <c r="C905" s="18"/>
    </row>
    <row r="906" spans="1:3" x14ac:dyDescent="0.35">
      <c r="A906" s="17"/>
      <c r="B906" s="18"/>
      <c r="C906" s="18"/>
    </row>
    <row r="907" spans="1:3" x14ac:dyDescent="0.35">
      <c r="A907" s="17"/>
      <c r="B907" s="18"/>
      <c r="C907" s="18"/>
    </row>
    <row r="908" spans="1:3" x14ac:dyDescent="0.35">
      <c r="A908" s="17"/>
      <c r="B908" s="18"/>
      <c r="C908" s="18"/>
    </row>
    <row r="909" spans="1:3" x14ac:dyDescent="0.35">
      <c r="A909" s="17"/>
      <c r="B909" s="18"/>
      <c r="C909" s="18"/>
    </row>
    <row r="910" spans="1:3" x14ac:dyDescent="0.35">
      <c r="A910" s="17"/>
      <c r="B910" s="18"/>
      <c r="C910" s="18"/>
    </row>
    <row r="911" spans="1:3" x14ac:dyDescent="0.35">
      <c r="A911" s="17"/>
      <c r="B911" s="18"/>
      <c r="C911" s="18"/>
    </row>
    <row r="912" spans="1:3" x14ac:dyDescent="0.35">
      <c r="A912" s="17"/>
      <c r="B912" s="18"/>
      <c r="C912" s="18"/>
    </row>
    <row r="913" spans="1:3" x14ac:dyDescent="0.35">
      <c r="A913" s="17"/>
      <c r="B913" s="18"/>
      <c r="C913" s="18"/>
    </row>
    <row r="914" spans="1:3" x14ac:dyDescent="0.35">
      <c r="A914" s="17"/>
      <c r="B914" s="18"/>
      <c r="C914" s="18"/>
    </row>
    <row r="915" spans="1:3" x14ac:dyDescent="0.35">
      <c r="A915" s="17"/>
      <c r="B915" s="18"/>
      <c r="C915" s="18"/>
    </row>
    <row r="916" spans="1:3" x14ac:dyDescent="0.35">
      <c r="A916" s="17"/>
      <c r="B916" s="18"/>
      <c r="C916" s="18"/>
    </row>
    <row r="917" spans="1:3" x14ac:dyDescent="0.35">
      <c r="A917" s="17"/>
      <c r="B917" s="18"/>
      <c r="C917" s="18"/>
    </row>
    <row r="918" spans="1:3" x14ac:dyDescent="0.35">
      <c r="A918" s="17"/>
      <c r="B918" s="18"/>
      <c r="C918" s="18"/>
    </row>
    <row r="919" spans="1:3" x14ac:dyDescent="0.35">
      <c r="A919" s="17"/>
      <c r="B919" s="18"/>
      <c r="C919" s="18"/>
    </row>
    <row r="920" spans="1:3" x14ac:dyDescent="0.35">
      <c r="A920" s="17"/>
      <c r="B920" s="18"/>
      <c r="C920" s="18"/>
    </row>
    <row r="921" spans="1:3" x14ac:dyDescent="0.35">
      <c r="A921" s="17"/>
      <c r="B921" s="18"/>
      <c r="C921" s="18"/>
    </row>
    <row r="922" spans="1:3" x14ac:dyDescent="0.35">
      <c r="A922" s="17"/>
      <c r="B922" s="18"/>
      <c r="C922" s="18"/>
    </row>
    <row r="923" spans="1:3" x14ac:dyDescent="0.35">
      <c r="A923" s="17"/>
      <c r="B923" s="18"/>
      <c r="C923" s="18"/>
    </row>
    <row r="924" spans="1:3" x14ac:dyDescent="0.35">
      <c r="A924" s="17"/>
      <c r="B924" s="18"/>
      <c r="C924" s="18"/>
    </row>
    <row r="925" spans="1:3" x14ac:dyDescent="0.35">
      <c r="A925" s="17"/>
      <c r="B925" s="18"/>
      <c r="C925" s="18"/>
    </row>
    <row r="926" spans="1:3" x14ac:dyDescent="0.35">
      <c r="A926" s="17"/>
      <c r="B926" s="18"/>
      <c r="C926" s="18"/>
    </row>
    <row r="927" spans="1:3" x14ac:dyDescent="0.35">
      <c r="A927" s="17"/>
      <c r="B927" s="18"/>
      <c r="C927" s="18"/>
    </row>
    <row r="928" spans="1:3" x14ac:dyDescent="0.35">
      <c r="A928" s="17"/>
      <c r="B928" s="18"/>
      <c r="C928" s="18"/>
    </row>
    <row r="929" spans="1:3" x14ac:dyDescent="0.35">
      <c r="A929" s="17"/>
      <c r="B929" s="18"/>
      <c r="C929" s="18"/>
    </row>
    <row r="930" spans="1:3" x14ac:dyDescent="0.35">
      <c r="A930" s="17"/>
      <c r="B930" s="18"/>
      <c r="C930" s="18"/>
    </row>
    <row r="931" spans="1:3" x14ac:dyDescent="0.35">
      <c r="A931" s="17"/>
      <c r="B931" s="18"/>
      <c r="C931" s="18"/>
    </row>
    <row r="932" spans="1:3" x14ac:dyDescent="0.35">
      <c r="A932" s="17"/>
      <c r="B932" s="18"/>
      <c r="C932" s="18"/>
    </row>
    <row r="933" spans="1:3" x14ac:dyDescent="0.35">
      <c r="A933" s="17"/>
      <c r="B933" s="18"/>
      <c r="C933" s="18"/>
    </row>
    <row r="934" spans="1:3" x14ac:dyDescent="0.35">
      <c r="A934" s="17"/>
      <c r="B934" s="18"/>
      <c r="C934" s="18"/>
    </row>
    <row r="935" spans="1:3" x14ac:dyDescent="0.35">
      <c r="A935" s="17"/>
      <c r="B935" s="18"/>
      <c r="C935" s="18"/>
    </row>
    <row r="936" spans="1:3" x14ac:dyDescent="0.35">
      <c r="A936" s="17"/>
      <c r="B936" s="18"/>
      <c r="C936" s="18"/>
    </row>
    <row r="937" spans="1:3" x14ac:dyDescent="0.35">
      <c r="A937" s="17"/>
      <c r="B937" s="18"/>
      <c r="C937" s="18"/>
    </row>
    <row r="938" spans="1:3" x14ac:dyDescent="0.35">
      <c r="A938" s="17"/>
      <c r="B938" s="18"/>
      <c r="C938" s="18"/>
    </row>
    <row r="939" spans="1:3" x14ac:dyDescent="0.35">
      <c r="A939" s="17"/>
      <c r="B939" s="18"/>
      <c r="C939" s="18"/>
    </row>
    <row r="940" spans="1:3" x14ac:dyDescent="0.35">
      <c r="A940" s="17"/>
      <c r="B940" s="18"/>
      <c r="C940" s="18"/>
    </row>
    <row r="941" spans="1:3" x14ac:dyDescent="0.35">
      <c r="A941" s="17"/>
      <c r="B941" s="18"/>
      <c r="C941" s="18"/>
    </row>
    <row r="942" spans="1:3" x14ac:dyDescent="0.35">
      <c r="A942" s="17"/>
      <c r="B942" s="18"/>
      <c r="C942" s="18"/>
    </row>
    <row r="943" spans="1:3" x14ac:dyDescent="0.35">
      <c r="A943" s="17"/>
      <c r="B943" s="18"/>
      <c r="C943" s="18"/>
    </row>
    <row r="944" spans="1:3" x14ac:dyDescent="0.35">
      <c r="A944" s="17"/>
      <c r="B944" s="18"/>
      <c r="C944" s="18"/>
    </row>
    <row r="945" spans="1:3" x14ac:dyDescent="0.35">
      <c r="A945" s="17"/>
      <c r="B945" s="18"/>
      <c r="C945" s="18"/>
    </row>
    <row r="946" spans="1:3" x14ac:dyDescent="0.35">
      <c r="A946" s="17"/>
      <c r="B946" s="18"/>
      <c r="C946" s="18"/>
    </row>
    <row r="947" spans="1:3" x14ac:dyDescent="0.35">
      <c r="A947" s="17"/>
      <c r="B947" s="18"/>
      <c r="C947" s="18"/>
    </row>
    <row r="948" spans="1:3" x14ac:dyDescent="0.35">
      <c r="A948" s="17"/>
      <c r="B948" s="18"/>
      <c r="C948" s="18"/>
    </row>
    <row r="949" spans="1:3" x14ac:dyDescent="0.35">
      <c r="A949" s="17"/>
      <c r="B949" s="18"/>
      <c r="C949" s="18"/>
    </row>
    <row r="950" spans="1:3" x14ac:dyDescent="0.35">
      <c r="A950" s="17"/>
      <c r="B950" s="18"/>
      <c r="C950" s="18"/>
    </row>
    <row r="951" spans="1:3" x14ac:dyDescent="0.35">
      <c r="A951" s="17"/>
      <c r="B951" s="18"/>
      <c r="C951" s="18"/>
    </row>
    <row r="952" spans="1:3" x14ac:dyDescent="0.35">
      <c r="A952" s="17"/>
      <c r="B952" s="18"/>
      <c r="C952" s="18"/>
    </row>
    <row r="953" spans="1:3" x14ac:dyDescent="0.35">
      <c r="A953" s="17"/>
      <c r="B953" s="18"/>
      <c r="C953" s="18"/>
    </row>
    <row r="954" spans="1:3" x14ac:dyDescent="0.35">
      <c r="A954" s="17"/>
      <c r="B954" s="18"/>
      <c r="C954" s="18"/>
    </row>
    <row r="955" spans="1:3" x14ac:dyDescent="0.35">
      <c r="A955" s="17"/>
      <c r="B955" s="18"/>
      <c r="C955" s="18"/>
    </row>
    <row r="956" spans="1:3" x14ac:dyDescent="0.35">
      <c r="A956" s="17"/>
      <c r="B956" s="18"/>
      <c r="C956" s="18"/>
    </row>
    <row r="957" spans="1:3" x14ac:dyDescent="0.35">
      <c r="A957" s="17"/>
      <c r="B957" s="18"/>
      <c r="C957" s="18"/>
    </row>
    <row r="958" spans="1:3" x14ac:dyDescent="0.35">
      <c r="A958" s="17"/>
      <c r="B958" s="18"/>
      <c r="C958" s="18"/>
    </row>
    <row r="959" spans="1:3" x14ac:dyDescent="0.35">
      <c r="A959" s="17"/>
      <c r="B959" s="18"/>
      <c r="C959" s="18"/>
    </row>
    <row r="960" spans="1:3" x14ac:dyDescent="0.35">
      <c r="A960" s="17"/>
      <c r="B960" s="18"/>
      <c r="C960" s="18"/>
    </row>
    <row r="961" spans="1:3" x14ac:dyDescent="0.35">
      <c r="A961" s="17"/>
      <c r="B961" s="18"/>
      <c r="C961" s="18"/>
    </row>
    <row r="962" spans="1:3" x14ac:dyDescent="0.35">
      <c r="A962" s="17"/>
      <c r="B962" s="18"/>
      <c r="C962" s="18"/>
    </row>
    <row r="963" spans="1:3" x14ac:dyDescent="0.35">
      <c r="A963" s="17"/>
      <c r="B963" s="18"/>
      <c r="C963" s="18"/>
    </row>
    <row r="964" spans="1:3" x14ac:dyDescent="0.35">
      <c r="A964" s="17"/>
      <c r="B964" s="18"/>
      <c r="C964" s="18"/>
    </row>
    <row r="965" spans="1:3" x14ac:dyDescent="0.35">
      <c r="A965" s="17"/>
      <c r="B965" s="18"/>
      <c r="C965" s="18"/>
    </row>
    <row r="966" spans="1:3" x14ac:dyDescent="0.35">
      <c r="A966" s="17"/>
      <c r="B966" s="18"/>
      <c r="C966" s="18"/>
    </row>
    <row r="967" spans="1:3" x14ac:dyDescent="0.35">
      <c r="A967" s="17"/>
      <c r="B967" s="18"/>
      <c r="C967" s="18"/>
    </row>
    <row r="968" spans="1:3" x14ac:dyDescent="0.35">
      <c r="A968" s="17"/>
      <c r="B968" s="18"/>
      <c r="C968" s="18"/>
    </row>
    <row r="969" spans="1:3" x14ac:dyDescent="0.35">
      <c r="A969" s="17"/>
      <c r="B969" s="18"/>
      <c r="C969" s="18"/>
    </row>
    <row r="970" spans="1:3" x14ac:dyDescent="0.35">
      <c r="A970" s="17"/>
      <c r="B970" s="18"/>
      <c r="C970" s="18"/>
    </row>
    <row r="971" spans="1:3" x14ac:dyDescent="0.35">
      <c r="A971" s="17"/>
      <c r="B971" s="18"/>
      <c r="C971" s="18"/>
    </row>
    <row r="972" spans="1:3" x14ac:dyDescent="0.35">
      <c r="A972" s="17"/>
      <c r="B972" s="18"/>
      <c r="C972" s="18"/>
    </row>
    <row r="973" spans="1:3" x14ac:dyDescent="0.35">
      <c r="A973" s="17"/>
      <c r="B973" s="18"/>
      <c r="C973" s="18"/>
    </row>
    <row r="974" spans="1:3" x14ac:dyDescent="0.35">
      <c r="A974" s="17"/>
      <c r="B974" s="18"/>
      <c r="C974" s="18"/>
    </row>
    <row r="975" spans="1:3" x14ac:dyDescent="0.35">
      <c r="A975" s="17"/>
      <c r="B975" s="18"/>
      <c r="C975" s="18"/>
    </row>
    <row r="976" spans="1:3" x14ac:dyDescent="0.35">
      <c r="A976" s="17"/>
      <c r="B976" s="18"/>
      <c r="C976" s="18"/>
    </row>
    <row r="977" spans="1:3" x14ac:dyDescent="0.35">
      <c r="A977" s="17"/>
      <c r="B977" s="18"/>
      <c r="C977" s="18"/>
    </row>
    <row r="978" spans="1:3" x14ac:dyDescent="0.35">
      <c r="A978" s="17"/>
      <c r="B978" s="18"/>
      <c r="C978" s="18"/>
    </row>
    <row r="979" spans="1:3" x14ac:dyDescent="0.35">
      <c r="A979" s="17"/>
      <c r="B979" s="18"/>
      <c r="C979" s="18"/>
    </row>
    <row r="980" spans="1:3" x14ac:dyDescent="0.35">
      <c r="A980" s="17"/>
      <c r="B980" s="18"/>
      <c r="C980" s="18"/>
    </row>
    <row r="981" spans="1:3" x14ac:dyDescent="0.35">
      <c r="A981" s="17"/>
      <c r="B981" s="18"/>
      <c r="C981" s="18"/>
    </row>
    <row r="982" spans="1:3" x14ac:dyDescent="0.35">
      <c r="A982" s="17"/>
      <c r="B982" s="18"/>
      <c r="C982" s="18"/>
    </row>
    <row r="983" spans="1:3" x14ac:dyDescent="0.35">
      <c r="A983" s="17"/>
      <c r="B983" s="18"/>
      <c r="C983" s="18"/>
    </row>
    <row r="984" spans="1:3" x14ac:dyDescent="0.35">
      <c r="A984" s="17"/>
      <c r="B984" s="18"/>
      <c r="C984" s="18"/>
    </row>
    <row r="985" spans="1:3" x14ac:dyDescent="0.35">
      <c r="A985" s="17"/>
      <c r="B985" s="18"/>
      <c r="C985" s="18"/>
    </row>
    <row r="986" spans="1:3" x14ac:dyDescent="0.35">
      <c r="A986" s="17"/>
      <c r="B986" s="18"/>
      <c r="C986" s="18"/>
    </row>
    <row r="987" spans="1:3" x14ac:dyDescent="0.35">
      <c r="A987" s="17"/>
      <c r="B987" s="18"/>
      <c r="C987" s="18"/>
    </row>
    <row r="988" spans="1:3" x14ac:dyDescent="0.35">
      <c r="A988" s="17"/>
      <c r="B988" s="18"/>
      <c r="C988" s="18"/>
    </row>
    <row r="989" spans="1:3" x14ac:dyDescent="0.35">
      <c r="A989" s="17"/>
      <c r="B989" s="18"/>
      <c r="C989" s="18"/>
    </row>
    <row r="990" spans="1:3" x14ac:dyDescent="0.35">
      <c r="A990" s="17"/>
      <c r="B990" s="18"/>
      <c r="C990" s="18"/>
    </row>
    <row r="991" spans="1:3" x14ac:dyDescent="0.35">
      <c r="A991" s="17"/>
      <c r="B991" s="18"/>
      <c r="C991" s="18"/>
    </row>
    <row r="992" spans="1:3" x14ac:dyDescent="0.35">
      <c r="A992" s="17"/>
      <c r="B992" s="18"/>
      <c r="C992" s="18"/>
    </row>
    <row r="993" spans="1:3" x14ac:dyDescent="0.35">
      <c r="A993" s="17"/>
      <c r="B993" s="18"/>
      <c r="C993" s="18"/>
    </row>
    <row r="994" spans="1:3" x14ac:dyDescent="0.35">
      <c r="A994" s="17"/>
      <c r="B994" s="18"/>
      <c r="C994" s="18"/>
    </row>
    <row r="995" spans="1:3" x14ac:dyDescent="0.35">
      <c r="A995" s="17"/>
      <c r="B995" s="18"/>
      <c r="C995" s="18"/>
    </row>
    <row r="996" spans="1:3" x14ac:dyDescent="0.35">
      <c r="A996" s="17"/>
      <c r="B996" s="18"/>
      <c r="C996" s="18"/>
    </row>
    <row r="997" spans="1:3" x14ac:dyDescent="0.35">
      <c r="A997" s="17"/>
      <c r="B997" s="18"/>
      <c r="C997" s="18"/>
    </row>
    <row r="998" spans="1:3" x14ac:dyDescent="0.35">
      <c r="A998" s="17"/>
      <c r="B998" s="18"/>
      <c r="C998" s="18"/>
    </row>
    <row r="999" spans="1:3" x14ac:dyDescent="0.35">
      <c r="A999" s="17"/>
      <c r="B999" s="18"/>
      <c r="C999" s="18"/>
    </row>
    <row r="1000" spans="1:3" x14ac:dyDescent="0.35">
      <c r="A1000" s="17"/>
      <c r="B1000" s="18"/>
      <c r="C1000" s="18"/>
    </row>
    <row r="1001" spans="1:3" x14ac:dyDescent="0.35">
      <c r="A1001" s="17"/>
      <c r="B1001" s="18"/>
      <c r="C1001" s="18"/>
    </row>
    <row r="1002" spans="1:3" x14ac:dyDescent="0.35">
      <c r="A1002" s="17"/>
      <c r="B1002" s="18"/>
      <c r="C1002" s="18"/>
    </row>
    <row r="1003" spans="1:3" x14ac:dyDescent="0.35">
      <c r="A1003" s="17"/>
      <c r="B1003" s="18"/>
      <c r="C1003" s="18"/>
    </row>
    <row r="1004" spans="1:3" x14ac:dyDescent="0.35">
      <c r="A1004" s="17"/>
      <c r="B1004" s="18"/>
      <c r="C1004" s="18"/>
    </row>
    <row r="1005" spans="1:3" x14ac:dyDescent="0.35">
      <c r="A1005" s="17"/>
      <c r="B1005" s="18"/>
      <c r="C1005" s="18"/>
    </row>
    <row r="1006" spans="1:3" x14ac:dyDescent="0.35">
      <c r="A1006" s="17"/>
      <c r="B1006" s="18"/>
      <c r="C1006" s="18"/>
    </row>
    <row r="1007" spans="1:3" x14ac:dyDescent="0.35">
      <c r="A1007" s="17"/>
      <c r="B1007" s="18"/>
      <c r="C1007" s="18"/>
    </row>
    <row r="1008" spans="1:3" x14ac:dyDescent="0.35">
      <c r="A1008" s="17"/>
      <c r="B1008" s="18"/>
      <c r="C1008" s="18"/>
    </row>
    <row r="1009" spans="1:3" x14ac:dyDescent="0.35">
      <c r="A1009" s="17"/>
      <c r="B1009" s="18"/>
      <c r="C1009" s="18"/>
    </row>
    <row r="1010" spans="1:3" x14ac:dyDescent="0.35">
      <c r="A1010" s="17"/>
      <c r="B1010" s="18"/>
      <c r="C1010" s="18"/>
    </row>
    <row r="1011" spans="1:3" x14ac:dyDescent="0.35">
      <c r="A1011" s="17"/>
      <c r="B1011" s="18"/>
      <c r="C1011" s="18"/>
    </row>
    <row r="1012" spans="1:3" x14ac:dyDescent="0.35">
      <c r="A1012" s="17"/>
      <c r="B1012" s="18"/>
      <c r="C1012" s="18"/>
    </row>
    <row r="1013" spans="1:3" x14ac:dyDescent="0.35">
      <c r="A1013" s="17"/>
      <c r="B1013" s="18"/>
      <c r="C1013" s="18"/>
    </row>
    <row r="1014" spans="1:3" x14ac:dyDescent="0.35">
      <c r="A1014" s="17"/>
      <c r="B1014" s="18"/>
      <c r="C1014" s="18"/>
    </row>
    <row r="1015" spans="1:3" x14ac:dyDescent="0.35">
      <c r="A1015" s="17"/>
      <c r="B1015" s="18"/>
      <c r="C1015" s="18"/>
    </row>
    <row r="1016" spans="1:3" x14ac:dyDescent="0.35">
      <c r="A1016" s="17"/>
      <c r="B1016" s="18"/>
      <c r="C1016" s="18"/>
    </row>
    <row r="1017" spans="1:3" x14ac:dyDescent="0.35">
      <c r="A1017" s="17"/>
      <c r="B1017" s="18"/>
      <c r="C1017" s="18"/>
    </row>
    <row r="1018" spans="1:3" x14ac:dyDescent="0.35">
      <c r="A1018" s="17"/>
      <c r="B1018" s="18"/>
      <c r="C1018" s="18"/>
    </row>
    <row r="1019" spans="1:3" x14ac:dyDescent="0.35">
      <c r="A1019" s="17"/>
      <c r="B1019" s="18"/>
      <c r="C1019" s="18"/>
    </row>
    <row r="1020" spans="1:3" x14ac:dyDescent="0.35">
      <c r="A1020" s="17"/>
      <c r="B1020" s="18"/>
      <c r="C1020" s="18"/>
    </row>
    <row r="1021" spans="1:3" x14ac:dyDescent="0.35">
      <c r="A1021" s="17"/>
      <c r="B1021" s="18"/>
      <c r="C1021" s="18"/>
    </row>
    <row r="1022" spans="1:3" x14ac:dyDescent="0.35">
      <c r="A1022" s="17"/>
      <c r="B1022" s="18"/>
      <c r="C1022" s="18"/>
    </row>
    <row r="1023" spans="1:3" x14ac:dyDescent="0.35">
      <c r="A1023" s="17"/>
      <c r="B1023" s="18"/>
      <c r="C1023" s="18"/>
    </row>
    <row r="1024" spans="1:3" x14ac:dyDescent="0.35">
      <c r="A1024" s="17"/>
      <c r="B1024" s="18"/>
      <c r="C1024" s="18"/>
    </row>
    <row r="1025" spans="1:3" x14ac:dyDescent="0.35">
      <c r="A1025" s="17"/>
      <c r="B1025" s="18"/>
      <c r="C1025" s="18"/>
    </row>
    <row r="1026" spans="1:3" x14ac:dyDescent="0.35">
      <c r="A1026" s="17"/>
      <c r="B1026" s="18"/>
      <c r="C1026" s="18"/>
    </row>
    <row r="1027" spans="1:3" x14ac:dyDescent="0.35">
      <c r="A1027" s="17"/>
      <c r="B1027" s="18"/>
      <c r="C1027" s="18"/>
    </row>
    <row r="1028" spans="1:3" x14ac:dyDescent="0.35">
      <c r="A1028" s="17"/>
      <c r="B1028" s="18"/>
      <c r="C1028" s="18"/>
    </row>
    <row r="1029" spans="1:3" x14ac:dyDescent="0.35">
      <c r="A1029" s="17"/>
      <c r="B1029" s="18"/>
      <c r="C1029" s="18"/>
    </row>
  </sheetData>
  <mergeCells count="2">
    <mergeCell ref="A2:G3"/>
    <mergeCell ref="A5:G5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0AD9-940B-48C8-8C4A-99D700845C63}">
  <dimension ref="A1:AD1032"/>
  <sheetViews>
    <sheetView tabSelected="1" topLeftCell="A9" zoomScale="55" zoomScaleNormal="55" workbookViewId="0">
      <selection activeCell="AB24" sqref="AB24"/>
    </sheetView>
  </sheetViews>
  <sheetFormatPr defaultRowHeight="14.5" x14ac:dyDescent="0.35"/>
  <cols>
    <col min="1" max="1" width="16.54296875" style="1" customWidth="1"/>
    <col min="2" max="2" width="6.26953125" style="1" customWidth="1"/>
    <col min="3" max="3" width="8.08984375" style="1" bestFit="1" customWidth="1"/>
    <col min="4" max="4" width="6.81640625" style="1" customWidth="1"/>
    <col min="5" max="5" width="29.7265625" style="1" customWidth="1"/>
    <col min="6" max="6" width="53.1796875" style="1" hidden="1" customWidth="1"/>
    <col min="7" max="7" width="196.81640625" style="1" hidden="1" customWidth="1"/>
    <col min="8" max="8" width="10.90625" style="1" customWidth="1"/>
    <col min="9" max="10" width="8.7265625" style="1"/>
    <col min="11" max="11" width="29.08984375" style="1" customWidth="1"/>
    <col min="12" max="16384" width="8.7265625" style="1"/>
  </cols>
  <sheetData>
    <row r="1" spans="1:30" x14ac:dyDescent="0.35">
      <c r="A1" s="17"/>
      <c r="B1" s="75"/>
      <c r="C1" s="75"/>
    </row>
    <row r="2" spans="1:30" x14ac:dyDescent="0.35">
      <c r="A2" s="80" t="s">
        <v>59</v>
      </c>
      <c r="B2" s="81"/>
      <c r="C2" s="81"/>
      <c r="D2" s="81"/>
      <c r="E2" s="81"/>
      <c r="F2" s="81"/>
      <c r="G2" s="82"/>
      <c r="K2" s="1" t="s">
        <v>381</v>
      </c>
      <c r="O2" s="1">
        <f>0.4*4</f>
        <v>1.6</v>
      </c>
    </row>
    <row r="3" spans="1:30" x14ac:dyDescent="0.35">
      <c r="A3" s="83"/>
      <c r="B3" s="84"/>
      <c r="C3" s="84"/>
      <c r="D3" s="84"/>
      <c r="E3" s="84"/>
      <c r="F3" s="84"/>
      <c r="G3" s="85"/>
      <c r="K3" s="1" t="s">
        <v>382</v>
      </c>
      <c r="O3" s="1">
        <f>0.4*8</f>
        <v>3.2</v>
      </c>
      <c r="Y3" s="75"/>
      <c r="Z3" s="75"/>
      <c r="AA3" s="75"/>
      <c r="AB3" s="75"/>
      <c r="AC3" s="75"/>
      <c r="AD3" s="75"/>
    </row>
    <row r="4" spans="1:30" ht="12" customHeight="1" x14ac:dyDescent="0.7">
      <c r="A4" s="69"/>
      <c r="B4" s="70"/>
      <c r="C4" s="70"/>
      <c r="D4" s="70"/>
      <c r="E4" s="70"/>
      <c r="F4" s="70"/>
      <c r="G4" s="71"/>
      <c r="K4" s="66" t="s">
        <v>383</v>
      </c>
      <c r="L4" s="66"/>
      <c r="M4" s="66"/>
      <c r="N4" s="66"/>
      <c r="O4" s="66">
        <f>0.14*15</f>
        <v>2.1</v>
      </c>
      <c r="Y4" s="75"/>
      <c r="Z4" s="75"/>
      <c r="AA4" s="75"/>
      <c r="AB4" s="75"/>
      <c r="AC4" s="75"/>
      <c r="AD4" s="75"/>
    </row>
    <row r="5" spans="1:30" ht="15.5" x14ac:dyDescent="0.35">
      <c r="A5" s="86" t="s">
        <v>60</v>
      </c>
      <c r="B5" s="87"/>
      <c r="C5" s="87"/>
      <c r="D5" s="87"/>
      <c r="E5" s="87"/>
      <c r="F5" s="87"/>
      <c r="G5" s="88"/>
      <c r="H5" s="72">
        <v>2017</v>
      </c>
      <c r="K5" s="1" t="s">
        <v>384</v>
      </c>
      <c r="O5" s="1">
        <f>0.4*35</f>
        <v>14</v>
      </c>
    </row>
    <row r="6" spans="1:30" x14ac:dyDescent="0.35">
      <c r="A6" s="19" t="s">
        <v>61</v>
      </c>
      <c r="B6" s="20" t="s">
        <v>62</v>
      </c>
      <c r="C6" s="20"/>
      <c r="D6" s="20" t="s">
        <v>63</v>
      </c>
      <c r="E6" s="21" t="s">
        <v>64</v>
      </c>
      <c r="F6" s="21" t="s">
        <v>65</v>
      </c>
      <c r="G6" s="21" t="s">
        <v>66</v>
      </c>
      <c r="K6" s="1" t="s">
        <v>385</v>
      </c>
      <c r="O6" s="1">
        <f>1.5*80</f>
        <v>120</v>
      </c>
    </row>
    <row r="7" spans="1:30" x14ac:dyDescent="0.35">
      <c r="A7" s="3" t="s">
        <v>67</v>
      </c>
      <c r="B7" s="59" t="s">
        <v>7</v>
      </c>
      <c r="C7" s="59">
        <v>50</v>
      </c>
      <c r="D7" s="68" t="s">
        <v>68</v>
      </c>
      <c r="E7" s="68" t="s">
        <v>8</v>
      </c>
      <c r="F7" s="2" t="s">
        <v>69</v>
      </c>
      <c r="G7" s="2" t="s">
        <v>70</v>
      </c>
      <c r="K7" s="1" t="s">
        <v>386</v>
      </c>
      <c r="O7" s="1">
        <f>0.55*80</f>
        <v>44</v>
      </c>
    </row>
    <row r="8" spans="1:30" x14ac:dyDescent="0.35">
      <c r="A8" s="3" t="s">
        <v>71</v>
      </c>
      <c r="B8" s="59" t="s">
        <v>7</v>
      </c>
      <c r="C8" s="59">
        <v>50</v>
      </c>
      <c r="D8" s="68" t="s">
        <v>68</v>
      </c>
      <c r="E8" s="68" t="s">
        <v>8</v>
      </c>
      <c r="F8" s="2" t="s">
        <v>69</v>
      </c>
      <c r="G8" s="2" t="s">
        <v>70</v>
      </c>
      <c r="K8" s="1" t="s">
        <v>387</v>
      </c>
      <c r="O8" s="1">
        <f>0.55*80</f>
        <v>44</v>
      </c>
    </row>
    <row r="9" spans="1:30" x14ac:dyDescent="0.35">
      <c r="A9" s="3" t="s">
        <v>72</v>
      </c>
      <c r="B9" s="59" t="s">
        <v>7</v>
      </c>
      <c r="C9" s="59">
        <v>50</v>
      </c>
      <c r="D9" s="68" t="s">
        <v>68</v>
      </c>
      <c r="E9" s="68" t="s">
        <v>8</v>
      </c>
      <c r="F9" s="2" t="s">
        <v>69</v>
      </c>
      <c r="G9" s="2" t="s">
        <v>70</v>
      </c>
    </row>
    <row r="10" spans="1:30" ht="15.5" x14ac:dyDescent="0.35">
      <c r="A10" s="25" t="s">
        <v>73</v>
      </c>
      <c r="B10" s="64"/>
      <c r="C10" s="64"/>
      <c r="D10" s="64"/>
      <c r="E10" s="64"/>
      <c r="F10" s="64"/>
      <c r="G10" s="65"/>
    </row>
    <row r="11" spans="1:30" x14ac:dyDescent="0.35">
      <c r="A11" s="19" t="s">
        <v>61</v>
      </c>
      <c r="B11" s="20" t="s">
        <v>62</v>
      </c>
      <c r="C11" s="20"/>
      <c r="D11" s="20" t="s">
        <v>63</v>
      </c>
      <c r="E11" s="21" t="s">
        <v>64</v>
      </c>
      <c r="F11" s="21" t="s">
        <v>65</v>
      </c>
      <c r="G11" s="21" t="s">
        <v>66</v>
      </c>
      <c r="L11" s="58">
        <v>44197</v>
      </c>
      <c r="M11" s="58">
        <v>44228</v>
      </c>
      <c r="N11" s="58">
        <v>44256</v>
      </c>
      <c r="O11" s="58">
        <v>44287</v>
      </c>
      <c r="P11" s="58">
        <v>44317</v>
      </c>
      <c r="Q11" s="58">
        <v>44348</v>
      </c>
      <c r="R11" s="58">
        <v>44378</v>
      </c>
      <c r="S11" s="58">
        <v>44409</v>
      </c>
      <c r="T11" s="58">
        <v>44440</v>
      </c>
      <c r="U11" s="58">
        <v>44470</v>
      </c>
      <c r="V11" s="58">
        <v>44501</v>
      </c>
      <c r="W11" s="58">
        <v>44531</v>
      </c>
      <c r="X11" s="58">
        <v>44562</v>
      </c>
      <c r="Y11" s="58">
        <v>44593</v>
      </c>
    </row>
    <row r="12" spans="1:30" x14ac:dyDescent="0.35">
      <c r="A12" s="3" t="s">
        <v>74</v>
      </c>
      <c r="B12" s="59" t="s">
        <v>7</v>
      </c>
      <c r="C12" s="59">
        <v>50</v>
      </c>
      <c r="D12" s="68" t="s">
        <v>68</v>
      </c>
      <c r="E12" s="2"/>
      <c r="F12" s="2" t="s">
        <v>69</v>
      </c>
      <c r="G12" s="2" t="s">
        <v>75</v>
      </c>
      <c r="K12" s="1" t="s">
        <v>391</v>
      </c>
      <c r="L12" s="1">
        <v>3</v>
      </c>
      <c r="M12" s="1">
        <v>8</v>
      </c>
      <c r="N12" s="1">
        <v>5</v>
      </c>
      <c r="O12" s="1">
        <v>0</v>
      </c>
      <c r="P12" s="1">
        <v>8</v>
      </c>
      <c r="Q12" s="1">
        <v>7</v>
      </c>
      <c r="R12" s="1">
        <v>6</v>
      </c>
      <c r="S12" s="1">
        <v>5</v>
      </c>
      <c r="T12" s="1">
        <v>5</v>
      </c>
      <c r="U12" s="1">
        <v>2</v>
      </c>
      <c r="V12" s="1">
        <v>5</v>
      </c>
      <c r="W12" s="1">
        <v>3</v>
      </c>
      <c r="X12" s="1">
        <v>1</v>
      </c>
      <c r="Y12" s="1">
        <v>3</v>
      </c>
    </row>
    <row r="13" spans="1:30" x14ac:dyDescent="0.35">
      <c r="A13" s="3" t="s">
        <v>76</v>
      </c>
      <c r="B13" s="60" t="s">
        <v>11</v>
      </c>
      <c r="C13" s="60">
        <v>25</v>
      </c>
      <c r="D13" s="68" t="s">
        <v>77</v>
      </c>
      <c r="E13" s="2"/>
      <c r="F13" s="2" t="s">
        <v>78</v>
      </c>
      <c r="G13" s="2" t="s">
        <v>79</v>
      </c>
      <c r="K13" s="1" t="s">
        <v>392</v>
      </c>
      <c r="L13" s="1">
        <f>SUM(L12:L12)</f>
        <v>3</v>
      </c>
      <c r="M13" s="1">
        <f>SUM(L12:M12)</f>
        <v>11</v>
      </c>
      <c r="N13" s="1">
        <f>SUM(L12:N12)</f>
        <v>16</v>
      </c>
      <c r="O13" s="1">
        <f>SUM(L12:O12)</f>
        <v>16</v>
      </c>
      <c r="P13" s="1">
        <f>SUM(L12:P12)</f>
        <v>24</v>
      </c>
      <c r="Q13" s="1">
        <f>SUM(L12:Q12)</f>
        <v>31</v>
      </c>
      <c r="R13" s="1">
        <f>SUM(L12:R12)</f>
        <v>37</v>
      </c>
      <c r="S13" s="1">
        <f>SUM(L12:S12)</f>
        <v>42</v>
      </c>
      <c r="T13" s="1">
        <f>SUM(L12:T12)</f>
        <v>47</v>
      </c>
      <c r="U13" s="1">
        <f>SUM(L12:U12)</f>
        <v>49</v>
      </c>
      <c r="V13" s="1">
        <f>SUM(L12:V12)</f>
        <v>54</v>
      </c>
      <c r="W13" s="1">
        <f>SUM(L12:W12)</f>
        <v>57</v>
      </c>
      <c r="X13" s="1">
        <f>SUM(L12:X12)</f>
        <v>58</v>
      </c>
      <c r="Y13" s="1">
        <f>SUM(L12:Y12)</f>
        <v>61</v>
      </c>
    </row>
    <row r="14" spans="1:30" x14ac:dyDescent="0.35">
      <c r="A14" s="3" t="s">
        <v>80</v>
      </c>
      <c r="B14" s="59" t="s">
        <v>7</v>
      </c>
      <c r="C14" s="59">
        <v>50</v>
      </c>
      <c r="D14" s="68" t="s">
        <v>68</v>
      </c>
      <c r="E14" s="2"/>
      <c r="F14" s="2" t="s">
        <v>81</v>
      </c>
      <c r="G14" s="2" t="s">
        <v>82</v>
      </c>
      <c r="K14" s="1" t="s">
        <v>45</v>
      </c>
      <c r="L14" s="1">
        <v>150</v>
      </c>
      <c r="M14" s="1">
        <v>200</v>
      </c>
      <c r="N14" s="1">
        <v>200</v>
      </c>
      <c r="O14" s="1">
        <v>0</v>
      </c>
      <c r="P14" s="1">
        <v>500</v>
      </c>
      <c r="Q14" s="1">
        <v>400</v>
      </c>
      <c r="R14" s="1">
        <v>450</v>
      </c>
      <c r="S14" s="1">
        <v>500</v>
      </c>
      <c r="T14" s="1">
        <v>500</v>
      </c>
      <c r="U14" s="1">
        <v>200</v>
      </c>
      <c r="V14" s="1">
        <v>500</v>
      </c>
      <c r="W14" s="1">
        <v>300</v>
      </c>
      <c r="X14" s="1">
        <v>100</v>
      </c>
      <c r="Y14" s="1">
        <v>300</v>
      </c>
    </row>
    <row r="15" spans="1:30" ht="15.5" x14ac:dyDescent="0.35">
      <c r="A15" s="25" t="s">
        <v>83</v>
      </c>
      <c r="B15" s="64"/>
      <c r="C15" s="64"/>
      <c r="D15" s="64"/>
      <c r="E15" s="64"/>
      <c r="F15" s="64"/>
      <c r="G15" s="65"/>
      <c r="K15" s="1" t="s">
        <v>395</v>
      </c>
      <c r="L15" s="1">
        <f>SUM(L14:L14)</f>
        <v>150</v>
      </c>
      <c r="M15" s="1">
        <f>SUM(L14:M14)</f>
        <v>350</v>
      </c>
      <c r="N15" s="1">
        <f>SUM(L14:N14)</f>
        <v>550</v>
      </c>
      <c r="O15" s="1">
        <f>SUM(L14:O14)</f>
        <v>550</v>
      </c>
      <c r="P15" s="1">
        <f>SUM(L14:P14)</f>
        <v>1050</v>
      </c>
      <c r="Q15" s="1">
        <f>SUM(L14:Q14)</f>
        <v>1450</v>
      </c>
      <c r="R15" s="1">
        <f>SUM(L14:R14)</f>
        <v>1900</v>
      </c>
      <c r="S15" s="1">
        <f>SUM(L14:S14)</f>
        <v>2400</v>
      </c>
      <c r="T15" s="1">
        <f>SUM(L14:T14)</f>
        <v>2900</v>
      </c>
      <c r="U15" s="1">
        <f>SUM(L14:U14)</f>
        <v>3100</v>
      </c>
      <c r="V15" s="1">
        <f>SUM(L14:V14)</f>
        <v>3600</v>
      </c>
      <c r="W15" s="1">
        <f>SUM(L14:W14)</f>
        <v>3900</v>
      </c>
      <c r="X15" s="1">
        <f>SUM(L14:X14)</f>
        <v>4000</v>
      </c>
      <c r="Y15" s="1">
        <f>SUM(L14:Y14)</f>
        <v>4300</v>
      </c>
    </row>
    <row r="16" spans="1:30" x14ac:dyDescent="0.35">
      <c r="A16" s="19" t="s">
        <v>61</v>
      </c>
      <c r="B16" s="20" t="s">
        <v>62</v>
      </c>
      <c r="C16" s="20"/>
      <c r="D16" s="20" t="s">
        <v>63</v>
      </c>
      <c r="E16" s="21" t="s">
        <v>64</v>
      </c>
      <c r="F16" s="21" t="s">
        <v>65</v>
      </c>
      <c r="G16" s="21" t="s">
        <v>66</v>
      </c>
      <c r="K16" s="1" t="s">
        <v>393</v>
      </c>
      <c r="L16" s="1">
        <f>2*O4+O7</f>
        <v>48.2</v>
      </c>
      <c r="M16" s="1">
        <f>M12*O4</f>
        <v>16.8</v>
      </c>
      <c r="N16" s="1">
        <f>4*O4+O7</f>
        <v>52.4</v>
      </c>
      <c r="O16" s="1">
        <v>0</v>
      </c>
      <c r="P16" s="1">
        <f>(4*O4)+(4*O7)</f>
        <v>184.4</v>
      </c>
      <c r="Q16" s="1">
        <f>4*O4+3*O7</f>
        <v>140.4</v>
      </c>
      <c r="R16" s="1">
        <f>2*O4+4*O8</f>
        <v>180.2</v>
      </c>
      <c r="S16" s="1">
        <f>S12*O8</f>
        <v>220</v>
      </c>
      <c r="T16" s="1">
        <f>T12*O8</f>
        <v>220</v>
      </c>
      <c r="U16" s="1">
        <f>U12*O8</f>
        <v>88</v>
      </c>
      <c r="V16" s="1">
        <f>V12*O8</f>
        <v>220</v>
      </c>
      <c r="W16" s="1">
        <f>W12*O8</f>
        <v>132</v>
      </c>
      <c r="X16" s="1">
        <f>X12*O8</f>
        <v>44</v>
      </c>
      <c r="Y16" s="1">
        <f>Y12*O8</f>
        <v>132</v>
      </c>
    </row>
    <row r="17" spans="1:25" x14ac:dyDescent="0.35">
      <c r="A17" s="3" t="s">
        <v>84</v>
      </c>
      <c r="B17" s="59" t="s">
        <v>7</v>
      </c>
      <c r="C17" s="59">
        <v>50</v>
      </c>
      <c r="D17" s="68" t="s">
        <v>68</v>
      </c>
      <c r="E17" s="68" t="s">
        <v>85</v>
      </c>
      <c r="F17" s="2" t="s">
        <v>69</v>
      </c>
      <c r="G17" s="2" t="s">
        <v>86</v>
      </c>
      <c r="K17" s="1" t="s">
        <v>394</v>
      </c>
      <c r="L17" s="1">
        <f>SUM(L16:L16)</f>
        <v>48.2</v>
      </c>
      <c r="M17" s="1">
        <f>SUM(L16:M16)</f>
        <v>65</v>
      </c>
      <c r="N17" s="1">
        <f>SUM(L16:N16)</f>
        <v>117.4</v>
      </c>
      <c r="O17" s="1">
        <f>SUM(L16:O16)</f>
        <v>117.4</v>
      </c>
      <c r="P17" s="1">
        <f>SUM(L16:P16)</f>
        <v>301.8</v>
      </c>
      <c r="Q17" s="1">
        <f>SUM(L16:Q16)</f>
        <v>442.20000000000005</v>
      </c>
      <c r="R17" s="1">
        <f>SUM(L16:R16)</f>
        <v>622.40000000000009</v>
      </c>
      <c r="S17" s="1">
        <f>SUM(L16:S16)</f>
        <v>842.40000000000009</v>
      </c>
      <c r="T17" s="1">
        <f>SUM(L16:T16)</f>
        <v>1062.4000000000001</v>
      </c>
      <c r="U17" s="1">
        <f>SUM(L16:U16)</f>
        <v>1150.4000000000001</v>
      </c>
      <c r="V17" s="1">
        <f>SUM(L16:V16)</f>
        <v>1370.4</v>
      </c>
      <c r="W17" s="1">
        <f>SUM(L16:W16)</f>
        <v>1502.4</v>
      </c>
      <c r="X17" s="1">
        <f>SUM(L16:X16)</f>
        <v>1546.4</v>
      </c>
      <c r="Y17" s="1">
        <f>SUM(L16:Y16)</f>
        <v>1678.4</v>
      </c>
    </row>
    <row r="18" spans="1:25" x14ac:dyDescent="0.35">
      <c r="A18" s="3" t="s">
        <v>87</v>
      </c>
      <c r="B18" s="59" t="s">
        <v>7</v>
      </c>
      <c r="C18" s="59">
        <v>50</v>
      </c>
      <c r="D18" s="68" t="s">
        <v>68</v>
      </c>
      <c r="E18" s="68" t="s">
        <v>85</v>
      </c>
      <c r="F18" s="2" t="s">
        <v>69</v>
      </c>
      <c r="G18" s="2" t="s">
        <v>86</v>
      </c>
      <c r="K18" s="1" t="s">
        <v>396</v>
      </c>
      <c r="L18" s="1">
        <f>L17/1000</f>
        <v>4.82E-2</v>
      </c>
      <c r="M18" s="1">
        <f>M17/1000</f>
        <v>6.5000000000000002E-2</v>
      </c>
      <c r="N18" s="1">
        <f>N17/1000</f>
        <v>0.1174</v>
      </c>
      <c r="O18" s="1">
        <f t="shared" ref="L18:W18" si="0">O17/1000</f>
        <v>0.1174</v>
      </c>
      <c r="P18" s="1">
        <f t="shared" si="0"/>
        <v>0.30180000000000001</v>
      </c>
      <c r="Q18" s="1">
        <f t="shared" si="0"/>
        <v>0.44220000000000004</v>
      </c>
      <c r="R18" s="1">
        <f t="shared" si="0"/>
        <v>0.62240000000000006</v>
      </c>
      <c r="S18" s="1">
        <f t="shared" si="0"/>
        <v>0.84240000000000004</v>
      </c>
      <c r="T18" s="1">
        <f t="shared" si="0"/>
        <v>1.0624</v>
      </c>
      <c r="U18" s="1">
        <f t="shared" si="0"/>
        <v>1.1504000000000001</v>
      </c>
      <c r="V18" s="1">
        <f t="shared" si="0"/>
        <v>1.3704000000000001</v>
      </c>
      <c r="W18" s="1">
        <f t="shared" si="0"/>
        <v>1.5024000000000002</v>
      </c>
      <c r="X18" s="1">
        <f>X17/1000</f>
        <v>1.5464</v>
      </c>
      <c r="Y18" s="1">
        <f>Y17/1000</f>
        <v>1.6784000000000001</v>
      </c>
    </row>
    <row r="19" spans="1:25" x14ac:dyDescent="0.35">
      <c r="A19" s="95"/>
      <c r="B19" s="96"/>
      <c r="C19" s="96"/>
      <c r="D19" s="97"/>
      <c r="E19" s="97"/>
      <c r="F19" s="98"/>
      <c r="G19" s="99"/>
      <c r="K19" s="1" t="s">
        <v>401</v>
      </c>
      <c r="L19" s="75">
        <v>0.28599999999999998</v>
      </c>
      <c r="M19" s="75"/>
      <c r="N19" s="75">
        <v>0.40200000000000002</v>
      </c>
      <c r="O19" s="75"/>
      <c r="P19" s="75">
        <v>0.23899999999999999</v>
      </c>
      <c r="Q19" s="75">
        <v>0.81599999999999995</v>
      </c>
      <c r="R19" s="75">
        <v>0.98399999999999999</v>
      </c>
      <c r="S19" s="75">
        <v>1.4079999999999999</v>
      </c>
      <c r="T19" s="75">
        <v>1.542</v>
      </c>
      <c r="U19" s="75">
        <v>0.58299999999999996</v>
      </c>
      <c r="V19" s="75">
        <v>1.486</v>
      </c>
      <c r="W19" s="75">
        <v>1.0760000000000001</v>
      </c>
      <c r="X19" s="75">
        <v>0.33600000000000002</v>
      </c>
      <c r="Y19" s="75">
        <v>0.67700000000000005</v>
      </c>
    </row>
    <row r="20" spans="1:25" x14ac:dyDescent="0.35">
      <c r="A20" s="95"/>
      <c r="B20" s="96"/>
      <c r="C20" s="96"/>
      <c r="D20" s="97"/>
      <c r="E20" s="97"/>
      <c r="F20" s="98"/>
      <c r="G20" s="99"/>
      <c r="K20" s="1" t="s">
        <v>402</v>
      </c>
      <c r="L20" s="1">
        <f>L19</f>
        <v>0.28599999999999998</v>
      </c>
      <c r="M20" s="1">
        <f>SUM(L19:M19)</f>
        <v>0.28599999999999998</v>
      </c>
      <c r="N20" s="1">
        <f>SUM(L19:N19)</f>
        <v>0.68799999999999994</v>
      </c>
      <c r="O20" s="1">
        <f>SUM(L19:O19)</f>
        <v>0.68799999999999994</v>
      </c>
      <c r="P20" s="1">
        <f>SUM(L19:P19)</f>
        <v>0.92699999999999994</v>
      </c>
      <c r="Q20" s="1">
        <f>SUM(L19:Q19)</f>
        <v>1.7429999999999999</v>
      </c>
      <c r="R20" s="1">
        <f>SUM(L19:R19)</f>
        <v>2.7269999999999999</v>
      </c>
      <c r="S20" s="1">
        <f>SUM(L19:S19)</f>
        <v>4.1349999999999998</v>
      </c>
      <c r="T20" s="1">
        <f>SUM(L19:T19)</f>
        <v>5.6769999999999996</v>
      </c>
      <c r="U20" s="1">
        <f>SUM(L19:U19)</f>
        <v>6.26</v>
      </c>
      <c r="V20" s="1">
        <f>SUM(L19:V19)</f>
        <v>7.7459999999999996</v>
      </c>
      <c r="W20" s="1">
        <f>SUM(L19:W19)</f>
        <v>8.8219999999999992</v>
      </c>
      <c r="X20" s="1">
        <f>SUM(L19:X19)</f>
        <v>9.1579999999999995</v>
      </c>
      <c r="Y20" s="1">
        <f>SUM(L19:Y19)</f>
        <v>9.8349999999999991</v>
      </c>
    </row>
    <row r="21" spans="1:25" x14ac:dyDescent="0.35">
      <c r="A21" s="95"/>
      <c r="B21" s="96"/>
      <c r="C21" s="96"/>
      <c r="D21" s="97"/>
      <c r="E21" s="97"/>
      <c r="F21" s="98"/>
      <c r="G21" s="99"/>
      <c r="K21" s="1" t="s">
        <v>403</v>
      </c>
      <c r="L21" s="1">
        <f>L20+L18</f>
        <v>0.3342</v>
      </c>
      <c r="M21" s="1">
        <f>M20+M18</f>
        <v>0.35099999999999998</v>
      </c>
      <c r="N21" s="1">
        <f>N20+N18</f>
        <v>0.80539999999999989</v>
      </c>
      <c r="O21" s="1">
        <f t="shared" ref="M21:Y21" si="1">O20+O18</f>
        <v>0.80539999999999989</v>
      </c>
      <c r="P21" s="1">
        <f t="shared" si="1"/>
        <v>1.2287999999999999</v>
      </c>
      <c r="Q21" s="1">
        <f t="shared" si="1"/>
        <v>2.1852</v>
      </c>
      <c r="R21" s="1">
        <f t="shared" si="1"/>
        <v>3.3494000000000002</v>
      </c>
      <c r="S21" s="1">
        <f t="shared" si="1"/>
        <v>4.9773999999999994</v>
      </c>
      <c r="T21" s="1">
        <f t="shared" si="1"/>
        <v>6.7393999999999998</v>
      </c>
      <c r="U21" s="1">
        <f t="shared" si="1"/>
        <v>7.4104000000000001</v>
      </c>
      <c r="V21" s="1">
        <f t="shared" si="1"/>
        <v>9.1163999999999987</v>
      </c>
      <c r="W21" s="1">
        <f t="shared" si="1"/>
        <v>10.324399999999999</v>
      </c>
      <c r="X21" s="1">
        <f t="shared" si="1"/>
        <v>10.7044</v>
      </c>
      <c r="Y21" s="1">
        <f>Y20+Y18</f>
        <v>11.513399999999999</v>
      </c>
    </row>
    <row r="22" spans="1:25" ht="15.5" x14ac:dyDescent="0.35">
      <c r="A22" s="25" t="s">
        <v>88</v>
      </c>
      <c r="B22" s="64"/>
      <c r="C22" s="64"/>
      <c r="D22" s="64"/>
      <c r="E22" s="64"/>
      <c r="F22" s="64"/>
      <c r="G22" s="65"/>
      <c r="H22" s="72">
        <v>2018</v>
      </c>
      <c r="K22" s="1" t="s">
        <v>390</v>
      </c>
      <c r="L22" s="1">
        <f>L15/L18</f>
        <v>3112.0331950207469</v>
      </c>
      <c r="M22" s="1">
        <f>M15/M18</f>
        <v>5384.6153846153848</v>
      </c>
      <c r="N22" s="1">
        <f>N15/N18</f>
        <v>4684.8381601362862</v>
      </c>
      <c r="O22" s="1">
        <f>O15/O18</f>
        <v>4684.8381601362862</v>
      </c>
      <c r="P22" s="1">
        <f>P15/P18</f>
        <v>3479.1252485089462</v>
      </c>
      <c r="Q22" s="1">
        <f>Q15/Q18</f>
        <v>3279.0592492085025</v>
      </c>
      <c r="R22" s="1">
        <f>R15/R18</f>
        <v>3052.6992287917733</v>
      </c>
      <c r="S22" s="1">
        <f>S15/S18</f>
        <v>2849.002849002849</v>
      </c>
      <c r="T22" s="1">
        <f>T15/T18</f>
        <v>2729.6686746987953</v>
      </c>
      <c r="U22" s="1">
        <f>U15/U18</f>
        <v>2694.7148817802499</v>
      </c>
      <c r="V22" s="1">
        <f>V15/V18</f>
        <v>2626.970227670753</v>
      </c>
      <c r="W22" s="1">
        <f>W15/W18</f>
        <v>2595.8466453674118</v>
      </c>
      <c r="X22" s="1">
        <f>X15/X18</f>
        <v>2586.6528711846872</v>
      </c>
      <c r="Y22" s="1">
        <f>Y15/Y18</f>
        <v>2561.9637750238321</v>
      </c>
    </row>
    <row r="23" spans="1:25" x14ac:dyDescent="0.35">
      <c r="A23" s="19" t="s">
        <v>61</v>
      </c>
      <c r="B23" s="20" t="s">
        <v>62</v>
      </c>
      <c r="C23" s="20"/>
      <c r="D23" s="20" t="s">
        <v>63</v>
      </c>
      <c r="E23" s="21" t="s">
        <v>64</v>
      </c>
      <c r="F23" s="21" t="s">
        <v>65</v>
      </c>
      <c r="G23" s="21" t="s">
        <v>66</v>
      </c>
    </row>
    <row r="24" spans="1:25" x14ac:dyDescent="0.35">
      <c r="A24" s="3" t="s">
        <v>89</v>
      </c>
      <c r="B24" s="59" t="s">
        <v>7</v>
      </c>
      <c r="C24" s="59">
        <v>50</v>
      </c>
      <c r="D24" s="68" t="s">
        <v>68</v>
      </c>
      <c r="E24" s="68" t="s">
        <v>85</v>
      </c>
      <c r="F24" s="2" t="s">
        <v>69</v>
      </c>
      <c r="G24" s="2" t="s">
        <v>86</v>
      </c>
      <c r="L24" s="1">
        <f>L13*50</f>
        <v>150</v>
      </c>
      <c r="M24" s="1">
        <f>M13*50</f>
        <v>550</v>
      </c>
      <c r="N24" s="1">
        <f>N13*50</f>
        <v>800</v>
      </c>
      <c r="O24" s="1">
        <f>O13*50</f>
        <v>800</v>
      </c>
      <c r="P24" s="1">
        <f>P13*50</f>
        <v>1200</v>
      </c>
      <c r="Q24" s="1">
        <f>Q13*50</f>
        <v>1550</v>
      </c>
      <c r="R24" s="1">
        <f>R13*50</f>
        <v>1850</v>
      </c>
      <c r="S24" s="1">
        <f>S13*50</f>
        <v>2100</v>
      </c>
      <c r="T24" s="1">
        <f>T13*50</f>
        <v>2350</v>
      </c>
      <c r="U24" s="1">
        <f>U13*50</f>
        <v>2450</v>
      </c>
      <c r="V24" s="1">
        <f>V13*50</f>
        <v>2700</v>
      </c>
      <c r="W24" s="1">
        <f>W13*50</f>
        <v>2850</v>
      </c>
      <c r="X24" s="1">
        <f>X13*50</f>
        <v>2900</v>
      </c>
    </row>
    <row r="25" spans="1:25" x14ac:dyDescent="0.35">
      <c r="A25" s="3" t="s">
        <v>90</v>
      </c>
      <c r="B25" s="59" t="s">
        <v>7</v>
      </c>
      <c r="C25" s="59">
        <v>50</v>
      </c>
      <c r="D25" s="68" t="s">
        <v>68</v>
      </c>
      <c r="E25" s="68" t="s">
        <v>85</v>
      </c>
      <c r="F25" s="2" t="s">
        <v>69</v>
      </c>
      <c r="G25" s="2" t="s">
        <v>86</v>
      </c>
    </row>
    <row r="26" spans="1:25" x14ac:dyDescent="0.35">
      <c r="A26" s="3" t="s">
        <v>91</v>
      </c>
      <c r="B26" s="59" t="s">
        <v>7</v>
      </c>
      <c r="C26" s="59">
        <v>50</v>
      </c>
      <c r="D26" s="68" t="s">
        <v>68</v>
      </c>
      <c r="E26" s="68" t="s">
        <v>85</v>
      </c>
      <c r="F26" s="2" t="s">
        <v>92</v>
      </c>
      <c r="G26" s="2" t="s">
        <v>93</v>
      </c>
    </row>
    <row r="27" spans="1:25" x14ac:dyDescent="0.35">
      <c r="A27" s="3"/>
      <c r="B27" s="59"/>
      <c r="C27" s="59"/>
      <c r="D27" s="68"/>
      <c r="E27" s="68"/>
      <c r="F27" s="2"/>
      <c r="G27" s="2"/>
    </row>
    <row r="28" spans="1:25" x14ac:dyDescent="0.35">
      <c r="A28" s="3" t="s">
        <v>94</v>
      </c>
      <c r="B28" s="60" t="s">
        <v>11</v>
      </c>
      <c r="C28" s="60">
        <v>25</v>
      </c>
      <c r="D28" s="68" t="s">
        <v>77</v>
      </c>
      <c r="E28" s="68"/>
      <c r="F28" s="2"/>
      <c r="G28" s="2"/>
    </row>
    <row r="29" spans="1:25" ht="15.5" x14ac:dyDescent="0.35">
      <c r="A29" s="72" t="s">
        <v>97</v>
      </c>
      <c r="B29" s="50"/>
      <c r="C29" s="50"/>
      <c r="D29" s="50"/>
      <c r="E29" s="50"/>
      <c r="F29" s="2" t="s">
        <v>95</v>
      </c>
      <c r="G29" s="2" t="s">
        <v>96</v>
      </c>
    </row>
    <row r="30" spans="1:25" ht="15.5" x14ac:dyDescent="0.35">
      <c r="A30" s="19" t="s">
        <v>61</v>
      </c>
      <c r="B30" s="20" t="s">
        <v>62</v>
      </c>
      <c r="C30" s="20"/>
      <c r="D30" s="20" t="s">
        <v>63</v>
      </c>
      <c r="E30" s="21" t="s">
        <v>64</v>
      </c>
      <c r="F30" s="50"/>
      <c r="G30" s="51"/>
    </row>
    <row r="31" spans="1:25" x14ac:dyDescent="0.35">
      <c r="A31" s="3" t="s">
        <v>98</v>
      </c>
      <c r="B31" s="62" t="s">
        <v>16</v>
      </c>
      <c r="C31" s="62">
        <v>5</v>
      </c>
      <c r="D31" s="68" t="s">
        <v>68</v>
      </c>
      <c r="E31" s="2"/>
      <c r="F31" s="21" t="s">
        <v>65</v>
      </c>
      <c r="G31" s="21" t="s">
        <v>66</v>
      </c>
    </row>
    <row r="32" spans="1:25" ht="15.5" x14ac:dyDescent="0.35">
      <c r="A32" s="72" t="s">
        <v>101</v>
      </c>
      <c r="B32" s="50"/>
      <c r="C32" s="50"/>
      <c r="D32" s="50"/>
      <c r="E32" s="50"/>
      <c r="F32" s="2" t="s">
        <v>99</v>
      </c>
      <c r="G32" s="2" t="s">
        <v>100</v>
      </c>
    </row>
    <row r="33" spans="1:7" ht="15.5" x14ac:dyDescent="0.35">
      <c r="A33" s="19" t="s">
        <v>61</v>
      </c>
      <c r="B33" s="20" t="s">
        <v>62</v>
      </c>
      <c r="C33" s="20"/>
      <c r="D33" s="20" t="s">
        <v>63</v>
      </c>
      <c r="E33" s="21" t="s">
        <v>64</v>
      </c>
      <c r="F33" s="50"/>
      <c r="G33" s="51"/>
    </row>
    <row r="34" spans="1:7" x14ac:dyDescent="0.35">
      <c r="A34" s="3" t="s">
        <v>102</v>
      </c>
      <c r="B34" s="62" t="s">
        <v>16</v>
      </c>
      <c r="C34" s="62">
        <v>5</v>
      </c>
      <c r="D34" s="68" t="s">
        <v>68</v>
      </c>
      <c r="E34" s="2"/>
      <c r="F34" s="21" t="s">
        <v>65</v>
      </c>
      <c r="G34" s="21" t="s">
        <v>66</v>
      </c>
    </row>
    <row r="35" spans="1:7" x14ac:dyDescent="0.35">
      <c r="A35" s="3" t="s">
        <v>105</v>
      </c>
      <c r="B35" s="59" t="s">
        <v>7</v>
      </c>
      <c r="C35" s="59">
        <v>50</v>
      </c>
      <c r="D35" s="68" t="s">
        <v>68</v>
      </c>
      <c r="E35" s="2"/>
      <c r="F35" s="2" t="s">
        <v>103</v>
      </c>
      <c r="G35" s="2" t="s">
        <v>104</v>
      </c>
    </row>
    <row r="36" spans="1:7" x14ac:dyDescent="0.35">
      <c r="A36" s="3" t="s">
        <v>107</v>
      </c>
      <c r="B36" s="68" t="s">
        <v>20</v>
      </c>
      <c r="C36" s="68">
        <v>100</v>
      </c>
      <c r="D36" s="68" t="s">
        <v>68</v>
      </c>
      <c r="E36" s="2"/>
      <c r="F36" s="2" t="s">
        <v>69</v>
      </c>
      <c r="G36" s="2" t="s">
        <v>106</v>
      </c>
    </row>
    <row r="37" spans="1:7" ht="15.5" x14ac:dyDescent="0.35">
      <c r="A37" s="72" t="s">
        <v>110</v>
      </c>
      <c r="B37" s="50"/>
      <c r="C37" s="50"/>
      <c r="D37" s="50"/>
      <c r="E37" s="50"/>
      <c r="F37" s="2" t="s">
        <v>108</v>
      </c>
      <c r="G37" s="2" t="s">
        <v>109</v>
      </c>
    </row>
    <row r="38" spans="1:7" ht="15.5" x14ac:dyDescent="0.35">
      <c r="A38" s="19" t="s">
        <v>61</v>
      </c>
      <c r="B38" s="20" t="s">
        <v>62</v>
      </c>
      <c r="C38" s="20"/>
      <c r="D38" s="20" t="s">
        <v>63</v>
      </c>
      <c r="E38" s="21" t="s">
        <v>64</v>
      </c>
      <c r="F38" s="50"/>
      <c r="G38" s="51"/>
    </row>
    <row r="39" spans="1:7" x14ac:dyDescent="0.35">
      <c r="A39" s="22" t="s">
        <v>111</v>
      </c>
      <c r="B39" s="68" t="s">
        <v>20</v>
      </c>
      <c r="C39" s="68">
        <v>100</v>
      </c>
      <c r="D39" s="68" t="s">
        <v>68</v>
      </c>
      <c r="E39" s="68"/>
      <c r="F39" s="21" t="s">
        <v>65</v>
      </c>
      <c r="G39" s="21" t="s">
        <v>66</v>
      </c>
    </row>
    <row r="40" spans="1:7" x14ac:dyDescent="0.35">
      <c r="A40" s="22" t="s">
        <v>114</v>
      </c>
      <c r="B40" s="68" t="s">
        <v>20</v>
      </c>
      <c r="C40" s="68">
        <v>100</v>
      </c>
      <c r="D40" s="68" t="s">
        <v>68</v>
      </c>
      <c r="E40" s="68" t="s">
        <v>115</v>
      </c>
      <c r="F40" s="23" t="s">
        <v>112</v>
      </c>
      <c r="G40" s="2" t="s">
        <v>113</v>
      </c>
    </row>
    <row r="41" spans="1:7" x14ac:dyDescent="0.35">
      <c r="A41" s="3" t="s">
        <v>118</v>
      </c>
      <c r="B41" s="68" t="s">
        <v>20</v>
      </c>
      <c r="C41" s="68">
        <v>100</v>
      </c>
      <c r="D41" s="68" t="s">
        <v>68</v>
      </c>
      <c r="E41" s="68" t="s">
        <v>115</v>
      </c>
      <c r="F41" s="23" t="s">
        <v>116</v>
      </c>
      <c r="G41" s="2" t="s">
        <v>117</v>
      </c>
    </row>
    <row r="42" spans="1:7" x14ac:dyDescent="0.35">
      <c r="A42" s="22" t="s">
        <v>121</v>
      </c>
      <c r="B42" s="68" t="s">
        <v>20</v>
      </c>
      <c r="C42" s="68">
        <v>100</v>
      </c>
      <c r="D42" s="68" t="s">
        <v>68</v>
      </c>
      <c r="E42" s="68"/>
      <c r="F42" s="2" t="s">
        <v>119</v>
      </c>
      <c r="G42" s="2" t="s">
        <v>120</v>
      </c>
    </row>
    <row r="43" spans="1:7" ht="15.5" x14ac:dyDescent="0.35">
      <c r="A43" s="72" t="s">
        <v>124</v>
      </c>
      <c r="B43" s="50"/>
      <c r="C43" s="50"/>
      <c r="D43" s="50"/>
      <c r="E43" s="50"/>
      <c r="F43" s="23" t="s">
        <v>122</v>
      </c>
      <c r="G43" s="2" t="s">
        <v>123</v>
      </c>
    </row>
    <row r="44" spans="1:7" ht="15.5" x14ac:dyDescent="0.35">
      <c r="A44" s="19" t="s">
        <v>61</v>
      </c>
      <c r="B44" s="20" t="s">
        <v>62</v>
      </c>
      <c r="C44" s="20"/>
      <c r="D44" s="20" t="s">
        <v>63</v>
      </c>
      <c r="E44" s="21"/>
      <c r="F44" s="50"/>
      <c r="G44" s="51"/>
    </row>
    <row r="45" spans="1:7" x14ac:dyDescent="0.35">
      <c r="A45" s="3" t="s">
        <v>125</v>
      </c>
      <c r="B45" s="59" t="s">
        <v>7</v>
      </c>
      <c r="C45" s="68">
        <v>50</v>
      </c>
      <c r="D45" s="68" t="s">
        <v>68</v>
      </c>
      <c r="E45" s="68"/>
      <c r="F45" s="21" t="s">
        <v>65</v>
      </c>
      <c r="G45" s="21" t="s">
        <v>66</v>
      </c>
    </row>
    <row r="46" spans="1:7" x14ac:dyDescent="0.35">
      <c r="A46" s="3" t="s">
        <v>128</v>
      </c>
      <c r="B46" s="59" t="s">
        <v>7</v>
      </c>
      <c r="C46" s="68">
        <v>50</v>
      </c>
      <c r="D46" s="68" t="s">
        <v>68</v>
      </c>
      <c r="E46" s="68"/>
      <c r="F46" s="2" t="s">
        <v>126</v>
      </c>
      <c r="G46" s="24" t="s">
        <v>127</v>
      </c>
    </row>
    <row r="47" spans="1:7" x14ac:dyDescent="0.35">
      <c r="A47" s="3" t="s">
        <v>130</v>
      </c>
      <c r="B47" s="63" t="s">
        <v>131</v>
      </c>
      <c r="C47" s="68">
        <v>10</v>
      </c>
      <c r="D47" s="68" t="s">
        <v>68</v>
      </c>
      <c r="E47" s="68"/>
      <c r="F47" s="2" t="s">
        <v>69</v>
      </c>
      <c r="G47" s="24" t="s">
        <v>129</v>
      </c>
    </row>
    <row r="48" spans="1:7" x14ac:dyDescent="0.35">
      <c r="A48" s="3" t="s">
        <v>134</v>
      </c>
      <c r="B48" s="59" t="s">
        <v>7</v>
      </c>
      <c r="C48" s="68">
        <v>50</v>
      </c>
      <c r="D48" s="68" t="s">
        <v>68</v>
      </c>
      <c r="E48" s="68"/>
      <c r="F48" s="2" t="s">
        <v>132</v>
      </c>
      <c r="G48" s="24" t="s">
        <v>133</v>
      </c>
    </row>
    <row r="49" spans="1:7" ht="15.5" x14ac:dyDescent="0.35">
      <c r="A49" s="25" t="s">
        <v>137</v>
      </c>
      <c r="B49" s="73"/>
      <c r="C49" s="73"/>
      <c r="D49" s="73"/>
      <c r="E49" s="73"/>
      <c r="F49" s="2" t="s">
        <v>135</v>
      </c>
      <c r="G49" s="24" t="s">
        <v>136</v>
      </c>
    </row>
    <row r="50" spans="1:7" x14ac:dyDescent="0.35">
      <c r="A50" s="19" t="s">
        <v>61</v>
      </c>
      <c r="B50" s="20" t="s">
        <v>62</v>
      </c>
      <c r="C50" s="20"/>
      <c r="D50" s="20" t="s">
        <v>63</v>
      </c>
      <c r="E50" s="21"/>
      <c r="F50" s="73"/>
      <c r="G50" s="74"/>
    </row>
    <row r="51" spans="1:7" x14ac:dyDescent="0.35">
      <c r="A51" s="3" t="s">
        <v>138</v>
      </c>
      <c r="B51" s="59" t="s">
        <v>7</v>
      </c>
      <c r="C51" s="68">
        <v>50</v>
      </c>
      <c r="D51" s="68" t="s">
        <v>68</v>
      </c>
      <c r="E51" s="68"/>
      <c r="F51" s="21" t="s">
        <v>65</v>
      </c>
      <c r="G51" s="21" t="s">
        <v>66</v>
      </c>
    </row>
    <row r="52" spans="1:7" x14ac:dyDescent="0.35">
      <c r="A52" s="3" t="s">
        <v>140</v>
      </c>
      <c r="B52" s="59" t="s">
        <v>7</v>
      </c>
      <c r="C52" s="68">
        <v>50</v>
      </c>
      <c r="D52" s="68" t="s">
        <v>68</v>
      </c>
      <c r="E52" s="68"/>
      <c r="F52" s="2" t="s">
        <v>139</v>
      </c>
      <c r="G52" s="24" t="s">
        <v>139</v>
      </c>
    </row>
    <row r="53" spans="1:7" x14ac:dyDescent="0.35">
      <c r="A53" s="22" t="s">
        <v>142</v>
      </c>
      <c r="B53" s="68" t="s">
        <v>20</v>
      </c>
      <c r="C53" s="68">
        <v>100</v>
      </c>
      <c r="D53" s="68" t="s">
        <v>77</v>
      </c>
      <c r="E53" s="68"/>
      <c r="F53" s="2" t="s">
        <v>69</v>
      </c>
      <c r="G53" s="24" t="s">
        <v>141</v>
      </c>
    </row>
    <row r="54" spans="1:7" x14ac:dyDescent="0.35">
      <c r="A54" s="3" t="s">
        <v>144</v>
      </c>
      <c r="B54" s="68" t="s">
        <v>20</v>
      </c>
      <c r="C54" s="68">
        <v>100</v>
      </c>
      <c r="D54" s="68" t="s">
        <v>77</v>
      </c>
      <c r="E54" s="68"/>
      <c r="F54" s="23" t="s">
        <v>122</v>
      </c>
      <c r="G54" s="24" t="s">
        <v>143</v>
      </c>
    </row>
    <row r="55" spans="1:7" ht="15.5" x14ac:dyDescent="0.35">
      <c r="A55" s="25" t="s">
        <v>146</v>
      </c>
      <c r="B55" s="73"/>
      <c r="C55" s="68" t="str">
        <f t="shared" ref="C55:C116" si="2">RIGHT(B55,3)</f>
        <v/>
      </c>
      <c r="D55" s="73"/>
      <c r="E55" s="73"/>
      <c r="F55" s="2" t="s">
        <v>119</v>
      </c>
      <c r="G55" s="24" t="s">
        <v>145</v>
      </c>
    </row>
    <row r="56" spans="1:7" x14ac:dyDescent="0.35">
      <c r="A56" s="19" t="s">
        <v>61</v>
      </c>
      <c r="B56" s="20" t="s">
        <v>62</v>
      </c>
      <c r="C56" s="68"/>
      <c r="D56" s="20" t="s">
        <v>63</v>
      </c>
      <c r="E56" s="21"/>
      <c r="F56" s="73"/>
      <c r="G56" s="74"/>
    </row>
    <row r="57" spans="1:7" x14ac:dyDescent="0.35">
      <c r="A57" s="3" t="s">
        <v>147</v>
      </c>
      <c r="B57" s="68" t="s">
        <v>20</v>
      </c>
      <c r="C57" s="68">
        <v>100</v>
      </c>
      <c r="D57" s="68" t="s">
        <v>68</v>
      </c>
      <c r="E57" s="68" t="s">
        <v>148</v>
      </c>
      <c r="F57" s="21" t="s">
        <v>65</v>
      </c>
      <c r="G57" s="21" t="s">
        <v>66</v>
      </c>
    </row>
    <row r="58" spans="1:7" x14ac:dyDescent="0.35">
      <c r="A58" s="22" t="s">
        <v>150</v>
      </c>
      <c r="B58" s="68" t="s">
        <v>20</v>
      </c>
      <c r="C58" s="68">
        <v>100</v>
      </c>
      <c r="D58" s="68" t="s">
        <v>68</v>
      </c>
      <c r="E58" s="68"/>
      <c r="F58" s="2" t="s">
        <v>119</v>
      </c>
      <c r="G58" s="24" t="s">
        <v>149</v>
      </c>
    </row>
    <row r="59" spans="1:7" x14ac:dyDescent="0.35">
      <c r="A59" s="3" t="s">
        <v>152</v>
      </c>
      <c r="B59" s="68" t="s">
        <v>20</v>
      </c>
      <c r="C59" s="68">
        <v>100</v>
      </c>
      <c r="D59" s="68" t="s">
        <v>68</v>
      </c>
      <c r="E59" s="2"/>
      <c r="F59" s="28" t="s">
        <v>122</v>
      </c>
      <c r="G59" s="24" t="s">
        <v>151</v>
      </c>
    </row>
    <row r="60" spans="1:7" ht="15.5" x14ac:dyDescent="0.35">
      <c r="A60" s="25" t="s">
        <v>155</v>
      </c>
      <c r="B60" s="73"/>
      <c r="C60" s="68" t="str">
        <f t="shared" si="2"/>
        <v/>
      </c>
      <c r="D60" s="73"/>
      <c r="E60" s="73"/>
      <c r="F60" s="23" t="s">
        <v>153</v>
      </c>
      <c r="G60" s="24" t="s">
        <v>154</v>
      </c>
    </row>
    <row r="61" spans="1:7" x14ac:dyDescent="0.35">
      <c r="A61" s="19" t="s">
        <v>61</v>
      </c>
      <c r="B61" s="20" t="s">
        <v>62</v>
      </c>
      <c r="C61" s="68"/>
      <c r="D61" s="20" t="s">
        <v>63</v>
      </c>
      <c r="E61" s="21"/>
      <c r="F61" s="73"/>
      <c r="G61" s="74"/>
    </row>
    <row r="62" spans="1:7" x14ac:dyDescent="0.35">
      <c r="A62" s="3" t="s">
        <v>156</v>
      </c>
      <c r="B62" s="68" t="s">
        <v>20</v>
      </c>
      <c r="C62" s="68">
        <v>100</v>
      </c>
      <c r="D62" s="68" t="s">
        <v>68</v>
      </c>
      <c r="E62" s="68" t="s">
        <v>148</v>
      </c>
      <c r="F62" s="21" t="s">
        <v>65</v>
      </c>
      <c r="G62" s="21" t="s">
        <v>66</v>
      </c>
    </row>
    <row r="63" spans="1:7" x14ac:dyDescent="0.35">
      <c r="A63" s="22" t="s">
        <v>158</v>
      </c>
      <c r="B63" s="68" t="s">
        <v>20</v>
      </c>
      <c r="C63" s="68">
        <v>100</v>
      </c>
      <c r="D63" s="68" t="s">
        <v>68</v>
      </c>
      <c r="E63" s="68" t="s">
        <v>159</v>
      </c>
      <c r="F63" s="2" t="s">
        <v>119</v>
      </c>
      <c r="G63" s="24" t="s">
        <v>157</v>
      </c>
    </row>
    <row r="64" spans="1:7" x14ac:dyDescent="0.35">
      <c r="A64" s="3" t="s">
        <v>161</v>
      </c>
      <c r="B64" s="68" t="s">
        <v>20</v>
      </c>
      <c r="C64" s="68">
        <v>100</v>
      </c>
      <c r="D64" s="68" t="s">
        <v>68</v>
      </c>
      <c r="E64" s="68" t="s">
        <v>159</v>
      </c>
      <c r="F64" s="23" t="s">
        <v>122</v>
      </c>
      <c r="G64" s="24" t="s">
        <v>160</v>
      </c>
    </row>
    <row r="65" spans="1:7" x14ac:dyDescent="0.35">
      <c r="A65" s="3" t="s">
        <v>162</v>
      </c>
      <c r="B65" s="68" t="s">
        <v>20</v>
      </c>
      <c r="C65" s="68">
        <v>100</v>
      </c>
      <c r="D65" s="68" t="s">
        <v>68</v>
      </c>
      <c r="E65" s="68" t="s">
        <v>159</v>
      </c>
      <c r="F65" s="2" t="s">
        <v>122</v>
      </c>
      <c r="G65" s="24" t="s">
        <v>160</v>
      </c>
    </row>
    <row r="66" spans="1:7" x14ac:dyDescent="0.35">
      <c r="A66" s="3" t="s">
        <v>163</v>
      </c>
      <c r="B66" s="68" t="s">
        <v>20</v>
      </c>
      <c r="C66" s="68">
        <v>100</v>
      </c>
      <c r="D66" s="68" t="s">
        <v>68</v>
      </c>
      <c r="E66" s="68" t="s">
        <v>35</v>
      </c>
      <c r="F66" s="2" t="s">
        <v>122</v>
      </c>
      <c r="G66" s="24" t="s">
        <v>160</v>
      </c>
    </row>
    <row r="67" spans="1:7" x14ac:dyDescent="0.35">
      <c r="A67" s="3" t="s">
        <v>165</v>
      </c>
      <c r="B67" s="68" t="s">
        <v>20</v>
      </c>
      <c r="C67" s="68">
        <v>100</v>
      </c>
      <c r="D67" s="68" t="s">
        <v>68</v>
      </c>
      <c r="E67" s="68" t="s">
        <v>35</v>
      </c>
      <c r="F67" s="2" t="s">
        <v>119</v>
      </c>
      <c r="G67" s="2" t="s">
        <v>164</v>
      </c>
    </row>
    <row r="68" spans="1:7" ht="15.5" x14ac:dyDescent="0.35">
      <c r="A68" s="25" t="s">
        <v>166</v>
      </c>
      <c r="B68" s="73"/>
      <c r="C68" s="68" t="str">
        <f t="shared" si="2"/>
        <v/>
      </c>
      <c r="D68" s="73"/>
      <c r="E68" s="73"/>
      <c r="F68" s="2" t="s">
        <v>119</v>
      </c>
      <c r="G68" s="2" t="s">
        <v>164</v>
      </c>
    </row>
    <row r="69" spans="1:7" x14ac:dyDescent="0.35">
      <c r="A69" s="19" t="s">
        <v>61</v>
      </c>
      <c r="B69" s="20" t="s">
        <v>62</v>
      </c>
      <c r="C69" s="68"/>
      <c r="D69" s="20" t="s">
        <v>63</v>
      </c>
      <c r="E69" s="21"/>
      <c r="F69" s="73"/>
      <c r="G69" s="74"/>
    </row>
    <row r="70" spans="1:7" x14ac:dyDescent="0.35">
      <c r="A70" s="3" t="s">
        <v>167</v>
      </c>
      <c r="B70" s="68" t="s">
        <v>20</v>
      </c>
      <c r="C70" s="68">
        <v>100</v>
      </c>
      <c r="D70" s="68" t="s">
        <v>68</v>
      </c>
      <c r="E70" s="68" t="s">
        <v>30</v>
      </c>
      <c r="F70" s="21" t="s">
        <v>65</v>
      </c>
      <c r="G70" s="21" t="s">
        <v>66</v>
      </c>
    </row>
    <row r="71" spans="1:7" x14ac:dyDescent="0.35">
      <c r="A71" s="3" t="s">
        <v>169</v>
      </c>
      <c r="B71" s="68" t="s">
        <v>20</v>
      </c>
      <c r="C71" s="68">
        <v>100</v>
      </c>
      <c r="D71" s="68" t="s">
        <v>68</v>
      </c>
      <c r="E71" s="68" t="s">
        <v>170</v>
      </c>
      <c r="F71" s="2" t="s">
        <v>119</v>
      </c>
      <c r="G71" s="24" t="s">
        <v>168</v>
      </c>
    </row>
    <row r="72" spans="1:7" x14ac:dyDescent="0.35">
      <c r="A72" s="22" t="s">
        <v>171</v>
      </c>
      <c r="B72" s="68" t="s">
        <v>20</v>
      </c>
      <c r="C72" s="68">
        <v>100</v>
      </c>
      <c r="D72" s="68" t="s">
        <v>68</v>
      </c>
      <c r="E72" s="68" t="s">
        <v>170</v>
      </c>
      <c r="F72" s="2" t="s">
        <v>119</v>
      </c>
      <c r="G72" s="24" t="s">
        <v>151</v>
      </c>
    </row>
    <row r="73" spans="1:7" x14ac:dyDescent="0.35">
      <c r="A73" s="3" t="s">
        <v>172</v>
      </c>
      <c r="B73" s="68" t="s">
        <v>20</v>
      </c>
      <c r="C73" s="68">
        <v>100</v>
      </c>
      <c r="D73" s="68" t="s">
        <v>68</v>
      </c>
      <c r="E73" s="68" t="s">
        <v>173</v>
      </c>
      <c r="F73" s="2" t="s">
        <v>122</v>
      </c>
      <c r="G73" s="24" t="s">
        <v>151</v>
      </c>
    </row>
    <row r="74" spans="1:7" ht="15.5" x14ac:dyDescent="0.35">
      <c r="A74" s="25" t="s">
        <v>174</v>
      </c>
      <c r="B74" s="73"/>
      <c r="C74" s="68" t="str">
        <f t="shared" si="2"/>
        <v/>
      </c>
      <c r="D74" s="73"/>
      <c r="E74" s="73"/>
      <c r="F74" s="2" t="s">
        <v>122</v>
      </c>
      <c r="G74" s="24" t="s">
        <v>154</v>
      </c>
    </row>
    <row r="75" spans="1:7" x14ac:dyDescent="0.35">
      <c r="A75" s="19" t="s">
        <v>61</v>
      </c>
      <c r="B75" s="20" t="s">
        <v>62</v>
      </c>
      <c r="C75" s="68"/>
      <c r="D75" s="20" t="s">
        <v>63</v>
      </c>
      <c r="E75" s="21"/>
      <c r="F75" s="73"/>
      <c r="G75" s="74"/>
    </row>
    <row r="76" spans="1:7" x14ac:dyDescent="0.35">
      <c r="A76" s="3" t="s">
        <v>175</v>
      </c>
      <c r="B76" s="59" t="s">
        <v>7</v>
      </c>
      <c r="C76" s="68">
        <v>50</v>
      </c>
      <c r="D76" s="68" t="s">
        <v>68</v>
      </c>
      <c r="E76" s="68"/>
      <c r="F76" s="21" t="s">
        <v>65</v>
      </c>
      <c r="G76" s="21" t="s">
        <v>66</v>
      </c>
    </row>
    <row r="77" spans="1:7" x14ac:dyDescent="0.35">
      <c r="A77" s="3" t="s">
        <v>178</v>
      </c>
      <c r="B77" s="59" t="s">
        <v>7</v>
      </c>
      <c r="C77" s="68">
        <v>50</v>
      </c>
      <c r="D77" s="68" t="s">
        <v>68</v>
      </c>
      <c r="E77" s="68"/>
      <c r="F77" s="2" t="s">
        <v>176</v>
      </c>
      <c r="G77" s="29" t="s">
        <v>177</v>
      </c>
    </row>
    <row r="78" spans="1:7" ht="15.5" x14ac:dyDescent="0.35">
      <c r="A78" s="25" t="s">
        <v>180</v>
      </c>
      <c r="B78" s="73"/>
      <c r="C78" s="68" t="str">
        <f t="shared" si="2"/>
        <v/>
      </c>
      <c r="D78" s="73"/>
      <c r="E78" s="73"/>
      <c r="F78" s="2" t="s">
        <v>69</v>
      </c>
      <c r="G78" s="2" t="s">
        <v>179</v>
      </c>
    </row>
    <row r="79" spans="1:7" x14ac:dyDescent="0.35">
      <c r="A79" s="19" t="s">
        <v>61</v>
      </c>
      <c r="B79" s="20" t="s">
        <v>62</v>
      </c>
      <c r="C79" s="68"/>
      <c r="D79" s="20" t="s">
        <v>63</v>
      </c>
      <c r="E79" s="21"/>
      <c r="F79" s="73"/>
      <c r="G79" s="74"/>
    </row>
    <row r="80" spans="1:7" ht="15" thickBot="1" x14ac:dyDescent="0.4">
      <c r="A80" s="30" t="s">
        <v>181</v>
      </c>
      <c r="B80" s="68" t="s">
        <v>20</v>
      </c>
      <c r="C80" s="68">
        <v>100</v>
      </c>
      <c r="D80" s="31" t="s">
        <v>68</v>
      </c>
      <c r="E80" s="31" t="s">
        <v>182</v>
      </c>
      <c r="F80" s="21" t="s">
        <v>65</v>
      </c>
      <c r="G80" s="21" t="s">
        <v>66</v>
      </c>
    </row>
    <row r="81" spans="1:8" ht="16" thickBot="1" x14ac:dyDescent="0.4">
      <c r="A81" s="34" t="s">
        <v>184</v>
      </c>
      <c r="B81" s="35"/>
      <c r="C81" s="68" t="str">
        <f t="shared" si="2"/>
        <v/>
      </c>
      <c r="D81" s="35"/>
      <c r="E81" s="35"/>
      <c r="F81" s="32" t="s">
        <v>119</v>
      </c>
      <c r="G81" s="33" t="s">
        <v>183</v>
      </c>
    </row>
    <row r="82" spans="1:8" ht="15.5" x14ac:dyDescent="0.35">
      <c r="A82" s="19" t="s">
        <v>61</v>
      </c>
      <c r="B82" s="20" t="s">
        <v>62</v>
      </c>
      <c r="C82" s="68"/>
      <c r="D82" s="20" t="s">
        <v>63</v>
      </c>
      <c r="E82" s="21"/>
      <c r="F82" s="35"/>
      <c r="G82" s="36"/>
      <c r="H82" s="72">
        <v>2019</v>
      </c>
    </row>
    <row r="83" spans="1:8" x14ac:dyDescent="0.35">
      <c r="A83" s="3" t="s">
        <v>185</v>
      </c>
      <c r="B83" s="68" t="s">
        <v>20</v>
      </c>
      <c r="C83" s="68">
        <v>100</v>
      </c>
      <c r="D83" s="68" t="s">
        <v>68</v>
      </c>
      <c r="E83" s="68" t="s">
        <v>33</v>
      </c>
      <c r="F83" s="21" t="s">
        <v>65</v>
      </c>
      <c r="G83" s="21" t="s">
        <v>66</v>
      </c>
    </row>
    <row r="84" spans="1:8" x14ac:dyDescent="0.35">
      <c r="A84" s="3" t="s">
        <v>186</v>
      </c>
      <c r="B84" s="59" t="s">
        <v>7</v>
      </c>
      <c r="C84" s="68">
        <v>50</v>
      </c>
      <c r="D84" s="68" t="s">
        <v>187</v>
      </c>
      <c r="E84" s="68" t="s">
        <v>188</v>
      </c>
      <c r="F84" s="2" t="s">
        <v>119</v>
      </c>
      <c r="G84" s="24" t="s">
        <v>183</v>
      </c>
    </row>
    <row r="85" spans="1:8" ht="15.5" x14ac:dyDescent="0.35">
      <c r="A85" s="25" t="s">
        <v>191</v>
      </c>
      <c r="B85" s="73"/>
      <c r="C85" s="68" t="str">
        <f t="shared" si="2"/>
        <v/>
      </c>
      <c r="D85" s="73"/>
      <c r="E85" s="73"/>
      <c r="F85" s="2" t="s">
        <v>189</v>
      </c>
      <c r="G85" s="24" t="s">
        <v>190</v>
      </c>
    </row>
    <row r="86" spans="1:8" x14ac:dyDescent="0.35">
      <c r="A86" s="3" t="s">
        <v>192</v>
      </c>
      <c r="B86" s="68" t="s">
        <v>20</v>
      </c>
      <c r="C86" s="68">
        <v>100</v>
      </c>
      <c r="D86" s="68" t="s">
        <v>68</v>
      </c>
      <c r="E86" s="68" t="s">
        <v>34</v>
      </c>
      <c r="F86" s="73"/>
      <c r="G86" s="74"/>
    </row>
    <row r="87" spans="1:8" ht="15.5" x14ac:dyDescent="0.35">
      <c r="A87" s="72" t="s">
        <v>194</v>
      </c>
      <c r="B87" s="73"/>
      <c r="C87" s="68" t="str">
        <f t="shared" si="2"/>
        <v/>
      </c>
      <c r="D87" s="73"/>
      <c r="E87" s="73"/>
      <c r="F87" s="2" t="s">
        <v>119</v>
      </c>
      <c r="G87" s="24" t="s">
        <v>193</v>
      </c>
    </row>
    <row r="88" spans="1:8" x14ac:dyDescent="0.35">
      <c r="A88" s="3" t="s">
        <v>195</v>
      </c>
      <c r="B88" s="59" t="s">
        <v>7</v>
      </c>
      <c r="C88" s="68">
        <v>50</v>
      </c>
      <c r="D88" s="68" t="s">
        <v>187</v>
      </c>
      <c r="E88" s="68" t="s">
        <v>188</v>
      </c>
      <c r="F88" s="73"/>
      <c r="G88" s="74"/>
    </row>
    <row r="89" spans="1:8" ht="15.5" x14ac:dyDescent="0.35">
      <c r="A89" s="25" t="s">
        <v>197</v>
      </c>
      <c r="B89" s="73"/>
      <c r="C89" s="68" t="str">
        <f t="shared" si="2"/>
        <v/>
      </c>
      <c r="D89" s="73"/>
      <c r="E89" s="73"/>
      <c r="F89" s="2" t="s">
        <v>196</v>
      </c>
      <c r="G89" s="24" t="s">
        <v>190</v>
      </c>
    </row>
    <row r="90" spans="1:8" x14ac:dyDescent="0.35">
      <c r="A90" s="3" t="s">
        <v>198</v>
      </c>
      <c r="B90" s="68" t="s">
        <v>20</v>
      </c>
      <c r="C90" s="68">
        <v>100</v>
      </c>
      <c r="D90" s="68" t="s">
        <v>187</v>
      </c>
      <c r="E90" s="68" t="s">
        <v>199</v>
      </c>
      <c r="F90" s="73"/>
      <c r="G90" s="74"/>
    </row>
    <row r="91" spans="1:8" ht="29" x14ac:dyDescent="0.35">
      <c r="A91" s="22" t="s">
        <v>201</v>
      </c>
      <c r="B91" s="68" t="s">
        <v>20</v>
      </c>
      <c r="C91" s="68">
        <v>100</v>
      </c>
      <c r="D91" s="68" t="s">
        <v>187</v>
      </c>
      <c r="E91" s="37" t="s">
        <v>202</v>
      </c>
      <c r="F91" s="2" t="s">
        <v>119</v>
      </c>
      <c r="G91" s="24" t="s">
        <v>200</v>
      </c>
    </row>
    <row r="92" spans="1:8" x14ac:dyDescent="0.35">
      <c r="A92" s="3" t="s">
        <v>204</v>
      </c>
      <c r="B92" s="68" t="s">
        <v>20</v>
      </c>
      <c r="C92" s="68">
        <v>100</v>
      </c>
      <c r="D92" s="68" t="s">
        <v>187</v>
      </c>
      <c r="E92" s="68" t="s">
        <v>199</v>
      </c>
      <c r="F92" s="23" t="s">
        <v>122</v>
      </c>
      <c r="G92" s="24" t="s">
        <v>203</v>
      </c>
    </row>
    <row r="93" spans="1:8" x14ac:dyDescent="0.35">
      <c r="A93" s="3" t="s">
        <v>205</v>
      </c>
      <c r="B93" s="68" t="s">
        <v>20</v>
      </c>
      <c r="C93" s="68">
        <v>100</v>
      </c>
      <c r="D93" s="68" t="s">
        <v>187</v>
      </c>
      <c r="E93" s="68" t="s">
        <v>199</v>
      </c>
      <c r="F93" s="2" t="s">
        <v>119</v>
      </c>
      <c r="G93" s="24" t="s">
        <v>200</v>
      </c>
    </row>
    <row r="94" spans="1:8" ht="15.5" x14ac:dyDescent="0.35">
      <c r="A94" s="25" t="s">
        <v>206</v>
      </c>
      <c r="B94" s="73"/>
      <c r="C94" s="68" t="str">
        <f t="shared" si="2"/>
        <v/>
      </c>
      <c r="D94" s="73"/>
      <c r="E94" s="73"/>
      <c r="F94" s="2" t="s">
        <v>119</v>
      </c>
      <c r="G94" s="24" t="s">
        <v>200</v>
      </c>
    </row>
    <row r="95" spans="1:8" x14ac:dyDescent="0.35">
      <c r="A95" s="3" t="s">
        <v>207</v>
      </c>
      <c r="B95" s="68" t="s">
        <v>20</v>
      </c>
      <c r="C95" s="68">
        <v>100</v>
      </c>
      <c r="D95" s="68" t="s">
        <v>187</v>
      </c>
      <c r="E95" s="68" t="s">
        <v>199</v>
      </c>
      <c r="F95" s="73"/>
      <c r="G95" s="74"/>
    </row>
    <row r="96" spans="1:8" x14ac:dyDescent="0.35">
      <c r="A96" s="3" t="s">
        <v>208</v>
      </c>
      <c r="B96" s="68" t="s">
        <v>20</v>
      </c>
      <c r="C96" s="68">
        <v>100</v>
      </c>
      <c r="D96" s="68" t="s">
        <v>187</v>
      </c>
      <c r="E96" s="68" t="s">
        <v>199</v>
      </c>
      <c r="F96" s="2" t="s">
        <v>119</v>
      </c>
      <c r="G96" s="24" t="s">
        <v>200</v>
      </c>
    </row>
    <row r="97" spans="1:8" x14ac:dyDescent="0.35">
      <c r="A97" s="3" t="s">
        <v>209</v>
      </c>
      <c r="B97" s="68" t="s">
        <v>20</v>
      </c>
      <c r="C97" s="68">
        <v>100</v>
      </c>
      <c r="D97" s="68" t="s">
        <v>187</v>
      </c>
      <c r="E97" s="68" t="s">
        <v>210</v>
      </c>
      <c r="F97" s="2" t="s">
        <v>119</v>
      </c>
      <c r="G97" s="24" t="s">
        <v>200</v>
      </c>
    </row>
    <row r="98" spans="1:8" x14ac:dyDescent="0.35">
      <c r="A98" s="3"/>
      <c r="B98" s="68"/>
      <c r="C98" s="68" t="str">
        <f t="shared" si="2"/>
        <v/>
      </c>
      <c r="D98" s="68"/>
      <c r="E98" s="68"/>
      <c r="F98" s="2" t="s">
        <v>119</v>
      </c>
      <c r="G98" s="24" t="s">
        <v>211</v>
      </c>
    </row>
    <row r="99" spans="1:8" ht="15" thickBot="1" x14ac:dyDescent="0.4">
      <c r="A99" s="30" t="s">
        <v>214</v>
      </c>
      <c r="B99" s="68" t="s">
        <v>20</v>
      </c>
      <c r="C99" s="68">
        <v>100</v>
      </c>
      <c r="D99" s="31" t="s">
        <v>187</v>
      </c>
      <c r="E99" s="31" t="s">
        <v>215</v>
      </c>
      <c r="F99" s="2" t="s">
        <v>212</v>
      </c>
      <c r="G99" s="24" t="s">
        <v>213</v>
      </c>
    </row>
    <row r="100" spans="1:8" ht="16" thickBot="1" x14ac:dyDescent="0.4">
      <c r="A100" s="34" t="s">
        <v>217</v>
      </c>
      <c r="B100" s="35"/>
      <c r="C100" s="68" t="str">
        <f t="shared" si="2"/>
        <v/>
      </c>
      <c r="D100" s="35"/>
      <c r="E100" s="35"/>
      <c r="F100" s="32" t="s">
        <v>119</v>
      </c>
      <c r="G100" s="33" t="s">
        <v>216</v>
      </c>
    </row>
    <row r="101" spans="1:8" ht="15.5" x14ac:dyDescent="0.35">
      <c r="A101" s="3" t="s">
        <v>218</v>
      </c>
      <c r="B101" s="68" t="s">
        <v>20</v>
      </c>
      <c r="C101" s="68">
        <v>100</v>
      </c>
      <c r="D101" s="68" t="s">
        <v>187</v>
      </c>
      <c r="E101" s="68" t="s">
        <v>36</v>
      </c>
      <c r="F101" s="35"/>
      <c r="G101" s="36"/>
      <c r="H101" s="72">
        <v>2020</v>
      </c>
    </row>
    <row r="102" spans="1:8" ht="15.5" x14ac:dyDescent="0.35">
      <c r="A102" s="25" t="s">
        <v>220</v>
      </c>
      <c r="B102" s="73"/>
      <c r="C102" s="68" t="str">
        <f t="shared" si="2"/>
        <v/>
      </c>
      <c r="D102" s="73"/>
      <c r="E102" s="73"/>
      <c r="F102" s="23" t="s">
        <v>119</v>
      </c>
      <c r="G102" s="24" t="s">
        <v>219</v>
      </c>
    </row>
    <row r="103" spans="1:8" x14ac:dyDescent="0.35">
      <c r="A103" s="3" t="s">
        <v>221</v>
      </c>
      <c r="B103" s="68" t="s">
        <v>20</v>
      </c>
      <c r="C103" s="68">
        <v>100</v>
      </c>
      <c r="D103" s="68" t="s">
        <v>187</v>
      </c>
      <c r="E103" s="68" t="s">
        <v>36</v>
      </c>
      <c r="F103" s="73"/>
      <c r="G103" s="74"/>
    </row>
    <row r="104" spans="1:8" x14ac:dyDescent="0.35">
      <c r="A104" s="3" t="s">
        <v>224</v>
      </c>
      <c r="B104" s="68" t="s">
        <v>20</v>
      </c>
      <c r="C104" s="68">
        <v>100</v>
      </c>
      <c r="D104" s="68" t="s">
        <v>187</v>
      </c>
      <c r="E104" s="68" t="s">
        <v>36</v>
      </c>
      <c r="F104" s="2" t="s">
        <v>222</v>
      </c>
      <c r="G104" s="24" t="s">
        <v>223</v>
      </c>
    </row>
    <row r="105" spans="1:8" x14ac:dyDescent="0.35">
      <c r="A105" s="3" t="s">
        <v>227</v>
      </c>
      <c r="B105" s="68" t="s">
        <v>20</v>
      </c>
      <c r="C105" s="68">
        <v>100</v>
      </c>
      <c r="D105" s="68" t="s">
        <v>187</v>
      </c>
      <c r="E105" s="68" t="s">
        <v>36</v>
      </c>
      <c r="F105" s="2" t="s">
        <v>225</v>
      </c>
      <c r="G105" s="24" t="s">
        <v>226</v>
      </c>
    </row>
    <row r="106" spans="1:8" x14ac:dyDescent="0.35">
      <c r="A106" s="3" t="s">
        <v>230</v>
      </c>
      <c r="B106" s="68" t="s">
        <v>20</v>
      </c>
      <c r="C106" s="68">
        <v>100</v>
      </c>
      <c r="D106" s="68" t="s">
        <v>187</v>
      </c>
      <c r="E106" s="68" t="s">
        <v>36</v>
      </c>
      <c r="F106" s="2" t="s">
        <v>228</v>
      </c>
      <c r="G106" s="38" t="s">
        <v>229</v>
      </c>
    </row>
    <row r="107" spans="1:8" ht="15.5" x14ac:dyDescent="0.35">
      <c r="A107" s="25" t="s">
        <v>232</v>
      </c>
      <c r="B107" s="73"/>
      <c r="C107" s="68" t="str">
        <f t="shared" si="2"/>
        <v/>
      </c>
      <c r="D107" s="73"/>
      <c r="E107" s="73"/>
      <c r="F107" s="2" t="s">
        <v>222</v>
      </c>
      <c r="G107" s="24" t="s">
        <v>231</v>
      </c>
    </row>
    <row r="108" spans="1:8" x14ac:dyDescent="0.35">
      <c r="A108" s="22" t="s">
        <v>233</v>
      </c>
      <c r="B108" s="68" t="s">
        <v>20</v>
      </c>
      <c r="C108" s="68">
        <v>100</v>
      </c>
      <c r="D108" s="68" t="s">
        <v>187</v>
      </c>
      <c r="E108" s="68" t="s">
        <v>36</v>
      </c>
      <c r="F108" s="73"/>
      <c r="G108" s="74"/>
    </row>
    <row r="109" spans="1:8" x14ac:dyDescent="0.35">
      <c r="A109" s="22" t="s">
        <v>235</v>
      </c>
      <c r="B109" s="68" t="s">
        <v>20</v>
      </c>
      <c r="C109" s="68">
        <v>100</v>
      </c>
      <c r="D109" s="68" t="s">
        <v>187</v>
      </c>
      <c r="E109" s="39" t="s">
        <v>236</v>
      </c>
      <c r="F109" s="2" t="s">
        <v>222</v>
      </c>
      <c r="G109" s="24" t="s">
        <v>234</v>
      </c>
    </row>
    <row r="110" spans="1:8" ht="15.5" x14ac:dyDescent="0.35">
      <c r="A110" s="25" t="s">
        <v>238</v>
      </c>
      <c r="B110" s="73"/>
      <c r="C110" s="68"/>
      <c r="D110" s="73"/>
      <c r="E110" s="73"/>
      <c r="F110" s="2" t="s">
        <v>222</v>
      </c>
      <c r="G110" s="24" t="s">
        <v>237</v>
      </c>
    </row>
    <row r="111" spans="1:8" ht="15" thickBot="1" x14ac:dyDescent="0.4">
      <c r="A111" s="40" t="s">
        <v>239</v>
      </c>
      <c r="B111" s="68" t="s">
        <v>20</v>
      </c>
      <c r="C111" s="68">
        <v>100</v>
      </c>
      <c r="D111" s="31" t="s">
        <v>187</v>
      </c>
      <c r="E111" s="41" t="s">
        <v>38</v>
      </c>
      <c r="F111" s="73"/>
      <c r="G111" s="74"/>
    </row>
    <row r="112" spans="1:8" ht="16" thickBot="1" x14ac:dyDescent="0.4">
      <c r="A112" s="34" t="s">
        <v>241</v>
      </c>
      <c r="B112" s="35"/>
      <c r="C112" s="68" t="str">
        <f t="shared" si="2"/>
        <v/>
      </c>
      <c r="D112" s="35"/>
      <c r="E112" s="35"/>
      <c r="F112" s="42" t="s">
        <v>240</v>
      </c>
      <c r="G112" s="33"/>
    </row>
    <row r="113" spans="1:8" ht="15.5" x14ac:dyDescent="0.35">
      <c r="A113" s="40" t="s">
        <v>242</v>
      </c>
      <c r="B113" s="41" t="s">
        <v>20</v>
      </c>
      <c r="C113" s="68">
        <v>100</v>
      </c>
      <c r="D113" s="31" t="s">
        <v>187</v>
      </c>
      <c r="E113" s="41" t="s">
        <v>38</v>
      </c>
      <c r="F113" s="35"/>
      <c r="G113" s="36"/>
      <c r="H113" s="72">
        <v>2021</v>
      </c>
    </row>
    <row r="114" spans="1:8" x14ac:dyDescent="0.35">
      <c r="A114" s="22" t="s">
        <v>244</v>
      </c>
      <c r="B114" s="61" t="s">
        <v>11</v>
      </c>
      <c r="C114" s="68">
        <v>25</v>
      </c>
      <c r="D114" s="68" t="s">
        <v>187</v>
      </c>
      <c r="E114" s="39" t="s">
        <v>39</v>
      </c>
      <c r="F114" s="42" t="s">
        <v>243</v>
      </c>
      <c r="G114" s="33"/>
    </row>
    <row r="115" spans="1:8" x14ac:dyDescent="0.35">
      <c r="A115" s="22" t="s">
        <v>247</v>
      </c>
      <c r="B115" s="61" t="s">
        <v>11</v>
      </c>
      <c r="C115" s="68">
        <v>25</v>
      </c>
      <c r="D115" s="68" t="s">
        <v>187</v>
      </c>
      <c r="E115" s="39" t="s">
        <v>39</v>
      </c>
      <c r="F115" s="2" t="s">
        <v>245</v>
      </c>
      <c r="G115" s="22" t="s">
        <v>246</v>
      </c>
    </row>
    <row r="116" spans="1:8" ht="15.5" x14ac:dyDescent="0.35">
      <c r="A116" s="43" t="s">
        <v>249</v>
      </c>
      <c r="B116" s="44"/>
      <c r="C116" s="68" t="str">
        <f t="shared" si="2"/>
        <v/>
      </c>
      <c r="D116" s="44"/>
      <c r="E116" s="44"/>
      <c r="F116" s="2" t="s">
        <v>248</v>
      </c>
      <c r="G116" s="22" t="s">
        <v>246</v>
      </c>
    </row>
    <row r="117" spans="1:8" x14ac:dyDescent="0.35">
      <c r="A117" s="22" t="s">
        <v>250</v>
      </c>
      <c r="B117" s="61" t="s">
        <v>11</v>
      </c>
      <c r="C117" s="68">
        <v>25</v>
      </c>
      <c r="D117" s="39" t="s">
        <v>187</v>
      </c>
      <c r="E117" s="39" t="s">
        <v>39</v>
      </c>
      <c r="F117" s="44"/>
      <c r="G117" s="45"/>
    </row>
    <row r="118" spans="1:8" x14ac:dyDescent="0.35">
      <c r="A118" s="22" t="s">
        <v>253</v>
      </c>
      <c r="B118" s="61" t="s">
        <v>11</v>
      </c>
      <c r="C118" s="68">
        <v>25</v>
      </c>
      <c r="D118" s="39" t="s">
        <v>187</v>
      </c>
      <c r="E118" s="39" t="s">
        <v>39</v>
      </c>
      <c r="F118" s="22" t="s">
        <v>251</v>
      </c>
      <c r="G118" s="22" t="s">
        <v>252</v>
      </c>
    </row>
    <row r="119" spans="1:8" x14ac:dyDescent="0.35">
      <c r="A119" s="22" t="s">
        <v>254</v>
      </c>
      <c r="B119" s="61" t="s">
        <v>11</v>
      </c>
      <c r="C119" s="68">
        <v>25</v>
      </c>
      <c r="D119" s="39" t="s">
        <v>187</v>
      </c>
      <c r="E119" s="39" t="s">
        <v>39</v>
      </c>
      <c r="F119" s="22" t="s">
        <v>248</v>
      </c>
      <c r="G119" s="22" t="s">
        <v>252</v>
      </c>
    </row>
    <row r="120" spans="1:8" x14ac:dyDescent="0.35">
      <c r="A120" s="22" t="s">
        <v>257</v>
      </c>
      <c r="B120" s="61" t="s">
        <v>11</v>
      </c>
      <c r="C120" s="68">
        <v>25</v>
      </c>
      <c r="D120" s="39" t="s">
        <v>187</v>
      </c>
      <c r="E120" s="39" t="s">
        <v>39</v>
      </c>
      <c r="F120" s="22" t="s">
        <v>255</v>
      </c>
      <c r="G120" s="22" t="s">
        <v>256</v>
      </c>
    </row>
    <row r="121" spans="1:8" x14ac:dyDescent="0.35">
      <c r="A121" s="22" t="s">
        <v>259</v>
      </c>
      <c r="B121" s="61" t="s">
        <v>11</v>
      </c>
      <c r="C121" s="68">
        <v>25</v>
      </c>
      <c r="D121" s="39" t="s">
        <v>187</v>
      </c>
      <c r="E121" s="39" t="s">
        <v>39</v>
      </c>
      <c r="F121" s="22" t="s">
        <v>258</v>
      </c>
      <c r="G121" s="22" t="s">
        <v>256</v>
      </c>
    </row>
    <row r="122" spans="1:8" x14ac:dyDescent="0.35">
      <c r="A122" s="22" t="s">
        <v>262</v>
      </c>
      <c r="B122" s="61" t="s">
        <v>11</v>
      </c>
      <c r="C122" s="68">
        <v>25</v>
      </c>
      <c r="D122" s="39" t="s">
        <v>187</v>
      </c>
      <c r="E122" s="39" t="s">
        <v>39</v>
      </c>
      <c r="F122" s="22" t="s">
        <v>260</v>
      </c>
      <c r="G122" s="22" t="s">
        <v>261</v>
      </c>
    </row>
    <row r="123" spans="1:8" x14ac:dyDescent="0.35">
      <c r="A123" s="22" t="s">
        <v>264</v>
      </c>
      <c r="B123" s="61" t="s">
        <v>11</v>
      </c>
      <c r="C123" s="68">
        <v>25</v>
      </c>
      <c r="D123" s="39" t="s">
        <v>187</v>
      </c>
      <c r="E123" s="39" t="s">
        <v>39</v>
      </c>
      <c r="F123" s="22" t="s">
        <v>263</v>
      </c>
      <c r="G123" s="22" t="s">
        <v>261</v>
      </c>
    </row>
    <row r="124" spans="1:8" x14ac:dyDescent="0.35">
      <c r="A124" s="22" t="s">
        <v>266</v>
      </c>
      <c r="B124" s="61" t="s">
        <v>11</v>
      </c>
      <c r="C124" s="68">
        <v>25</v>
      </c>
      <c r="D124" s="39" t="s">
        <v>187</v>
      </c>
      <c r="E124" s="39" t="s">
        <v>39</v>
      </c>
      <c r="F124" s="22" t="s">
        <v>255</v>
      </c>
      <c r="G124" s="22" t="s">
        <v>265</v>
      </c>
    </row>
    <row r="125" spans="1:8" ht="15.5" x14ac:dyDescent="0.35">
      <c r="A125" s="25" t="s">
        <v>268</v>
      </c>
      <c r="B125" s="73"/>
      <c r="C125" s="68" t="str">
        <f t="shared" ref="C125:C180" si="3">RIGHT(B125,3)</f>
        <v/>
      </c>
      <c r="D125" s="73"/>
      <c r="E125" s="73"/>
      <c r="F125" s="22" t="s">
        <v>263</v>
      </c>
      <c r="G125" s="22" t="s">
        <v>267</v>
      </c>
    </row>
    <row r="126" spans="1:8" x14ac:dyDescent="0.35">
      <c r="A126" s="22" t="s">
        <v>269</v>
      </c>
      <c r="B126" s="39" t="s">
        <v>20</v>
      </c>
      <c r="C126" s="68">
        <v>100</v>
      </c>
      <c r="D126" s="68" t="s">
        <v>187</v>
      </c>
      <c r="E126" s="39" t="s">
        <v>38</v>
      </c>
      <c r="F126" s="73"/>
      <c r="G126" s="74"/>
    </row>
    <row r="127" spans="1:8" x14ac:dyDescent="0.35">
      <c r="A127" s="22" t="s">
        <v>272</v>
      </c>
      <c r="B127" s="61" t="s">
        <v>11</v>
      </c>
      <c r="C127" s="68">
        <v>25</v>
      </c>
      <c r="D127" s="68" t="s">
        <v>187</v>
      </c>
      <c r="E127" s="39" t="s">
        <v>39</v>
      </c>
      <c r="F127" s="23" t="s">
        <v>270</v>
      </c>
      <c r="G127" s="23" t="s">
        <v>271</v>
      </c>
    </row>
    <row r="128" spans="1:8" x14ac:dyDescent="0.35">
      <c r="A128" s="22" t="s">
        <v>274</v>
      </c>
      <c r="B128" s="61" t="s">
        <v>11</v>
      </c>
      <c r="C128" s="68">
        <v>25</v>
      </c>
      <c r="D128" s="68" t="s">
        <v>187</v>
      </c>
      <c r="E128" s="39" t="s">
        <v>39</v>
      </c>
      <c r="F128" s="22" t="s">
        <v>255</v>
      </c>
      <c r="G128" s="22" t="s">
        <v>273</v>
      </c>
    </row>
    <row r="129" spans="1:7" x14ac:dyDescent="0.35">
      <c r="A129" s="22" t="s">
        <v>276</v>
      </c>
      <c r="B129" s="61" t="s">
        <v>11</v>
      </c>
      <c r="C129" s="68">
        <v>25</v>
      </c>
      <c r="D129" s="68" t="s">
        <v>187</v>
      </c>
      <c r="E129" s="39" t="s">
        <v>39</v>
      </c>
      <c r="F129" s="22" t="s">
        <v>263</v>
      </c>
      <c r="G129" s="22" t="s">
        <v>275</v>
      </c>
    </row>
    <row r="130" spans="1:7" x14ac:dyDescent="0.35">
      <c r="A130" s="22" t="s">
        <v>278</v>
      </c>
      <c r="B130" s="61" t="s">
        <v>11</v>
      </c>
      <c r="C130" s="68">
        <v>25</v>
      </c>
      <c r="D130" s="68" t="s">
        <v>187</v>
      </c>
      <c r="E130" s="39" t="s">
        <v>39</v>
      </c>
      <c r="F130" s="22" t="s">
        <v>255</v>
      </c>
      <c r="G130" s="22" t="s">
        <v>277</v>
      </c>
    </row>
    <row r="131" spans="1:7" ht="15.5" x14ac:dyDescent="0.35">
      <c r="A131" s="25" t="s">
        <v>280</v>
      </c>
      <c r="B131" s="73"/>
      <c r="C131" s="68" t="str">
        <f t="shared" si="3"/>
        <v/>
      </c>
      <c r="D131" s="73"/>
      <c r="E131" s="73"/>
      <c r="F131" s="22" t="s">
        <v>263</v>
      </c>
      <c r="G131" s="22" t="s">
        <v>279</v>
      </c>
    </row>
    <row r="132" spans="1:7" x14ac:dyDescent="0.35">
      <c r="A132" s="22" t="s">
        <v>281</v>
      </c>
      <c r="B132" s="61" t="s">
        <v>11</v>
      </c>
      <c r="C132" s="68">
        <v>25</v>
      </c>
      <c r="D132" s="68" t="s">
        <v>187</v>
      </c>
      <c r="E132" s="39" t="s">
        <v>39</v>
      </c>
      <c r="F132" s="73"/>
      <c r="G132" s="74"/>
    </row>
    <row r="133" spans="1:7" x14ac:dyDescent="0.35">
      <c r="A133" s="22" t="s">
        <v>283</v>
      </c>
      <c r="B133" s="61" t="s">
        <v>11</v>
      </c>
      <c r="C133" s="68">
        <v>25</v>
      </c>
      <c r="D133" s="68" t="s">
        <v>187</v>
      </c>
      <c r="E133" s="39" t="s">
        <v>39</v>
      </c>
      <c r="F133" s="22" t="s">
        <v>255</v>
      </c>
      <c r="G133" s="22" t="s">
        <v>282</v>
      </c>
    </row>
    <row r="134" spans="1:7" x14ac:dyDescent="0.35">
      <c r="A134" s="22" t="s">
        <v>285</v>
      </c>
      <c r="B134" s="39" t="s">
        <v>20</v>
      </c>
      <c r="C134" s="68">
        <v>100</v>
      </c>
      <c r="D134" s="68" t="s">
        <v>187</v>
      </c>
      <c r="E134" s="39" t="s">
        <v>38</v>
      </c>
      <c r="F134" s="22" t="s">
        <v>263</v>
      </c>
      <c r="G134" s="22" t="s">
        <v>284</v>
      </c>
    </row>
    <row r="135" spans="1:7" x14ac:dyDescent="0.35">
      <c r="A135" s="22" t="s">
        <v>287</v>
      </c>
      <c r="B135" s="61" t="s">
        <v>11</v>
      </c>
      <c r="C135" s="68">
        <v>25</v>
      </c>
      <c r="D135" s="68" t="s">
        <v>187</v>
      </c>
      <c r="E135" s="39" t="s">
        <v>39</v>
      </c>
      <c r="F135" s="23" t="s">
        <v>270</v>
      </c>
      <c r="G135" s="22" t="s">
        <v>286</v>
      </c>
    </row>
    <row r="136" spans="1:7" x14ac:dyDescent="0.35">
      <c r="A136" s="22" t="s">
        <v>290</v>
      </c>
      <c r="B136" s="39" t="s">
        <v>20</v>
      </c>
      <c r="C136" s="68">
        <v>100</v>
      </c>
      <c r="D136" s="68" t="s">
        <v>187</v>
      </c>
      <c r="E136" s="39" t="s">
        <v>50</v>
      </c>
      <c r="F136" s="2" t="s">
        <v>288</v>
      </c>
      <c r="G136" s="22" t="s">
        <v>289</v>
      </c>
    </row>
    <row r="137" spans="1:7" x14ac:dyDescent="0.35">
      <c r="A137" s="22" t="s">
        <v>292</v>
      </c>
      <c r="B137" s="61" t="s">
        <v>11</v>
      </c>
      <c r="C137" s="68">
        <v>25</v>
      </c>
      <c r="D137" s="68" t="s">
        <v>187</v>
      </c>
      <c r="E137" s="39" t="s">
        <v>39</v>
      </c>
      <c r="F137" s="23" t="s">
        <v>270</v>
      </c>
      <c r="G137" s="23" t="s">
        <v>291</v>
      </c>
    </row>
    <row r="138" spans="1:7" x14ac:dyDescent="0.35">
      <c r="A138" s="22" t="s">
        <v>294</v>
      </c>
      <c r="B138" s="39" t="s">
        <v>20</v>
      </c>
      <c r="C138" s="68">
        <v>100</v>
      </c>
      <c r="D138" s="68" t="s">
        <v>295</v>
      </c>
      <c r="E138" s="39" t="s">
        <v>50</v>
      </c>
      <c r="F138" s="2" t="s">
        <v>288</v>
      </c>
      <c r="G138" s="22" t="s">
        <v>293</v>
      </c>
    </row>
    <row r="139" spans="1:7" x14ac:dyDescent="0.35">
      <c r="A139" s="22" t="s">
        <v>297</v>
      </c>
      <c r="B139" s="39" t="s">
        <v>20</v>
      </c>
      <c r="C139" s="68">
        <v>100</v>
      </c>
      <c r="D139" s="68" t="s">
        <v>298</v>
      </c>
      <c r="E139" s="39" t="s">
        <v>50</v>
      </c>
      <c r="F139" s="23" t="s">
        <v>270</v>
      </c>
      <c r="G139" s="22" t="s">
        <v>296</v>
      </c>
    </row>
    <row r="140" spans="1:7" ht="15.5" x14ac:dyDescent="0.35">
      <c r="A140" s="25" t="s">
        <v>300</v>
      </c>
      <c r="B140" s="73"/>
      <c r="C140" s="68" t="str">
        <f t="shared" si="3"/>
        <v/>
      </c>
      <c r="D140" s="73"/>
      <c r="E140" s="73"/>
      <c r="F140" s="23" t="s">
        <v>270</v>
      </c>
      <c r="G140" s="22" t="s">
        <v>299</v>
      </c>
    </row>
    <row r="141" spans="1:7" x14ac:dyDescent="0.35">
      <c r="A141" s="22" t="s">
        <v>301</v>
      </c>
      <c r="B141" s="61" t="s">
        <v>11</v>
      </c>
      <c r="C141" s="68">
        <v>25</v>
      </c>
      <c r="D141" s="68" t="s">
        <v>187</v>
      </c>
      <c r="E141" s="39" t="s">
        <v>39</v>
      </c>
      <c r="F141" s="73"/>
      <c r="G141" s="74"/>
    </row>
    <row r="142" spans="1:7" x14ac:dyDescent="0.35">
      <c r="A142" s="22" t="s">
        <v>303</v>
      </c>
      <c r="B142" s="61" t="s">
        <v>11</v>
      </c>
      <c r="C142" s="68">
        <v>25</v>
      </c>
      <c r="D142" s="68" t="s">
        <v>187</v>
      </c>
      <c r="E142" s="39" t="s">
        <v>39</v>
      </c>
      <c r="F142" s="22" t="s">
        <v>255</v>
      </c>
      <c r="G142" s="24" t="s">
        <v>302</v>
      </c>
    </row>
    <row r="143" spans="1:7" x14ac:dyDescent="0.35">
      <c r="A143" s="22" t="s">
        <v>305</v>
      </c>
      <c r="B143" s="39" t="s">
        <v>20</v>
      </c>
      <c r="C143" s="68">
        <v>100</v>
      </c>
      <c r="D143" s="68" t="s">
        <v>77</v>
      </c>
      <c r="E143" s="39" t="s">
        <v>50</v>
      </c>
      <c r="F143" s="22" t="s">
        <v>263</v>
      </c>
      <c r="G143" s="24" t="s">
        <v>304</v>
      </c>
    </row>
    <row r="144" spans="1:7" x14ac:dyDescent="0.35">
      <c r="A144" s="22" t="s">
        <v>307</v>
      </c>
      <c r="B144" s="39" t="s">
        <v>20</v>
      </c>
      <c r="C144" s="68">
        <v>100</v>
      </c>
      <c r="D144" s="68" t="s">
        <v>77</v>
      </c>
      <c r="E144" s="39" t="s">
        <v>50</v>
      </c>
      <c r="F144" s="23" t="s">
        <v>270</v>
      </c>
      <c r="G144" s="22" t="s">
        <v>306</v>
      </c>
    </row>
    <row r="145" spans="1:7" x14ac:dyDescent="0.35">
      <c r="A145" s="22" t="s">
        <v>309</v>
      </c>
      <c r="B145" s="39" t="s">
        <v>20</v>
      </c>
      <c r="C145" s="68">
        <v>100</v>
      </c>
      <c r="D145" s="68" t="s">
        <v>77</v>
      </c>
      <c r="E145" s="39" t="s">
        <v>50</v>
      </c>
      <c r="F145" s="23" t="s">
        <v>270</v>
      </c>
      <c r="G145" s="22" t="s">
        <v>308</v>
      </c>
    </row>
    <row r="146" spans="1:7" x14ac:dyDescent="0.35">
      <c r="A146" s="22" t="s">
        <v>310</v>
      </c>
      <c r="B146" s="61" t="s">
        <v>11</v>
      </c>
      <c r="C146" s="68">
        <v>25</v>
      </c>
      <c r="D146" s="68" t="s">
        <v>187</v>
      </c>
      <c r="E146" s="39" t="s">
        <v>52</v>
      </c>
      <c r="F146" s="23" t="s">
        <v>270</v>
      </c>
      <c r="G146" s="22" t="s">
        <v>308</v>
      </c>
    </row>
    <row r="147" spans="1:7" x14ac:dyDescent="0.35">
      <c r="A147" s="22" t="s">
        <v>312</v>
      </c>
      <c r="B147" s="61" t="s">
        <v>11</v>
      </c>
      <c r="C147" s="68">
        <v>25</v>
      </c>
      <c r="D147" s="68" t="s">
        <v>187</v>
      </c>
      <c r="E147" s="39" t="s">
        <v>52</v>
      </c>
      <c r="F147" s="22" t="s">
        <v>255</v>
      </c>
      <c r="G147" s="24" t="s">
        <v>311</v>
      </c>
    </row>
    <row r="148" spans="1:7" ht="15.5" x14ac:dyDescent="0.35">
      <c r="A148" s="25" t="s">
        <v>314</v>
      </c>
      <c r="B148" s="73"/>
      <c r="C148" s="68" t="str">
        <f t="shared" si="3"/>
        <v/>
      </c>
      <c r="D148" s="73"/>
      <c r="E148" s="73"/>
      <c r="F148" s="22" t="s">
        <v>263</v>
      </c>
      <c r="G148" s="24" t="s">
        <v>313</v>
      </c>
    </row>
    <row r="149" spans="1:7" x14ac:dyDescent="0.35">
      <c r="A149" s="22" t="s">
        <v>315</v>
      </c>
      <c r="B149" s="61" t="s">
        <v>11</v>
      </c>
      <c r="C149" s="68">
        <v>25</v>
      </c>
      <c r="D149" s="68" t="s">
        <v>187</v>
      </c>
      <c r="E149" s="39" t="s">
        <v>52</v>
      </c>
      <c r="F149" s="73"/>
      <c r="G149" s="74"/>
    </row>
    <row r="150" spans="1:7" x14ac:dyDescent="0.35">
      <c r="A150" s="22" t="s">
        <v>317</v>
      </c>
      <c r="B150" s="61" t="s">
        <v>11</v>
      </c>
      <c r="C150" s="68">
        <v>25</v>
      </c>
      <c r="D150" s="68" t="s">
        <v>187</v>
      </c>
      <c r="E150" s="39" t="s">
        <v>52</v>
      </c>
      <c r="F150" s="22" t="s">
        <v>255</v>
      </c>
      <c r="G150" s="24" t="s">
        <v>316</v>
      </c>
    </row>
    <row r="151" spans="1:7" x14ac:dyDescent="0.35">
      <c r="A151" s="22" t="s">
        <v>318</v>
      </c>
      <c r="B151" s="39" t="s">
        <v>20</v>
      </c>
      <c r="C151" s="68">
        <v>100</v>
      </c>
      <c r="D151" s="39" t="s">
        <v>298</v>
      </c>
      <c r="E151" s="39" t="s">
        <v>50</v>
      </c>
      <c r="F151" s="22" t="s">
        <v>263</v>
      </c>
      <c r="G151" s="24" t="s">
        <v>313</v>
      </c>
    </row>
    <row r="152" spans="1:7" x14ac:dyDescent="0.35">
      <c r="A152" s="22" t="s">
        <v>321</v>
      </c>
      <c r="B152" s="39" t="s">
        <v>20</v>
      </c>
      <c r="C152" s="68">
        <v>100</v>
      </c>
      <c r="D152" s="39" t="s">
        <v>298</v>
      </c>
      <c r="E152" s="39" t="s">
        <v>51</v>
      </c>
      <c r="F152" s="23" t="s">
        <v>319</v>
      </c>
      <c r="G152" s="22" t="s">
        <v>320</v>
      </c>
    </row>
    <row r="153" spans="1:7" x14ac:dyDescent="0.35">
      <c r="A153" s="22" t="s">
        <v>324</v>
      </c>
      <c r="B153" s="39" t="s">
        <v>20</v>
      </c>
      <c r="C153" s="68">
        <v>100</v>
      </c>
      <c r="D153" s="39" t="s">
        <v>298</v>
      </c>
      <c r="E153" s="39" t="s">
        <v>51</v>
      </c>
      <c r="F153" s="23" t="s">
        <v>322</v>
      </c>
      <c r="G153" s="22" t="s">
        <v>323</v>
      </c>
    </row>
    <row r="154" spans="1:7" x14ac:dyDescent="0.35">
      <c r="A154" s="22" t="s">
        <v>326</v>
      </c>
      <c r="B154" s="39" t="s">
        <v>20</v>
      </c>
      <c r="C154" s="68">
        <v>100</v>
      </c>
      <c r="D154" s="39" t="s">
        <v>298</v>
      </c>
      <c r="E154" s="39" t="s">
        <v>51</v>
      </c>
      <c r="F154" s="23" t="s">
        <v>322</v>
      </c>
      <c r="G154" s="22" t="s">
        <v>325</v>
      </c>
    </row>
    <row r="155" spans="1:7" ht="15.5" x14ac:dyDescent="0.35">
      <c r="A155" s="54" t="s">
        <v>328</v>
      </c>
      <c r="B155" s="73"/>
      <c r="C155" s="68" t="str">
        <f t="shared" si="3"/>
        <v/>
      </c>
      <c r="D155" s="73"/>
      <c r="E155" s="73"/>
      <c r="F155" s="23" t="s">
        <v>322</v>
      </c>
      <c r="G155" s="22" t="s">
        <v>327</v>
      </c>
    </row>
    <row r="156" spans="1:7" x14ac:dyDescent="0.35">
      <c r="A156" s="22" t="s">
        <v>329</v>
      </c>
      <c r="B156" s="39" t="s">
        <v>20</v>
      </c>
      <c r="C156" s="68">
        <v>100</v>
      </c>
      <c r="D156" s="39" t="s">
        <v>298</v>
      </c>
      <c r="E156" s="39" t="s">
        <v>51</v>
      </c>
      <c r="F156" s="73"/>
      <c r="G156" s="74"/>
    </row>
    <row r="157" spans="1:7" x14ac:dyDescent="0.35">
      <c r="A157" s="22" t="s">
        <v>331</v>
      </c>
      <c r="B157" s="39" t="s">
        <v>20</v>
      </c>
      <c r="C157" s="68">
        <v>100</v>
      </c>
      <c r="D157" s="39" t="s">
        <v>298</v>
      </c>
      <c r="E157" s="39" t="s">
        <v>51</v>
      </c>
      <c r="F157" s="23" t="s">
        <v>322</v>
      </c>
      <c r="G157" s="22" t="s">
        <v>330</v>
      </c>
    </row>
    <row r="158" spans="1:7" x14ac:dyDescent="0.35">
      <c r="A158" s="22" t="s">
        <v>333</v>
      </c>
      <c r="B158" s="39" t="s">
        <v>20</v>
      </c>
      <c r="C158" s="68">
        <v>100</v>
      </c>
      <c r="D158" s="39" t="s">
        <v>298</v>
      </c>
      <c r="E158" s="39" t="s">
        <v>54</v>
      </c>
      <c r="F158" s="23" t="s">
        <v>322</v>
      </c>
      <c r="G158" s="22" t="s">
        <v>332</v>
      </c>
    </row>
    <row r="159" spans="1:7" x14ac:dyDescent="0.35">
      <c r="A159" s="22" t="s">
        <v>335</v>
      </c>
      <c r="B159" s="39" t="s">
        <v>20</v>
      </c>
      <c r="C159" s="68">
        <v>100</v>
      </c>
      <c r="D159" s="39" t="s">
        <v>298</v>
      </c>
      <c r="E159" s="39"/>
      <c r="F159" s="23" t="s">
        <v>334</v>
      </c>
      <c r="G159" s="22" t="s">
        <v>332</v>
      </c>
    </row>
    <row r="160" spans="1:7" x14ac:dyDescent="0.35">
      <c r="A160" s="22" t="s">
        <v>337</v>
      </c>
      <c r="B160" s="39" t="s">
        <v>20</v>
      </c>
      <c r="C160" s="68">
        <v>100</v>
      </c>
      <c r="D160" s="39" t="s">
        <v>187</v>
      </c>
      <c r="E160" s="39" t="s">
        <v>8</v>
      </c>
      <c r="F160" s="23" t="s">
        <v>336</v>
      </c>
      <c r="G160" s="22" t="s">
        <v>323</v>
      </c>
    </row>
    <row r="161" spans="1:7" ht="15.5" x14ac:dyDescent="0.35">
      <c r="A161" s="46" t="s">
        <v>339</v>
      </c>
      <c r="B161" s="73"/>
      <c r="C161" s="68" t="str">
        <f t="shared" si="3"/>
        <v/>
      </c>
      <c r="D161" s="73"/>
      <c r="E161" s="73"/>
      <c r="F161" s="23" t="s">
        <v>336</v>
      </c>
      <c r="G161" s="22" t="s">
        <v>338</v>
      </c>
    </row>
    <row r="162" spans="1:7" x14ac:dyDescent="0.35">
      <c r="A162" s="22" t="s">
        <v>340</v>
      </c>
      <c r="B162" s="39" t="s">
        <v>20</v>
      </c>
      <c r="C162" s="68">
        <v>100</v>
      </c>
      <c r="D162" s="39" t="s">
        <v>298</v>
      </c>
      <c r="E162" s="39" t="s">
        <v>56</v>
      </c>
      <c r="F162" s="73"/>
      <c r="G162" s="74"/>
    </row>
    <row r="163" spans="1:7" x14ac:dyDescent="0.35">
      <c r="A163" s="22" t="s">
        <v>342</v>
      </c>
      <c r="B163" s="39" t="s">
        <v>20</v>
      </c>
      <c r="C163" s="68">
        <v>100</v>
      </c>
      <c r="D163" s="39" t="s">
        <v>298</v>
      </c>
      <c r="E163" s="39"/>
      <c r="F163" s="23" t="s">
        <v>336</v>
      </c>
      <c r="G163" s="22" t="s">
        <v>341</v>
      </c>
    </row>
    <row r="164" spans="1:7" x14ac:dyDescent="0.35">
      <c r="A164" s="22" t="s">
        <v>345</v>
      </c>
      <c r="B164" s="39" t="s">
        <v>20</v>
      </c>
      <c r="C164" s="68">
        <v>100</v>
      </c>
      <c r="D164" s="39" t="s">
        <v>298</v>
      </c>
      <c r="E164" s="39" t="s">
        <v>56</v>
      </c>
      <c r="F164" s="23" t="s">
        <v>343</v>
      </c>
      <c r="G164" s="22" t="s">
        <v>344</v>
      </c>
    </row>
    <row r="165" spans="1:7" x14ac:dyDescent="0.35">
      <c r="A165" s="22" t="s">
        <v>347</v>
      </c>
      <c r="B165" s="39" t="s">
        <v>20</v>
      </c>
      <c r="C165" s="68">
        <v>100</v>
      </c>
      <c r="D165" s="39" t="s">
        <v>187</v>
      </c>
      <c r="E165" s="39"/>
      <c r="F165" s="23" t="s">
        <v>336</v>
      </c>
      <c r="G165" s="22" t="s">
        <v>346</v>
      </c>
    </row>
    <row r="166" spans="1:7" x14ac:dyDescent="0.35">
      <c r="A166" s="22" t="s">
        <v>349</v>
      </c>
      <c r="B166" s="39" t="s">
        <v>20</v>
      </c>
      <c r="C166" s="68">
        <v>100</v>
      </c>
      <c r="D166" s="39" t="s">
        <v>298</v>
      </c>
      <c r="E166" s="39" t="s">
        <v>56</v>
      </c>
      <c r="F166" s="23" t="s">
        <v>336</v>
      </c>
      <c r="G166" s="22" t="s">
        <v>348</v>
      </c>
    </row>
    <row r="167" spans="1:7" ht="15.5" x14ac:dyDescent="0.35">
      <c r="A167" s="25" t="s">
        <v>350</v>
      </c>
      <c r="B167" s="73"/>
      <c r="C167" s="68" t="str">
        <f t="shared" si="3"/>
        <v/>
      </c>
      <c r="D167" s="73"/>
      <c r="E167" s="73"/>
      <c r="F167" s="23" t="s">
        <v>336</v>
      </c>
      <c r="G167" s="22" t="s">
        <v>346</v>
      </c>
    </row>
    <row r="168" spans="1:7" x14ac:dyDescent="0.35">
      <c r="A168" s="22" t="s">
        <v>351</v>
      </c>
      <c r="B168" s="39" t="s">
        <v>20</v>
      </c>
      <c r="C168" s="68">
        <v>100</v>
      </c>
      <c r="D168" s="39" t="s">
        <v>187</v>
      </c>
      <c r="E168" s="39" t="s">
        <v>57</v>
      </c>
      <c r="F168" s="73"/>
      <c r="G168" s="74"/>
    </row>
    <row r="169" spans="1:7" x14ac:dyDescent="0.35">
      <c r="A169" s="3" t="s">
        <v>352</v>
      </c>
      <c r="B169" s="39" t="s">
        <v>20</v>
      </c>
      <c r="C169" s="68">
        <v>100</v>
      </c>
      <c r="D169" s="39" t="s">
        <v>298</v>
      </c>
      <c r="E169" s="68" t="s">
        <v>58</v>
      </c>
      <c r="F169" s="23" t="s">
        <v>336</v>
      </c>
      <c r="G169" s="22" t="s">
        <v>348</v>
      </c>
    </row>
    <row r="170" spans="1:7" ht="15.5" x14ac:dyDescent="0.35">
      <c r="A170" s="25" t="s">
        <v>379</v>
      </c>
      <c r="B170" s="73"/>
      <c r="C170" s="68" t="str">
        <f t="shared" si="3"/>
        <v/>
      </c>
      <c r="D170" s="73"/>
      <c r="E170" s="73"/>
      <c r="F170" s="23" t="s">
        <v>336</v>
      </c>
      <c r="G170" s="2" t="s">
        <v>353</v>
      </c>
    </row>
    <row r="171" spans="1:7" x14ac:dyDescent="0.35">
      <c r="A171" s="3" t="s">
        <v>354</v>
      </c>
      <c r="B171" s="39" t="s">
        <v>20</v>
      </c>
      <c r="C171" s="68">
        <v>100</v>
      </c>
      <c r="D171" s="39" t="s">
        <v>187</v>
      </c>
      <c r="E171" s="39" t="s">
        <v>57</v>
      </c>
      <c r="F171" s="23"/>
      <c r="G171" s="2"/>
    </row>
    <row r="172" spans="1:7" x14ac:dyDescent="0.35">
      <c r="A172" s="3" t="s">
        <v>357</v>
      </c>
      <c r="B172" s="39" t="s">
        <v>20</v>
      </c>
      <c r="C172" s="68">
        <v>100</v>
      </c>
      <c r="D172" s="39" t="s">
        <v>77</v>
      </c>
      <c r="E172" s="68" t="s">
        <v>58</v>
      </c>
      <c r="F172" s="23" t="s">
        <v>355</v>
      </c>
      <c r="G172" s="2" t="s">
        <v>356</v>
      </c>
    </row>
    <row r="173" spans="1:7" x14ac:dyDescent="0.35">
      <c r="A173" s="22" t="s">
        <v>358</v>
      </c>
      <c r="B173" s="39" t="s">
        <v>20</v>
      </c>
      <c r="C173" s="68">
        <v>100</v>
      </c>
      <c r="D173" s="39" t="s">
        <v>77</v>
      </c>
      <c r="E173" s="68" t="s">
        <v>58</v>
      </c>
      <c r="F173" s="23" t="s">
        <v>336</v>
      </c>
      <c r="G173" s="2" t="s">
        <v>353</v>
      </c>
    </row>
    <row r="174" spans="1:7" x14ac:dyDescent="0.35">
      <c r="A174" s="22" t="s">
        <v>359</v>
      </c>
      <c r="B174" s="39" t="s">
        <v>20</v>
      </c>
      <c r="C174" s="68">
        <v>100</v>
      </c>
      <c r="D174" s="39" t="s">
        <v>77</v>
      </c>
      <c r="E174" s="68" t="s">
        <v>58</v>
      </c>
      <c r="F174" s="23" t="s">
        <v>336</v>
      </c>
      <c r="G174" s="23" t="s">
        <v>353</v>
      </c>
    </row>
    <row r="175" spans="1:7" x14ac:dyDescent="0.35">
      <c r="A175" s="22" t="s">
        <v>360</v>
      </c>
      <c r="B175" s="39" t="s">
        <v>20</v>
      </c>
      <c r="C175" s="68">
        <v>100</v>
      </c>
      <c r="D175" s="39" t="s">
        <v>77</v>
      </c>
      <c r="E175" s="68" t="s">
        <v>58</v>
      </c>
      <c r="F175" s="23" t="s">
        <v>336</v>
      </c>
      <c r="G175" s="23" t="s">
        <v>353</v>
      </c>
    </row>
    <row r="176" spans="1:7" ht="15.5" x14ac:dyDescent="0.35">
      <c r="A176" s="25" t="s">
        <v>380</v>
      </c>
      <c r="B176" s="73"/>
      <c r="C176" s="68" t="str">
        <f t="shared" si="3"/>
        <v/>
      </c>
      <c r="D176" s="73"/>
      <c r="E176" s="73"/>
      <c r="F176" s="23" t="s">
        <v>336</v>
      </c>
      <c r="G176" s="23" t="s">
        <v>353</v>
      </c>
    </row>
    <row r="177" spans="1:8" x14ac:dyDescent="0.35">
      <c r="A177" s="22" t="s">
        <v>361</v>
      </c>
      <c r="B177" s="39" t="s">
        <v>20</v>
      </c>
      <c r="C177" s="68">
        <v>100</v>
      </c>
      <c r="D177" s="39" t="s">
        <v>77</v>
      </c>
      <c r="E177" s="68" t="s">
        <v>58</v>
      </c>
      <c r="F177" s="23"/>
      <c r="G177" s="23"/>
    </row>
    <row r="178" spans="1:8" x14ac:dyDescent="0.35">
      <c r="A178" s="22" t="s">
        <v>362</v>
      </c>
      <c r="B178" s="39" t="s">
        <v>20</v>
      </c>
      <c r="C178" s="68">
        <v>100</v>
      </c>
      <c r="D178" s="39" t="s">
        <v>77</v>
      </c>
      <c r="E178" s="68" t="s">
        <v>58</v>
      </c>
      <c r="F178" s="23" t="s">
        <v>336</v>
      </c>
      <c r="G178" s="23" t="s">
        <v>353</v>
      </c>
    </row>
    <row r="179" spans="1:8" x14ac:dyDescent="0.35">
      <c r="A179" s="22" t="s">
        <v>363</v>
      </c>
      <c r="B179" s="39" t="s">
        <v>20</v>
      </c>
      <c r="C179" s="68">
        <v>100</v>
      </c>
      <c r="D179" s="39" t="s">
        <v>77</v>
      </c>
      <c r="E179" s="68" t="s">
        <v>58</v>
      </c>
      <c r="F179" s="23" t="s">
        <v>336</v>
      </c>
      <c r="G179" s="23" t="s">
        <v>353</v>
      </c>
    </row>
    <row r="180" spans="1:8" ht="15.5" x14ac:dyDescent="0.35">
      <c r="A180" s="25" t="s">
        <v>364</v>
      </c>
      <c r="B180" s="73"/>
      <c r="C180" s="68" t="str">
        <f t="shared" si="3"/>
        <v/>
      </c>
      <c r="D180" s="73"/>
      <c r="E180" s="73"/>
      <c r="F180" s="23" t="s">
        <v>336</v>
      </c>
      <c r="G180" s="23" t="s">
        <v>353</v>
      </c>
    </row>
    <row r="181" spans="1:8" ht="15.5" x14ac:dyDescent="0.35">
      <c r="A181" s="22" t="s">
        <v>365</v>
      </c>
      <c r="B181" s="39" t="s">
        <v>20</v>
      </c>
      <c r="C181" s="68">
        <v>100</v>
      </c>
      <c r="D181" s="39" t="s">
        <v>77</v>
      </c>
      <c r="E181" s="68" t="s">
        <v>58</v>
      </c>
      <c r="F181" s="73"/>
      <c r="G181" s="74"/>
      <c r="H181" s="72">
        <v>2022</v>
      </c>
    </row>
    <row r="182" spans="1:8" ht="15.5" x14ac:dyDescent="0.35">
      <c r="A182" s="25" t="s">
        <v>397</v>
      </c>
      <c r="B182" s="73"/>
      <c r="C182" s="73"/>
      <c r="D182" s="73"/>
      <c r="E182" s="73"/>
      <c r="F182" s="73"/>
      <c r="G182" s="74"/>
      <c r="H182" s="93"/>
    </row>
    <row r="183" spans="1:8" ht="15.5" x14ac:dyDescent="0.35">
      <c r="A183" s="22" t="s">
        <v>398</v>
      </c>
      <c r="B183" s="39" t="s">
        <v>20</v>
      </c>
      <c r="C183" s="39" t="s">
        <v>77</v>
      </c>
      <c r="D183" s="68"/>
      <c r="E183" s="23"/>
      <c r="F183" s="73"/>
      <c r="G183" s="74"/>
      <c r="H183" s="93"/>
    </row>
    <row r="184" spans="1:8" ht="15.5" x14ac:dyDescent="0.35">
      <c r="A184" s="22" t="s">
        <v>399</v>
      </c>
      <c r="B184" s="39" t="s">
        <v>20</v>
      </c>
      <c r="C184" s="39" t="s">
        <v>77</v>
      </c>
      <c r="D184" s="68"/>
      <c r="E184" s="23"/>
      <c r="F184" s="73"/>
      <c r="G184" s="74"/>
      <c r="H184" s="93"/>
    </row>
    <row r="185" spans="1:8" x14ac:dyDescent="0.35">
      <c r="A185" s="22" t="s">
        <v>400</v>
      </c>
      <c r="B185" s="39" t="s">
        <v>20</v>
      </c>
      <c r="C185" s="39" t="s">
        <v>77</v>
      </c>
      <c r="D185" s="68"/>
      <c r="E185" s="23"/>
      <c r="F185" s="23" t="s">
        <v>336</v>
      </c>
      <c r="G185" s="23" t="s">
        <v>353</v>
      </c>
    </row>
    <row r="186" spans="1:8" x14ac:dyDescent="0.35">
      <c r="A186" s="90"/>
      <c r="B186" s="91"/>
      <c r="C186" s="91"/>
      <c r="D186" s="92"/>
      <c r="E186" s="94"/>
      <c r="F186" s="94"/>
      <c r="G186" s="94"/>
    </row>
    <row r="187" spans="1:8" x14ac:dyDescent="0.35">
      <c r="A187" s="17" t="s">
        <v>366</v>
      </c>
      <c r="B187" s="75">
        <f>COUNTA(B7:B185)</f>
        <v>139</v>
      </c>
      <c r="C187" s="75"/>
    </row>
    <row r="188" spans="1:8" x14ac:dyDescent="0.35">
      <c r="A188" s="17"/>
      <c r="B188" s="75"/>
      <c r="C188" s="75"/>
    </row>
    <row r="189" spans="1:8" x14ac:dyDescent="0.35">
      <c r="A189" s="17"/>
      <c r="B189" s="75"/>
      <c r="C189" s="75"/>
    </row>
    <row r="190" spans="1:8" x14ac:dyDescent="0.35">
      <c r="A190" s="17"/>
      <c r="B190" s="75"/>
      <c r="C190" s="75"/>
    </row>
    <row r="191" spans="1:8" x14ac:dyDescent="0.35">
      <c r="A191" s="17"/>
      <c r="B191" s="75"/>
      <c r="C191" s="75"/>
    </row>
    <row r="192" spans="1:8" x14ac:dyDescent="0.35">
      <c r="A192" s="17"/>
      <c r="B192" s="75"/>
      <c r="C192" s="75"/>
    </row>
    <row r="193" spans="1:3" x14ac:dyDescent="0.35">
      <c r="A193" s="17"/>
      <c r="B193" s="75"/>
      <c r="C193" s="75"/>
    </row>
    <row r="194" spans="1:3" x14ac:dyDescent="0.35">
      <c r="A194" s="17"/>
      <c r="B194" s="75"/>
      <c r="C194" s="75"/>
    </row>
    <row r="195" spans="1:3" x14ac:dyDescent="0.35">
      <c r="A195" s="17"/>
      <c r="B195" s="75"/>
      <c r="C195" s="75"/>
    </row>
    <row r="196" spans="1:3" x14ac:dyDescent="0.35">
      <c r="A196" s="17"/>
      <c r="B196" s="75"/>
      <c r="C196" s="75"/>
    </row>
    <row r="197" spans="1:3" x14ac:dyDescent="0.35">
      <c r="A197" s="17"/>
      <c r="B197" s="75"/>
      <c r="C197" s="75"/>
    </row>
    <row r="198" spans="1:3" x14ac:dyDescent="0.35">
      <c r="A198" s="17"/>
      <c r="B198" s="75"/>
      <c r="C198" s="75"/>
    </row>
    <row r="199" spans="1:3" x14ac:dyDescent="0.35">
      <c r="A199" s="17"/>
      <c r="B199" s="75"/>
      <c r="C199" s="75"/>
    </row>
    <row r="200" spans="1:3" x14ac:dyDescent="0.35">
      <c r="A200" s="17"/>
      <c r="B200" s="75"/>
      <c r="C200" s="75"/>
    </row>
    <row r="201" spans="1:3" x14ac:dyDescent="0.35">
      <c r="A201" s="17"/>
      <c r="B201" s="75"/>
      <c r="C201" s="75"/>
    </row>
    <row r="202" spans="1:3" x14ac:dyDescent="0.35">
      <c r="A202" s="17"/>
      <c r="B202" s="75"/>
      <c r="C202" s="75"/>
    </row>
    <row r="203" spans="1:3" x14ac:dyDescent="0.35">
      <c r="A203" s="17"/>
      <c r="B203" s="75"/>
      <c r="C203" s="75"/>
    </row>
    <row r="204" spans="1:3" x14ac:dyDescent="0.35">
      <c r="A204" s="17"/>
      <c r="B204" s="75"/>
      <c r="C204" s="75"/>
    </row>
    <row r="205" spans="1:3" x14ac:dyDescent="0.35">
      <c r="A205" s="17"/>
      <c r="B205" s="75"/>
      <c r="C205" s="75"/>
    </row>
    <row r="206" spans="1:3" x14ac:dyDescent="0.35">
      <c r="A206" s="17"/>
      <c r="B206" s="75"/>
      <c r="C206" s="75"/>
    </row>
    <row r="207" spans="1:3" x14ac:dyDescent="0.35">
      <c r="A207" s="17"/>
      <c r="B207" s="75"/>
      <c r="C207" s="75"/>
    </row>
    <row r="208" spans="1:3" x14ac:dyDescent="0.35">
      <c r="A208" s="17"/>
      <c r="B208" s="75"/>
      <c r="C208" s="75"/>
    </row>
    <row r="209" spans="1:3" x14ac:dyDescent="0.35">
      <c r="A209" s="17"/>
      <c r="B209" s="75"/>
      <c r="C209" s="75"/>
    </row>
    <row r="210" spans="1:3" x14ac:dyDescent="0.35">
      <c r="A210" s="17"/>
      <c r="B210" s="75"/>
      <c r="C210" s="75"/>
    </row>
    <row r="211" spans="1:3" x14ac:dyDescent="0.35">
      <c r="A211" s="17"/>
      <c r="B211" s="75"/>
      <c r="C211" s="75"/>
    </row>
    <row r="212" spans="1:3" x14ac:dyDescent="0.35">
      <c r="A212" s="17"/>
      <c r="B212" s="75"/>
      <c r="C212" s="75"/>
    </row>
    <row r="213" spans="1:3" x14ac:dyDescent="0.35">
      <c r="A213" s="17"/>
      <c r="B213" s="75"/>
      <c r="C213" s="75"/>
    </row>
    <row r="214" spans="1:3" x14ac:dyDescent="0.35">
      <c r="A214" s="17"/>
      <c r="B214" s="75"/>
      <c r="C214" s="75"/>
    </row>
    <row r="215" spans="1:3" x14ac:dyDescent="0.35">
      <c r="A215" s="17"/>
      <c r="B215" s="75"/>
      <c r="C215" s="75"/>
    </row>
    <row r="216" spans="1:3" x14ac:dyDescent="0.35">
      <c r="A216" s="17"/>
      <c r="B216" s="75"/>
      <c r="C216" s="75"/>
    </row>
    <row r="217" spans="1:3" x14ac:dyDescent="0.35">
      <c r="A217" s="17"/>
      <c r="B217" s="75"/>
      <c r="C217" s="75"/>
    </row>
    <row r="218" spans="1:3" x14ac:dyDescent="0.35">
      <c r="A218" s="17"/>
      <c r="B218" s="75"/>
      <c r="C218" s="75"/>
    </row>
    <row r="219" spans="1:3" x14ac:dyDescent="0.35">
      <c r="A219" s="17"/>
      <c r="B219" s="75"/>
      <c r="C219" s="75"/>
    </row>
    <row r="220" spans="1:3" x14ac:dyDescent="0.35">
      <c r="A220" s="17"/>
      <c r="B220" s="75"/>
      <c r="C220" s="75"/>
    </row>
    <row r="221" spans="1:3" x14ac:dyDescent="0.35">
      <c r="A221" s="17"/>
      <c r="B221" s="75"/>
      <c r="C221" s="75"/>
    </row>
    <row r="222" spans="1:3" x14ac:dyDescent="0.35">
      <c r="A222" s="17"/>
      <c r="B222" s="75"/>
      <c r="C222" s="75"/>
    </row>
    <row r="223" spans="1:3" x14ac:dyDescent="0.35">
      <c r="A223" s="17"/>
      <c r="B223" s="75"/>
      <c r="C223" s="75"/>
    </row>
    <row r="224" spans="1:3" x14ac:dyDescent="0.35">
      <c r="A224" s="17"/>
      <c r="B224" s="75"/>
      <c r="C224" s="75"/>
    </row>
    <row r="225" spans="1:3" x14ac:dyDescent="0.35">
      <c r="A225" s="17"/>
      <c r="B225" s="75"/>
      <c r="C225" s="75"/>
    </row>
    <row r="226" spans="1:3" x14ac:dyDescent="0.35">
      <c r="A226" s="17"/>
      <c r="B226" s="75"/>
      <c r="C226" s="75"/>
    </row>
    <row r="227" spans="1:3" x14ac:dyDescent="0.35">
      <c r="A227" s="17"/>
      <c r="B227" s="75"/>
      <c r="C227" s="75"/>
    </row>
    <row r="228" spans="1:3" x14ac:dyDescent="0.35">
      <c r="A228" s="17"/>
      <c r="B228" s="75"/>
      <c r="C228" s="75"/>
    </row>
    <row r="229" spans="1:3" x14ac:dyDescent="0.35">
      <c r="A229" s="17"/>
      <c r="B229" s="75"/>
      <c r="C229" s="75"/>
    </row>
    <row r="230" spans="1:3" x14ac:dyDescent="0.35">
      <c r="A230" s="17"/>
      <c r="B230" s="75"/>
      <c r="C230" s="75"/>
    </row>
    <row r="231" spans="1:3" x14ac:dyDescent="0.35">
      <c r="A231" s="17"/>
      <c r="B231" s="75"/>
      <c r="C231" s="75"/>
    </row>
    <row r="232" spans="1:3" x14ac:dyDescent="0.35">
      <c r="A232" s="17"/>
      <c r="B232" s="75"/>
      <c r="C232" s="75"/>
    </row>
    <row r="233" spans="1:3" x14ac:dyDescent="0.35">
      <c r="A233" s="17"/>
      <c r="B233" s="75"/>
      <c r="C233" s="75"/>
    </row>
    <row r="234" spans="1:3" x14ac:dyDescent="0.35">
      <c r="A234" s="17"/>
      <c r="B234" s="75"/>
      <c r="C234" s="75"/>
    </row>
    <row r="235" spans="1:3" x14ac:dyDescent="0.35">
      <c r="A235" s="17"/>
      <c r="B235" s="75"/>
      <c r="C235" s="75"/>
    </row>
    <row r="236" spans="1:3" x14ac:dyDescent="0.35">
      <c r="A236" s="17"/>
      <c r="B236" s="75"/>
      <c r="C236" s="75"/>
    </row>
    <row r="237" spans="1:3" x14ac:dyDescent="0.35">
      <c r="A237" s="17"/>
      <c r="B237" s="75"/>
      <c r="C237" s="75"/>
    </row>
    <row r="238" spans="1:3" x14ac:dyDescent="0.35">
      <c r="A238" s="17"/>
      <c r="B238" s="75"/>
      <c r="C238" s="75"/>
    </row>
    <row r="239" spans="1:3" x14ac:dyDescent="0.35">
      <c r="A239" s="17"/>
      <c r="B239" s="75"/>
      <c r="C239" s="75"/>
    </row>
    <row r="240" spans="1:3" x14ac:dyDescent="0.35">
      <c r="A240" s="17"/>
      <c r="B240" s="75"/>
      <c r="C240" s="75"/>
    </row>
    <row r="241" spans="1:3" x14ac:dyDescent="0.35">
      <c r="A241" s="17"/>
      <c r="B241" s="75"/>
      <c r="C241" s="75"/>
    </row>
    <row r="242" spans="1:3" x14ac:dyDescent="0.35">
      <c r="A242" s="17"/>
      <c r="B242" s="75"/>
      <c r="C242" s="75"/>
    </row>
    <row r="243" spans="1:3" x14ac:dyDescent="0.35">
      <c r="A243" s="17"/>
      <c r="B243" s="75"/>
      <c r="C243" s="75"/>
    </row>
    <row r="244" spans="1:3" x14ac:dyDescent="0.35">
      <c r="A244" s="17"/>
      <c r="B244" s="75"/>
      <c r="C244" s="75"/>
    </row>
    <row r="245" spans="1:3" x14ac:dyDescent="0.35">
      <c r="A245" s="17"/>
      <c r="B245" s="75"/>
      <c r="C245" s="75"/>
    </row>
    <row r="246" spans="1:3" x14ac:dyDescent="0.35">
      <c r="A246" s="17"/>
      <c r="B246" s="75"/>
      <c r="C246" s="75"/>
    </row>
    <row r="247" spans="1:3" x14ac:dyDescent="0.35">
      <c r="A247" s="17"/>
      <c r="B247" s="75"/>
      <c r="C247" s="75"/>
    </row>
    <row r="248" spans="1:3" x14ac:dyDescent="0.35">
      <c r="A248" s="17"/>
      <c r="B248" s="75"/>
      <c r="C248" s="75"/>
    </row>
    <row r="249" spans="1:3" x14ac:dyDescent="0.35">
      <c r="A249" s="17"/>
      <c r="B249" s="75"/>
      <c r="C249" s="75"/>
    </row>
    <row r="250" spans="1:3" x14ac:dyDescent="0.35">
      <c r="A250" s="17"/>
      <c r="B250" s="75"/>
      <c r="C250" s="75"/>
    </row>
    <row r="251" spans="1:3" x14ac:dyDescent="0.35">
      <c r="A251" s="17"/>
      <c r="B251" s="75"/>
      <c r="C251" s="75"/>
    </row>
    <row r="252" spans="1:3" x14ac:dyDescent="0.35">
      <c r="A252" s="17"/>
      <c r="B252" s="75"/>
      <c r="C252" s="75"/>
    </row>
    <row r="253" spans="1:3" x14ac:dyDescent="0.35">
      <c r="A253" s="17"/>
      <c r="B253" s="75"/>
      <c r="C253" s="75"/>
    </row>
    <row r="254" spans="1:3" x14ac:dyDescent="0.35">
      <c r="A254" s="17"/>
      <c r="B254" s="75"/>
      <c r="C254" s="75"/>
    </row>
    <row r="255" spans="1:3" x14ac:dyDescent="0.35">
      <c r="A255" s="17"/>
      <c r="B255" s="75"/>
      <c r="C255" s="75"/>
    </row>
    <row r="256" spans="1:3" x14ac:dyDescent="0.35">
      <c r="A256" s="17"/>
      <c r="B256" s="75"/>
      <c r="C256" s="75"/>
    </row>
    <row r="257" spans="1:3" x14ac:dyDescent="0.35">
      <c r="A257" s="17"/>
      <c r="B257" s="75"/>
      <c r="C257" s="75"/>
    </row>
    <row r="258" spans="1:3" x14ac:dyDescent="0.35">
      <c r="A258" s="17"/>
      <c r="B258" s="75"/>
      <c r="C258" s="75"/>
    </row>
    <row r="259" spans="1:3" x14ac:dyDescent="0.35">
      <c r="A259" s="17"/>
      <c r="B259" s="75"/>
      <c r="C259" s="75"/>
    </row>
    <row r="260" spans="1:3" x14ac:dyDescent="0.35">
      <c r="A260" s="17"/>
      <c r="B260" s="75"/>
      <c r="C260" s="75"/>
    </row>
    <row r="261" spans="1:3" x14ac:dyDescent="0.35">
      <c r="A261" s="17"/>
      <c r="B261" s="75"/>
      <c r="C261" s="75"/>
    </row>
    <row r="262" spans="1:3" x14ac:dyDescent="0.35">
      <c r="A262" s="17"/>
      <c r="B262" s="75"/>
      <c r="C262" s="75"/>
    </row>
    <row r="263" spans="1:3" x14ac:dyDescent="0.35">
      <c r="A263" s="17"/>
      <c r="B263" s="75"/>
      <c r="C263" s="75"/>
    </row>
    <row r="264" spans="1:3" x14ac:dyDescent="0.35">
      <c r="A264" s="17"/>
      <c r="B264" s="75"/>
      <c r="C264" s="75"/>
    </row>
    <row r="265" spans="1:3" x14ac:dyDescent="0.35">
      <c r="A265" s="17"/>
      <c r="B265" s="75"/>
      <c r="C265" s="75"/>
    </row>
    <row r="266" spans="1:3" x14ac:dyDescent="0.35">
      <c r="A266" s="17"/>
      <c r="B266" s="75"/>
      <c r="C266" s="75"/>
    </row>
    <row r="267" spans="1:3" x14ac:dyDescent="0.35">
      <c r="A267" s="17"/>
      <c r="B267" s="75"/>
      <c r="C267" s="75"/>
    </row>
    <row r="268" spans="1:3" x14ac:dyDescent="0.35">
      <c r="A268" s="17"/>
      <c r="B268" s="75"/>
      <c r="C268" s="75"/>
    </row>
    <row r="269" spans="1:3" x14ac:dyDescent="0.35">
      <c r="A269" s="17"/>
      <c r="B269" s="75"/>
      <c r="C269" s="75"/>
    </row>
    <row r="270" spans="1:3" x14ac:dyDescent="0.35">
      <c r="A270" s="17"/>
      <c r="B270" s="75"/>
      <c r="C270" s="75"/>
    </row>
    <row r="271" spans="1:3" x14ac:dyDescent="0.35">
      <c r="A271" s="17"/>
      <c r="B271" s="75"/>
      <c r="C271" s="75"/>
    </row>
    <row r="272" spans="1:3" x14ac:dyDescent="0.35">
      <c r="A272" s="17"/>
      <c r="B272" s="75"/>
      <c r="C272" s="75"/>
    </row>
    <row r="273" spans="1:3" x14ac:dyDescent="0.35">
      <c r="A273" s="17"/>
      <c r="B273" s="75"/>
      <c r="C273" s="75"/>
    </row>
    <row r="274" spans="1:3" x14ac:dyDescent="0.35">
      <c r="A274" s="17"/>
      <c r="B274" s="75"/>
      <c r="C274" s="75"/>
    </row>
    <row r="275" spans="1:3" x14ac:dyDescent="0.35">
      <c r="A275" s="17"/>
      <c r="B275" s="75"/>
      <c r="C275" s="75"/>
    </row>
    <row r="276" spans="1:3" x14ac:dyDescent="0.35">
      <c r="A276" s="17"/>
      <c r="B276" s="75"/>
      <c r="C276" s="75"/>
    </row>
    <row r="277" spans="1:3" x14ac:dyDescent="0.35">
      <c r="A277" s="17"/>
      <c r="B277" s="75"/>
      <c r="C277" s="75"/>
    </row>
    <row r="278" spans="1:3" x14ac:dyDescent="0.35">
      <c r="A278" s="17"/>
      <c r="B278" s="75"/>
      <c r="C278" s="75"/>
    </row>
    <row r="279" spans="1:3" x14ac:dyDescent="0.35">
      <c r="A279" s="17"/>
      <c r="B279" s="75"/>
      <c r="C279" s="75"/>
    </row>
    <row r="280" spans="1:3" x14ac:dyDescent="0.35">
      <c r="A280" s="17"/>
      <c r="B280" s="75"/>
      <c r="C280" s="75"/>
    </row>
    <row r="281" spans="1:3" x14ac:dyDescent="0.35">
      <c r="A281" s="17"/>
      <c r="B281" s="75"/>
      <c r="C281" s="75"/>
    </row>
    <row r="282" spans="1:3" x14ac:dyDescent="0.35">
      <c r="A282" s="17"/>
      <c r="B282" s="75"/>
      <c r="C282" s="75"/>
    </row>
    <row r="283" spans="1:3" x14ac:dyDescent="0.35">
      <c r="A283" s="17"/>
      <c r="B283" s="75"/>
      <c r="C283" s="75"/>
    </row>
    <row r="284" spans="1:3" x14ac:dyDescent="0.35">
      <c r="A284" s="17"/>
      <c r="B284" s="75"/>
      <c r="C284" s="75"/>
    </row>
    <row r="285" spans="1:3" x14ac:dyDescent="0.35">
      <c r="A285" s="17"/>
      <c r="B285" s="75"/>
      <c r="C285" s="75"/>
    </row>
    <row r="286" spans="1:3" x14ac:dyDescent="0.35">
      <c r="A286" s="17"/>
      <c r="B286" s="75"/>
      <c r="C286" s="75"/>
    </row>
    <row r="287" spans="1:3" x14ac:dyDescent="0.35">
      <c r="A287" s="17"/>
      <c r="B287" s="75"/>
      <c r="C287" s="75"/>
    </row>
    <row r="288" spans="1:3" x14ac:dyDescent="0.35">
      <c r="A288" s="17"/>
      <c r="B288" s="75"/>
      <c r="C288" s="75"/>
    </row>
    <row r="289" spans="1:3" x14ac:dyDescent="0.35">
      <c r="A289" s="17"/>
      <c r="B289" s="75"/>
      <c r="C289" s="75"/>
    </row>
    <row r="290" spans="1:3" x14ac:dyDescent="0.35">
      <c r="A290" s="17"/>
      <c r="B290" s="75"/>
      <c r="C290" s="75"/>
    </row>
    <row r="291" spans="1:3" x14ac:dyDescent="0.35">
      <c r="A291" s="17"/>
      <c r="B291" s="75"/>
      <c r="C291" s="75"/>
    </row>
    <row r="292" spans="1:3" x14ac:dyDescent="0.35">
      <c r="A292" s="17"/>
      <c r="B292" s="75"/>
      <c r="C292" s="75"/>
    </row>
    <row r="293" spans="1:3" x14ac:dyDescent="0.35">
      <c r="A293" s="17"/>
      <c r="B293" s="75"/>
      <c r="C293" s="75"/>
    </row>
    <row r="294" spans="1:3" x14ac:dyDescent="0.35">
      <c r="A294" s="17"/>
      <c r="B294" s="75"/>
      <c r="C294" s="75"/>
    </row>
    <row r="295" spans="1:3" x14ac:dyDescent="0.35">
      <c r="A295" s="17"/>
      <c r="B295" s="75"/>
      <c r="C295" s="75"/>
    </row>
    <row r="296" spans="1:3" x14ac:dyDescent="0.35">
      <c r="A296" s="17"/>
      <c r="B296" s="75"/>
      <c r="C296" s="75"/>
    </row>
    <row r="297" spans="1:3" x14ac:dyDescent="0.35">
      <c r="A297" s="17"/>
      <c r="B297" s="75"/>
      <c r="C297" s="75"/>
    </row>
    <row r="298" spans="1:3" x14ac:dyDescent="0.35">
      <c r="A298" s="17"/>
      <c r="B298" s="75"/>
      <c r="C298" s="75"/>
    </row>
    <row r="299" spans="1:3" x14ac:dyDescent="0.35">
      <c r="A299" s="17"/>
      <c r="B299" s="75"/>
      <c r="C299" s="75"/>
    </row>
    <row r="300" spans="1:3" x14ac:dyDescent="0.35">
      <c r="A300" s="17"/>
      <c r="B300" s="75"/>
      <c r="C300" s="75"/>
    </row>
    <row r="301" spans="1:3" x14ac:dyDescent="0.35">
      <c r="A301" s="17"/>
      <c r="B301" s="75"/>
      <c r="C301" s="75"/>
    </row>
    <row r="302" spans="1:3" x14ac:dyDescent="0.35">
      <c r="A302" s="17"/>
      <c r="B302" s="75"/>
      <c r="C302" s="75"/>
    </row>
    <row r="303" spans="1:3" x14ac:dyDescent="0.35">
      <c r="A303" s="17"/>
      <c r="B303" s="75"/>
      <c r="C303" s="75"/>
    </row>
    <row r="304" spans="1:3" x14ac:dyDescent="0.35">
      <c r="A304" s="17"/>
      <c r="B304" s="75"/>
      <c r="C304" s="75"/>
    </row>
    <row r="305" spans="1:3" x14ac:dyDescent="0.35">
      <c r="A305" s="17"/>
      <c r="B305" s="75"/>
      <c r="C305" s="75"/>
    </row>
    <row r="306" spans="1:3" x14ac:dyDescent="0.35">
      <c r="A306" s="17"/>
      <c r="B306" s="75"/>
      <c r="C306" s="75"/>
    </row>
    <row r="307" spans="1:3" x14ac:dyDescent="0.35">
      <c r="A307" s="17"/>
      <c r="B307" s="75"/>
      <c r="C307" s="75"/>
    </row>
    <row r="308" spans="1:3" x14ac:dyDescent="0.35">
      <c r="A308" s="17"/>
      <c r="B308" s="75"/>
      <c r="C308" s="75"/>
    </row>
    <row r="309" spans="1:3" x14ac:dyDescent="0.35">
      <c r="A309" s="17"/>
      <c r="B309" s="75"/>
      <c r="C309" s="75"/>
    </row>
    <row r="310" spans="1:3" x14ac:dyDescent="0.35">
      <c r="A310" s="17"/>
      <c r="B310" s="75"/>
      <c r="C310" s="75"/>
    </row>
    <row r="311" spans="1:3" x14ac:dyDescent="0.35">
      <c r="A311" s="17"/>
      <c r="B311" s="75"/>
      <c r="C311" s="75"/>
    </row>
    <row r="312" spans="1:3" x14ac:dyDescent="0.35">
      <c r="A312" s="17"/>
      <c r="B312" s="75"/>
      <c r="C312" s="75"/>
    </row>
    <row r="313" spans="1:3" x14ac:dyDescent="0.35">
      <c r="A313" s="17"/>
      <c r="B313" s="75"/>
      <c r="C313" s="75"/>
    </row>
    <row r="314" spans="1:3" x14ac:dyDescent="0.35">
      <c r="A314" s="17"/>
      <c r="B314" s="75"/>
      <c r="C314" s="75"/>
    </row>
    <row r="315" spans="1:3" x14ac:dyDescent="0.35">
      <c r="A315" s="17"/>
      <c r="B315" s="75"/>
      <c r="C315" s="75"/>
    </row>
    <row r="316" spans="1:3" x14ac:dyDescent="0.35">
      <c r="A316" s="17"/>
      <c r="B316" s="75"/>
      <c r="C316" s="75"/>
    </row>
    <row r="317" spans="1:3" x14ac:dyDescent="0.35">
      <c r="A317" s="17"/>
      <c r="B317" s="75"/>
      <c r="C317" s="75"/>
    </row>
    <row r="318" spans="1:3" x14ac:dyDescent="0.35">
      <c r="A318" s="17"/>
      <c r="B318" s="75"/>
      <c r="C318" s="75"/>
    </row>
    <row r="319" spans="1:3" x14ac:dyDescent="0.35">
      <c r="A319" s="17"/>
      <c r="B319" s="75"/>
      <c r="C319" s="75"/>
    </row>
    <row r="320" spans="1:3" x14ac:dyDescent="0.35">
      <c r="A320" s="17"/>
      <c r="B320" s="75"/>
      <c r="C320" s="75"/>
    </row>
    <row r="321" spans="1:3" x14ac:dyDescent="0.35">
      <c r="A321" s="17"/>
      <c r="B321" s="75"/>
      <c r="C321" s="75"/>
    </row>
    <row r="322" spans="1:3" x14ac:dyDescent="0.35">
      <c r="A322" s="17"/>
      <c r="B322" s="75"/>
      <c r="C322" s="75"/>
    </row>
    <row r="323" spans="1:3" x14ac:dyDescent="0.35">
      <c r="A323" s="17"/>
      <c r="B323" s="75"/>
      <c r="C323" s="75"/>
    </row>
    <row r="324" spans="1:3" x14ac:dyDescent="0.35">
      <c r="A324" s="17"/>
      <c r="B324" s="75"/>
      <c r="C324" s="75"/>
    </row>
    <row r="325" spans="1:3" x14ac:dyDescent="0.35">
      <c r="A325" s="17"/>
      <c r="B325" s="75"/>
      <c r="C325" s="75"/>
    </row>
    <row r="326" spans="1:3" x14ac:dyDescent="0.35">
      <c r="A326" s="17"/>
      <c r="B326" s="75"/>
      <c r="C326" s="75"/>
    </row>
    <row r="327" spans="1:3" x14ac:dyDescent="0.35">
      <c r="A327" s="17"/>
      <c r="B327" s="75"/>
      <c r="C327" s="75"/>
    </row>
    <row r="328" spans="1:3" x14ac:dyDescent="0.35">
      <c r="A328" s="17"/>
      <c r="B328" s="75"/>
      <c r="C328" s="75"/>
    </row>
    <row r="329" spans="1:3" x14ac:dyDescent="0.35">
      <c r="A329" s="17"/>
      <c r="B329" s="75"/>
      <c r="C329" s="75"/>
    </row>
    <row r="330" spans="1:3" x14ac:dyDescent="0.35">
      <c r="A330" s="17"/>
      <c r="B330" s="75"/>
      <c r="C330" s="75"/>
    </row>
    <row r="331" spans="1:3" x14ac:dyDescent="0.35">
      <c r="A331" s="17"/>
      <c r="B331" s="75"/>
      <c r="C331" s="75"/>
    </row>
    <row r="332" spans="1:3" x14ac:dyDescent="0.35">
      <c r="A332" s="17"/>
      <c r="B332" s="75"/>
      <c r="C332" s="75"/>
    </row>
    <row r="333" spans="1:3" x14ac:dyDescent="0.35">
      <c r="A333" s="17"/>
      <c r="B333" s="75"/>
      <c r="C333" s="75"/>
    </row>
    <row r="334" spans="1:3" x14ac:dyDescent="0.35">
      <c r="A334" s="17"/>
      <c r="B334" s="75"/>
      <c r="C334" s="75"/>
    </row>
    <row r="335" spans="1:3" x14ac:dyDescent="0.35">
      <c r="A335" s="17"/>
      <c r="B335" s="75"/>
      <c r="C335" s="75"/>
    </row>
    <row r="336" spans="1:3" x14ac:dyDescent="0.35">
      <c r="A336" s="17"/>
      <c r="B336" s="75"/>
      <c r="C336" s="75"/>
    </row>
    <row r="337" spans="1:3" x14ac:dyDescent="0.35">
      <c r="A337" s="17"/>
      <c r="B337" s="75"/>
      <c r="C337" s="75"/>
    </row>
    <row r="338" spans="1:3" x14ac:dyDescent="0.35">
      <c r="A338" s="17"/>
      <c r="B338" s="75"/>
      <c r="C338" s="75"/>
    </row>
    <row r="339" spans="1:3" x14ac:dyDescent="0.35">
      <c r="A339" s="17"/>
      <c r="B339" s="75"/>
      <c r="C339" s="75"/>
    </row>
    <row r="340" spans="1:3" x14ac:dyDescent="0.35">
      <c r="A340" s="17"/>
      <c r="B340" s="75"/>
      <c r="C340" s="75"/>
    </row>
    <row r="341" spans="1:3" x14ac:dyDescent="0.35">
      <c r="A341" s="17"/>
      <c r="B341" s="75"/>
      <c r="C341" s="75"/>
    </row>
    <row r="342" spans="1:3" x14ac:dyDescent="0.35">
      <c r="A342" s="17"/>
      <c r="B342" s="75"/>
      <c r="C342" s="75"/>
    </row>
    <row r="343" spans="1:3" x14ac:dyDescent="0.35">
      <c r="A343" s="17"/>
      <c r="B343" s="75"/>
      <c r="C343" s="75"/>
    </row>
    <row r="344" spans="1:3" x14ac:dyDescent="0.35">
      <c r="A344" s="17"/>
      <c r="B344" s="75"/>
      <c r="C344" s="75"/>
    </row>
    <row r="345" spans="1:3" x14ac:dyDescent="0.35">
      <c r="A345" s="17"/>
      <c r="B345" s="75"/>
      <c r="C345" s="75"/>
    </row>
    <row r="346" spans="1:3" x14ac:dyDescent="0.35">
      <c r="A346" s="17"/>
      <c r="B346" s="75"/>
      <c r="C346" s="75"/>
    </row>
    <row r="347" spans="1:3" x14ac:dyDescent="0.35">
      <c r="A347" s="17"/>
      <c r="B347" s="75"/>
      <c r="C347" s="75"/>
    </row>
    <row r="348" spans="1:3" x14ac:dyDescent="0.35">
      <c r="A348" s="17"/>
      <c r="B348" s="75"/>
      <c r="C348" s="75"/>
    </row>
    <row r="349" spans="1:3" x14ac:dyDescent="0.35">
      <c r="A349" s="17"/>
      <c r="B349" s="75"/>
      <c r="C349" s="75"/>
    </row>
    <row r="350" spans="1:3" x14ac:dyDescent="0.35">
      <c r="A350" s="17"/>
      <c r="B350" s="75"/>
      <c r="C350" s="75"/>
    </row>
    <row r="351" spans="1:3" x14ac:dyDescent="0.35">
      <c r="A351" s="17"/>
      <c r="B351" s="75"/>
      <c r="C351" s="75"/>
    </row>
    <row r="352" spans="1:3" x14ac:dyDescent="0.35">
      <c r="A352" s="17"/>
      <c r="B352" s="75"/>
      <c r="C352" s="75"/>
    </row>
    <row r="353" spans="1:3" x14ac:dyDescent="0.35">
      <c r="A353" s="17"/>
      <c r="B353" s="75"/>
      <c r="C353" s="75"/>
    </row>
    <row r="354" spans="1:3" x14ac:dyDescent="0.35">
      <c r="A354" s="17"/>
      <c r="B354" s="75"/>
      <c r="C354" s="75"/>
    </row>
    <row r="355" spans="1:3" x14ac:dyDescent="0.35">
      <c r="A355" s="17"/>
      <c r="B355" s="75"/>
      <c r="C355" s="75"/>
    </row>
    <row r="356" spans="1:3" x14ac:dyDescent="0.35">
      <c r="A356" s="17"/>
      <c r="B356" s="75"/>
      <c r="C356" s="75"/>
    </row>
    <row r="357" spans="1:3" x14ac:dyDescent="0.35">
      <c r="A357" s="17"/>
      <c r="B357" s="75"/>
      <c r="C357" s="75"/>
    </row>
    <row r="358" spans="1:3" x14ac:dyDescent="0.35">
      <c r="A358" s="17"/>
      <c r="B358" s="75"/>
      <c r="C358" s="75"/>
    </row>
    <row r="359" spans="1:3" x14ac:dyDescent="0.35">
      <c r="A359" s="17"/>
      <c r="B359" s="75"/>
      <c r="C359" s="75"/>
    </row>
    <row r="360" spans="1:3" x14ac:dyDescent="0.35">
      <c r="A360" s="17"/>
      <c r="B360" s="75"/>
      <c r="C360" s="75"/>
    </row>
    <row r="361" spans="1:3" x14ac:dyDescent="0.35">
      <c r="A361" s="17"/>
      <c r="B361" s="75"/>
      <c r="C361" s="75"/>
    </row>
    <row r="362" spans="1:3" x14ac:dyDescent="0.35">
      <c r="A362" s="17"/>
      <c r="B362" s="75"/>
      <c r="C362" s="75"/>
    </row>
    <row r="363" spans="1:3" x14ac:dyDescent="0.35">
      <c r="A363" s="17"/>
      <c r="B363" s="75"/>
      <c r="C363" s="75"/>
    </row>
    <row r="364" spans="1:3" x14ac:dyDescent="0.35">
      <c r="A364" s="17"/>
      <c r="B364" s="75"/>
      <c r="C364" s="75"/>
    </row>
    <row r="365" spans="1:3" x14ac:dyDescent="0.35">
      <c r="A365" s="17"/>
      <c r="B365" s="75"/>
      <c r="C365" s="75"/>
    </row>
    <row r="366" spans="1:3" x14ac:dyDescent="0.35">
      <c r="A366" s="17"/>
      <c r="B366" s="75"/>
      <c r="C366" s="75"/>
    </row>
    <row r="367" spans="1:3" x14ac:dyDescent="0.35">
      <c r="A367" s="17"/>
      <c r="B367" s="75"/>
      <c r="C367" s="75"/>
    </row>
    <row r="368" spans="1:3" x14ac:dyDescent="0.35">
      <c r="A368" s="17"/>
      <c r="B368" s="75"/>
      <c r="C368" s="75"/>
    </row>
    <row r="369" spans="1:3" x14ac:dyDescent="0.35">
      <c r="A369" s="17"/>
      <c r="B369" s="75"/>
      <c r="C369" s="75"/>
    </row>
    <row r="370" spans="1:3" x14ac:dyDescent="0.35">
      <c r="A370" s="17"/>
      <c r="B370" s="75"/>
      <c r="C370" s="75"/>
    </row>
    <row r="371" spans="1:3" x14ac:dyDescent="0.35">
      <c r="A371" s="17"/>
      <c r="B371" s="75"/>
      <c r="C371" s="75"/>
    </row>
    <row r="372" spans="1:3" x14ac:dyDescent="0.35">
      <c r="A372" s="17"/>
      <c r="B372" s="75"/>
      <c r="C372" s="75"/>
    </row>
    <row r="373" spans="1:3" x14ac:dyDescent="0.35">
      <c r="A373" s="17"/>
      <c r="B373" s="75"/>
      <c r="C373" s="75"/>
    </row>
    <row r="374" spans="1:3" x14ac:dyDescent="0.35">
      <c r="A374" s="17"/>
      <c r="B374" s="75"/>
      <c r="C374" s="75"/>
    </row>
    <row r="375" spans="1:3" x14ac:dyDescent="0.35">
      <c r="A375" s="17"/>
      <c r="B375" s="75"/>
      <c r="C375" s="75"/>
    </row>
    <row r="376" spans="1:3" x14ac:dyDescent="0.35">
      <c r="A376" s="17"/>
      <c r="B376" s="75"/>
      <c r="C376" s="75"/>
    </row>
    <row r="377" spans="1:3" x14ac:dyDescent="0.35">
      <c r="A377" s="17"/>
      <c r="B377" s="75"/>
      <c r="C377" s="75"/>
    </row>
    <row r="378" spans="1:3" x14ac:dyDescent="0.35">
      <c r="A378" s="17"/>
      <c r="B378" s="75"/>
      <c r="C378" s="75"/>
    </row>
    <row r="379" spans="1:3" x14ac:dyDescent="0.35">
      <c r="A379" s="17"/>
      <c r="B379" s="75"/>
      <c r="C379" s="75"/>
    </row>
    <row r="380" spans="1:3" x14ac:dyDescent="0.35">
      <c r="A380" s="17"/>
      <c r="B380" s="75"/>
      <c r="C380" s="75"/>
    </row>
    <row r="381" spans="1:3" x14ac:dyDescent="0.35">
      <c r="A381" s="17"/>
      <c r="B381" s="75"/>
      <c r="C381" s="75"/>
    </row>
    <row r="382" spans="1:3" x14ac:dyDescent="0.35">
      <c r="A382" s="17"/>
      <c r="B382" s="75"/>
      <c r="C382" s="75"/>
    </row>
    <row r="383" spans="1:3" x14ac:dyDescent="0.35">
      <c r="A383" s="17"/>
      <c r="B383" s="75"/>
      <c r="C383" s="75"/>
    </row>
    <row r="384" spans="1:3" x14ac:dyDescent="0.35">
      <c r="A384" s="17"/>
      <c r="B384" s="75"/>
      <c r="C384" s="75"/>
    </row>
    <row r="385" spans="1:3" x14ac:dyDescent="0.35">
      <c r="A385" s="17"/>
      <c r="B385" s="75"/>
      <c r="C385" s="75"/>
    </row>
    <row r="386" spans="1:3" x14ac:dyDescent="0.35">
      <c r="A386" s="17"/>
      <c r="B386" s="75"/>
      <c r="C386" s="75"/>
    </row>
    <row r="387" spans="1:3" x14ac:dyDescent="0.35">
      <c r="A387" s="17"/>
      <c r="B387" s="75"/>
      <c r="C387" s="75"/>
    </row>
    <row r="388" spans="1:3" x14ac:dyDescent="0.35">
      <c r="A388" s="17"/>
      <c r="B388" s="75"/>
      <c r="C388" s="75"/>
    </row>
    <row r="389" spans="1:3" x14ac:dyDescent="0.35">
      <c r="A389" s="17"/>
      <c r="B389" s="75"/>
      <c r="C389" s="75"/>
    </row>
    <row r="390" spans="1:3" x14ac:dyDescent="0.35">
      <c r="A390" s="17"/>
      <c r="B390" s="75"/>
      <c r="C390" s="75"/>
    </row>
    <row r="391" spans="1:3" x14ac:dyDescent="0.35">
      <c r="A391" s="17"/>
      <c r="B391" s="75"/>
      <c r="C391" s="75"/>
    </row>
    <row r="392" spans="1:3" x14ac:dyDescent="0.35">
      <c r="A392" s="17"/>
      <c r="B392" s="75"/>
      <c r="C392" s="75"/>
    </row>
    <row r="393" spans="1:3" x14ac:dyDescent="0.35">
      <c r="A393" s="17"/>
      <c r="B393" s="75"/>
      <c r="C393" s="75"/>
    </row>
    <row r="394" spans="1:3" x14ac:dyDescent="0.35">
      <c r="A394" s="17"/>
      <c r="B394" s="75"/>
      <c r="C394" s="75"/>
    </row>
    <row r="395" spans="1:3" x14ac:dyDescent="0.35">
      <c r="A395" s="17"/>
      <c r="B395" s="75"/>
      <c r="C395" s="75"/>
    </row>
    <row r="396" spans="1:3" x14ac:dyDescent="0.35">
      <c r="A396" s="17"/>
      <c r="B396" s="75"/>
      <c r="C396" s="75"/>
    </row>
    <row r="397" spans="1:3" x14ac:dyDescent="0.35">
      <c r="A397" s="17"/>
      <c r="B397" s="75"/>
      <c r="C397" s="75"/>
    </row>
    <row r="398" spans="1:3" x14ac:dyDescent="0.35">
      <c r="A398" s="17"/>
      <c r="B398" s="75"/>
      <c r="C398" s="75"/>
    </row>
    <row r="399" spans="1:3" x14ac:dyDescent="0.35">
      <c r="A399" s="17"/>
      <c r="B399" s="75"/>
      <c r="C399" s="75"/>
    </row>
    <row r="400" spans="1:3" x14ac:dyDescent="0.35">
      <c r="A400" s="17"/>
      <c r="B400" s="75"/>
      <c r="C400" s="75"/>
    </row>
    <row r="401" spans="1:3" x14ac:dyDescent="0.35">
      <c r="A401" s="17"/>
      <c r="B401" s="75"/>
      <c r="C401" s="75"/>
    </row>
    <row r="402" spans="1:3" x14ac:dyDescent="0.35">
      <c r="A402" s="17"/>
      <c r="B402" s="75"/>
      <c r="C402" s="75"/>
    </row>
    <row r="403" spans="1:3" x14ac:dyDescent="0.35">
      <c r="A403" s="17"/>
      <c r="B403" s="75"/>
      <c r="C403" s="75"/>
    </row>
    <row r="404" spans="1:3" x14ac:dyDescent="0.35">
      <c r="A404" s="17"/>
      <c r="B404" s="75"/>
      <c r="C404" s="75"/>
    </row>
    <row r="405" spans="1:3" x14ac:dyDescent="0.35">
      <c r="A405" s="17"/>
      <c r="B405" s="75"/>
      <c r="C405" s="75"/>
    </row>
    <row r="406" spans="1:3" x14ac:dyDescent="0.35">
      <c r="A406" s="17"/>
      <c r="B406" s="75"/>
      <c r="C406" s="75"/>
    </row>
    <row r="407" spans="1:3" x14ac:dyDescent="0.35">
      <c r="A407" s="17"/>
      <c r="B407" s="75"/>
      <c r="C407" s="75"/>
    </row>
    <row r="408" spans="1:3" x14ac:dyDescent="0.35">
      <c r="A408" s="17"/>
      <c r="B408" s="75"/>
      <c r="C408" s="75"/>
    </row>
    <row r="409" spans="1:3" x14ac:dyDescent="0.35">
      <c r="A409" s="17"/>
      <c r="B409" s="75"/>
      <c r="C409" s="75"/>
    </row>
    <row r="410" spans="1:3" x14ac:dyDescent="0.35">
      <c r="A410" s="17"/>
      <c r="B410" s="75"/>
      <c r="C410" s="75"/>
    </row>
    <row r="411" spans="1:3" x14ac:dyDescent="0.35">
      <c r="A411" s="17"/>
      <c r="B411" s="75"/>
      <c r="C411" s="75"/>
    </row>
    <row r="412" spans="1:3" x14ac:dyDescent="0.35">
      <c r="A412" s="17"/>
      <c r="B412" s="75"/>
      <c r="C412" s="75"/>
    </row>
    <row r="413" spans="1:3" x14ac:dyDescent="0.35">
      <c r="A413" s="17"/>
      <c r="B413" s="75"/>
      <c r="C413" s="75"/>
    </row>
    <row r="414" spans="1:3" x14ac:dyDescent="0.35">
      <c r="A414" s="17"/>
      <c r="B414" s="75"/>
      <c r="C414" s="75"/>
    </row>
    <row r="415" spans="1:3" x14ac:dyDescent="0.35">
      <c r="A415" s="17"/>
      <c r="B415" s="75"/>
      <c r="C415" s="75"/>
    </row>
    <row r="416" spans="1:3" x14ac:dyDescent="0.35">
      <c r="A416" s="17"/>
      <c r="B416" s="75"/>
      <c r="C416" s="75"/>
    </row>
    <row r="417" spans="1:3" x14ac:dyDescent="0.35">
      <c r="A417" s="17"/>
      <c r="B417" s="75"/>
      <c r="C417" s="75"/>
    </row>
    <row r="418" spans="1:3" x14ac:dyDescent="0.35">
      <c r="A418" s="17"/>
      <c r="B418" s="75"/>
      <c r="C418" s="75"/>
    </row>
    <row r="419" spans="1:3" x14ac:dyDescent="0.35">
      <c r="A419" s="17"/>
      <c r="B419" s="75"/>
      <c r="C419" s="75"/>
    </row>
    <row r="420" spans="1:3" x14ac:dyDescent="0.35">
      <c r="A420" s="17"/>
      <c r="B420" s="75"/>
      <c r="C420" s="75"/>
    </row>
    <row r="421" spans="1:3" x14ac:dyDescent="0.35">
      <c r="A421" s="17"/>
      <c r="B421" s="75"/>
      <c r="C421" s="75"/>
    </row>
    <row r="422" spans="1:3" x14ac:dyDescent="0.35">
      <c r="A422" s="17"/>
      <c r="B422" s="75"/>
      <c r="C422" s="75"/>
    </row>
    <row r="423" spans="1:3" x14ac:dyDescent="0.35">
      <c r="A423" s="17"/>
      <c r="B423" s="75"/>
      <c r="C423" s="75"/>
    </row>
    <row r="424" spans="1:3" x14ac:dyDescent="0.35">
      <c r="A424" s="17"/>
      <c r="B424" s="75"/>
      <c r="C424" s="75"/>
    </row>
    <row r="425" spans="1:3" x14ac:dyDescent="0.35">
      <c r="A425" s="17"/>
      <c r="B425" s="75"/>
      <c r="C425" s="75"/>
    </row>
    <row r="426" spans="1:3" x14ac:dyDescent="0.35">
      <c r="A426" s="17"/>
      <c r="B426" s="75"/>
      <c r="C426" s="75"/>
    </row>
    <row r="427" spans="1:3" x14ac:dyDescent="0.35">
      <c r="A427" s="17"/>
      <c r="B427" s="75"/>
      <c r="C427" s="75"/>
    </row>
    <row r="428" spans="1:3" x14ac:dyDescent="0.35">
      <c r="A428" s="17"/>
      <c r="B428" s="75"/>
      <c r="C428" s="75"/>
    </row>
    <row r="429" spans="1:3" x14ac:dyDescent="0.35">
      <c r="A429" s="17"/>
      <c r="B429" s="75"/>
      <c r="C429" s="75"/>
    </row>
    <row r="430" spans="1:3" x14ac:dyDescent="0.35">
      <c r="A430" s="17"/>
      <c r="B430" s="75"/>
      <c r="C430" s="75"/>
    </row>
    <row r="431" spans="1:3" x14ac:dyDescent="0.35">
      <c r="A431" s="17"/>
      <c r="B431" s="75"/>
      <c r="C431" s="75"/>
    </row>
    <row r="432" spans="1:3" x14ac:dyDescent="0.35">
      <c r="A432" s="17"/>
      <c r="B432" s="75"/>
      <c r="C432" s="75"/>
    </row>
    <row r="433" spans="1:3" x14ac:dyDescent="0.35">
      <c r="A433" s="17"/>
      <c r="B433" s="75"/>
      <c r="C433" s="75"/>
    </row>
    <row r="434" spans="1:3" x14ac:dyDescent="0.35">
      <c r="A434" s="17"/>
      <c r="B434" s="75"/>
      <c r="C434" s="75"/>
    </row>
    <row r="435" spans="1:3" x14ac:dyDescent="0.35">
      <c r="A435" s="17"/>
      <c r="B435" s="75"/>
      <c r="C435" s="75"/>
    </row>
    <row r="436" spans="1:3" x14ac:dyDescent="0.35">
      <c r="A436" s="17"/>
      <c r="B436" s="75"/>
      <c r="C436" s="75"/>
    </row>
    <row r="437" spans="1:3" x14ac:dyDescent="0.35">
      <c r="A437" s="17"/>
      <c r="B437" s="75"/>
      <c r="C437" s="75"/>
    </row>
    <row r="438" spans="1:3" x14ac:dyDescent="0.35">
      <c r="A438" s="17"/>
      <c r="B438" s="75"/>
      <c r="C438" s="75"/>
    </row>
    <row r="439" spans="1:3" x14ac:dyDescent="0.35">
      <c r="A439" s="17"/>
      <c r="B439" s="75"/>
      <c r="C439" s="75"/>
    </row>
    <row r="440" spans="1:3" x14ac:dyDescent="0.35">
      <c r="A440" s="17"/>
      <c r="B440" s="75"/>
      <c r="C440" s="75"/>
    </row>
    <row r="441" spans="1:3" x14ac:dyDescent="0.35">
      <c r="A441" s="17"/>
      <c r="B441" s="75"/>
      <c r="C441" s="75"/>
    </row>
    <row r="442" spans="1:3" x14ac:dyDescent="0.35">
      <c r="A442" s="17"/>
      <c r="B442" s="75"/>
      <c r="C442" s="75"/>
    </row>
    <row r="443" spans="1:3" x14ac:dyDescent="0.35">
      <c r="A443" s="17"/>
      <c r="B443" s="75"/>
      <c r="C443" s="75"/>
    </row>
    <row r="444" spans="1:3" x14ac:dyDescent="0.35">
      <c r="A444" s="17"/>
      <c r="B444" s="75"/>
      <c r="C444" s="75"/>
    </row>
    <row r="445" spans="1:3" x14ac:dyDescent="0.35">
      <c r="A445" s="17"/>
      <c r="B445" s="75"/>
      <c r="C445" s="75"/>
    </row>
    <row r="446" spans="1:3" x14ac:dyDescent="0.35">
      <c r="A446" s="17"/>
      <c r="B446" s="75"/>
      <c r="C446" s="75"/>
    </row>
    <row r="447" spans="1:3" x14ac:dyDescent="0.35">
      <c r="A447" s="17"/>
      <c r="B447" s="75"/>
      <c r="C447" s="75"/>
    </row>
    <row r="448" spans="1:3" x14ac:dyDescent="0.35">
      <c r="A448" s="17"/>
      <c r="B448" s="75"/>
      <c r="C448" s="75"/>
    </row>
    <row r="449" spans="1:3" x14ac:dyDescent="0.35">
      <c r="A449" s="17"/>
      <c r="B449" s="75"/>
      <c r="C449" s="75"/>
    </row>
    <row r="450" spans="1:3" x14ac:dyDescent="0.35">
      <c r="A450" s="17"/>
      <c r="B450" s="75"/>
      <c r="C450" s="75"/>
    </row>
    <row r="451" spans="1:3" x14ac:dyDescent="0.35">
      <c r="A451" s="17"/>
      <c r="B451" s="75"/>
      <c r="C451" s="75"/>
    </row>
    <row r="452" spans="1:3" x14ac:dyDescent="0.35">
      <c r="A452" s="17"/>
      <c r="B452" s="75"/>
      <c r="C452" s="75"/>
    </row>
    <row r="453" spans="1:3" x14ac:dyDescent="0.35">
      <c r="A453" s="17"/>
      <c r="B453" s="75"/>
      <c r="C453" s="75"/>
    </row>
    <row r="454" spans="1:3" x14ac:dyDescent="0.35">
      <c r="A454" s="17"/>
      <c r="B454" s="75"/>
      <c r="C454" s="75"/>
    </row>
    <row r="455" spans="1:3" x14ac:dyDescent="0.35">
      <c r="A455" s="17"/>
      <c r="B455" s="75"/>
      <c r="C455" s="75"/>
    </row>
    <row r="456" spans="1:3" x14ac:dyDescent="0.35">
      <c r="A456" s="17"/>
      <c r="B456" s="75"/>
      <c r="C456" s="75"/>
    </row>
    <row r="457" spans="1:3" x14ac:dyDescent="0.35">
      <c r="A457" s="17"/>
      <c r="B457" s="75"/>
      <c r="C457" s="75"/>
    </row>
    <row r="458" spans="1:3" x14ac:dyDescent="0.35">
      <c r="A458" s="17"/>
      <c r="B458" s="75"/>
      <c r="C458" s="75"/>
    </row>
    <row r="459" spans="1:3" x14ac:dyDescent="0.35">
      <c r="A459" s="17"/>
      <c r="B459" s="75"/>
      <c r="C459" s="75"/>
    </row>
    <row r="460" spans="1:3" x14ac:dyDescent="0.35">
      <c r="A460" s="17"/>
      <c r="B460" s="75"/>
      <c r="C460" s="75"/>
    </row>
    <row r="461" spans="1:3" x14ac:dyDescent="0.35">
      <c r="A461" s="17"/>
      <c r="B461" s="75"/>
      <c r="C461" s="75"/>
    </row>
    <row r="462" spans="1:3" x14ac:dyDescent="0.35">
      <c r="A462" s="17"/>
      <c r="B462" s="75"/>
      <c r="C462" s="75"/>
    </row>
    <row r="463" spans="1:3" x14ac:dyDescent="0.35">
      <c r="A463" s="17"/>
      <c r="B463" s="75"/>
      <c r="C463" s="75"/>
    </row>
    <row r="464" spans="1:3" x14ac:dyDescent="0.35">
      <c r="A464" s="17"/>
      <c r="B464" s="75"/>
      <c r="C464" s="75"/>
    </row>
    <row r="465" spans="1:3" x14ac:dyDescent="0.35">
      <c r="A465" s="17"/>
      <c r="B465" s="75"/>
      <c r="C465" s="75"/>
    </row>
    <row r="466" spans="1:3" x14ac:dyDescent="0.35">
      <c r="A466" s="17"/>
      <c r="B466" s="75"/>
      <c r="C466" s="75"/>
    </row>
    <row r="467" spans="1:3" x14ac:dyDescent="0.35">
      <c r="A467" s="17"/>
      <c r="B467" s="75"/>
      <c r="C467" s="75"/>
    </row>
    <row r="468" spans="1:3" x14ac:dyDescent="0.35">
      <c r="A468" s="17"/>
      <c r="B468" s="75"/>
      <c r="C468" s="75"/>
    </row>
    <row r="469" spans="1:3" x14ac:dyDescent="0.35">
      <c r="A469" s="17"/>
      <c r="B469" s="75"/>
      <c r="C469" s="75"/>
    </row>
    <row r="470" spans="1:3" x14ac:dyDescent="0.35">
      <c r="A470" s="17"/>
      <c r="B470" s="75"/>
      <c r="C470" s="75"/>
    </row>
    <row r="471" spans="1:3" x14ac:dyDescent="0.35">
      <c r="A471" s="17"/>
      <c r="B471" s="75"/>
      <c r="C471" s="75"/>
    </row>
    <row r="472" spans="1:3" x14ac:dyDescent="0.35">
      <c r="A472" s="17"/>
      <c r="B472" s="75"/>
      <c r="C472" s="75"/>
    </row>
    <row r="473" spans="1:3" x14ac:dyDescent="0.35">
      <c r="A473" s="17"/>
      <c r="B473" s="75"/>
      <c r="C473" s="75"/>
    </row>
    <row r="474" spans="1:3" x14ac:dyDescent="0.35">
      <c r="A474" s="17"/>
      <c r="B474" s="75"/>
      <c r="C474" s="75"/>
    </row>
    <row r="475" spans="1:3" x14ac:dyDescent="0.35">
      <c r="A475" s="17"/>
      <c r="B475" s="75"/>
      <c r="C475" s="75"/>
    </row>
    <row r="476" spans="1:3" x14ac:dyDescent="0.35">
      <c r="A476" s="17"/>
      <c r="B476" s="75"/>
      <c r="C476" s="75"/>
    </row>
    <row r="477" spans="1:3" x14ac:dyDescent="0.35">
      <c r="A477" s="17"/>
      <c r="B477" s="75"/>
      <c r="C477" s="75"/>
    </row>
    <row r="478" spans="1:3" x14ac:dyDescent="0.35">
      <c r="A478" s="17"/>
      <c r="B478" s="75"/>
      <c r="C478" s="75"/>
    </row>
    <row r="479" spans="1:3" x14ac:dyDescent="0.35">
      <c r="A479" s="17"/>
      <c r="B479" s="75"/>
      <c r="C479" s="75"/>
    </row>
    <row r="480" spans="1:3" x14ac:dyDescent="0.35">
      <c r="A480" s="17"/>
      <c r="B480" s="75"/>
      <c r="C480" s="75"/>
    </row>
    <row r="481" spans="1:3" x14ac:dyDescent="0.35">
      <c r="A481" s="17"/>
      <c r="B481" s="75"/>
      <c r="C481" s="75"/>
    </row>
    <row r="482" spans="1:3" x14ac:dyDescent="0.35">
      <c r="A482" s="17"/>
      <c r="B482" s="75"/>
      <c r="C482" s="75"/>
    </row>
    <row r="483" spans="1:3" x14ac:dyDescent="0.35">
      <c r="A483" s="17"/>
      <c r="B483" s="75"/>
      <c r="C483" s="75"/>
    </row>
    <row r="484" spans="1:3" x14ac:dyDescent="0.35">
      <c r="A484" s="17"/>
      <c r="B484" s="75"/>
      <c r="C484" s="75"/>
    </row>
    <row r="485" spans="1:3" x14ac:dyDescent="0.35">
      <c r="A485" s="17"/>
      <c r="B485" s="75"/>
      <c r="C485" s="75"/>
    </row>
    <row r="486" spans="1:3" x14ac:dyDescent="0.35">
      <c r="A486" s="17"/>
      <c r="B486" s="75"/>
      <c r="C486" s="75"/>
    </row>
    <row r="487" spans="1:3" x14ac:dyDescent="0.35">
      <c r="A487" s="17"/>
      <c r="B487" s="75"/>
      <c r="C487" s="75"/>
    </row>
    <row r="488" spans="1:3" x14ac:dyDescent="0.35">
      <c r="A488" s="17"/>
      <c r="B488" s="75"/>
      <c r="C488" s="75"/>
    </row>
    <row r="489" spans="1:3" x14ac:dyDescent="0.35">
      <c r="A489" s="17"/>
      <c r="B489" s="75"/>
      <c r="C489" s="75"/>
    </row>
    <row r="490" spans="1:3" x14ac:dyDescent="0.35">
      <c r="A490" s="17"/>
      <c r="B490" s="75"/>
      <c r="C490" s="75"/>
    </row>
    <row r="491" spans="1:3" x14ac:dyDescent="0.35">
      <c r="A491" s="17"/>
      <c r="B491" s="75"/>
      <c r="C491" s="75"/>
    </row>
    <row r="492" spans="1:3" x14ac:dyDescent="0.35">
      <c r="A492" s="17"/>
      <c r="B492" s="75"/>
      <c r="C492" s="75"/>
    </row>
    <row r="493" spans="1:3" x14ac:dyDescent="0.35">
      <c r="A493" s="17"/>
      <c r="B493" s="75"/>
      <c r="C493" s="75"/>
    </row>
    <row r="494" spans="1:3" x14ac:dyDescent="0.35">
      <c r="A494" s="17"/>
      <c r="B494" s="75"/>
      <c r="C494" s="75"/>
    </row>
    <row r="495" spans="1:3" x14ac:dyDescent="0.35">
      <c r="A495" s="17"/>
      <c r="B495" s="75"/>
      <c r="C495" s="75"/>
    </row>
    <row r="496" spans="1:3" x14ac:dyDescent="0.35">
      <c r="A496" s="17"/>
      <c r="B496" s="75"/>
      <c r="C496" s="75"/>
    </row>
    <row r="497" spans="1:3" x14ac:dyDescent="0.35">
      <c r="A497" s="17"/>
      <c r="B497" s="75"/>
      <c r="C497" s="75"/>
    </row>
    <row r="498" spans="1:3" x14ac:dyDescent="0.35">
      <c r="A498" s="17"/>
      <c r="B498" s="75"/>
      <c r="C498" s="75"/>
    </row>
    <row r="499" spans="1:3" x14ac:dyDescent="0.35">
      <c r="A499" s="17"/>
      <c r="B499" s="75"/>
      <c r="C499" s="75"/>
    </row>
    <row r="500" spans="1:3" x14ac:dyDescent="0.35">
      <c r="A500" s="17"/>
      <c r="B500" s="75"/>
      <c r="C500" s="75"/>
    </row>
    <row r="501" spans="1:3" x14ac:dyDescent="0.35">
      <c r="A501" s="17"/>
      <c r="B501" s="75"/>
      <c r="C501" s="75"/>
    </row>
    <row r="502" spans="1:3" x14ac:dyDescent="0.35">
      <c r="A502" s="17"/>
      <c r="B502" s="75"/>
      <c r="C502" s="75"/>
    </row>
    <row r="503" spans="1:3" x14ac:dyDescent="0.35">
      <c r="A503" s="17"/>
      <c r="B503" s="75"/>
      <c r="C503" s="75"/>
    </row>
    <row r="504" spans="1:3" x14ac:dyDescent="0.35">
      <c r="A504" s="17"/>
      <c r="B504" s="75"/>
      <c r="C504" s="75"/>
    </row>
    <row r="505" spans="1:3" x14ac:dyDescent="0.35">
      <c r="A505" s="17"/>
      <c r="B505" s="75"/>
      <c r="C505" s="75"/>
    </row>
    <row r="506" spans="1:3" x14ac:dyDescent="0.35">
      <c r="A506" s="17"/>
      <c r="B506" s="75"/>
      <c r="C506" s="75"/>
    </row>
    <row r="507" spans="1:3" x14ac:dyDescent="0.35">
      <c r="A507" s="17"/>
      <c r="B507" s="75"/>
      <c r="C507" s="75"/>
    </row>
    <row r="508" spans="1:3" x14ac:dyDescent="0.35">
      <c r="A508" s="17"/>
      <c r="B508" s="75"/>
      <c r="C508" s="75"/>
    </row>
    <row r="509" spans="1:3" x14ac:dyDescent="0.35">
      <c r="A509" s="17"/>
      <c r="B509" s="75"/>
      <c r="C509" s="75"/>
    </row>
    <row r="510" spans="1:3" x14ac:dyDescent="0.35">
      <c r="A510" s="17"/>
      <c r="B510" s="75"/>
      <c r="C510" s="75"/>
    </row>
    <row r="511" spans="1:3" x14ac:dyDescent="0.35">
      <c r="A511" s="17"/>
      <c r="B511" s="75"/>
      <c r="C511" s="75"/>
    </row>
    <row r="512" spans="1:3" x14ac:dyDescent="0.35">
      <c r="A512" s="17"/>
      <c r="B512" s="75"/>
      <c r="C512" s="75"/>
    </row>
    <row r="513" spans="1:3" x14ac:dyDescent="0.35">
      <c r="A513" s="17"/>
      <c r="B513" s="75"/>
      <c r="C513" s="75"/>
    </row>
    <row r="514" spans="1:3" x14ac:dyDescent="0.35">
      <c r="A514" s="17"/>
      <c r="B514" s="75"/>
      <c r="C514" s="75"/>
    </row>
    <row r="515" spans="1:3" x14ac:dyDescent="0.35">
      <c r="A515" s="17"/>
      <c r="B515" s="75"/>
      <c r="C515" s="75"/>
    </row>
    <row r="516" spans="1:3" x14ac:dyDescent="0.35">
      <c r="A516" s="17"/>
      <c r="B516" s="75"/>
      <c r="C516" s="75"/>
    </row>
    <row r="517" spans="1:3" x14ac:dyDescent="0.35">
      <c r="A517" s="17"/>
      <c r="B517" s="75"/>
      <c r="C517" s="75"/>
    </row>
    <row r="518" spans="1:3" x14ac:dyDescent="0.35">
      <c r="A518" s="17"/>
      <c r="B518" s="75"/>
      <c r="C518" s="75"/>
    </row>
    <row r="519" spans="1:3" x14ac:dyDescent="0.35">
      <c r="A519" s="17"/>
      <c r="B519" s="75"/>
      <c r="C519" s="75"/>
    </row>
    <row r="520" spans="1:3" x14ac:dyDescent="0.35">
      <c r="A520" s="17"/>
      <c r="B520" s="75"/>
      <c r="C520" s="75"/>
    </row>
    <row r="521" spans="1:3" x14ac:dyDescent="0.35">
      <c r="A521" s="17"/>
      <c r="B521" s="75"/>
      <c r="C521" s="75"/>
    </row>
    <row r="522" spans="1:3" x14ac:dyDescent="0.35">
      <c r="A522" s="17"/>
      <c r="B522" s="75"/>
      <c r="C522" s="75"/>
    </row>
    <row r="523" spans="1:3" x14ac:dyDescent="0.35">
      <c r="A523" s="17"/>
      <c r="B523" s="75"/>
      <c r="C523" s="75"/>
    </row>
    <row r="524" spans="1:3" x14ac:dyDescent="0.35">
      <c r="A524" s="17"/>
      <c r="B524" s="75"/>
      <c r="C524" s="75"/>
    </row>
    <row r="525" spans="1:3" x14ac:dyDescent="0.35">
      <c r="A525" s="17"/>
      <c r="B525" s="75"/>
      <c r="C525" s="75"/>
    </row>
    <row r="526" spans="1:3" x14ac:dyDescent="0.35">
      <c r="A526" s="17"/>
      <c r="B526" s="75"/>
      <c r="C526" s="75"/>
    </row>
    <row r="527" spans="1:3" x14ac:dyDescent="0.35">
      <c r="A527" s="17"/>
      <c r="B527" s="75"/>
      <c r="C527" s="75"/>
    </row>
    <row r="528" spans="1:3" x14ac:dyDescent="0.35">
      <c r="A528" s="17"/>
      <c r="B528" s="75"/>
      <c r="C528" s="75"/>
    </row>
    <row r="529" spans="1:3" x14ac:dyDescent="0.35">
      <c r="A529" s="17"/>
      <c r="B529" s="75"/>
      <c r="C529" s="75"/>
    </row>
    <row r="530" spans="1:3" x14ac:dyDescent="0.35">
      <c r="A530" s="17"/>
      <c r="B530" s="75"/>
      <c r="C530" s="75"/>
    </row>
    <row r="531" spans="1:3" x14ac:dyDescent="0.35">
      <c r="A531" s="17"/>
      <c r="B531" s="75"/>
      <c r="C531" s="75"/>
    </row>
    <row r="532" spans="1:3" x14ac:dyDescent="0.35">
      <c r="A532" s="17"/>
      <c r="B532" s="75"/>
      <c r="C532" s="75"/>
    </row>
    <row r="533" spans="1:3" x14ac:dyDescent="0.35">
      <c r="A533" s="17"/>
      <c r="B533" s="75"/>
      <c r="C533" s="75"/>
    </row>
    <row r="534" spans="1:3" x14ac:dyDescent="0.35">
      <c r="A534" s="17"/>
      <c r="B534" s="75"/>
      <c r="C534" s="75"/>
    </row>
    <row r="535" spans="1:3" x14ac:dyDescent="0.35">
      <c r="A535" s="17"/>
      <c r="B535" s="75"/>
      <c r="C535" s="75"/>
    </row>
    <row r="536" spans="1:3" x14ac:dyDescent="0.35">
      <c r="A536" s="17"/>
      <c r="B536" s="75"/>
      <c r="C536" s="75"/>
    </row>
    <row r="537" spans="1:3" x14ac:dyDescent="0.35">
      <c r="A537" s="17"/>
      <c r="B537" s="75"/>
      <c r="C537" s="75"/>
    </row>
    <row r="538" spans="1:3" x14ac:dyDescent="0.35">
      <c r="A538" s="17"/>
      <c r="B538" s="75"/>
      <c r="C538" s="75"/>
    </row>
    <row r="539" spans="1:3" x14ac:dyDescent="0.35">
      <c r="A539" s="17"/>
      <c r="B539" s="75"/>
      <c r="C539" s="75"/>
    </row>
    <row r="540" spans="1:3" x14ac:dyDescent="0.35">
      <c r="A540" s="17"/>
      <c r="B540" s="75"/>
      <c r="C540" s="75"/>
    </row>
    <row r="541" spans="1:3" x14ac:dyDescent="0.35">
      <c r="A541" s="17"/>
      <c r="B541" s="75"/>
      <c r="C541" s="75"/>
    </row>
    <row r="542" spans="1:3" x14ac:dyDescent="0.35">
      <c r="A542" s="17"/>
      <c r="B542" s="75"/>
      <c r="C542" s="75"/>
    </row>
    <row r="543" spans="1:3" x14ac:dyDescent="0.35">
      <c r="A543" s="17"/>
      <c r="B543" s="75"/>
      <c r="C543" s="75"/>
    </row>
    <row r="544" spans="1:3" x14ac:dyDescent="0.35">
      <c r="A544" s="17"/>
      <c r="B544" s="75"/>
      <c r="C544" s="75"/>
    </row>
    <row r="545" spans="1:3" x14ac:dyDescent="0.35">
      <c r="A545" s="17"/>
      <c r="B545" s="75"/>
      <c r="C545" s="75"/>
    </row>
    <row r="546" spans="1:3" x14ac:dyDescent="0.35">
      <c r="A546" s="17"/>
      <c r="B546" s="75"/>
      <c r="C546" s="75"/>
    </row>
    <row r="547" spans="1:3" x14ac:dyDescent="0.35">
      <c r="A547" s="17"/>
      <c r="B547" s="75"/>
      <c r="C547" s="75"/>
    </row>
    <row r="548" spans="1:3" x14ac:dyDescent="0.35">
      <c r="A548" s="17"/>
      <c r="B548" s="75"/>
      <c r="C548" s="75"/>
    </row>
    <row r="549" spans="1:3" x14ac:dyDescent="0.35">
      <c r="A549" s="17"/>
      <c r="B549" s="75"/>
      <c r="C549" s="75"/>
    </row>
    <row r="550" spans="1:3" x14ac:dyDescent="0.35">
      <c r="A550" s="17"/>
      <c r="B550" s="75"/>
      <c r="C550" s="75"/>
    </row>
    <row r="551" spans="1:3" x14ac:dyDescent="0.35">
      <c r="A551" s="17"/>
      <c r="B551" s="75"/>
      <c r="C551" s="75"/>
    </row>
    <row r="552" spans="1:3" x14ac:dyDescent="0.35">
      <c r="A552" s="17"/>
      <c r="B552" s="75"/>
      <c r="C552" s="75"/>
    </row>
    <row r="553" spans="1:3" x14ac:dyDescent="0.35">
      <c r="A553" s="17"/>
      <c r="B553" s="75"/>
      <c r="C553" s="75"/>
    </row>
    <row r="554" spans="1:3" x14ac:dyDescent="0.35">
      <c r="A554" s="17"/>
      <c r="B554" s="75"/>
      <c r="C554" s="75"/>
    </row>
    <row r="555" spans="1:3" x14ac:dyDescent="0.35">
      <c r="A555" s="17"/>
      <c r="B555" s="75"/>
      <c r="C555" s="75"/>
    </row>
    <row r="556" spans="1:3" x14ac:dyDescent="0.35">
      <c r="A556" s="17"/>
      <c r="B556" s="75"/>
      <c r="C556" s="75"/>
    </row>
    <row r="557" spans="1:3" x14ac:dyDescent="0.35">
      <c r="A557" s="17"/>
      <c r="B557" s="75"/>
      <c r="C557" s="75"/>
    </row>
    <row r="558" spans="1:3" x14ac:dyDescent="0.35">
      <c r="A558" s="17"/>
      <c r="B558" s="75"/>
      <c r="C558" s="75"/>
    </row>
    <row r="559" spans="1:3" x14ac:dyDescent="0.35">
      <c r="A559" s="17"/>
      <c r="B559" s="75"/>
      <c r="C559" s="75"/>
    </row>
    <row r="560" spans="1:3" x14ac:dyDescent="0.35">
      <c r="A560" s="17"/>
      <c r="B560" s="75"/>
      <c r="C560" s="75"/>
    </row>
    <row r="561" spans="1:3" x14ac:dyDescent="0.35">
      <c r="A561" s="17"/>
      <c r="B561" s="75"/>
      <c r="C561" s="75"/>
    </row>
    <row r="562" spans="1:3" x14ac:dyDescent="0.35">
      <c r="A562" s="17"/>
      <c r="B562" s="75"/>
      <c r="C562" s="75"/>
    </row>
    <row r="563" spans="1:3" x14ac:dyDescent="0.35">
      <c r="A563" s="17"/>
      <c r="B563" s="75"/>
      <c r="C563" s="75"/>
    </row>
    <row r="564" spans="1:3" x14ac:dyDescent="0.35">
      <c r="A564" s="17"/>
      <c r="B564" s="75"/>
      <c r="C564" s="75"/>
    </row>
    <row r="565" spans="1:3" x14ac:dyDescent="0.35">
      <c r="A565" s="17"/>
      <c r="B565" s="75"/>
      <c r="C565" s="75"/>
    </row>
    <row r="566" spans="1:3" x14ac:dyDescent="0.35">
      <c r="A566" s="17"/>
      <c r="B566" s="75"/>
      <c r="C566" s="75"/>
    </row>
    <row r="567" spans="1:3" x14ac:dyDescent="0.35">
      <c r="A567" s="17"/>
      <c r="B567" s="75"/>
      <c r="C567" s="75"/>
    </row>
    <row r="568" spans="1:3" x14ac:dyDescent="0.35">
      <c r="A568" s="17"/>
      <c r="B568" s="75"/>
      <c r="C568" s="75"/>
    </row>
    <row r="569" spans="1:3" x14ac:dyDescent="0.35">
      <c r="A569" s="17"/>
      <c r="B569" s="75"/>
      <c r="C569" s="75"/>
    </row>
    <row r="570" spans="1:3" x14ac:dyDescent="0.35">
      <c r="A570" s="17"/>
      <c r="B570" s="75"/>
      <c r="C570" s="75"/>
    </row>
    <row r="571" spans="1:3" x14ac:dyDescent="0.35">
      <c r="A571" s="17"/>
      <c r="B571" s="75"/>
      <c r="C571" s="75"/>
    </row>
    <row r="572" spans="1:3" x14ac:dyDescent="0.35">
      <c r="A572" s="17"/>
      <c r="B572" s="75"/>
      <c r="C572" s="75"/>
    </row>
    <row r="573" spans="1:3" x14ac:dyDescent="0.35">
      <c r="A573" s="17"/>
      <c r="B573" s="75"/>
      <c r="C573" s="75"/>
    </row>
    <row r="574" spans="1:3" x14ac:dyDescent="0.35">
      <c r="A574" s="17"/>
      <c r="B574" s="75"/>
      <c r="C574" s="75"/>
    </row>
    <row r="575" spans="1:3" x14ac:dyDescent="0.35">
      <c r="A575" s="17"/>
      <c r="B575" s="75"/>
      <c r="C575" s="75"/>
    </row>
    <row r="576" spans="1:3" x14ac:dyDescent="0.35">
      <c r="A576" s="17"/>
      <c r="B576" s="75"/>
      <c r="C576" s="75"/>
    </row>
    <row r="577" spans="1:3" x14ac:dyDescent="0.35">
      <c r="A577" s="17"/>
      <c r="B577" s="75"/>
      <c r="C577" s="75"/>
    </row>
    <row r="578" spans="1:3" x14ac:dyDescent="0.35">
      <c r="A578" s="17"/>
      <c r="B578" s="75"/>
      <c r="C578" s="75"/>
    </row>
    <row r="579" spans="1:3" x14ac:dyDescent="0.35">
      <c r="A579" s="17"/>
      <c r="B579" s="75"/>
      <c r="C579" s="75"/>
    </row>
    <row r="580" spans="1:3" x14ac:dyDescent="0.35">
      <c r="A580" s="17"/>
      <c r="B580" s="75"/>
      <c r="C580" s="75"/>
    </row>
    <row r="581" spans="1:3" x14ac:dyDescent="0.35">
      <c r="A581" s="17"/>
      <c r="B581" s="75"/>
      <c r="C581" s="75"/>
    </row>
    <row r="582" spans="1:3" x14ac:dyDescent="0.35">
      <c r="A582" s="17"/>
      <c r="B582" s="75"/>
      <c r="C582" s="75"/>
    </row>
    <row r="583" spans="1:3" x14ac:dyDescent="0.35">
      <c r="A583" s="17"/>
      <c r="B583" s="75"/>
      <c r="C583" s="75"/>
    </row>
    <row r="584" spans="1:3" x14ac:dyDescent="0.35">
      <c r="A584" s="17"/>
      <c r="B584" s="75"/>
      <c r="C584" s="75"/>
    </row>
    <row r="585" spans="1:3" x14ac:dyDescent="0.35">
      <c r="A585" s="17"/>
      <c r="B585" s="75"/>
      <c r="C585" s="75"/>
    </row>
    <row r="586" spans="1:3" x14ac:dyDescent="0.35">
      <c r="A586" s="17"/>
      <c r="B586" s="75"/>
      <c r="C586" s="75"/>
    </row>
    <row r="587" spans="1:3" x14ac:dyDescent="0.35">
      <c r="A587" s="17"/>
      <c r="B587" s="75"/>
      <c r="C587" s="75"/>
    </row>
    <row r="588" spans="1:3" x14ac:dyDescent="0.35">
      <c r="A588" s="17"/>
      <c r="B588" s="75"/>
      <c r="C588" s="75"/>
    </row>
    <row r="589" spans="1:3" x14ac:dyDescent="0.35">
      <c r="A589" s="17"/>
      <c r="B589" s="75"/>
      <c r="C589" s="75"/>
    </row>
    <row r="590" spans="1:3" x14ac:dyDescent="0.35">
      <c r="A590" s="17"/>
      <c r="B590" s="75"/>
      <c r="C590" s="75"/>
    </row>
    <row r="591" spans="1:3" x14ac:dyDescent="0.35">
      <c r="A591" s="17"/>
      <c r="B591" s="75"/>
      <c r="C591" s="75"/>
    </row>
    <row r="592" spans="1:3" x14ac:dyDescent="0.35">
      <c r="A592" s="17"/>
      <c r="B592" s="75"/>
      <c r="C592" s="75"/>
    </row>
    <row r="593" spans="1:3" x14ac:dyDescent="0.35">
      <c r="A593" s="17"/>
      <c r="B593" s="75"/>
      <c r="C593" s="75"/>
    </row>
    <row r="594" spans="1:3" x14ac:dyDescent="0.35">
      <c r="A594" s="17"/>
      <c r="B594" s="75"/>
      <c r="C594" s="75"/>
    </row>
    <row r="595" spans="1:3" x14ac:dyDescent="0.35">
      <c r="A595" s="17"/>
      <c r="B595" s="75"/>
      <c r="C595" s="75"/>
    </row>
    <row r="596" spans="1:3" x14ac:dyDescent="0.35">
      <c r="A596" s="17"/>
      <c r="B596" s="75"/>
      <c r="C596" s="75"/>
    </row>
    <row r="597" spans="1:3" x14ac:dyDescent="0.35">
      <c r="A597" s="17"/>
      <c r="B597" s="75"/>
      <c r="C597" s="75"/>
    </row>
    <row r="598" spans="1:3" x14ac:dyDescent="0.35">
      <c r="A598" s="17"/>
      <c r="B598" s="75"/>
      <c r="C598" s="75"/>
    </row>
    <row r="599" spans="1:3" x14ac:dyDescent="0.35">
      <c r="A599" s="17"/>
      <c r="B599" s="75"/>
      <c r="C599" s="75"/>
    </row>
    <row r="600" spans="1:3" x14ac:dyDescent="0.35">
      <c r="A600" s="17"/>
      <c r="B600" s="75"/>
      <c r="C600" s="75"/>
    </row>
    <row r="601" spans="1:3" x14ac:dyDescent="0.35">
      <c r="A601" s="17"/>
      <c r="B601" s="75"/>
      <c r="C601" s="75"/>
    </row>
    <row r="602" spans="1:3" x14ac:dyDescent="0.35">
      <c r="A602" s="17"/>
      <c r="B602" s="75"/>
      <c r="C602" s="75"/>
    </row>
    <row r="603" spans="1:3" x14ac:dyDescent="0.35">
      <c r="A603" s="17"/>
      <c r="B603" s="75"/>
      <c r="C603" s="75"/>
    </row>
    <row r="604" spans="1:3" x14ac:dyDescent="0.35">
      <c r="A604" s="17"/>
      <c r="B604" s="75"/>
      <c r="C604" s="75"/>
    </row>
    <row r="605" spans="1:3" x14ac:dyDescent="0.35">
      <c r="A605" s="17"/>
      <c r="B605" s="75"/>
      <c r="C605" s="75"/>
    </row>
    <row r="606" spans="1:3" x14ac:dyDescent="0.35">
      <c r="A606" s="17"/>
      <c r="B606" s="75"/>
      <c r="C606" s="75"/>
    </row>
    <row r="607" spans="1:3" x14ac:dyDescent="0.35">
      <c r="A607" s="17"/>
      <c r="B607" s="75"/>
      <c r="C607" s="75"/>
    </row>
    <row r="608" spans="1:3" x14ac:dyDescent="0.35">
      <c r="A608" s="17"/>
      <c r="B608" s="75"/>
      <c r="C608" s="75"/>
    </row>
    <row r="609" spans="1:3" x14ac:dyDescent="0.35">
      <c r="A609" s="17"/>
      <c r="B609" s="75"/>
      <c r="C609" s="75"/>
    </row>
    <row r="610" spans="1:3" x14ac:dyDescent="0.35">
      <c r="A610" s="17"/>
      <c r="B610" s="75"/>
      <c r="C610" s="75"/>
    </row>
    <row r="611" spans="1:3" x14ac:dyDescent="0.35">
      <c r="A611" s="17"/>
      <c r="B611" s="75"/>
      <c r="C611" s="75"/>
    </row>
    <row r="612" spans="1:3" x14ac:dyDescent="0.35">
      <c r="A612" s="17"/>
      <c r="B612" s="75"/>
      <c r="C612" s="75"/>
    </row>
    <row r="613" spans="1:3" x14ac:dyDescent="0.35">
      <c r="A613" s="17"/>
      <c r="B613" s="75"/>
      <c r="C613" s="75"/>
    </row>
    <row r="614" spans="1:3" x14ac:dyDescent="0.35">
      <c r="A614" s="17"/>
      <c r="B614" s="75"/>
      <c r="C614" s="75"/>
    </row>
    <row r="615" spans="1:3" x14ac:dyDescent="0.35">
      <c r="A615" s="17"/>
      <c r="B615" s="75"/>
      <c r="C615" s="75"/>
    </row>
    <row r="616" spans="1:3" x14ac:dyDescent="0.35">
      <c r="A616" s="17"/>
      <c r="B616" s="75"/>
      <c r="C616" s="75"/>
    </row>
    <row r="617" spans="1:3" x14ac:dyDescent="0.35">
      <c r="A617" s="17"/>
      <c r="B617" s="75"/>
      <c r="C617" s="75"/>
    </row>
    <row r="618" spans="1:3" x14ac:dyDescent="0.35">
      <c r="A618" s="17"/>
      <c r="B618" s="75"/>
      <c r="C618" s="75"/>
    </row>
    <row r="619" spans="1:3" x14ac:dyDescent="0.35">
      <c r="A619" s="17"/>
      <c r="B619" s="75"/>
      <c r="C619" s="75"/>
    </row>
    <row r="620" spans="1:3" x14ac:dyDescent="0.35">
      <c r="A620" s="17"/>
      <c r="B620" s="75"/>
      <c r="C620" s="75"/>
    </row>
    <row r="621" spans="1:3" x14ac:dyDescent="0.35">
      <c r="A621" s="17"/>
      <c r="B621" s="75"/>
      <c r="C621" s="75"/>
    </row>
    <row r="622" spans="1:3" x14ac:dyDescent="0.35">
      <c r="A622" s="17"/>
      <c r="B622" s="75"/>
      <c r="C622" s="75"/>
    </row>
    <row r="623" spans="1:3" x14ac:dyDescent="0.35">
      <c r="A623" s="17"/>
      <c r="B623" s="75"/>
      <c r="C623" s="75"/>
    </row>
    <row r="624" spans="1:3" x14ac:dyDescent="0.35">
      <c r="A624" s="17"/>
      <c r="B624" s="75"/>
      <c r="C624" s="75"/>
    </row>
    <row r="625" spans="1:3" x14ac:dyDescent="0.35">
      <c r="A625" s="17"/>
      <c r="B625" s="75"/>
      <c r="C625" s="75"/>
    </row>
    <row r="626" spans="1:3" x14ac:dyDescent="0.35">
      <c r="A626" s="17"/>
      <c r="B626" s="75"/>
      <c r="C626" s="75"/>
    </row>
    <row r="627" spans="1:3" x14ac:dyDescent="0.35">
      <c r="A627" s="17"/>
      <c r="B627" s="75"/>
      <c r="C627" s="75"/>
    </row>
    <row r="628" spans="1:3" x14ac:dyDescent="0.35">
      <c r="A628" s="17"/>
      <c r="B628" s="75"/>
      <c r="C628" s="75"/>
    </row>
    <row r="629" spans="1:3" x14ac:dyDescent="0.35">
      <c r="A629" s="17"/>
      <c r="B629" s="75"/>
      <c r="C629" s="75"/>
    </row>
    <row r="630" spans="1:3" x14ac:dyDescent="0.35">
      <c r="A630" s="17"/>
      <c r="B630" s="75"/>
      <c r="C630" s="75"/>
    </row>
    <row r="631" spans="1:3" x14ac:dyDescent="0.35">
      <c r="A631" s="17"/>
      <c r="B631" s="75"/>
      <c r="C631" s="75"/>
    </row>
    <row r="632" spans="1:3" x14ac:dyDescent="0.35">
      <c r="A632" s="17"/>
      <c r="B632" s="75"/>
      <c r="C632" s="75"/>
    </row>
    <row r="633" spans="1:3" x14ac:dyDescent="0.35">
      <c r="A633" s="17"/>
      <c r="B633" s="75"/>
      <c r="C633" s="75"/>
    </row>
    <row r="634" spans="1:3" x14ac:dyDescent="0.35">
      <c r="A634" s="17"/>
      <c r="B634" s="75"/>
      <c r="C634" s="75"/>
    </row>
    <row r="635" spans="1:3" x14ac:dyDescent="0.35">
      <c r="A635" s="17"/>
      <c r="B635" s="75"/>
      <c r="C635" s="75"/>
    </row>
    <row r="636" spans="1:3" x14ac:dyDescent="0.35">
      <c r="A636" s="17"/>
      <c r="B636" s="75"/>
      <c r="C636" s="75"/>
    </row>
    <row r="637" spans="1:3" x14ac:dyDescent="0.35">
      <c r="A637" s="17"/>
      <c r="B637" s="75"/>
      <c r="C637" s="75"/>
    </row>
    <row r="638" spans="1:3" x14ac:dyDescent="0.35">
      <c r="A638" s="17"/>
      <c r="B638" s="75"/>
      <c r="C638" s="75"/>
    </row>
    <row r="639" spans="1:3" x14ac:dyDescent="0.35">
      <c r="A639" s="17"/>
      <c r="B639" s="75"/>
      <c r="C639" s="75"/>
    </row>
    <row r="640" spans="1:3" x14ac:dyDescent="0.35">
      <c r="A640" s="17"/>
      <c r="B640" s="75"/>
      <c r="C640" s="75"/>
    </row>
    <row r="641" spans="1:3" x14ac:dyDescent="0.35">
      <c r="A641" s="17"/>
      <c r="B641" s="75"/>
      <c r="C641" s="75"/>
    </row>
    <row r="642" spans="1:3" x14ac:dyDescent="0.35">
      <c r="A642" s="17"/>
      <c r="B642" s="75"/>
      <c r="C642" s="75"/>
    </row>
    <row r="643" spans="1:3" x14ac:dyDescent="0.35">
      <c r="A643" s="17"/>
      <c r="B643" s="75"/>
      <c r="C643" s="75"/>
    </row>
    <row r="644" spans="1:3" x14ac:dyDescent="0.35">
      <c r="A644" s="17"/>
      <c r="B644" s="75"/>
      <c r="C644" s="75"/>
    </row>
    <row r="645" spans="1:3" x14ac:dyDescent="0.35">
      <c r="A645" s="17"/>
      <c r="B645" s="75"/>
      <c r="C645" s="75"/>
    </row>
    <row r="646" spans="1:3" x14ac:dyDescent="0.35">
      <c r="A646" s="17"/>
      <c r="B646" s="75"/>
      <c r="C646" s="75"/>
    </row>
    <row r="647" spans="1:3" x14ac:dyDescent="0.35">
      <c r="A647" s="17"/>
      <c r="B647" s="75"/>
      <c r="C647" s="75"/>
    </row>
    <row r="648" spans="1:3" x14ac:dyDescent="0.35">
      <c r="A648" s="17"/>
      <c r="B648" s="75"/>
      <c r="C648" s="75"/>
    </row>
    <row r="649" spans="1:3" x14ac:dyDescent="0.35">
      <c r="A649" s="17"/>
      <c r="B649" s="75"/>
      <c r="C649" s="75"/>
    </row>
    <row r="650" spans="1:3" x14ac:dyDescent="0.35">
      <c r="A650" s="17"/>
      <c r="B650" s="75"/>
      <c r="C650" s="75"/>
    </row>
    <row r="651" spans="1:3" x14ac:dyDescent="0.35">
      <c r="A651" s="17"/>
      <c r="B651" s="75"/>
      <c r="C651" s="75"/>
    </row>
    <row r="652" spans="1:3" x14ac:dyDescent="0.35">
      <c r="A652" s="17"/>
      <c r="B652" s="75"/>
      <c r="C652" s="75"/>
    </row>
    <row r="653" spans="1:3" x14ac:dyDescent="0.35">
      <c r="A653" s="17"/>
      <c r="B653" s="75"/>
      <c r="C653" s="75"/>
    </row>
    <row r="654" spans="1:3" x14ac:dyDescent="0.35">
      <c r="A654" s="17"/>
      <c r="B654" s="75"/>
      <c r="C654" s="75"/>
    </row>
    <row r="655" spans="1:3" x14ac:dyDescent="0.35">
      <c r="A655" s="17"/>
      <c r="B655" s="75"/>
      <c r="C655" s="75"/>
    </row>
    <row r="656" spans="1:3" x14ac:dyDescent="0.35">
      <c r="A656" s="17"/>
      <c r="B656" s="75"/>
      <c r="C656" s="75"/>
    </row>
    <row r="657" spans="1:3" x14ac:dyDescent="0.35">
      <c r="A657" s="17"/>
      <c r="B657" s="75"/>
      <c r="C657" s="75"/>
    </row>
    <row r="658" spans="1:3" x14ac:dyDescent="0.35">
      <c r="A658" s="17"/>
      <c r="B658" s="75"/>
      <c r="C658" s="75"/>
    </row>
    <row r="659" spans="1:3" x14ac:dyDescent="0.35">
      <c r="A659" s="17"/>
      <c r="B659" s="75"/>
      <c r="C659" s="75"/>
    </row>
    <row r="660" spans="1:3" x14ac:dyDescent="0.35">
      <c r="A660" s="17"/>
      <c r="B660" s="75"/>
      <c r="C660" s="75"/>
    </row>
    <row r="661" spans="1:3" x14ac:dyDescent="0.35">
      <c r="A661" s="17"/>
      <c r="B661" s="75"/>
      <c r="C661" s="75"/>
    </row>
    <row r="662" spans="1:3" x14ac:dyDescent="0.35">
      <c r="A662" s="17"/>
      <c r="B662" s="75"/>
      <c r="C662" s="75"/>
    </row>
    <row r="663" spans="1:3" x14ac:dyDescent="0.35">
      <c r="A663" s="17"/>
      <c r="B663" s="75"/>
      <c r="C663" s="75"/>
    </row>
    <row r="664" spans="1:3" x14ac:dyDescent="0.35">
      <c r="A664" s="17"/>
      <c r="B664" s="75"/>
      <c r="C664" s="75"/>
    </row>
    <row r="665" spans="1:3" x14ac:dyDescent="0.35">
      <c r="A665" s="17"/>
      <c r="B665" s="75"/>
      <c r="C665" s="75"/>
    </row>
    <row r="666" spans="1:3" x14ac:dyDescent="0.35">
      <c r="A666" s="17"/>
      <c r="B666" s="75"/>
      <c r="C666" s="75"/>
    </row>
    <row r="667" spans="1:3" x14ac:dyDescent="0.35">
      <c r="A667" s="17"/>
      <c r="B667" s="75"/>
      <c r="C667" s="75"/>
    </row>
    <row r="668" spans="1:3" x14ac:dyDescent="0.35">
      <c r="A668" s="17"/>
      <c r="B668" s="75"/>
      <c r="C668" s="75"/>
    </row>
    <row r="669" spans="1:3" x14ac:dyDescent="0.35">
      <c r="A669" s="17"/>
      <c r="B669" s="75"/>
      <c r="C669" s="75"/>
    </row>
    <row r="670" spans="1:3" x14ac:dyDescent="0.35">
      <c r="A670" s="17"/>
      <c r="B670" s="75"/>
      <c r="C670" s="75"/>
    </row>
    <row r="671" spans="1:3" x14ac:dyDescent="0.35">
      <c r="A671" s="17"/>
      <c r="B671" s="75"/>
      <c r="C671" s="75"/>
    </row>
    <row r="672" spans="1:3" x14ac:dyDescent="0.35">
      <c r="A672" s="17"/>
      <c r="B672" s="75"/>
      <c r="C672" s="75"/>
    </row>
    <row r="673" spans="1:3" x14ac:dyDescent="0.35">
      <c r="A673" s="17"/>
      <c r="B673" s="75"/>
      <c r="C673" s="75"/>
    </row>
    <row r="674" spans="1:3" x14ac:dyDescent="0.35">
      <c r="A674" s="17"/>
      <c r="B674" s="75"/>
      <c r="C674" s="75"/>
    </row>
    <row r="675" spans="1:3" x14ac:dyDescent="0.35">
      <c r="A675" s="17"/>
      <c r="B675" s="75"/>
      <c r="C675" s="75"/>
    </row>
    <row r="676" spans="1:3" x14ac:dyDescent="0.35">
      <c r="A676" s="17"/>
      <c r="B676" s="75"/>
      <c r="C676" s="75"/>
    </row>
    <row r="677" spans="1:3" x14ac:dyDescent="0.35">
      <c r="A677" s="17"/>
      <c r="B677" s="75"/>
      <c r="C677" s="75"/>
    </row>
    <row r="678" spans="1:3" x14ac:dyDescent="0.35">
      <c r="A678" s="17"/>
      <c r="B678" s="75"/>
      <c r="C678" s="75"/>
    </row>
    <row r="679" spans="1:3" x14ac:dyDescent="0.35">
      <c r="A679" s="17"/>
      <c r="B679" s="75"/>
      <c r="C679" s="75"/>
    </row>
    <row r="680" spans="1:3" x14ac:dyDescent="0.35">
      <c r="A680" s="17"/>
      <c r="B680" s="75"/>
      <c r="C680" s="75"/>
    </row>
    <row r="681" spans="1:3" x14ac:dyDescent="0.35">
      <c r="A681" s="17"/>
      <c r="B681" s="75"/>
      <c r="C681" s="75"/>
    </row>
    <row r="682" spans="1:3" x14ac:dyDescent="0.35">
      <c r="A682" s="17"/>
      <c r="B682" s="75"/>
      <c r="C682" s="75"/>
    </row>
    <row r="683" spans="1:3" x14ac:dyDescent="0.35">
      <c r="A683" s="17"/>
      <c r="B683" s="75"/>
      <c r="C683" s="75"/>
    </row>
    <row r="684" spans="1:3" x14ac:dyDescent="0.35">
      <c r="A684" s="17"/>
      <c r="B684" s="75"/>
      <c r="C684" s="75"/>
    </row>
    <row r="685" spans="1:3" x14ac:dyDescent="0.35">
      <c r="A685" s="17"/>
      <c r="B685" s="75"/>
      <c r="C685" s="75"/>
    </row>
    <row r="686" spans="1:3" x14ac:dyDescent="0.35">
      <c r="A686" s="17"/>
      <c r="B686" s="75"/>
      <c r="C686" s="75"/>
    </row>
    <row r="687" spans="1:3" x14ac:dyDescent="0.35">
      <c r="A687" s="17"/>
      <c r="B687" s="75"/>
      <c r="C687" s="75"/>
    </row>
    <row r="688" spans="1:3" x14ac:dyDescent="0.35">
      <c r="A688" s="17"/>
      <c r="B688" s="75"/>
      <c r="C688" s="75"/>
    </row>
    <row r="689" spans="1:3" x14ac:dyDescent="0.35">
      <c r="A689" s="17"/>
      <c r="B689" s="75"/>
      <c r="C689" s="75"/>
    </row>
    <row r="690" spans="1:3" x14ac:dyDescent="0.35">
      <c r="A690" s="17"/>
      <c r="B690" s="75"/>
      <c r="C690" s="75"/>
    </row>
    <row r="691" spans="1:3" x14ac:dyDescent="0.35">
      <c r="A691" s="17"/>
      <c r="B691" s="75"/>
      <c r="C691" s="75"/>
    </row>
    <row r="692" spans="1:3" x14ac:dyDescent="0.35">
      <c r="A692" s="17"/>
      <c r="B692" s="75"/>
      <c r="C692" s="75"/>
    </row>
    <row r="693" spans="1:3" x14ac:dyDescent="0.35">
      <c r="A693" s="17"/>
      <c r="B693" s="75"/>
      <c r="C693" s="75"/>
    </row>
    <row r="694" spans="1:3" x14ac:dyDescent="0.35">
      <c r="A694" s="17"/>
      <c r="B694" s="75"/>
      <c r="C694" s="75"/>
    </row>
    <row r="695" spans="1:3" x14ac:dyDescent="0.35">
      <c r="A695" s="17"/>
      <c r="B695" s="75"/>
      <c r="C695" s="75"/>
    </row>
    <row r="696" spans="1:3" x14ac:dyDescent="0.35">
      <c r="A696" s="17"/>
      <c r="B696" s="75"/>
      <c r="C696" s="75"/>
    </row>
    <row r="697" spans="1:3" x14ac:dyDescent="0.35">
      <c r="A697" s="17"/>
      <c r="B697" s="75"/>
      <c r="C697" s="75"/>
    </row>
    <row r="698" spans="1:3" x14ac:dyDescent="0.35">
      <c r="A698" s="17"/>
      <c r="B698" s="75"/>
      <c r="C698" s="75"/>
    </row>
    <row r="699" spans="1:3" x14ac:dyDescent="0.35">
      <c r="A699" s="17"/>
      <c r="B699" s="75"/>
      <c r="C699" s="75"/>
    </row>
    <row r="700" spans="1:3" x14ac:dyDescent="0.35">
      <c r="A700" s="17"/>
      <c r="B700" s="75"/>
      <c r="C700" s="75"/>
    </row>
    <row r="701" spans="1:3" x14ac:dyDescent="0.35">
      <c r="A701" s="17"/>
      <c r="B701" s="75"/>
      <c r="C701" s="75"/>
    </row>
    <row r="702" spans="1:3" x14ac:dyDescent="0.35">
      <c r="A702" s="17"/>
      <c r="B702" s="75"/>
      <c r="C702" s="75"/>
    </row>
    <row r="703" spans="1:3" x14ac:dyDescent="0.35">
      <c r="A703" s="17"/>
      <c r="B703" s="75"/>
      <c r="C703" s="75"/>
    </row>
    <row r="704" spans="1:3" x14ac:dyDescent="0.35">
      <c r="A704" s="17"/>
      <c r="B704" s="75"/>
      <c r="C704" s="75"/>
    </row>
    <row r="705" spans="1:3" x14ac:dyDescent="0.35">
      <c r="A705" s="17"/>
      <c r="B705" s="75"/>
      <c r="C705" s="75"/>
    </row>
    <row r="706" spans="1:3" x14ac:dyDescent="0.35">
      <c r="A706" s="17"/>
      <c r="B706" s="75"/>
      <c r="C706" s="75"/>
    </row>
    <row r="707" spans="1:3" x14ac:dyDescent="0.35">
      <c r="A707" s="17"/>
      <c r="B707" s="75"/>
      <c r="C707" s="75"/>
    </row>
    <row r="708" spans="1:3" x14ac:dyDescent="0.35">
      <c r="A708" s="17"/>
      <c r="B708" s="75"/>
      <c r="C708" s="75"/>
    </row>
    <row r="709" spans="1:3" x14ac:dyDescent="0.35">
      <c r="A709" s="17"/>
      <c r="B709" s="75"/>
      <c r="C709" s="75"/>
    </row>
    <row r="710" spans="1:3" x14ac:dyDescent="0.35">
      <c r="A710" s="17"/>
      <c r="B710" s="75"/>
      <c r="C710" s="75"/>
    </row>
    <row r="711" spans="1:3" x14ac:dyDescent="0.35">
      <c r="A711" s="17"/>
      <c r="B711" s="75"/>
      <c r="C711" s="75"/>
    </row>
    <row r="712" spans="1:3" x14ac:dyDescent="0.35">
      <c r="A712" s="17"/>
      <c r="B712" s="75"/>
      <c r="C712" s="75"/>
    </row>
    <row r="713" spans="1:3" x14ac:dyDescent="0.35">
      <c r="A713" s="17"/>
      <c r="B713" s="75"/>
      <c r="C713" s="75"/>
    </row>
    <row r="714" spans="1:3" x14ac:dyDescent="0.35">
      <c r="A714" s="17"/>
      <c r="B714" s="75"/>
      <c r="C714" s="75"/>
    </row>
    <row r="715" spans="1:3" x14ac:dyDescent="0.35">
      <c r="A715" s="17"/>
      <c r="B715" s="75"/>
      <c r="C715" s="75"/>
    </row>
    <row r="716" spans="1:3" x14ac:dyDescent="0.35">
      <c r="A716" s="17"/>
      <c r="B716" s="75"/>
      <c r="C716" s="75"/>
    </row>
    <row r="717" spans="1:3" x14ac:dyDescent="0.35">
      <c r="A717" s="17"/>
      <c r="B717" s="75"/>
      <c r="C717" s="75"/>
    </row>
    <row r="718" spans="1:3" x14ac:dyDescent="0.35">
      <c r="A718" s="17"/>
      <c r="B718" s="75"/>
      <c r="C718" s="75"/>
    </row>
    <row r="719" spans="1:3" x14ac:dyDescent="0.35">
      <c r="A719" s="17"/>
      <c r="B719" s="75"/>
      <c r="C719" s="75"/>
    </row>
    <row r="720" spans="1:3" x14ac:dyDescent="0.35">
      <c r="A720" s="17"/>
      <c r="B720" s="75"/>
      <c r="C720" s="75"/>
    </row>
    <row r="721" spans="1:3" x14ac:dyDescent="0.35">
      <c r="A721" s="17"/>
      <c r="B721" s="75"/>
      <c r="C721" s="75"/>
    </row>
    <row r="722" spans="1:3" x14ac:dyDescent="0.35">
      <c r="A722" s="17"/>
      <c r="B722" s="75"/>
      <c r="C722" s="75"/>
    </row>
    <row r="723" spans="1:3" x14ac:dyDescent="0.35">
      <c r="A723" s="17"/>
      <c r="B723" s="75"/>
      <c r="C723" s="75"/>
    </row>
    <row r="724" spans="1:3" x14ac:dyDescent="0.35">
      <c r="A724" s="17"/>
      <c r="B724" s="75"/>
      <c r="C724" s="75"/>
    </row>
    <row r="725" spans="1:3" x14ac:dyDescent="0.35">
      <c r="A725" s="17"/>
      <c r="B725" s="75"/>
      <c r="C725" s="75"/>
    </row>
    <row r="726" spans="1:3" x14ac:dyDescent="0.35">
      <c r="A726" s="17"/>
      <c r="B726" s="75"/>
      <c r="C726" s="75"/>
    </row>
    <row r="727" spans="1:3" x14ac:dyDescent="0.35">
      <c r="A727" s="17"/>
      <c r="B727" s="75"/>
      <c r="C727" s="75"/>
    </row>
    <row r="728" spans="1:3" x14ac:dyDescent="0.35">
      <c r="A728" s="17"/>
      <c r="B728" s="75"/>
      <c r="C728" s="75"/>
    </row>
    <row r="729" spans="1:3" x14ac:dyDescent="0.35">
      <c r="A729" s="17"/>
      <c r="B729" s="75"/>
      <c r="C729" s="75"/>
    </row>
    <row r="730" spans="1:3" x14ac:dyDescent="0.35">
      <c r="A730" s="17"/>
      <c r="B730" s="75"/>
      <c r="C730" s="75"/>
    </row>
    <row r="731" spans="1:3" x14ac:dyDescent="0.35">
      <c r="A731" s="17"/>
      <c r="B731" s="75"/>
      <c r="C731" s="75"/>
    </row>
    <row r="732" spans="1:3" x14ac:dyDescent="0.35">
      <c r="A732" s="17"/>
      <c r="B732" s="75"/>
      <c r="C732" s="75"/>
    </row>
    <row r="733" spans="1:3" x14ac:dyDescent="0.35">
      <c r="A733" s="17"/>
      <c r="B733" s="75"/>
      <c r="C733" s="75"/>
    </row>
    <row r="734" spans="1:3" x14ac:dyDescent="0.35">
      <c r="A734" s="17"/>
      <c r="B734" s="75"/>
      <c r="C734" s="75"/>
    </row>
    <row r="735" spans="1:3" x14ac:dyDescent="0.35">
      <c r="A735" s="17"/>
      <c r="B735" s="75"/>
      <c r="C735" s="75"/>
    </row>
    <row r="736" spans="1:3" x14ac:dyDescent="0.35">
      <c r="A736" s="17"/>
      <c r="B736" s="75"/>
      <c r="C736" s="75"/>
    </row>
    <row r="737" spans="1:3" x14ac:dyDescent="0.35">
      <c r="A737" s="17"/>
      <c r="B737" s="75"/>
      <c r="C737" s="75"/>
    </row>
    <row r="738" spans="1:3" x14ac:dyDescent="0.35">
      <c r="A738" s="17"/>
      <c r="B738" s="75"/>
      <c r="C738" s="75"/>
    </row>
    <row r="739" spans="1:3" x14ac:dyDescent="0.35">
      <c r="A739" s="17"/>
      <c r="B739" s="75"/>
      <c r="C739" s="75"/>
    </row>
    <row r="740" spans="1:3" x14ac:dyDescent="0.35">
      <c r="A740" s="17"/>
      <c r="B740" s="75"/>
      <c r="C740" s="75"/>
    </row>
    <row r="741" spans="1:3" x14ac:dyDescent="0.35">
      <c r="A741" s="17"/>
      <c r="B741" s="75"/>
      <c r="C741" s="75"/>
    </row>
    <row r="742" spans="1:3" x14ac:dyDescent="0.35">
      <c r="A742" s="17"/>
      <c r="B742" s="75"/>
      <c r="C742" s="75"/>
    </row>
    <row r="743" spans="1:3" x14ac:dyDescent="0.35">
      <c r="A743" s="17"/>
      <c r="B743" s="75"/>
      <c r="C743" s="75"/>
    </row>
    <row r="744" spans="1:3" x14ac:dyDescent="0.35">
      <c r="A744" s="17"/>
      <c r="B744" s="75"/>
      <c r="C744" s="75"/>
    </row>
    <row r="745" spans="1:3" x14ac:dyDescent="0.35">
      <c r="A745" s="17"/>
      <c r="B745" s="75"/>
      <c r="C745" s="75"/>
    </row>
    <row r="746" spans="1:3" x14ac:dyDescent="0.35">
      <c r="A746" s="17"/>
      <c r="B746" s="75"/>
      <c r="C746" s="75"/>
    </row>
    <row r="747" spans="1:3" x14ac:dyDescent="0.35">
      <c r="A747" s="17"/>
      <c r="B747" s="75"/>
      <c r="C747" s="75"/>
    </row>
    <row r="748" spans="1:3" x14ac:dyDescent="0.35">
      <c r="A748" s="17"/>
      <c r="B748" s="75"/>
      <c r="C748" s="75"/>
    </row>
    <row r="749" spans="1:3" x14ac:dyDescent="0.35">
      <c r="A749" s="17"/>
      <c r="B749" s="75"/>
      <c r="C749" s="75"/>
    </row>
    <row r="750" spans="1:3" x14ac:dyDescent="0.35">
      <c r="A750" s="17"/>
      <c r="B750" s="75"/>
      <c r="C750" s="75"/>
    </row>
    <row r="751" spans="1:3" x14ac:dyDescent="0.35">
      <c r="A751" s="17"/>
      <c r="B751" s="75"/>
      <c r="C751" s="75"/>
    </row>
    <row r="752" spans="1:3" x14ac:dyDescent="0.35">
      <c r="A752" s="17"/>
      <c r="B752" s="75"/>
      <c r="C752" s="75"/>
    </row>
    <row r="753" spans="1:3" x14ac:dyDescent="0.35">
      <c r="A753" s="17"/>
      <c r="B753" s="75"/>
      <c r="C753" s="75"/>
    </row>
    <row r="754" spans="1:3" x14ac:dyDescent="0.35">
      <c r="A754" s="17"/>
      <c r="B754" s="75"/>
      <c r="C754" s="75"/>
    </row>
    <row r="755" spans="1:3" x14ac:dyDescent="0.35">
      <c r="A755" s="17"/>
      <c r="B755" s="75"/>
      <c r="C755" s="75"/>
    </row>
    <row r="756" spans="1:3" x14ac:dyDescent="0.35">
      <c r="A756" s="17"/>
      <c r="B756" s="75"/>
      <c r="C756" s="75"/>
    </row>
    <row r="757" spans="1:3" x14ac:dyDescent="0.35">
      <c r="A757" s="17"/>
      <c r="B757" s="75"/>
      <c r="C757" s="75"/>
    </row>
    <row r="758" spans="1:3" x14ac:dyDescent="0.35">
      <c r="A758" s="17"/>
      <c r="B758" s="75"/>
      <c r="C758" s="75"/>
    </row>
    <row r="759" spans="1:3" x14ac:dyDescent="0.35">
      <c r="A759" s="17"/>
      <c r="B759" s="75"/>
      <c r="C759" s="75"/>
    </row>
    <row r="760" spans="1:3" x14ac:dyDescent="0.35">
      <c r="A760" s="17"/>
      <c r="B760" s="75"/>
      <c r="C760" s="75"/>
    </row>
    <row r="761" spans="1:3" x14ac:dyDescent="0.35">
      <c r="A761" s="17"/>
      <c r="B761" s="75"/>
      <c r="C761" s="75"/>
    </row>
    <row r="762" spans="1:3" x14ac:dyDescent="0.35">
      <c r="A762" s="17"/>
      <c r="B762" s="75"/>
      <c r="C762" s="75"/>
    </row>
    <row r="763" spans="1:3" x14ac:dyDescent="0.35">
      <c r="A763" s="17"/>
      <c r="B763" s="75"/>
      <c r="C763" s="75"/>
    </row>
    <row r="764" spans="1:3" x14ac:dyDescent="0.35">
      <c r="A764" s="17"/>
      <c r="B764" s="75"/>
      <c r="C764" s="75"/>
    </row>
    <row r="765" spans="1:3" x14ac:dyDescent="0.35">
      <c r="A765" s="17"/>
      <c r="B765" s="75"/>
      <c r="C765" s="75"/>
    </row>
    <row r="766" spans="1:3" x14ac:dyDescent="0.35">
      <c r="A766" s="17"/>
      <c r="B766" s="75"/>
      <c r="C766" s="75"/>
    </row>
    <row r="767" spans="1:3" x14ac:dyDescent="0.35">
      <c r="A767" s="17"/>
      <c r="B767" s="75"/>
      <c r="C767" s="75"/>
    </row>
    <row r="768" spans="1:3" x14ac:dyDescent="0.35">
      <c r="A768" s="17"/>
      <c r="B768" s="75"/>
      <c r="C768" s="75"/>
    </row>
    <row r="769" spans="1:3" x14ac:dyDescent="0.35">
      <c r="A769" s="17"/>
      <c r="B769" s="75"/>
      <c r="C769" s="75"/>
    </row>
    <row r="770" spans="1:3" x14ac:dyDescent="0.35">
      <c r="A770" s="17"/>
      <c r="B770" s="75"/>
      <c r="C770" s="75"/>
    </row>
    <row r="771" spans="1:3" x14ac:dyDescent="0.35">
      <c r="A771" s="17"/>
      <c r="B771" s="75"/>
      <c r="C771" s="75"/>
    </row>
    <row r="772" spans="1:3" x14ac:dyDescent="0.35">
      <c r="A772" s="17"/>
      <c r="B772" s="75"/>
      <c r="C772" s="75"/>
    </row>
    <row r="773" spans="1:3" x14ac:dyDescent="0.35">
      <c r="A773" s="17"/>
      <c r="B773" s="75"/>
      <c r="C773" s="75"/>
    </row>
    <row r="774" spans="1:3" x14ac:dyDescent="0.35">
      <c r="A774" s="17"/>
      <c r="B774" s="75"/>
      <c r="C774" s="75"/>
    </row>
    <row r="775" spans="1:3" x14ac:dyDescent="0.35">
      <c r="A775" s="17"/>
      <c r="B775" s="75"/>
      <c r="C775" s="75"/>
    </row>
    <row r="776" spans="1:3" x14ac:dyDescent="0.35">
      <c r="A776" s="17"/>
      <c r="B776" s="75"/>
      <c r="C776" s="75"/>
    </row>
    <row r="777" spans="1:3" x14ac:dyDescent="0.35">
      <c r="A777" s="17"/>
      <c r="B777" s="75"/>
      <c r="C777" s="75"/>
    </row>
    <row r="778" spans="1:3" x14ac:dyDescent="0.35">
      <c r="A778" s="17"/>
      <c r="B778" s="75"/>
      <c r="C778" s="75"/>
    </row>
    <row r="779" spans="1:3" x14ac:dyDescent="0.35">
      <c r="A779" s="17"/>
      <c r="B779" s="75"/>
      <c r="C779" s="75"/>
    </row>
    <row r="780" spans="1:3" x14ac:dyDescent="0.35">
      <c r="A780" s="17"/>
      <c r="B780" s="75"/>
      <c r="C780" s="75"/>
    </row>
    <row r="781" spans="1:3" x14ac:dyDescent="0.35">
      <c r="A781" s="17"/>
      <c r="B781" s="75"/>
      <c r="C781" s="75"/>
    </row>
    <row r="782" spans="1:3" x14ac:dyDescent="0.35">
      <c r="A782" s="17"/>
      <c r="B782" s="75"/>
      <c r="C782" s="75"/>
    </row>
    <row r="783" spans="1:3" x14ac:dyDescent="0.35">
      <c r="A783" s="17"/>
      <c r="B783" s="75"/>
      <c r="C783" s="75"/>
    </row>
    <row r="784" spans="1:3" x14ac:dyDescent="0.35">
      <c r="A784" s="17"/>
      <c r="B784" s="75"/>
      <c r="C784" s="75"/>
    </row>
    <row r="785" spans="1:3" x14ac:dyDescent="0.35">
      <c r="A785" s="17"/>
      <c r="B785" s="75"/>
      <c r="C785" s="75"/>
    </row>
    <row r="786" spans="1:3" x14ac:dyDescent="0.35">
      <c r="A786" s="17"/>
      <c r="B786" s="75"/>
      <c r="C786" s="75"/>
    </row>
    <row r="787" spans="1:3" x14ac:dyDescent="0.35">
      <c r="A787" s="17"/>
      <c r="B787" s="75"/>
      <c r="C787" s="75"/>
    </row>
    <row r="788" spans="1:3" x14ac:dyDescent="0.35">
      <c r="A788" s="17"/>
      <c r="B788" s="75"/>
      <c r="C788" s="75"/>
    </row>
    <row r="789" spans="1:3" x14ac:dyDescent="0.35">
      <c r="A789" s="17"/>
      <c r="B789" s="75"/>
      <c r="C789" s="75"/>
    </row>
    <row r="790" spans="1:3" x14ac:dyDescent="0.35">
      <c r="A790" s="17"/>
      <c r="B790" s="75"/>
      <c r="C790" s="75"/>
    </row>
    <row r="791" spans="1:3" x14ac:dyDescent="0.35">
      <c r="A791" s="17"/>
      <c r="B791" s="75"/>
      <c r="C791" s="75"/>
    </row>
    <row r="792" spans="1:3" x14ac:dyDescent="0.35">
      <c r="A792" s="17"/>
      <c r="B792" s="75"/>
      <c r="C792" s="75"/>
    </row>
    <row r="793" spans="1:3" x14ac:dyDescent="0.35">
      <c r="A793" s="17"/>
      <c r="B793" s="75"/>
      <c r="C793" s="75"/>
    </row>
    <row r="794" spans="1:3" x14ac:dyDescent="0.35">
      <c r="A794" s="17"/>
      <c r="B794" s="75"/>
      <c r="C794" s="75"/>
    </row>
    <row r="795" spans="1:3" x14ac:dyDescent="0.35">
      <c r="A795" s="17"/>
      <c r="B795" s="75"/>
      <c r="C795" s="75"/>
    </row>
    <row r="796" spans="1:3" x14ac:dyDescent="0.35">
      <c r="A796" s="17"/>
      <c r="B796" s="75"/>
      <c r="C796" s="75"/>
    </row>
    <row r="797" spans="1:3" x14ac:dyDescent="0.35">
      <c r="A797" s="17"/>
      <c r="B797" s="75"/>
      <c r="C797" s="75"/>
    </row>
    <row r="798" spans="1:3" x14ac:dyDescent="0.35">
      <c r="A798" s="17"/>
      <c r="B798" s="75"/>
      <c r="C798" s="75"/>
    </row>
    <row r="799" spans="1:3" x14ac:dyDescent="0.35">
      <c r="A799" s="17"/>
      <c r="B799" s="75"/>
      <c r="C799" s="75"/>
    </row>
    <row r="800" spans="1:3" x14ac:dyDescent="0.35">
      <c r="A800" s="17"/>
      <c r="B800" s="75"/>
      <c r="C800" s="75"/>
    </row>
    <row r="801" spans="1:3" x14ac:dyDescent="0.35">
      <c r="A801" s="17"/>
      <c r="B801" s="75"/>
      <c r="C801" s="75"/>
    </row>
    <row r="802" spans="1:3" x14ac:dyDescent="0.35">
      <c r="A802" s="17"/>
      <c r="B802" s="75"/>
      <c r="C802" s="75"/>
    </row>
    <row r="803" spans="1:3" x14ac:dyDescent="0.35">
      <c r="A803" s="17"/>
      <c r="B803" s="75"/>
      <c r="C803" s="75"/>
    </row>
    <row r="804" spans="1:3" x14ac:dyDescent="0.35">
      <c r="A804" s="17"/>
      <c r="B804" s="75"/>
      <c r="C804" s="75"/>
    </row>
    <row r="805" spans="1:3" x14ac:dyDescent="0.35">
      <c r="A805" s="17"/>
      <c r="B805" s="75"/>
      <c r="C805" s="75"/>
    </row>
    <row r="806" spans="1:3" x14ac:dyDescent="0.35">
      <c r="A806" s="17"/>
      <c r="B806" s="75"/>
      <c r="C806" s="75"/>
    </row>
    <row r="807" spans="1:3" x14ac:dyDescent="0.35">
      <c r="A807" s="17"/>
      <c r="B807" s="75"/>
      <c r="C807" s="75"/>
    </row>
    <row r="808" spans="1:3" x14ac:dyDescent="0.35">
      <c r="A808" s="17"/>
      <c r="B808" s="75"/>
      <c r="C808" s="75"/>
    </row>
    <row r="809" spans="1:3" x14ac:dyDescent="0.35">
      <c r="A809" s="17"/>
      <c r="B809" s="75"/>
      <c r="C809" s="75"/>
    </row>
    <row r="810" spans="1:3" x14ac:dyDescent="0.35">
      <c r="A810" s="17"/>
      <c r="B810" s="75"/>
      <c r="C810" s="75"/>
    </row>
    <row r="811" spans="1:3" x14ac:dyDescent="0.35">
      <c r="A811" s="17"/>
      <c r="B811" s="75"/>
      <c r="C811" s="75"/>
    </row>
    <row r="812" spans="1:3" x14ac:dyDescent="0.35">
      <c r="A812" s="17"/>
      <c r="B812" s="75"/>
      <c r="C812" s="75"/>
    </row>
    <row r="813" spans="1:3" x14ac:dyDescent="0.35">
      <c r="A813" s="17"/>
      <c r="B813" s="75"/>
      <c r="C813" s="75"/>
    </row>
    <row r="814" spans="1:3" x14ac:dyDescent="0.35">
      <c r="A814" s="17"/>
      <c r="B814" s="75"/>
      <c r="C814" s="75"/>
    </row>
    <row r="815" spans="1:3" x14ac:dyDescent="0.35">
      <c r="A815" s="17"/>
      <c r="B815" s="75"/>
      <c r="C815" s="75"/>
    </row>
    <row r="816" spans="1:3" x14ac:dyDescent="0.35">
      <c r="A816" s="17"/>
      <c r="B816" s="75"/>
      <c r="C816" s="75"/>
    </row>
    <row r="817" spans="1:3" x14ac:dyDescent="0.35">
      <c r="A817" s="17"/>
      <c r="B817" s="75"/>
      <c r="C817" s="75"/>
    </row>
    <row r="818" spans="1:3" x14ac:dyDescent="0.35">
      <c r="A818" s="17"/>
      <c r="B818" s="75"/>
      <c r="C818" s="75"/>
    </row>
    <row r="819" spans="1:3" x14ac:dyDescent="0.35">
      <c r="A819" s="17"/>
      <c r="B819" s="75"/>
      <c r="C819" s="75"/>
    </row>
    <row r="820" spans="1:3" x14ac:dyDescent="0.35">
      <c r="A820" s="17"/>
      <c r="B820" s="75"/>
      <c r="C820" s="75"/>
    </row>
    <row r="821" spans="1:3" x14ac:dyDescent="0.35">
      <c r="A821" s="17"/>
      <c r="B821" s="75"/>
      <c r="C821" s="75"/>
    </row>
    <row r="822" spans="1:3" x14ac:dyDescent="0.35">
      <c r="A822" s="17"/>
      <c r="B822" s="75"/>
      <c r="C822" s="75"/>
    </row>
    <row r="823" spans="1:3" x14ac:dyDescent="0.35">
      <c r="A823" s="17"/>
      <c r="B823" s="75"/>
      <c r="C823" s="75"/>
    </row>
    <row r="824" spans="1:3" x14ac:dyDescent="0.35">
      <c r="A824" s="17"/>
      <c r="B824" s="75"/>
      <c r="C824" s="75"/>
    </row>
    <row r="825" spans="1:3" x14ac:dyDescent="0.35">
      <c r="A825" s="17"/>
      <c r="B825" s="75"/>
      <c r="C825" s="75"/>
    </row>
    <row r="826" spans="1:3" x14ac:dyDescent="0.35">
      <c r="A826" s="17"/>
      <c r="B826" s="75"/>
      <c r="C826" s="75"/>
    </row>
    <row r="827" spans="1:3" x14ac:dyDescent="0.35">
      <c r="A827" s="17"/>
      <c r="B827" s="75"/>
      <c r="C827" s="75"/>
    </row>
    <row r="828" spans="1:3" x14ac:dyDescent="0.35">
      <c r="A828" s="17"/>
      <c r="B828" s="75"/>
      <c r="C828" s="75"/>
    </row>
    <row r="829" spans="1:3" x14ac:dyDescent="0.35">
      <c r="A829" s="17"/>
      <c r="B829" s="75"/>
      <c r="C829" s="75"/>
    </row>
    <row r="830" spans="1:3" x14ac:dyDescent="0.35">
      <c r="A830" s="17"/>
      <c r="B830" s="75"/>
      <c r="C830" s="75"/>
    </row>
    <row r="831" spans="1:3" x14ac:dyDescent="0.35">
      <c r="A831" s="17"/>
      <c r="B831" s="75"/>
      <c r="C831" s="75"/>
    </row>
    <row r="832" spans="1:3" x14ac:dyDescent="0.35">
      <c r="A832" s="17"/>
      <c r="B832" s="75"/>
      <c r="C832" s="75"/>
    </row>
    <row r="833" spans="1:3" x14ac:dyDescent="0.35">
      <c r="A833" s="17"/>
      <c r="B833" s="75"/>
      <c r="C833" s="75"/>
    </row>
    <row r="834" spans="1:3" x14ac:dyDescent="0.35">
      <c r="A834" s="17"/>
      <c r="B834" s="75"/>
      <c r="C834" s="75"/>
    </row>
    <row r="835" spans="1:3" x14ac:dyDescent="0.35">
      <c r="A835" s="17"/>
      <c r="B835" s="75"/>
      <c r="C835" s="75"/>
    </row>
    <row r="836" spans="1:3" x14ac:dyDescent="0.35">
      <c r="A836" s="17"/>
      <c r="B836" s="75"/>
      <c r="C836" s="75"/>
    </row>
    <row r="837" spans="1:3" x14ac:dyDescent="0.35">
      <c r="A837" s="17"/>
      <c r="B837" s="75"/>
      <c r="C837" s="75"/>
    </row>
    <row r="838" spans="1:3" x14ac:dyDescent="0.35">
      <c r="A838" s="17"/>
      <c r="B838" s="75"/>
      <c r="C838" s="75"/>
    </row>
    <row r="839" spans="1:3" x14ac:dyDescent="0.35">
      <c r="A839" s="17"/>
      <c r="B839" s="75"/>
      <c r="C839" s="75"/>
    </row>
    <row r="840" spans="1:3" x14ac:dyDescent="0.35">
      <c r="A840" s="17"/>
      <c r="B840" s="75"/>
      <c r="C840" s="75"/>
    </row>
    <row r="841" spans="1:3" x14ac:dyDescent="0.35">
      <c r="A841" s="17"/>
      <c r="B841" s="75"/>
      <c r="C841" s="75"/>
    </row>
    <row r="842" spans="1:3" x14ac:dyDescent="0.35">
      <c r="A842" s="17"/>
      <c r="B842" s="75"/>
      <c r="C842" s="75"/>
    </row>
    <row r="843" spans="1:3" x14ac:dyDescent="0.35">
      <c r="A843" s="17"/>
      <c r="B843" s="75"/>
      <c r="C843" s="75"/>
    </row>
    <row r="844" spans="1:3" x14ac:dyDescent="0.35">
      <c r="A844" s="17"/>
      <c r="B844" s="75"/>
      <c r="C844" s="75"/>
    </row>
    <row r="845" spans="1:3" x14ac:dyDescent="0.35">
      <c r="A845" s="17"/>
      <c r="B845" s="75"/>
      <c r="C845" s="75"/>
    </row>
    <row r="846" spans="1:3" x14ac:dyDescent="0.35">
      <c r="A846" s="17"/>
      <c r="B846" s="75"/>
      <c r="C846" s="75"/>
    </row>
    <row r="847" spans="1:3" x14ac:dyDescent="0.35">
      <c r="A847" s="17"/>
      <c r="B847" s="75"/>
      <c r="C847" s="75"/>
    </row>
    <row r="848" spans="1:3" x14ac:dyDescent="0.35">
      <c r="A848" s="17"/>
      <c r="B848" s="75"/>
      <c r="C848" s="75"/>
    </row>
    <row r="849" spans="1:3" x14ac:dyDescent="0.35">
      <c r="A849" s="17"/>
      <c r="B849" s="75"/>
      <c r="C849" s="75"/>
    </row>
    <row r="850" spans="1:3" x14ac:dyDescent="0.35">
      <c r="A850" s="17"/>
      <c r="B850" s="75"/>
      <c r="C850" s="75"/>
    </row>
    <row r="851" spans="1:3" x14ac:dyDescent="0.35">
      <c r="A851" s="17"/>
      <c r="B851" s="75"/>
      <c r="C851" s="75"/>
    </row>
    <row r="852" spans="1:3" x14ac:dyDescent="0.35">
      <c r="A852" s="17"/>
      <c r="B852" s="75"/>
      <c r="C852" s="75"/>
    </row>
    <row r="853" spans="1:3" x14ac:dyDescent="0.35">
      <c r="A853" s="17"/>
      <c r="B853" s="75"/>
      <c r="C853" s="75"/>
    </row>
    <row r="854" spans="1:3" x14ac:dyDescent="0.35">
      <c r="A854" s="17"/>
      <c r="B854" s="75"/>
      <c r="C854" s="75"/>
    </row>
    <row r="855" spans="1:3" x14ac:dyDescent="0.35">
      <c r="A855" s="17"/>
      <c r="B855" s="75"/>
      <c r="C855" s="75"/>
    </row>
    <row r="856" spans="1:3" x14ac:dyDescent="0.35">
      <c r="A856" s="17"/>
      <c r="B856" s="75"/>
      <c r="C856" s="75"/>
    </row>
    <row r="857" spans="1:3" x14ac:dyDescent="0.35">
      <c r="A857" s="17"/>
      <c r="B857" s="75"/>
      <c r="C857" s="75"/>
    </row>
    <row r="858" spans="1:3" x14ac:dyDescent="0.35">
      <c r="A858" s="17"/>
      <c r="B858" s="75"/>
      <c r="C858" s="75"/>
    </row>
    <row r="859" spans="1:3" x14ac:dyDescent="0.35">
      <c r="A859" s="17"/>
      <c r="B859" s="75"/>
      <c r="C859" s="75"/>
    </row>
    <row r="860" spans="1:3" x14ac:dyDescent="0.35">
      <c r="A860" s="17"/>
      <c r="B860" s="75"/>
      <c r="C860" s="75"/>
    </row>
    <row r="861" spans="1:3" x14ac:dyDescent="0.35">
      <c r="A861" s="17"/>
      <c r="B861" s="75"/>
      <c r="C861" s="75"/>
    </row>
    <row r="862" spans="1:3" x14ac:dyDescent="0.35">
      <c r="A862" s="17"/>
      <c r="B862" s="75"/>
      <c r="C862" s="75"/>
    </row>
    <row r="863" spans="1:3" x14ac:dyDescent="0.35">
      <c r="A863" s="17"/>
      <c r="B863" s="75"/>
      <c r="C863" s="75"/>
    </row>
    <row r="864" spans="1:3" x14ac:dyDescent="0.35">
      <c r="A864" s="17"/>
      <c r="B864" s="75"/>
      <c r="C864" s="75"/>
    </row>
    <row r="865" spans="1:3" x14ac:dyDescent="0.35">
      <c r="A865" s="17"/>
      <c r="B865" s="75"/>
      <c r="C865" s="75"/>
    </row>
    <row r="866" spans="1:3" x14ac:dyDescent="0.35">
      <c r="A866" s="17"/>
      <c r="B866" s="75"/>
      <c r="C866" s="75"/>
    </row>
    <row r="867" spans="1:3" x14ac:dyDescent="0.35">
      <c r="A867" s="17"/>
      <c r="B867" s="75"/>
      <c r="C867" s="75"/>
    </row>
    <row r="868" spans="1:3" x14ac:dyDescent="0.35">
      <c r="A868" s="17"/>
      <c r="B868" s="75"/>
      <c r="C868" s="75"/>
    </row>
    <row r="869" spans="1:3" x14ac:dyDescent="0.35">
      <c r="A869" s="17"/>
      <c r="B869" s="75"/>
      <c r="C869" s="75"/>
    </row>
    <row r="870" spans="1:3" x14ac:dyDescent="0.35">
      <c r="A870" s="17"/>
      <c r="B870" s="75"/>
      <c r="C870" s="75"/>
    </row>
    <row r="871" spans="1:3" x14ac:dyDescent="0.35">
      <c r="A871" s="17"/>
      <c r="B871" s="75"/>
      <c r="C871" s="75"/>
    </row>
    <row r="872" spans="1:3" x14ac:dyDescent="0.35">
      <c r="A872" s="17"/>
      <c r="B872" s="75"/>
      <c r="C872" s="75"/>
    </row>
    <row r="873" spans="1:3" x14ac:dyDescent="0.35">
      <c r="A873" s="17"/>
      <c r="B873" s="75"/>
      <c r="C873" s="75"/>
    </row>
    <row r="874" spans="1:3" x14ac:dyDescent="0.35">
      <c r="A874" s="17"/>
      <c r="B874" s="75"/>
      <c r="C874" s="75"/>
    </row>
    <row r="875" spans="1:3" x14ac:dyDescent="0.35">
      <c r="A875" s="17"/>
      <c r="B875" s="75"/>
      <c r="C875" s="75"/>
    </row>
    <row r="876" spans="1:3" x14ac:dyDescent="0.35">
      <c r="A876" s="17"/>
      <c r="B876" s="75"/>
      <c r="C876" s="75"/>
    </row>
    <row r="877" spans="1:3" x14ac:dyDescent="0.35">
      <c r="A877" s="17"/>
      <c r="B877" s="75"/>
      <c r="C877" s="75"/>
    </row>
    <row r="878" spans="1:3" x14ac:dyDescent="0.35">
      <c r="A878" s="17"/>
      <c r="B878" s="75"/>
      <c r="C878" s="75"/>
    </row>
    <row r="879" spans="1:3" x14ac:dyDescent="0.35">
      <c r="A879" s="17"/>
      <c r="B879" s="75"/>
      <c r="C879" s="75"/>
    </row>
    <row r="880" spans="1:3" x14ac:dyDescent="0.35">
      <c r="A880" s="17"/>
      <c r="B880" s="75"/>
      <c r="C880" s="75"/>
    </row>
    <row r="881" spans="1:3" x14ac:dyDescent="0.35">
      <c r="A881" s="17"/>
      <c r="B881" s="75"/>
      <c r="C881" s="75"/>
    </row>
    <row r="882" spans="1:3" x14ac:dyDescent="0.35">
      <c r="A882" s="17"/>
      <c r="B882" s="75"/>
      <c r="C882" s="75"/>
    </row>
    <row r="883" spans="1:3" x14ac:dyDescent="0.35">
      <c r="A883" s="17"/>
      <c r="B883" s="75"/>
      <c r="C883" s="75"/>
    </row>
    <row r="884" spans="1:3" x14ac:dyDescent="0.35">
      <c r="A884" s="17"/>
      <c r="B884" s="75"/>
      <c r="C884" s="75"/>
    </row>
    <row r="885" spans="1:3" x14ac:dyDescent="0.35">
      <c r="A885" s="17"/>
      <c r="B885" s="75"/>
      <c r="C885" s="75"/>
    </row>
    <row r="886" spans="1:3" x14ac:dyDescent="0.35">
      <c r="A886" s="17"/>
      <c r="B886" s="75"/>
      <c r="C886" s="75"/>
    </row>
    <row r="887" spans="1:3" x14ac:dyDescent="0.35">
      <c r="A887" s="17"/>
      <c r="B887" s="75"/>
      <c r="C887" s="75"/>
    </row>
    <row r="888" spans="1:3" x14ac:dyDescent="0.35">
      <c r="A888" s="17"/>
      <c r="B888" s="75"/>
      <c r="C888" s="75"/>
    </row>
    <row r="889" spans="1:3" x14ac:dyDescent="0.35">
      <c r="A889" s="17"/>
      <c r="B889" s="75"/>
      <c r="C889" s="75"/>
    </row>
    <row r="890" spans="1:3" x14ac:dyDescent="0.35">
      <c r="A890" s="17"/>
      <c r="B890" s="75"/>
      <c r="C890" s="75"/>
    </row>
    <row r="891" spans="1:3" x14ac:dyDescent="0.35">
      <c r="A891" s="17"/>
      <c r="B891" s="75"/>
      <c r="C891" s="75"/>
    </row>
    <row r="892" spans="1:3" x14ac:dyDescent="0.35">
      <c r="A892" s="17"/>
      <c r="B892" s="75"/>
      <c r="C892" s="75"/>
    </row>
    <row r="893" spans="1:3" x14ac:dyDescent="0.35">
      <c r="A893" s="17"/>
      <c r="B893" s="75"/>
      <c r="C893" s="75"/>
    </row>
    <row r="894" spans="1:3" x14ac:dyDescent="0.35">
      <c r="A894" s="17"/>
      <c r="B894" s="75"/>
      <c r="C894" s="75"/>
    </row>
    <row r="895" spans="1:3" x14ac:dyDescent="0.35">
      <c r="A895" s="17"/>
      <c r="B895" s="75"/>
      <c r="C895" s="75"/>
    </row>
    <row r="896" spans="1:3" x14ac:dyDescent="0.35">
      <c r="A896" s="17"/>
      <c r="B896" s="75"/>
      <c r="C896" s="75"/>
    </row>
    <row r="897" spans="1:3" x14ac:dyDescent="0.35">
      <c r="A897" s="17"/>
      <c r="B897" s="75"/>
      <c r="C897" s="75"/>
    </row>
    <row r="898" spans="1:3" x14ac:dyDescent="0.35">
      <c r="A898" s="17"/>
      <c r="B898" s="75"/>
      <c r="C898" s="75"/>
    </row>
    <row r="899" spans="1:3" x14ac:dyDescent="0.35">
      <c r="A899" s="17"/>
      <c r="B899" s="75"/>
      <c r="C899" s="75"/>
    </row>
    <row r="900" spans="1:3" x14ac:dyDescent="0.35">
      <c r="A900" s="17"/>
      <c r="B900" s="75"/>
      <c r="C900" s="75"/>
    </row>
    <row r="901" spans="1:3" x14ac:dyDescent="0.35">
      <c r="A901" s="17"/>
      <c r="B901" s="75"/>
      <c r="C901" s="75"/>
    </row>
    <row r="902" spans="1:3" x14ac:dyDescent="0.35">
      <c r="A902" s="17"/>
      <c r="B902" s="75"/>
      <c r="C902" s="75"/>
    </row>
    <row r="903" spans="1:3" x14ac:dyDescent="0.35">
      <c r="A903" s="17"/>
      <c r="B903" s="75"/>
      <c r="C903" s="75"/>
    </row>
    <row r="904" spans="1:3" x14ac:dyDescent="0.35">
      <c r="A904" s="17"/>
      <c r="B904" s="75"/>
      <c r="C904" s="75"/>
    </row>
    <row r="905" spans="1:3" x14ac:dyDescent="0.35">
      <c r="A905" s="17"/>
      <c r="B905" s="75"/>
      <c r="C905" s="75"/>
    </row>
    <row r="906" spans="1:3" x14ac:dyDescent="0.35">
      <c r="A906" s="17"/>
      <c r="B906" s="75"/>
      <c r="C906" s="75"/>
    </row>
    <row r="907" spans="1:3" x14ac:dyDescent="0.35">
      <c r="A907" s="17"/>
      <c r="B907" s="75"/>
      <c r="C907" s="75"/>
    </row>
    <row r="908" spans="1:3" x14ac:dyDescent="0.35">
      <c r="A908" s="17"/>
      <c r="B908" s="75"/>
      <c r="C908" s="75"/>
    </row>
    <row r="909" spans="1:3" x14ac:dyDescent="0.35">
      <c r="A909" s="17"/>
      <c r="B909" s="75"/>
      <c r="C909" s="75"/>
    </row>
    <row r="910" spans="1:3" x14ac:dyDescent="0.35">
      <c r="A910" s="17"/>
      <c r="B910" s="75"/>
      <c r="C910" s="75"/>
    </row>
    <row r="911" spans="1:3" x14ac:dyDescent="0.35">
      <c r="A911" s="17"/>
      <c r="B911" s="75"/>
      <c r="C911" s="75"/>
    </row>
    <row r="912" spans="1:3" x14ac:dyDescent="0.35">
      <c r="A912" s="17"/>
      <c r="B912" s="75"/>
      <c r="C912" s="75"/>
    </row>
    <row r="913" spans="1:3" x14ac:dyDescent="0.35">
      <c r="A913" s="17"/>
      <c r="B913" s="75"/>
      <c r="C913" s="75"/>
    </row>
    <row r="914" spans="1:3" x14ac:dyDescent="0.35">
      <c r="A914" s="17"/>
      <c r="B914" s="75"/>
      <c r="C914" s="75"/>
    </row>
    <row r="915" spans="1:3" x14ac:dyDescent="0.35">
      <c r="A915" s="17"/>
      <c r="B915" s="75"/>
      <c r="C915" s="75"/>
    </row>
    <row r="916" spans="1:3" x14ac:dyDescent="0.35">
      <c r="A916" s="17"/>
      <c r="B916" s="75"/>
      <c r="C916" s="75"/>
    </row>
    <row r="917" spans="1:3" x14ac:dyDescent="0.35">
      <c r="A917" s="17"/>
      <c r="B917" s="75"/>
      <c r="C917" s="75"/>
    </row>
    <row r="918" spans="1:3" x14ac:dyDescent="0.35">
      <c r="A918" s="17"/>
      <c r="B918" s="75"/>
      <c r="C918" s="75"/>
    </row>
    <row r="919" spans="1:3" x14ac:dyDescent="0.35">
      <c r="A919" s="17"/>
      <c r="B919" s="75"/>
      <c r="C919" s="75"/>
    </row>
    <row r="920" spans="1:3" x14ac:dyDescent="0.35">
      <c r="A920" s="17"/>
      <c r="B920" s="75"/>
      <c r="C920" s="75"/>
    </row>
    <row r="921" spans="1:3" x14ac:dyDescent="0.35">
      <c r="A921" s="17"/>
      <c r="B921" s="75"/>
      <c r="C921" s="75"/>
    </row>
    <row r="922" spans="1:3" x14ac:dyDescent="0.35">
      <c r="A922" s="17"/>
      <c r="B922" s="75"/>
      <c r="C922" s="75"/>
    </row>
    <row r="923" spans="1:3" x14ac:dyDescent="0.35">
      <c r="A923" s="17"/>
      <c r="B923" s="75"/>
      <c r="C923" s="75"/>
    </row>
    <row r="924" spans="1:3" x14ac:dyDescent="0.35">
      <c r="A924" s="17"/>
      <c r="B924" s="75"/>
      <c r="C924" s="75"/>
    </row>
    <row r="925" spans="1:3" x14ac:dyDescent="0.35">
      <c r="A925" s="17"/>
      <c r="B925" s="75"/>
      <c r="C925" s="75"/>
    </row>
    <row r="926" spans="1:3" x14ac:dyDescent="0.35">
      <c r="A926" s="17"/>
      <c r="B926" s="75"/>
      <c r="C926" s="75"/>
    </row>
    <row r="927" spans="1:3" x14ac:dyDescent="0.35">
      <c r="A927" s="17"/>
      <c r="B927" s="75"/>
      <c r="C927" s="75"/>
    </row>
    <row r="928" spans="1:3" x14ac:dyDescent="0.35">
      <c r="A928" s="17"/>
      <c r="B928" s="75"/>
      <c r="C928" s="75"/>
    </row>
    <row r="929" spans="1:3" x14ac:dyDescent="0.35">
      <c r="A929" s="17"/>
      <c r="B929" s="75"/>
      <c r="C929" s="75"/>
    </row>
    <row r="930" spans="1:3" x14ac:dyDescent="0.35">
      <c r="A930" s="17"/>
      <c r="B930" s="75"/>
      <c r="C930" s="75"/>
    </row>
    <row r="931" spans="1:3" x14ac:dyDescent="0.35">
      <c r="A931" s="17"/>
      <c r="B931" s="75"/>
      <c r="C931" s="75"/>
    </row>
    <row r="932" spans="1:3" x14ac:dyDescent="0.35">
      <c r="A932" s="17"/>
      <c r="B932" s="75"/>
      <c r="C932" s="75"/>
    </row>
    <row r="933" spans="1:3" x14ac:dyDescent="0.35">
      <c r="A933" s="17"/>
      <c r="B933" s="75"/>
      <c r="C933" s="75"/>
    </row>
    <row r="934" spans="1:3" x14ac:dyDescent="0.35">
      <c r="A934" s="17"/>
      <c r="B934" s="75"/>
      <c r="C934" s="75"/>
    </row>
    <row r="935" spans="1:3" x14ac:dyDescent="0.35">
      <c r="A935" s="17"/>
      <c r="B935" s="75"/>
      <c r="C935" s="75"/>
    </row>
    <row r="936" spans="1:3" x14ac:dyDescent="0.35">
      <c r="A936" s="17"/>
      <c r="B936" s="75"/>
      <c r="C936" s="75"/>
    </row>
    <row r="937" spans="1:3" x14ac:dyDescent="0.35">
      <c r="A937" s="17"/>
      <c r="B937" s="75"/>
      <c r="C937" s="75"/>
    </row>
    <row r="938" spans="1:3" x14ac:dyDescent="0.35">
      <c r="A938" s="17"/>
      <c r="B938" s="75"/>
      <c r="C938" s="75"/>
    </row>
    <row r="939" spans="1:3" x14ac:dyDescent="0.35">
      <c r="A939" s="17"/>
      <c r="B939" s="75"/>
      <c r="C939" s="75"/>
    </row>
    <row r="940" spans="1:3" x14ac:dyDescent="0.35">
      <c r="A940" s="17"/>
      <c r="B940" s="75"/>
      <c r="C940" s="75"/>
    </row>
    <row r="941" spans="1:3" x14ac:dyDescent="0.35">
      <c r="A941" s="17"/>
      <c r="B941" s="75"/>
      <c r="C941" s="75"/>
    </row>
    <row r="942" spans="1:3" x14ac:dyDescent="0.35">
      <c r="A942" s="17"/>
      <c r="B942" s="75"/>
      <c r="C942" s="75"/>
    </row>
    <row r="943" spans="1:3" x14ac:dyDescent="0.35">
      <c r="A943" s="17"/>
      <c r="B943" s="75"/>
      <c r="C943" s="75"/>
    </row>
    <row r="944" spans="1:3" x14ac:dyDescent="0.35">
      <c r="A944" s="17"/>
      <c r="B944" s="75"/>
      <c r="C944" s="75"/>
    </row>
    <row r="945" spans="1:3" x14ac:dyDescent="0.35">
      <c r="A945" s="17"/>
      <c r="B945" s="75"/>
      <c r="C945" s="75"/>
    </row>
    <row r="946" spans="1:3" x14ac:dyDescent="0.35">
      <c r="A946" s="17"/>
      <c r="B946" s="75"/>
      <c r="C946" s="75"/>
    </row>
    <row r="947" spans="1:3" x14ac:dyDescent="0.35">
      <c r="A947" s="17"/>
      <c r="B947" s="75"/>
      <c r="C947" s="75"/>
    </row>
    <row r="948" spans="1:3" x14ac:dyDescent="0.35">
      <c r="A948" s="17"/>
      <c r="B948" s="75"/>
      <c r="C948" s="75"/>
    </row>
    <row r="949" spans="1:3" x14ac:dyDescent="0.35">
      <c r="A949" s="17"/>
      <c r="B949" s="75"/>
      <c r="C949" s="75"/>
    </row>
    <row r="950" spans="1:3" x14ac:dyDescent="0.35">
      <c r="A950" s="17"/>
      <c r="B950" s="75"/>
      <c r="C950" s="75"/>
    </row>
    <row r="951" spans="1:3" x14ac:dyDescent="0.35">
      <c r="A951" s="17"/>
      <c r="B951" s="75"/>
      <c r="C951" s="75"/>
    </row>
    <row r="952" spans="1:3" x14ac:dyDescent="0.35">
      <c r="A952" s="17"/>
      <c r="B952" s="75"/>
      <c r="C952" s="75"/>
    </row>
    <row r="953" spans="1:3" x14ac:dyDescent="0.35">
      <c r="A953" s="17"/>
      <c r="B953" s="75"/>
      <c r="C953" s="75"/>
    </row>
    <row r="954" spans="1:3" x14ac:dyDescent="0.35">
      <c r="A954" s="17"/>
      <c r="B954" s="75"/>
      <c r="C954" s="75"/>
    </row>
    <row r="955" spans="1:3" x14ac:dyDescent="0.35">
      <c r="A955" s="17"/>
      <c r="B955" s="75"/>
      <c r="C955" s="75"/>
    </row>
    <row r="956" spans="1:3" x14ac:dyDescent="0.35">
      <c r="A956" s="17"/>
      <c r="B956" s="75"/>
      <c r="C956" s="75"/>
    </row>
    <row r="957" spans="1:3" x14ac:dyDescent="0.35">
      <c r="A957" s="17"/>
      <c r="B957" s="75"/>
      <c r="C957" s="75"/>
    </row>
    <row r="958" spans="1:3" x14ac:dyDescent="0.35">
      <c r="A958" s="17"/>
      <c r="B958" s="75"/>
      <c r="C958" s="75"/>
    </row>
    <row r="959" spans="1:3" x14ac:dyDescent="0.35">
      <c r="A959" s="17"/>
      <c r="B959" s="75"/>
      <c r="C959" s="75"/>
    </row>
    <row r="960" spans="1:3" x14ac:dyDescent="0.35">
      <c r="A960" s="17"/>
      <c r="B960" s="75"/>
      <c r="C960" s="75"/>
    </row>
    <row r="961" spans="1:3" x14ac:dyDescent="0.35">
      <c r="A961" s="17"/>
      <c r="B961" s="75"/>
      <c r="C961" s="75"/>
    </row>
    <row r="962" spans="1:3" x14ac:dyDescent="0.35">
      <c r="A962" s="17"/>
      <c r="B962" s="75"/>
      <c r="C962" s="75"/>
    </row>
    <row r="963" spans="1:3" x14ac:dyDescent="0.35">
      <c r="A963" s="17"/>
      <c r="B963" s="75"/>
      <c r="C963" s="75"/>
    </row>
    <row r="964" spans="1:3" x14ac:dyDescent="0.35">
      <c r="A964" s="17"/>
      <c r="B964" s="75"/>
      <c r="C964" s="75"/>
    </row>
    <row r="965" spans="1:3" x14ac:dyDescent="0.35">
      <c r="A965" s="17"/>
      <c r="B965" s="75"/>
      <c r="C965" s="75"/>
    </row>
    <row r="966" spans="1:3" x14ac:dyDescent="0.35">
      <c r="A966" s="17"/>
      <c r="B966" s="75"/>
      <c r="C966" s="75"/>
    </row>
    <row r="967" spans="1:3" x14ac:dyDescent="0.35">
      <c r="A967" s="17"/>
      <c r="B967" s="75"/>
      <c r="C967" s="75"/>
    </row>
    <row r="968" spans="1:3" x14ac:dyDescent="0.35">
      <c r="A968" s="17"/>
      <c r="B968" s="75"/>
      <c r="C968" s="75"/>
    </row>
    <row r="969" spans="1:3" x14ac:dyDescent="0.35">
      <c r="A969" s="17"/>
      <c r="B969" s="75"/>
      <c r="C969" s="75"/>
    </row>
    <row r="970" spans="1:3" x14ac:dyDescent="0.35">
      <c r="A970" s="17"/>
      <c r="B970" s="75"/>
      <c r="C970" s="75"/>
    </row>
    <row r="971" spans="1:3" x14ac:dyDescent="0.35">
      <c r="A971" s="17"/>
      <c r="B971" s="75"/>
      <c r="C971" s="75"/>
    </row>
    <row r="972" spans="1:3" x14ac:dyDescent="0.35">
      <c r="A972" s="17"/>
      <c r="B972" s="75"/>
      <c r="C972" s="75"/>
    </row>
    <row r="973" spans="1:3" x14ac:dyDescent="0.35">
      <c r="A973" s="17"/>
      <c r="B973" s="75"/>
      <c r="C973" s="75"/>
    </row>
    <row r="974" spans="1:3" x14ac:dyDescent="0.35">
      <c r="A974" s="17"/>
      <c r="B974" s="75"/>
      <c r="C974" s="75"/>
    </row>
    <row r="975" spans="1:3" x14ac:dyDescent="0.35">
      <c r="A975" s="17"/>
      <c r="B975" s="75"/>
      <c r="C975" s="75"/>
    </row>
    <row r="976" spans="1:3" x14ac:dyDescent="0.35">
      <c r="A976" s="17"/>
      <c r="B976" s="75"/>
      <c r="C976" s="75"/>
    </row>
    <row r="977" spans="1:3" x14ac:dyDescent="0.35">
      <c r="A977" s="17"/>
      <c r="B977" s="75"/>
      <c r="C977" s="75"/>
    </row>
    <row r="978" spans="1:3" x14ac:dyDescent="0.35">
      <c r="A978" s="17"/>
      <c r="B978" s="75"/>
      <c r="C978" s="75"/>
    </row>
    <row r="979" spans="1:3" x14ac:dyDescent="0.35">
      <c r="A979" s="17"/>
      <c r="B979" s="75"/>
      <c r="C979" s="75"/>
    </row>
    <row r="980" spans="1:3" x14ac:dyDescent="0.35">
      <c r="A980" s="17"/>
      <c r="B980" s="75"/>
      <c r="C980" s="75"/>
    </row>
    <row r="981" spans="1:3" x14ac:dyDescent="0.35">
      <c r="A981" s="17"/>
      <c r="B981" s="75"/>
      <c r="C981" s="75"/>
    </row>
    <row r="982" spans="1:3" x14ac:dyDescent="0.35">
      <c r="A982" s="17"/>
      <c r="B982" s="75"/>
      <c r="C982" s="75"/>
    </row>
    <row r="983" spans="1:3" x14ac:dyDescent="0.35">
      <c r="A983" s="17"/>
      <c r="B983" s="75"/>
      <c r="C983" s="75"/>
    </row>
    <row r="984" spans="1:3" x14ac:dyDescent="0.35">
      <c r="A984" s="17"/>
      <c r="B984" s="75"/>
      <c r="C984" s="75"/>
    </row>
    <row r="985" spans="1:3" x14ac:dyDescent="0.35">
      <c r="A985" s="17"/>
      <c r="B985" s="75"/>
      <c r="C985" s="75"/>
    </row>
    <row r="986" spans="1:3" x14ac:dyDescent="0.35">
      <c r="A986" s="17"/>
      <c r="B986" s="75"/>
      <c r="C986" s="75"/>
    </row>
    <row r="987" spans="1:3" x14ac:dyDescent="0.35">
      <c r="A987" s="17"/>
      <c r="B987" s="75"/>
      <c r="C987" s="75"/>
    </row>
    <row r="988" spans="1:3" x14ac:dyDescent="0.35">
      <c r="A988" s="17"/>
      <c r="B988" s="75"/>
      <c r="C988" s="75"/>
    </row>
    <row r="989" spans="1:3" x14ac:dyDescent="0.35">
      <c r="A989" s="17"/>
      <c r="B989" s="75"/>
      <c r="C989" s="75"/>
    </row>
    <row r="990" spans="1:3" x14ac:dyDescent="0.35">
      <c r="A990" s="17"/>
      <c r="B990" s="75"/>
      <c r="C990" s="75"/>
    </row>
    <row r="991" spans="1:3" x14ac:dyDescent="0.35">
      <c r="A991" s="17"/>
      <c r="B991" s="75"/>
      <c r="C991" s="75"/>
    </row>
    <row r="992" spans="1:3" x14ac:dyDescent="0.35">
      <c r="A992" s="17"/>
      <c r="B992" s="75"/>
      <c r="C992" s="75"/>
    </row>
    <row r="993" spans="1:3" x14ac:dyDescent="0.35">
      <c r="A993" s="17"/>
      <c r="B993" s="75"/>
      <c r="C993" s="75"/>
    </row>
    <row r="994" spans="1:3" x14ac:dyDescent="0.35">
      <c r="A994" s="17"/>
      <c r="B994" s="75"/>
      <c r="C994" s="75"/>
    </row>
    <row r="995" spans="1:3" x14ac:dyDescent="0.35">
      <c r="A995" s="17"/>
      <c r="B995" s="75"/>
      <c r="C995" s="75"/>
    </row>
    <row r="996" spans="1:3" x14ac:dyDescent="0.35">
      <c r="A996" s="17"/>
      <c r="B996" s="75"/>
      <c r="C996" s="75"/>
    </row>
    <row r="997" spans="1:3" x14ac:dyDescent="0.35">
      <c r="A997" s="17"/>
      <c r="B997" s="75"/>
      <c r="C997" s="75"/>
    </row>
    <row r="998" spans="1:3" x14ac:dyDescent="0.35">
      <c r="A998" s="17"/>
      <c r="B998" s="75"/>
      <c r="C998" s="75"/>
    </row>
    <row r="999" spans="1:3" x14ac:dyDescent="0.35">
      <c r="A999" s="17"/>
      <c r="B999" s="75"/>
      <c r="C999" s="75"/>
    </row>
    <row r="1000" spans="1:3" x14ac:dyDescent="0.35">
      <c r="A1000" s="17"/>
      <c r="B1000" s="75"/>
      <c r="C1000" s="75"/>
    </row>
    <row r="1001" spans="1:3" x14ac:dyDescent="0.35">
      <c r="A1001" s="17"/>
      <c r="B1001" s="75"/>
      <c r="C1001" s="75"/>
    </row>
    <row r="1002" spans="1:3" x14ac:dyDescent="0.35">
      <c r="A1002" s="17"/>
      <c r="B1002" s="75"/>
      <c r="C1002" s="75"/>
    </row>
    <row r="1003" spans="1:3" x14ac:dyDescent="0.35">
      <c r="A1003" s="17"/>
      <c r="B1003" s="75"/>
      <c r="C1003" s="75"/>
    </row>
    <row r="1004" spans="1:3" x14ac:dyDescent="0.35">
      <c r="A1004" s="17"/>
      <c r="B1004" s="75"/>
      <c r="C1004" s="75"/>
    </row>
    <row r="1005" spans="1:3" x14ac:dyDescent="0.35">
      <c r="A1005" s="17"/>
      <c r="B1005" s="75"/>
      <c r="C1005" s="75"/>
    </row>
    <row r="1006" spans="1:3" x14ac:dyDescent="0.35">
      <c r="A1006" s="17"/>
      <c r="B1006" s="75"/>
      <c r="C1006" s="75"/>
    </row>
    <row r="1007" spans="1:3" x14ac:dyDescent="0.35">
      <c r="A1007" s="17"/>
      <c r="B1007" s="75"/>
      <c r="C1007" s="75"/>
    </row>
    <row r="1008" spans="1:3" x14ac:dyDescent="0.35">
      <c r="A1008" s="17"/>
      <c r="B1008" s="75"/>
      <c r="C1008" s="75"/>
    </row>
    <row r="1009" spans="1:3" x14ac:dyDescent="0.35">
      <c r="A1009" s="17"/>
      <c r="B1009" s="75"/>
      <c r="C1009" s="75"/>
    </row>
    <row r="1010" spans="1:3" x14ac:dyDescent="0.35">
      <c r="A1010" s="17"/>
      <c r="B1010" s="75"/>
      <c r="C1010" s="75"/>
    </row>
    <row r="1011" spans="1:3" x14ac:dyDescent="0.35">
      <c r="A1011" s="17"/>
      <c r="B1011" s="75"/>
      <c r="C1011" s="75"/>
    </row>
    <row r="1012" spans="1:3" x14ac:dyDescent="0.35">
      <c r="A1012" s="17"/>
      <c r="B1012" s="75"/>
      <c r="C1012" s="75"/>
    </row>
    <row r="1013" spans="1:3" x14ac:dyDescent="0.35">
      <c r="A1013" s="17"/>
      <c r="B1013" s="75"/>
      <c r="C1013" s="75"/>
    </row>
    <row r="1014" spans="1:3" x14ac:dyDescent="0.35">
      <c r="A1014" s="17"/>
      <c r="B1014" s="75"/>
      <c r="C1014" s="75"/>
    </row>
    <row r="1015" spans="1:3" x14ac:dyDescent="0.35">
      <c r="A1015" s="17"/>
      <c r="B1015" s="75"/>
      <c r="C1015" s="75"/>
    </row>
    <row r="1016" spans="1:3" x14ac:dyDescent="0.35">
      <c r="A1016" s="17"/>
      <c r="B1016" s="75"/>
      <c r="C1016" s="75"/>
    </row>
    <row r="1017" spans="1:3" x14ac:dyDescent="0.35">
      <c r="A1017" s="17"/>
      <c r="B1017" s="75"/>
      <c r="C1017" s="75"/>
    </row>
    <row r="1018" spans="1:3" x14ac:dyDescent="0.35">
      <c r="A1018" s="17"/>
      <c r="B1018" s="75"/>
      <c r="C1018" s="75"/>
    </row>
    <row r="1019" spans="1:3" x14ac:dyDescent="0.35">
      <c r="A1019" s="17"/>
      <c r="B1019" s="75"/>
      <c r="C1019" s="75"/>
    </row>
    <row r="1020" spans="1:3" x14ac:dyDescent="0.35">
      <c r="A1020" s="17"/>
      <c r="B1020" s="75"/>
      <c r="C1020" s="75"/>
    </row>
    <row r="1021" spans="1:3" x14ac:dyDescent="0.35">
      <c r="A1021" s="17"/>
      <c r="B1021" s="75"/>
      <c r="C1021" s="75"/>
    </row>
    <row r="1022" spans="1:3" x14ac:dyDescent="0.35">
      <c r="A1022" s="17"/>
      <c r="B1022" s="75"/>
      <c r="C1022" s="75"/>
    </row>
    <row r="1023" spans="1:3" x14ac:dyDescent="0.35">
      <c r="A1023" s="17"/>
      <c r="B1023" s="75"/>
      <c r="C1023" s="75"/>
    </row>
    <row r="1024" spans="1:3" x14ac:dyDescent="0.35">
      <c r="A1024" s="17"/>
      <c r="B1024" s="75"/>
      <c r="C1024" s="75"/>
    </row>
    <row r="1025" spans="1:3" x14ac:dyDescent="0.35">
      <c r="A1025" s="17"/>
      <c r="B1025" s="75"/>
      <c r="C1025" s="75"/>
    </row>
    <row r="1026" spans="1:3" x14ac:dyDescent="0.35">
      <c r="A1026" s="17"/>
      <c r="B1026" s="75"/>
      <c r="C1026" s="75"/>
    </row>
    <row r="1027" spans="1:3" x14ac:dyDescent="0.35">
      <c r="A1027" s="17"/>
      <c r="B1027" s="75"/>
      <c r="C1027" s="75"/>
    </row>
    <row r="1028" spans="1:3" x14ac:dyDescent="0.35">
      <c r="A1028" s="17"/>
      <c r="B1028" s="75"/>
      <c r="C1028" s="75"/>
    </row>
    <row r="1029" spans="1:3" x14ac:dyDescent="0.35">
      <c r="A1029" s="17"/>
      <c r="B1029" s="75"/>
      <c r="C1029" s="75"/>
    </row>
    <row r="1030" spans="1:3" x14ac:dyDescent="0.35">
      <c r="A1030" s="17"/>
      <c r="B1030" s="75"/>
      <c r="C1030" s="75"/>
    </row>
    <row r="1031" spans="1:3" x14ac:dyDescent="0.35">
      <c r="A1031" s="17"/>
      <c r="B1031" s="75"/>
      <c r="C1031" s="75"/>
    </row>
    <row r="1032" spans="1:3" x14ac:dyDescent="0.35">
      <c r="A1032" s="17"/>
      <c r="B1032" s="75"/>
      <c r="C1032" s="75"/>
    </row>
  </sheetData>
  <mergeCells count="2">
    <mergeCell ref="A2:G3"/>
    <mergeCell ref="A5:G5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1FF8-F907-4583-B7C4-806A098F4818}">
  <dimension ref="A1:M14"/>
  <sheetViews>
    <sheetView workbookViewId="0">
      <selection activeCell="C22" sqref="C22"/>
    </sheetView>
  </sheetViews>
  <sheetFormatPr defaultRowHeight="14.5" x14ac:dyDescent="0.35"/>
  <sheetData>
    <row r="1" spans="1:13" x14ac:dyDescent="0.35">
      <c r="B1" s="89">
        <v>2017</v>
      </c>
      <c r="C1" s="89"/>
      <c r="D1" s="89">
        <v>2018</v>
      </c>
      <c r="E1" s="89"/>
      <c r="F1" s="89">
        <v>2019</v>
      </c>
      <c r="G1" s="89"/>
      <c r="H1" s="89">
        <v>2020</v>
      </c>
      <c r="I1" s="89"/>
      <c r="J1" s="89">
        <v>2021</v>
      </c>
      <c r="K1" s="89"/>
      <c r="L1" s="89">
        <v>2022</v>
      </c>
      <c r="M1" s="89"/>
    </row>
    <row r="2" spans="1:13" x14ac:dyDescent="0.35">
      <c r="A2" s="1"/>
      <c r="B2" s="67" t="s">
        <v>388</v>
      </c>
      <c r="C2" s="67" t="s">
        <v>389</v>
      </c>
      <c r="D2" s="67" t="s">
        <v>388</v>
      </c>
      <c r="E2" s="67" t="s">
        <v>389</v>
      </c>
      <c r="F2" s="67" t="s">
        <v>388</v>
      </c>
      <c r="G2" s="67" t="s">
        <v>389</v>
      </c>
      <c r="H2" s="67" t="s">
        <v>388</v>
      </c>
      <c r="I2" s="67" t="s">
        <v>389</v>
      </c>
      <c r="J2" s="67" t="s">
        <v>388</v>
      </c>
      <c r="K2" s="67" t="s">
        <v>389</v>
      </c>
      <c r="L2" s="67" t="s">
        <v>388</v>
      </c>
      <c r="M2" s="67" t="s">
        <v>389</v>
      </c>
    </row>
    <row r="3" spans="1:13" x14ac:dyDescent="0.35">
      <c r="A3" s="66" t="s">
        <v>367</v>
      </c>
      <c r="B3" s="66"/>
      <c r="C3" s="66"/>
      <c r="D3" s="66">
        <f>COUNTA(Mes!B21:B25)</f>
        <v>4</v>
      </c>
      <c r="E3" s="66">
        <f>SUM(Mes!C21:C25)</f>
        <v>175</v>
      </c>
      <c r="F3" s="66">
        <f>COUNTA(Mes!B80:B81)</f>
        <v>2</v>
      </c>
      <c r="G3" s="66">
        <f>SUM(Mes!C80:C81)</f>
        <v>150</v>
      </c>
      <c r="H3" s="66">
        <v>0</v>
      </c>
      <c r="I3" s="66">
        <v>0</v>
      </c>
      <c r="J3" s="66">
        <f>COUNTA(Mes!B110:B112)</f>
        <v>3</v>
      </c>
      <c r="K3" s="66">
        <f>SUM(Mes!C110:C112)</f>
        <v>150</v>
      </c>
      <c r="L3" s="66">
        <f>COUNTA(Mes!B178)</f>
        <v>1</v>
      </c>
      <c r="M3" s="66">
        <f>SUM(Mes!C178)</f>
        <v>100</v>
      </c>
    </row>
    <row r="4" spans="1:13" x14ac:dyDescent="0.35">
      <c r="A4" s="1" t="s">
        <v>368</v>
      </c>
      <c r="B4" s="1"/>
      <c r="C4" s="1"/>
      <c r="D4" s="1">
        <f>COUNTA(Mes!B28)</f>
        <v>1</v>
      </c>
      <c r="E4" s="1">
        <f>SUM(Mes!C28)</f>
        <v>5</v>
      </c>
      <c r="F4">
        <f>COUNTA(Mes!B83)</f>
        <v>1</v>
      </c>
      <c r="G4" s="1">
        <f>SUM(Mes!C83)</f>
        <v>100</v>
      </c>
      <c r="H4">
        <v>0</v>
      </c>
      <c r="I4" s="1">
        <v>0</v>
      </c>
      <c r="J4">
        <f>COUNTA(Mes!B114:B121)</f>
        <v>8</v>
      </c>
      <c r="K4" s="1">
        <f>SUM(Mes!C114:C121)</f>
        <v>200</v>
      </c>
      <c r="L4">
        <v>3</v>
      </c>
      <c r="M4">
        <v>300</v>
      </c>
    </row>
    <row r="5" spans="1:13" x14ac:dyDescent="0.35">
      <c r="A5" s="1" t="s">
        <v>369</v>
      </c>
      <c r="B5" s="1"/>
      <c r="C5" s="1"/>
      <c r="D5" s="1">
        <f>COUNTA(Mes!B31:B33)</f>
        <v>3</v>
      </c>
      <c r="E5" s="1">
        <f>SUM(Mes!C31:C33)</f>
        <v>155</v>
      </c>
      <c r="F5">
        <f>COUNTA(Mes!B85)</f>
        <v>1</v>
      </c>
      <c r="G5" s="1">
        <f>SUM(Mes!C85)</f>
        <v>50</v>
      </c>
      <c r="H5">
        <f>COUNTA(Mes!B98)</f>
        <v>1</v>
      </c>
      <c r="I5" s="1">
        <f>SUM(Mes!C98)</f>
        <v>100</v>
      </c>
      <c r="J5">
        <f>COUNTA(Mes!B123:B127)</f>
        <v>5</v>
      </c>
      <c r="K5" s="1">
        <f>SUM(Mes!C123:C127)</f>
        <v>200</v>
      </c>
    </row>
    <row r="6" spans="1:13" x14ac:dyDescent="0.35">
      <c r="A6" s="1" t="s">
        <v>370</v>
      </c>
      <c r="B6" s="1"/>
      <c r="C6" s="1"/>
      <c r="D6" s="1">
        <f>COUNTA(Mes!B36:B39)</f>
        <v>4</v>
      </c>
      <c r="E6" s="1">
        <f>SUM(Mes!C36:C39)</f>
        <v>400</v>
      </c>
      <c r="F6">
        <v>0</v>
      </c>
      <c r="G6" s="1">
        <v>0</v>
      </c>
      <c r="H6">
        <v>0</v>
      </c>
      <c r="I6" s="1">
        <v>0</v>
      </c>
      <c r="J6">
        <v>0</v>
      </c>
      <c r="K6" s="1">
        <v>0</v>
      </c>
    </row>
    <row r="7" spans="1:13" x14ac:dyDescent="0.35">
      <c r="A7" s="1" t="s">
        <v>371</v>
      </c>
      <c r="C7" s="1"/>
      <c r="D7">
        <f>COUNTA(Mes!B42:B45)</f>
        <v>4</v>
      </c>
      <c r="E7" s="1">
        <f>SUM(Mes!C42:C45)</f>
        <v>160</v>
      </c>
      <c r="F7">
        <f>COUNTA(Mes!B87:B90)</f>
        <v>4</v>
      </c>
      <c r="G7" s="1">
        <f>SUM(Mes!C87:C90)</f>
        <v>400</v>
      </c>
      <c r="H7">
        <v>0</v>
      </c>
      <c r="I7" s="1">
        <v>0</v>
      </c>
      <c r="J7">
        <f>COUNTA(Mes!B129:B136)</f>
        <v>8</v>
      </c>
      <c r="K7" s="1">
        <f>SUM(Mes!C129:C136)</f>
        <v>500</v>
      </c>
    </row>
    <row r="8" spans="1:13" x14ac:dyDescent="0.35">
      <c r="A8" s="1" t="s">
        <v>372</v>
      </c>
      <c r="C8" s="1"/>
      <c r="D8">
        <f>COUNTA(Mes!B48:B51)</f>
        <v>4</v>
      </c>
      <c r="E8" s="1">
        <f>SUM(Mes!C48:C51)</f>
        <v>300</v>
      </c>
      <c r="F8">
        <f>COUNTA(Mes!B92:B96)</f>
        <v>4</v>
      </c>
      <c r="G8" s="1">
        <f>SUM(Mes!C92:C96)</f>
        <v>400</v>
      </c>
      <c r="H8">
        <v>0</v>
      </c>
      <c r="I8" s="1">
        <v>0</v>
      </c>
      <c r="J8">
        <f>COUNTA(Mes!B138:B144)</f>
        <v>7</v>
      </c>
      <c r="K8" s="1">
        <f>SUM(Mes!C138:C144)</f>
        <v>400</v>
      </c>
    </row>
    <row r="9" spans="1:13" x14ac:dyDescent="0.35">
      <c r="A9" s="1" t="s">
        <v>373</v>
      </c>
      <c r="C9" s="1"/>
      <c r="D9">
        <f>COUNTA(Mes!B54:B56)</f>
        <v>3</v>
      </c>
      <c r="E9" s="1">
        <f>SUM(Mes!C54:C56)</f>
        <v>300</v>
      </c>
      <c r="F9">
        <v>0</v>
      </c>
      <c r="G9" s="1">
        <v>0</v>
      </c>
      <c r="H9">
        <v>0</v>
      </c>
      <c r="I9" s="1">
        <v>0</v>
      </c>
      <c r="J9">
        <f>COUNTA(Mes!B146:B151)</f>
        <v>6</v>
      </c>
      <c r="K9" s="1">
        <f>SUM(Mes!C146:C151)</f>
        <v>450</v>
      </c>
    </row>
    <row r="10" spans="1:13" x14ac:dyDescent="0.35">
      <c r="A10" s="1" t="s">
        <v>374</v>
      </c>
      <c r="C10" s="1"/>
      <c r="D10">
        <f>COUNTA(Mes!B59:B64)</f>
        <v>6</v>
      </c>
      <c r="E10" s="1">
        <f>SUM(Mes!C59:C64)</f>
        <v>600</v>
      </c>
      <c r="F10">
        <v>0</v>
      </c>
      <c r="G10" s="1">
        <v>0</v>
      </c>
      <c r="H10">
        <v>0</v>
      </c>
      <c r="I10" s="1">
        <v>0</v>
      </c>
      <c r="J10">
        <f>COUNTA(Mes!B153:B157)</f>
        <v>5</v>
      </c>
      <c r="K10" s="1">
        <f>SUM(Mes!C153:C157)</f>
        <v>500</v>
      </c>
    </row>
    <row r="11" spans="1:13" x14ac:dyDescent="0.35">
      <c r="A11" s="1" t="s">
        <v>375</v>
      </c>
      <c r="C11" s="1"/>
      <c r="D11">
        <f>COUNTA(Mes!B67:B70)</f>
        <v>4</v>
      </c>
      <c r="E11" s="1">
        <f>SUM(Mes!C67:C70)</f>
        <v>400</v>
      </c>
      <c r="F11">
        <v>0</v>
      </c>
      <c r="G11" s="1">
        <v>0</v>
      </c>
      <c r="H11">
        <f>COUNTA(Mes!B100:B103)</f>
        <v>4</v>
      </c>
      <c r="I11" s="1">
        <f>SUM(Mes!C100:C103)</f>
        <v>400</v>
      </c>
      <c r="J11">
        <f>COUNTA(Mes!B159:B163)</f>
        <v>5</v>
      </c>
      <c r="K11" s="1">
        <f>SUM(Mes!C159:C163)</f>
        <v>500</v>
      </c>
    </row>
    <row r="12" spans="1:13" x14ac:dyDescent="0.35">
      <c r="A12" s="1" t="s">
        <v>376</v>
      </c>
      <c r="B12">
        <f>COUNTA(Mes!B7:B9)</f>
        <v>3</v>
      </c>
      <c r="C12" s="1">
        <f>SUM(Mes!C7:C9)</f>
        <v>150</v>
      </c>
      <c r="D12">
        <f>COUNTA(Mes!B73:B74)</f>
        <v>2</v>
      </c>
      <c r="E12" s="1">
        <f>SUM(Mes!C73:C74)</f>
        <v>100</v>
      </c>
      <c r="F12">
        <v>0</v>
      </c>
      <c r="G12" s="1">
        <v>0</v>
      </c>
      <c r="H12">
        <f>COUNTA(Mes!B105:B106)</f>
        <v>2</v>
      </c>
      <c r="I12" s="1">
        <f>SUM(Mes!C105:C106)</f>
        <v>200</v>
      </c>
      <c r="J12">
        <f>COUNTA(Mes!B165:B166)</f>
        <v>2</v>
      </c>
      <c r="K12" s="1">
        <f>SUM(Mes!C165:C166)</f>
        <v>200</v>
      </c>
    </row>
    <row r="13" spans="1:13" x14ac:dyDescent="0.35">
      <c r="A13" s="1" t="s">
        <v>377</v>
      </c>
      <c r="B13">
        <f>COUNTA(Mes!B12:B14)</f>
        <v>3</v>
      </c>
      <c r="C13" s="1">
        <f>SUM(Mes!C12:C14)</f>
        <v>125</v>
      </c>
      <c r="D13">
        <f>COUNTA(Mes!B77)</f>
        <v>1</v>
      </c>
      <c r="E13" s="1">
        <f>SUM(Mes!C77)</f>
        <v>100</v>
      </c>
      <c r="F13">
        <v>0</v>
      </c>
      <c r="G13" s="1">
        <v>0</v>
      </c>
      <c r="H13">
        <f>COUNTA(Mes!B108)</f>
        <v>1</v>
      </c>
      <c r="I13" s="1">
        <f>SUM(Mes!C108)</f>
        <v>100</v>
      </c>
      <c r="J13">
        <f>COUNTA(Mes!B168:B172)</f>
        <v>5</v>
      </c>
      <c r="K13" s="1">
        <f>SUM(Mes!C168:C172)</f>
        <v>500</v>
      </c>
    </row>
    <row r="14" spans="1:13" x14ac:dyDescent="0.35">
      <c r="A14" s="1" t="s">
        <v>378</v>
      </c>
      <c r="B14">
        <f>COUNTA(Mes!B17:B18)</f>
        <v>2</v>
      </c>
      <c r="C14" s="1">
        <f>SUM(Mes!C17:C18)</f>
        <v>100</v>
      </c>
      <c r="D14">
        <v>0</v>
      </c>
      <c r="E14" s="1">
        <v>0</v>
      </c>
      <c r="F14">
        <v>0</v>
      </c>
      <c r="G14" s="1">
        <v>0</v>
      </c>
      <c r="H14">
        <v>0</v>
      </c>
      <c r="I14" s="1">
        <v>0</v>
      </c>
      <c r="J14">
        <f>COUNTA(Mes!B174:B176)</f>
        <v>3</v>
      </c>
      <c r="K14" s="1">
        <f>SUM(Mes!C174:C176)</f>
        <v>300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Ano</vt:lpstr>
      <vt:lpstr>Mes</vt:lpstr>
      <vt:lpstr>2021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Orsilane Silva de Carvalho</dc:creator>
  <cp:lastModifiedBy>Sara R. A. dos Santos</cp:lastModifiedBy>
  <dcterms:created xsi:type="dcterms:W3CDTF">2021-04-12T18:18:06Z</dcterms:created>
  <dcterms:modified xsi:type="dcterms:W3CDTF">2022-03-03T13:36:15Z</dcterms:modified>
</cp:coreProperties>
</file>