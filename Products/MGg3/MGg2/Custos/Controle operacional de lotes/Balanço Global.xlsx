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 firstSheet="23" activeTab="28"/>
  </bookViews>
  <sheets>
    <sheet name="20210118Pa" sheetId="21" r:id="rId1"/>
    <sheet name="20210301Pa" sheetId="8" r:id="rId2"/>
    <sheet name="20210510Pa" sheetId="9" r:id="rId3"/>
    <sheet name="20210524Pa" sheetId="10" r:id="rId4"/>
    <sheet name="20210607Pa" sheetId="11" state="hidden" r:id="rId5"/>
    <sheet name="20210616Pa" sheetId="15" r:id="rId6"/>
    <sheet name="20210622Pa" sheetId="16" r:id="rId7"/>
    <sheet name="20210714Pa" sheetId="17" r:id="rId8"/>
    <sheet name="20210719Pa" sheetId="18" r:id="rId9"/>
    <sheet name="20210720Pa" sheetId="19" r:id="rId10"/>
    <sheet name="20210729Pa" sheetId="22" r:id="rId11"/>
    <sheet name="20210810Pa" sheetId="23" r:id="rId12"/>
    <sheet name="20210816Pa" sheetId="24" r:id="rId13"/>
    <sheet name="20210818Pa" sheetId="25" r:id="rId14"/>
    <sheet name="20210824Pa" sheetId="26" r:id="rId15"/>
    <sheet name="20210927Pb" sheetId="29" r:id="rId16"/>
    <sheet name="20210927Pa" sheetId="27" r:id="rId17"/>
    <sheet name="20211004Pa" sheetId="28" r:id="rId18"/>
    <sheet name="20211025Pa" sheetId="30" r:id="rId19"/>
    <sheet name="20211116Pa " sheetId="31" r:id="rId20"/>
    <sheet name="20211122Pa " sheetId="32" r:id="rId21"/>
    <sheet name="20211124Pa" sheetId="33" r:id="rId22"/>
    <sheet name="20211129Pa" sheetId="34" r:id="rId23"/>
    <sheet name="20211201Pa" sheetId="35" r:id="rId24"/>
    <sheet name="20211206Pa" sheetId="36" r:id="rId25"/>
    <sheet name="20211214Pa" sheetId="37" r:id="rId26"/>
    <sheet name="20220118Pa" sheetId="40" r:id="rId27"/>
    <sheet name="20220208Pa" sheetId="39" r:id="rId28"/>
    <sheet name="20220214Pa" sheetId="38" r:id="rId29"/>
    <sheet name="20220221Pa" sheetId="41" r:id="rId30"/>
  </sheets>
  <externalReferences>
    <externalReference r:id="rId31"/>
  </externalReferenc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3" i="41"/>
  <c r="U52" i="38"/>
  <c r="T52"/>
  <c r="AC50" i="41"/>
  <c r="P47"/>
  <c r="Z47"/>
  <c r="B45"/>
  <c r="K44"/>
  <c r="N45"/>
  <c r="C42"/>
  <c r="W31"/>
  <c r="T34" s="1"/>
  <c r="AB27"/>
  <c r="M26"/>
  <c r="P25"/>
  <c r="AC25"/>
  <c r="C22"/>
  <c r="C21"/>
  <c r="B20"/>
  <c r="B23" s="1"/>
  <c r="C19"/>
  <c r="AC45" i="38"/>
  <c r="AC24"/>
  <c r="Q43"/>
  <c r="T34"/>
  <c r="Q42" i="39"/>
  <c r="Q43" s="1"/>
  <c r="AC44"/>
  <c r="Z46" s="1"/>
  <c r="AC23"/>
  <c r="AC24" s="1"/>
  <c r="P23"/>
  <c r="P24" s="1"/>
  <c r="Q43" i="40"/>
  <c r="W31" i="38"/>
  <c r="W30" i="39"/>
  <c r="T33" s="1"/>
  <c r="O55" i="24"/>
  <c r="H33" i="36"/>
  <c r="AC50" i="40"/>
  <c r="AJ48"/>
  <c r="Z47"/>
  <c r="P47"/>
  <c r="AC46"/>
  <c r="T53" s="1"/>
  <c r="AC45"/>
  <c r="B45"/>
  <c r="AR44"/>
  <c r="AR45" s="1"/>
  <c r="K44"/>
  <c r="Q44"/>
  <c r="C42"/>
  <c r="AM40"/>
  <c r="AI40"/>
  <c r="AE35"/>
  <c r="AE36" s="1"/>
  <c r="AO34"/>
  <c r="AM41" s="1"/>
  <c r="W31"/>
  <c r="T34" s="1"/>
  <c r="AB27"/>
  <c r="M26"/>
  <c r="P25"/>
  <c r="AC24"/>
  <c r="AC25" s="1"/>
  <c r="C22"/>
  <c r="C21"/>
  <c r="C20"/>
  <c r="B20"/>
  <c r="B23" s="1"/>
  <c r="C19"/>
  <c r="C23" s="1"/>
  <c r="G19" s="1"/>
  <c r="E28" i="37"/>
  <c r="AC49" i="39"/>
  <c r="P46"/>
  <c r="B44"/>
  <c r="K43"/>
  <c r="C41"/>
  <c r="AD27"/>
  <c r="M25"/>
  <c r="C21"/>
  <c r="C20"/>
  <c r="B20"/>
  <c r="B22" s="1"/>
  <c r="C19"/>
  <c r="C22" s="1"/>
  <c r="G19" s="1"/>
  <c r="C21" i="38"/>
  <c r="C23" i="41" l="1"/>
  <c r="G19" s="1"/>
  <c r="E29"/>
  <c r="H34" s="1"/>
  <c r="H35" s="1"/>
  <c r="T35"/>
  <c r="Z26"/>
  <c r="AC27" s="1"/>
  <c r="C20"/>
  <c r="Q44"/>
  <c r="AC46"/>
  <c r="E29" i="40"/>
  <c r="H34" s="1"/>
  <c r="H35" s="1"/>
  <c r="D23"/>
  <c r="AC27"/>
  <c r="T35"/>
  <c r="N45"/>
  <c r="T54" s="1"/>
  <c r="AO35"/>
  <c r="Z26"/>
  <c r="T52" s="1"/>
  <c r="AD50"/>
  <c r="D22" i="39"/>
  <c r="B46" s="1"/>
  <c r="E28"/>
  <c r="H33" s="1"/>
  <c r="H34" s="1"/>
  <c r="Z25"/>
  <c r="AE27" s="1"/>
  <c r="N44"/>
  <c r="T53" s="1"/>
  <c r="AC45"/>
  <c r="N45" i="38"/>
  <c r="Z47"/>
  <c r="Z26"/>
  <c r="AC50"/>
  <c r="P47"/>
  <c r="B45"/>
  <c r="K44"/>
  <c r="C42"/>
  <c r="AB27"/>
  <c r="M26"/>
  <c r="P25"/>
  <c r="B23"/>
  <c r="C22"/>
  <c r="C20"/>
  <c r="B20"/>
  <c r="C19"/>
  <c r="C23" s="1"/>
  <c r="AC44" i="37"/>
  <c r="Q42"/>
  <c r="Q43" s="1"/>
  <c r="AC45"/>
  <c r="AC23"/>
  <c r="Z25" s="1"/>
  <c r="P23" i="36"/>
  <c r="M25" s="1"/>
  <c r="Q42"/>
  <c r="Q43" s="1"/>
  <c r="AC44"/>
  <c r="Z46" s="1"/>
  <c r="AC23"/>
  <c r="AC24" s="1"/>
  <c r="AC49" i="37"/>
  <c r="P46"/>
  <c r="B44"/>
  <c r="K43"/>
  <c r="C41"/>
  <c r="W30"/>
  <c r="T33" s="1"/>
  <c r="AD27"/>
  <c r="M25"/>
  <c r="P24"/>
  <c r="C21"/>
  <c r="B20"/>
  <c r="B22" s="1"/>
  <c r="C19"/>
  <c r="Q42" i="35"/>
  <c r="Q43" s="1"/>
  <c r="AC44"/>
  <c r="AC45" s="1"/>
  <c r="AC23"/>
  <c r="AC24" s="1"/>
  <c r="Q42" i="34"/>
  <c r="N44" s="1"/>
  <c r="AC44"/>
  <c r="AC45" s="1"/>
  <c r="AC23"/>
  <c r="Z25" s="1"/>
  <c r="Q42" i="33"/>
  <c r="N44" s="1"/>
  <c r="AC44"/>
  <c r="AC45" s="1"/>
  <c r="AC23"/>
  <c r="AC24" s="1"/>
  <c r="Q42" i="32"/>
  <c r="N44" s="1"/>
  <c r="AC44"/>
  <c r="AC45" s="1"/>
  <c r="AC23"/>
  <c r="AC49" i="36"/>
  <c r="P46"/>
  <c r="B44"/>
  <c r="K43"/>
  <c r="C41"/>
  <c r="W30"/>
  <c r="T33" s="1"/>
  <c r="AD27"/>
  <c r="C21"/>
  <c r="C20"/>
  <c r="B20"/>
  <c r="B22" s="1"/>
  <c r="C19"/>
  <c r="C22" s="1"/>
  <c r="G19" s="1"/>
  <c r="AC49" i="35"/>
  <c r="P46"/>
  <c r="B44"/>
  <c r="K43"/>
  <c r="C41"/>
  <c r="W30"/>
  <c r="T33" s="1"/>
  <c r="AD27"/>
  <c r="M25"/>
  <c r="P24"/>
  <c r="B22"/>
  <c r="C21"/>
  <c r="C20"/>
  <c r="B20"/>
  <c r="C19"/>
  <c r="C22" s="1"/>
  <c r="AC49" i="34"/>
  <c r="P46"/>
  <c r="B44"/>
  <c r="K43"/>
  <c r="C41"/>
  <c r="W30"/>
  <c r="T33" s="1"/>
  <c r="AD27"/>
  <c r="M25"/>
  <c r="AC24"/>
  <c r="P24"/>
  <c r="B22"/>
  <c r="C21"/>
  <c r="C20"/>
  <c r="B20"/>
  <c r="C19"/>
  <c r="C22" s="1"/>
  <c r="AC23" i="31"/>
  <c r="Z25" s="1"/>
  <c r="AC44"/>
  <c r="Z46" s="1"/>
  <c r="Q42"/>
  <c r="N44" s="1"/>
  <c r="AC23" i="30"/>
  <c r="Q42"/>
  <c r="Z25"/>
  <c r="AC49" i="33"/>
  <c r="P46"/>
  <c r="B44"/>
  <c r="K43"/>
  <c r="C41"/>
  <c r="W30"/>
  <c r="T33" s="1"/>
  <c r="AD27"/>
  <c r="M25"/>
  <c r="P24"/>
  <c r="B22"/>
  <c r="C21"/>
  <c r="C20"/>
  <c r="B20"/>
  <c r="C19"/>
  <c r="C22" s="1"/>
  <c r="AC49" i="32"/>
  <c r="P46"/>
  <c r="B44"/>
  <c r="K43"/>
  <c r="C41"/>
  <c r="W30"/>
  <c r="T33" s="1"/>
  <c r="AD27"/>
  <c r="Z25"/>
  <c r="M25"/>
  <c r="AC24"/>
  <c r="P24"/>
  <c r="C21"/>
  <c r="C20"/>
  <c r="B20"/>
  <c r="B22" s="1"/>
  <c r="C19"/>
  <c r="C22" s="1"/>
  <c r="G19" s="1"/>
  <c r="AC49" i="31"/>
  <c r="P46"/>
  <c r="B44"/>
  <c r="K43"/>
  <c r="C41"/>
  <c r="W30"/>
  <c r="T33" s="1"/>
  <c r="AD27"/>
  <c r="M25"/>
  <c r="P24"/>
  <c r="C21"/>
  <c r="B20"/>
  <c r="B22" s="1"/>
  <c r="C19"/>
  <c r="Q43" i="30"/>
  <c r="AC44"/>
  <c r="AC45" s="1"/>
  <c r="Q42" i="28"/>
  <c r="Q43" s="1"/>
  <c r="AC44"/>
  <c r="Z46" s="1"/>
  <c r="Q42" i="27"/>
  <c r="AC44"/>
  <c r="Z46" s="1"/>
  <c r="AC23" i="28"/>
  <c r="Z25" s="1"/>
  <c r="AC23" i="27"/>
  <c r="AC24" s="1"/>
  <c r="AI60" i="29"/>
  <c r="AF62" s="1"/>
  <c r="AC49" i="30"/>
  <c r="P46"/>
  <c r="B44"/>
  <c r="K43"/>
  <c r="C41"/>
  <c r="W30"/>
  <c r="T33" s="1"/>
  <c r="AD27"/>
  <c r="M25"/>
  <c r="P24"/>
  <c r="C21"/>
  <c r="B20"/>
  <c r="C20" s="1"/>
  <c r="C22" s="1"/>
  <c r="G19" s="1"/>
  <c r="C19"/>
  <c r="AC44" i="29"/>
  <c r="Z46" s="1"/>
  <c r="AC23"/>
  <c r="AC24" s="1"/>
  <c r="Q42"/>
  <c r="AL68"/>
  <c r="AE64"/>
  <c r="AL62"/>
  <c r="AE62"/>
  <c r="AE61"/>
  <c r="AA91"/>
  <c r="AA86"/>
  <c r="T81"/>
  <c r="AA80"/>
  <c r="T80"/>
  <c r="U80" s="1"/>
  <c r="T79"/>
  <c r="T82" s="1"/>
  <c r="X78"/>
  <c r="AA73"/>
  <c r="AA68"/>
  <c r="AA62"/>
  <c r="T63"/>
  <c r="T62"/>
  <c r="T61"/>
  <c r="Q43"/>
  <c r="AC49"/>
  <c r="P46"/>
  <c r="B44"/>
  <c r="K43"/>
  <c r="C41"/>
  <c r="W30"/>
  <c r="T33" s="1"/>
  <c r="AD27"/>
  <c r="M25"/>
  <c r="P24"/>
  <c r="C21"/>
  <c r="B20"/>
  <c r="B22" s="1"/>
  <c r="C19"/>
  <c r="AC49" i="28"/>
  <c r="P46"/>
  <c r="B44"/>
  <c r="K43"/>
  <c r="C41"/>
  <c r="W30"/>
  <c r="T33" s="1"/>
  <c r="AD27"/>
  <c r="M25"/>
  <c r="AC24"/>
  <c r="P24"/>
  <c r="B22"/>
  <c r="C21"/>
  <c r="C20"/>
  <c r="B20"/>
  <c r="C19"/>
  <c r="C22" s="1"/>
  <c r="G19" s="1"/>
  <c r="AC49" i="27"/>
  <c r="P46"/>
  <c r="B44"/>
  <c r="K43"/>
  <c r="Q43"/>
  <c r="C41"/>
  <c r="W30"/>
  <c r="T33" s="1"/>
  <c r="AD27"/>
  <c r="M25"/>
  <c r="P24"/>
  <c r="B22"/>
  <c r="C21"/>
  <c r="B20"/>
  <c r="C20" s="1"/>
  <c r="C19"/>
  <c r="T52" i="22"/>
  <c r="T53" i="41" l="1"/>
  <c r="AD50"/>
  <c r="T52"/>
  <c r="T54"/>
  <c r="Q47"/>
  <c r="D23"/>
  <c r="T55" i="40"/>
  <c r="B48"/>
  <c r="B47"/>
  <c r="B49" s="1"/>
  <c r="B50" s="1"/>
  <c r="X51" s="1"/>
  <c r="U54" s="1"/>
  <c r="Q47"/>
  <c r="T34" i="39"/>
  <c r="T35" s="1"/>
  <c r="T51"/>
  <c r="T52"/>
  <c r="AD49"/>
  <c r="Q46"/>
  <c r="B47"/>
  <c r="B48" s="1"/>
  <c r="B49" s="1"/>
  <c r="X50" s="1"/>
  <c r="U53" s="1"/>
  <c r="D23" i="38"/>
  <c r="B47" s="1"/>
  <c r="G19"/>
  <c r="B48"/>
  <c r="AC25"/>
  <c r="Q44"/>
  <c r="AC46"/>
  <c r="E29"/>
  <c r="H34" s="1"/>
  <c r="H35" s="1"/>
  <c r="T53" i="37"/>
  <c r="N44"/>
  <c r="Z46"/>
  <c r="T52" s="1"/>
  <c r="AC24"/>
  <c r="P24" i="36"/>
  <c r="N44"/>
  <c r="T53" s="1"/>
  <c r="AC45"/>
  <c r="T52" s="1"/>
  <c r="AE27"/>
  <c r="Z25"/>
  <c r="T51" s="1"/>
  <c r="H33" i="37"/>
  <c r="H34" s="1"/>
  <c r="T34"/>
  <c r="C20"/>
  <c r="C22" s="1"/>
  <c r="Q46"/>
  <c r="N44" i="35"/>
  <c r="Q46" s="1"/>
  <c r="AD49"/>
  <c r="T52"/>
  <c r="Z46"/>
  <c r="T51"/>
  <c r="Z25"/>
  <c r="Q43" i="34"/>
  <c r="T53" s="1"/>
  <c r="T54" s="1"/>
  <c r="T52"/>
  <c r="Z46"/>
  <c r="T51"/>
  <c r="Q43" i="33"/>
  <c r="T53" s="1"/>
  <c r="AD49"/>
  <c r="Z46"/>
  <c r="T51"/>
  <c r="Z25"/>
  <c r="AE27" s="1"/>
  <c r="Q43" i="32"/>
  <c r="T53" s="1"/>
  <c r="T52"/>
  <c r="Z46"/>
  <c r="AE27"/>
  <c r="T34" i="35"/>
  <c r="E28"/>
  <c r="T34" i="34"/>
  <c r="E28"/>
  <c r="AD49"/>
  <c r="B47" i="36"/>
  <c r="B48" s="1"/>
  <c r="B49" s="1"/>
  <c r="X50" s="1"/>
  <c r="E28"/>
  <c r="D22"/>
  <c r="B46" s="1"/>
  <c r="Q46"/>
  <c r="AD49"/>
  <c r="D22" i="35"/>
  <c r="B46" s="1"/>
  <c r="G19"/>
  <c r="AE27"/>
  <c r="D22" i="34"/>
  <c r="B46" s="1"/>
  <c r="G19"/>
  <c r="AE27"/>
  <c r="T52" i="33"/>
  <c r="E28"/>
  <c r="T34" s="1"/>
  <c r="D22"/>
  <c r="B46" s="1"/>
  <c r="G19"/>
  <c r="B47" i="32"/>
  <c r="B48" s="1"/>
  <c r="B49" s="1"/>
  <c r="X50" s="1"/>
  <c r="E28"/>
  <c r="T34" s="1"/>
  <c r="D22"/>
  <c r="B46" s="1"/>
  <c r="T51"/>
  <c r="AD49"/>
  <c r="E28" i="31"/>
  <c r="T34" s="1"/>
  <c r="C22"/>
  <c r="G19" s="1"/>
  <c r="C20"/>
  <c r="Q43"/>
  <c r="AC45"/>
  <c r="AC24"/>
  <c r="N44" i="30"/>
  <c r="Q46" s="1"/>
  <c r="AD49"/>
  <c r="Z46"/>
  <c r="T52" s="1"/>
  <c r="AC24"/>
  <c r="T51" s="1"/>
  <c r="T53" i="28"/>
  <c r="N44"/>
  <c r="Q46" s="1"/>
  <c r="AC45"/>
  <c r="AD49" s="1"/>
  <c r="T51"/>
  <c r="B22" i="30"/>
  <c r="AF61" i="29"/>
  <c r="AE65"/>
  <c r="AF65" s="1"/>
  <c r="T83"/>
  <c r="U83" s="1"/>
  <c r="U81"/>
  <c r="U79"/>
  <c r="U82" s="1"/>
  <c r="T64"/>
  <c r="T65" s="1"/>
  <c r="U65" s="1"/>
  <c r="T53"/>
  <c r="N44"/>
  <c r="Q46" s="1"/>
  <c r="X60" s="1"/>
  <c r="U62" s="1"/>
  <c r="AC45"/>
  <c r="T52" s="1"/>
  <c r="Z25"/>
  <c r="AE27" s="1"/>
  <c r="E28"/>
  <c r="T34" s="1"/>
  <c r="C20"/>
  <c r="C22" s="1"/>
  <c r="G19" s="1"/>
  <c r="E28" i="28"/>
  <c r="T34" s="1"/>
  <c r="AE27"/>
  <c r="D22"/>
  <c r="B46" s="1"/>
  <c r="E28" i="27"/>
  <c r="T34" s="1"/>
  <c r="C22"/>
  <c r="G19" s="1"/>
  <c r="N44"/>
  <c r="Q46" s="1"/>
  <c r="AC45"/>
  <c r="Z25"/>
  <c r="AE27" s="1"/>
  <c r="G19" i="24"/>
  <c r="AC44" i="26"/>
  <c r="Z46" s="1"/>
  <c r="AC23"/>
  <c r="AC24" s="1"/>
  <c r="Q42"/>
  <c r="N44" s="1"/>
  <c r="U64" i="25"/>
  <c r="T64"/>
  <c r="U62"/>
  <c r="T62"/>
  <c r="Z71"/>
  <c r="U61"/>
  <c r="U60"/>
  <c r="T61"/>
  <c r="T60"/>
  <c r="Z61"/>
  <c r="Z62" s="1"/>
  <c r="Z66"/>
  <c r="Z67" s="1"/>
  <c r="Z72"/>
  <c r="T60" i="24"/>
  <c r="T59"/>
  <c r="T58"/>
  <c r="Z69"/>
  <c r="Z70" s="1"/>
  <c r="Z59"/>
  <c r="Z60" s="1"/>
  <c r="Z64"/>
  <c r="Z65" s="1"/>
  <c r="P68" i="25"/>
  <c r="Q70" i="24"/>
  <c r="Q55"/>
  <c r="N67" i="25"/>
  <c r="N62"/>
  <c r="N57"/>
  <c r="N66"/>
  <c r="N61"/>
  <c r="N56"/>
  <c r="O59" i="24"/>
  <c r="O69"/>
  <c r="O64"/>
  <c r="O68"/>
  <c r="O63"/>
  <c r="O58"/>
  <c r="N52" i="25"/>
  <c r="N51"/>
  <c r="O54" i="24"/>
  <c r="O53"/>
  <c r="P23" i="25"/>
  <c r="Q42" i="24"/>
  <c r="Q43" s="1"/>
  <c r="Q42" i="25"/>
  <c r="N44" s="1"/>
  <c r="AC44"/>
  <c r="AC45" s="1"/>
  <c r="AC23"/>
  <c r="Z25" s="1"/>
  <c r="AC44" i="24"/>
  <c r="AC45" s="1"/>
  <c r="AC23"/>
  <c r="AC24" s="1"/>
  <c r="P23"/>
  <c r="T63" i="23"/>
  <c r="T62"/>
  <c r="X58"/>
  <c r="T61"/>
  <c r="AC44"/>
  <c r="AC45" s="1"/>
  <c r="AC23"/>
  <c r="AC24" s="1"/>
  <c r="P23"/>
  <c r="M25" s="1"/>
  <c r="Q42"/>
  <c r="Q43" s="1"/>
  <c r="AC49" i="26"/>
  <c r="P46"/>
  <c r="B44"/>
  <c r="K43"/>
  <c r="C41"/>
  <c r="W30"/>
  <c r="AD27"/>
  <c r="M25"/>
  <c r="C21"/>
  <c r="B20"/>
  <c r="C20" s="1"/>
  <c r="C19"/>
  <c r="AC49" i="25"/>
  <c r="P46"/>
  <c r="B44"/>
  <c r="K43"/>
  <c r="C41"/>
  <c r="W30"/>
  <c r="AD27"/>
  <c r="M25"/>
  <c r="B22"/>
  <c r="C21"/>
  <c r="C20"/>
  <c r="B20"/>
  <c r="C19"/>
  <c r="C22" s="1"/>
  <c r="G19" s="1"/>
  <c r="AC49" i="24"/>
  <c r="B44"/>
  <c r="P46"/>
  <c r="K43"/>
  <c r="C41"/>
  <c r="M25"/>
  <c r="W30"/>
  <c r="C21"/>
  <c r="C20"/>
  <c r="B20"/>
  <c r="B22" s="1"/>
  <c r="C19"/>
  <c r="P22" i="23"/>
  <c r="Z45"/>
  <c r="AC49" s="1"/>
  <c r="Z24"/>
  <c r="AD27" s="1"/>
  <c r="N43"/>
  <c r="P46" s="1"/>
  <c r="B44"/>
  <c r="K43"/>
  <c r="C41"/>
  <c r="C21"/>
  <c r="B20"/>
  <c r="B22" s="1"/>
  <c r="C19"/>
  <c r="AL39" i="10"/>
  <c r="AM23"/>
  <c r="H33"/>
  <c r="K72" i="9"/>
  <c r="J18"/>
  <c r="K71" i="10"/>
  <c r="K18"/>
  <c r="S64"/>
  <c r="R10"/>
  <c r="J34" i="9"/>
  <c r="S64"/>
  <c r="R10"/>
  <c r="AR108"/>
  <c r="AS59"/>
  <c r="AA41"/>
  <c r="AA10"/>
  <c r="AR107" i="10"/>
  <c r="AR59"/>
  <c r="Z41"/>
  <c r="Z10"/>
  <c r="B47" i="41" l="1"/>
  <c r="B49" s="1"/>
  <c r="B50" s="1"/>
  <c r="B48"/>
  <c r="T55"/>
  <c r="H36" i="40"/>
  <c r="T56"/>
  <c r="U56" s="1"/>
  <c r="U53"/>
  <c r="U52"/>
  <c r="U55" s="1"/>
  <c r="T36"/>
  <c r="U52" i="39"/>
  <c r="H35"/>
  <c r="U51"/>
  <c r="T54"/>
  <c r="T55" s="1"/>
  <c r="U55" s="1"/>
  <c r="AC27" i="38"/>
  <c r="T35"/>
  <c r="T53"/>
  <c r="AD50"/>
  <c r="T54"/>
  <c r="Q47"/>
  <c r="B49"/>
  <c r="AD49" i="37"/>
  <c r="AE27"/>
  <c r="T51"/>
  <c r="T54" s="1"/>
  <c r="T54" i="36"/>
  <c r="G19" i="37"/>
  <c r="D22"/>
  <c r="T53" i="35"/>
  <c r="T54" s="1"/>
  <c r="Q46" i="34"/>
  <c r="Q46" i="33"/>
  <c r="T54"/>
  <c r="Q46" i="32"/>
  <c r="T34" i="36"/>
  <c r="T35" s="1"/>
  <c r="H34"/>
  <c r="H35" s="1"/>
  <c r="T55"/>
  <c r="U55" s="1"/>
  <c r="U52"/>
  <c r="U51"/>
  <c r="U53"/>
  <c r="B47" i="35"/>
  <c r="B48" s="1"/>
  <c r="B49" s="1"/>
  <c r="B47" i="34"/>
  <c r="B48" s="1"/>
  <c r="B49" s="1"/>
  <c r="T53" i="30"/>
  <c r="T54" s="1"/>
  <c r="B47" i="33"/>
  <c r="B48" s="1"/>
  <c r="B49" s="1"/>
  <c r="U53" i="32"/>
  <c r="U52"/>
  <c r="T54"/>
  <c r="T55" s="1"/>
  <c r="U55" s="1"/>
  <c r="U51"/>
  <c r="T35"/>
  <c r="T51" i="31"/>
  <c r="AE27"/>
  <c r="D22"/>
  <c r="T53"/>
  <c r="Q46"/>
  <c r="T52"/>
  <c r="AD49"/>
  <c r="AE27" i="30"/>
  <c r="T52" i="28"/>
  <c r="T54" s="1"/>
  <c r="AF64" i="29"/>
  <c r="D22" i="30"/>
  <c r="E28"/>
  <c r="T34" s="1"/>
  <c r="U63" i="29"/>
  <c r="U61"/>
  <c r="AD49"/>
  <c r="T51"/>
  <c r="T54" s="1"/>
  <c r="D22"/>
  <c r="B47" i="28"/>
  <c r="B48" s="1"/>
  <c r="B49" s="1"/>
  <c r="T53" i="27"/>
  <c r="D22"/>
  <c r="T51"/>
  <c r="T52"/>
  <c r="AD49"/>
  <c r="AC45" i="26"/>
  <c r="AD49" s="1"/>
  <c r="T51"/>
  <c r="Z25"/>
  <c r="Q43"/>
  <c r="T53" s="1"/>
  <c r="T63" i="25"/>
  <c r="U65" s="1"/>
  <c r="T61" i="24"/>
  <c r="N58" i="25"/>
  <c r="P58" s="1"/>
  <c r="O70" i="24"/>
  <c r="O65"/>
  <c r="Q65" s="1"/>
  <c r="O60"/>
  <c r="Q60" s="1"/>
  <c r="N68" i="25"/>
  <c r="N63"/>
  <c r="P63" s="1"/>
  <c r="N53"/>
  <c r="Q43"/>
  <c r="Q46" s="1"/>
  <c r="T52"/>
  <c r="Z46"/>
  <c r="AD49" s="1"/>
  <c r="AC24"/>
  <c r="AE27" s="1"/>
  <c r="U63" i="23"/>
  <c r="U59"/>
  <c r="U61"/>
  <c r="U60"/>
  <c r="C22" i="26"/>
  <c r="G19" s="1"/>
  <c r="AE27"/>
  <c r="B22"/>
  <c r="E28" i="25"/>
  <c r="P22" s="1"/>
  <c r="P24" s="1"/>
  <c r="T51"/>
  <c r="D22"/>
  <c r="C22" i="24"/>
  <c r="E28"/>
  <c r="P22" s="1"/>
  <c r="N44"/>
  <c r="Z46"/>
  <c r="AD27"/>
  <c r="Z25"/>
  <c r="AE27" s="1"/>
  <c r="Z46" i="23"/>
  <c r="T52" s="1"/>
  <c r="W30"/>
  <c r="N44"/>
  <c r="Q46" s="1"/>
  <c r="E28"/>
  <c r="C20"/>
  <c r="C22" s="1"/>
  <c r="G19" s="1"/>
  <c r="Z25"/>
  <c r="AE27" s="1"/>
  <c r="AD49"/>
  <c r="Q42" i="22"/>
  <c r="AC44"/>
  <c r="P23"/>
  <c r="AC23"/>
  <c r="Z24"/>
  <c r="N43"/>
  <c r="X51" i="41" l="1"/>
  <c r="T36"/>
  <c r="H36"/>
  <c r="T36" i="38"/>
  <c r="U54" i="39"/>
  <c r="X51" i="38"/>
  <c r="U54" s="1"/>
  <c r="B50"/>
  <c r="H36" s="1"/>
  <c r="U53"/>
  <c r="T55"/>
  <c r="B46" i="37"/>
  <c r="B48" s="1"/>
  <c r="B49" s="1"/>
  <c r="B47"/>
  <c r="U54" i="36"/>
  <c r="X50" i="35"/>
  <c r="T35"/>
  <c r="X50" i="34"/>
  <c r="T35"/>
  <c r="X50" i="33"/>
  <c r="T35"/>
  <c r="U54" i="32"/>
  <c r="T54" i="31"/>
  <c r="B46"/>
  <c r="B47"/>
  <c r="B46" i="30"/>
  <c r="B48" s="1"/>
  <c r="B49" s="1"/>
  <c r="X50" s="1"/>
  <c r="B47"/>
  <c r="U64" i="29"/>
  <c r="B46"/>
  <c r="B48" s="1"/>
  <c r="B49" s="1"/>
  <c r="B47"/>
  <c r="X50" i="28"/>
  <c r="T35"/>
  <c r="T54" i="27"/>
  <c r="B46"/>
  <c r="B47"/>
  <c r="T52" i="26"/>
  <c r="T54" s="1"/>
  <c r="Q46"/>
  <c r="N70" i="25"/>
  <c r="P53"/>
  <c r="O72" i="24"/>
  <c r="T53" i="25"/>
  <c r="T54" s="1"/>
  <c r="T51" i="24"/>
  <c r="U62" i="23"/>
  <c r="E28" i="26"/>
  <c r="D22"/>
  <c r="T33" i="25"/>
  <c r="T34" s="1"/>
  <c r="B47"/>
  <c r="B46"/>
  <c r="D22" i="24"/>
  <c r="T52"/>
  <c r="AD49"/>
  <c r="P24"/>
  <c r="T33"/>
  <c r="T34" s="1"/>
  <c r="T53"/>
  <c r="Q46"/>
  <c r="T51" i="23"/>
  <c r="T53"/>
  <c r="T33"/>
  <c r="T34" s="1"/>
  <c r="P24"/>
  <c r="D22"/>
  <c r="P22" i="22"/>
  <c r="X50"/>
  <c r="AC49"/>
  <c r="Z46"/>
  <c r="P46"/>
  <c r="AC45"/>
  <c r="AD49" s="1"/>
  <c r="N44"/>
  <c r="B44"/>
  <c r="Q43"/>
  <c r="T53" s="1"/>
  <c r="K43"/>
  <c r="C41"/>
  <c r="W30"/>
  <c r="Z25"/>
  <c r="AD27"/>
  <c r="AC24"/>
  <c r="M25"/>
  <c r="C21"/>
  <c r="B20"/>
  <c r="B22" s="1"/>
  <c r="C19"/>
  <c r="U54" i="19"/>
  <c r="D53" i="21"/>
  <c r="C51"/>
  <c r="C50"/>
  <c r="Z78"/>
  <c r="AE66"/>
  <c r="Z57"/>
  <c r="AB46"/>
  <c r="Z39"/>
  <c r="AC29"/>
  <c r="X20"/>
  <c r="Y4"/>
  <c r="C52"/>
  <c r="O68"/>
  <c r="G49"/>
  <c r="O31"/>
  <c r="W79"/>
  <c r="AB67"/>
  <c r="Y47"/>
  <c r="W40"/>
  <c r="Z30"/>
  <c r="U21"/>
  <c r="V5"/>
  <c r="L69"/>
  <c r="M51"/>
  <c r="L32"/>
  <c r="L15"/>
  <c r="T56" i="41" l="1"/>
  <c r="U56" s="1"/>
  <c r="U54"/>
  <c r="U52"/>
  <c r="U53"/>
  <c r="T56" i="38"/>
  <c r="U56" s="1"/>
  <c r="U55"/>
  <c r="X50" i="37"/>
  <c r="T35"/>
  <c r="H35"/>
  <c r="T55" i="35"/>
  <c r="U55" s="1"/>
  <c r="U51"/>
  <c r="U52"/>
  <c r="U53"/>
  <c r="T55" i="34"/>
  <c r="U55" s="1"/>
  <c r="U51"/>
  <c r="U52"/>
  <c r="U53"/>
  <c r="T55" i="33"/>
  <c r="U55" s="1"/>
  <c r="U52"/>
  <c r="U53"/>
  <c r="U51"/>
  <c r="B48" i="31"/>
  <c r="B49" s="1"/>
  <c r="T35" i="30"/>
  <c r="T55"/>
  <c r="U55" s="1"/>
  <c r="U52"/>
  <c r="U51"/>
  <c r="U53"/>
  <c r="X50" i="29"/>
  <c r="T35"/>
  <c r="T55" i="28"/>
  <c r="U55" s="1"/>
  <c r="U52"/>
  <c r="U53"/>
  <c r="U51"/>
  <c r="B48" i="27"/>
  <c r="B49" s="1"/>
  <c r="T35" s="1"/>
  <c r="T33" i="26"/>
  <c r="T34" s="1"/>
  <c r="P24"/>
  <c r="B46"/>
  <c r="B47"/>
  <c r="B48" i="25"/>
  <c r="B49" s="1"/>
  <c r="B46" i="24"/>
  <c r="B47"/>
  <c r="T54"/>
  <c r="T54" i="23"/>
  <c r="B46"/>
  <c r="B48" s="1"/>
  <c r="B49" s="1"/>
  <c r="X50" s="1"/>
  <c r="B47"/>
  <c r="U53" i="22"/>
  <c r="E28"/>
  <c r="T51"/>
  <c r="AE27"/>
  <c r="U52"/>
  <c r="C20"/>
  <c r="C22" s="1"/>
  <c r="Q46"/>
  <c r="D51" i="21"/>
  <c r="C53"/>
  <c r="C54" s="1"/>
  <c r="D54" s="1"/>
  <c r="D52"/>
  <c r="D50"/>
  <c r="U55" i="41" l="1"/>
  <c r="T55" i="37"/>
  <c r="U55" s="1"/>
  <c r="U53"/>
  <c r="U52"/>
  <c r="U51"/>
  <c r="U54" i="35"/>
  <c r="U54" i="34"/>
  <c r="U54" i="33"/>
  <c r="X50" i="31"/>
  <c r="T35"/>
  <c r="U54" i="30"/>
  <c r="T55" i="29"/>
  <c r="U55" s="1"/>
  <c r="U52"/>
  <c r="U53"/>
  <c r="U51"/>
  <c r="U54" i="28"/>
  <c r="X50" i="27"/>
  <c r="T55" s="1"/>
  <c r="U55" s="1"/>
  <c r="B48" i="26"/>
  <c r="B49" s="1"/>
  <c r="X50" s="1"/>
  <c r="X50" i="25"/>
  <c r="T35"/>
  <c r="B48" i="24"/>
  <c r="B49" s="1"/>
  <c r="T35" i="23"/>
  <c r="T55"/>
  <c r="U55" s="1"/>
  <c r="U52"/>
  <c r="U53"/>
  <c r="U51"/>
  <c r="G19" i="22"/>
  <c r="D22"/>
  <c r="U51"/>
  <c r="U54" s="1"/>
  <c r="T54"/>
  <c r="T55" s="1"/>
  <c r="U55" s="1"/>
  <c r="T33"/>
  <c r="T34" s="1"/>
  <c r="P24"/>
  <c r="C45" i="21"/>
  <c r="C44"/>
  <c r="F23"/>
  <c r="C43"/>
  <c r="C42"/>
  <c r="AC44" i="19"/>
  <c r="AC23"/>
  <c r="Q42"/>
  <c r="P23"/>
  <c r="U54" i="37" l="1"/>
  <c r="T55" i="31"/>
  <c r="U55" s="1"/>
  <c r="U53"/>
  <c r="U51"/>
  <c r="U52"/>
  <c r="U54" i="29"/>
  <c r="U53" i="27"/>
  <c r="U52"/>
  <c r="U51"/>
  <c r="T35" i="26"/>
  <c r="T55"/>
  <c r="U55" s="1"/>
  <c r="U53"/>
  <c r="U51"/>
  <c r="U52"/>
  <c r="T55" i="25"/>
  <c r="U55" s="1"/>
  <c r="U53"/>
  <c r="U52"/>
  <c r="U51"/>
  <c r="X50" i="24"/>
  <c r="T35"/>
  <c r="U54" i="23"/>
  <c r="B46" i="22"/>
  <c r="B48" s="1"/>
  <c r="B49" s="1"/>
  <c r="T35" s="1"/>
  <c r="B47"/>
  <c r="W80" i="21"/>
  <c r="Z79"/>
  <c r="AB68"/>
  <c r="AE67"/>
  <c r="W59"/>
  <c r="Z58"/>
  <c r="Y48"/>
  <c r="AB47"/>
  <c r="W41"/>
  <c r="Z40"/>
  <c r="Z31"/>
  <c r="AC30"/>
  <c r="U22"/>
  <c r="X21"/>
  <c r="V6"/>
  <c r="Y5"/>
  <c r="L70"/>
  <c r="O69"/>
  <c r="M52"/>
  <c r="P51"/>
  <c r="L33"/>
  <c r="O32"/>
  <c r="L16"/>
  <c r="O15"/>
  <c r="S68"/>
  <c r="S48"/>
  <c r="C39"/>
  <c r="S31"/>
  <c r="B26"/>
  <c r="F30" s="1"/>
  <c r="C25"/>
  <c r="C24"/>
  <c r="C23"/>
  <c r="C26" s="1"/>
  <c r="D26" s="1"/>
  <c r="S11"/>
  <c r="U54" i="31" l="1"/>
  <c r="U54" i="27"/>
  <c r="U59" i="24"/>
  <c r="U60"/>
  <c r="U58"/>
  <c r="T62"/>
  <c r="U62" s="1"/>
  <c r="U54" i="26"/>
  <c r="U54" i="25"/>
  <c r="U51" i="24"/>
  <c r="U52"/>
  <c r="U53"/>
  <c r="T55"/>
  <c r="U55" s="1"/>
  <c r="Q58" i="21"/>
  <c r="J61" s="1"/>
  <c r="Q21"/>
  <c r="J21" s="1"/>
  <c r="U63" i="24" l="1"/>
  <c r="U54"/>
  <c r="I30" i="21"/>
  <c r="T52" i="15"/>
  <c r="W53"/>
  <c r="X53" l="1"/>
  <c r="W52"/>
  <c r="X52" s="1"/>
  <c r="W51"/>
  <c r="W54" s="1"/>
  <c r="W55" s="1"/>
  <c r="X55" s="1"/>
  <c r="AC24" i="19"/>
  <c r="AC45"/>
  <c r="Q43"/>
  <c r="AC49"/>
  <c r="B44"/>
  <c r="N43"/>
  <c r="P46" s="1"/>
  <c r="K43"/>
  <c r="C41"/>
  <c r="Z24"/>
  <c r="AD27" s="1"/>
  <c r="M24"/>
  <c r="M25" s="1"/>
  <c r="C21"/>
  <c r="B20"/>
  <c r="C20" s="1"/>
  <c r="C19"/>
  <c r="T52" i="18"/>
  <c r="AD49"/>
  <c r="AC49"/>
  <c r="Z46"/>
  <c r="AC45"/>
  <c r="B44"/>
  <c r="Q43"/>
  <c r="N43"/>
  <c r="P46" s="1"/>
  <c r="K43"/>
  <c r="C41"/>
  <c r="AC24"/>
  <c r="Z24"/>
  <c r="W30" s="1"/>
  <c r="P24"/>
  <c r="M24"/>
  <c r="M25" s="1"/>
  <c r="C21"/>
  <c r="C20"/>
  <c r="B20"/>
  <c r="B22" s="1"/>
  <c r="C19"/>
  <c r="C22" s="1"/>
  <c r="G19" s="1"/>
  <c r="T51" i="15"/>
  <c r="T53"/>
  <c r="AC34"/>
  <c r="AC32"/>
  <c r="Q28"/>
  <c r="Q29" i="16"/>
  <c r="P22"/>
  <c r="P22" i="15"/>
  <c r="AC49" i="17"/>
  <c r="Z46"/>
  <c r="AD49" s="1"/>
  <c r="AC45"/>
  <c r="B44"/>
  <c r="N43"/>
  <c r="P46" s="1"/>
  <c r="K43"/>
  <c r="Q43"/>
  <c r="C41"/>
  <c r="Z24"/>
  <c r="P24"/>
  <c r="M24"/>
  <c r="M25" s="1"/>
  <c r="AC24"/>
  <c r="C21"/>
  <c r="C20"/>
  <c r="C22" s="1"/>
  <c r="G19" s="1"/>
  <c r="B20"/>
  <c r="B22" s="1"/>
  <c r="C19"/>
  <c r="B22" i="19" l="1"/>
  <c r="W30"/>
  <c r="D44" i="17"/>
  <c r="X51" i="15"/>
  <c r="X56" s="1"/>
  <c r="Z46" i="19"/>
  <c r="T52" s="1"/>
  <c r="Z25"/>
  <c r="T51" s="1"/>
  <c r="C22"/>
  <c r="G19" s="1"/>
  <c r="E28"/>
  <c r="P22" s="1"/>
  <c r="N44"/>
  <c r="T53" s="1"/>
  <c r="D22" i="18"/>
  <c r="B46" s="1"/>
  <c r="B48" s="1"/>
  <c r="B49" s="1"/>
  <c r="X50" s="1"/>
  <c r="U52" s="1"/>
  <c r="E28"/>
  <c r="B47"/>
  <c r="AE27"/>
  <c r="N44"/>
  <c r="D44"/>
  <c r="AD27"/>
  <c r="Z25"/>
  <c r="T51" s="1"/>
  <c r="W30" i="17"/>
  <c r="T52"/>
  <c r="Z25"/>
  <c r="AE27" s="1"/>
  <c r="E28"/>
  <c r="D22"/>
  <c r="B46" s="1"/>
  <c r="T51"/>
  <c r="B47"/>
  <c r="B48" s="1"/>
  <c r="B49" s="1"/>
  <c r="X50" s="1"/>
  <c r="N44"/>
  <c r="Q46" s="1"/>
  <c r="AD27"/>
  <c r="Q42" i="16"/>
  <c r="T52"/>
  <c r="AD49" i="19" l="1"/>
  <c r="P24"/>
  <c r="T33"/>
  <c r="T34" s="1"/>
  <c r="AE27"/>
  <c r="D22"/>
  <c r="B46" s="1"/>
  <c r="T54"/>
  <c r="Q46"/>
  <c r="U51" i="18"/>
  <c r="T54"/>
  <c r="T55" s="1"/>
  <c r="U55" s="1"/>
  <c r="T53"/>
  <c r="U53" s="1"/>
  <c r="Q46"/>
  <c r="U52" i="17"/>
  <c r="U51"/>
  <c r="T53"/>
  <c r="U53" s="1"/>
  <c r="Q43" i="16"/>
  <c r="B47" i="19" l="1"/>
  <c r="B48" s="1"/>
  <c r="B49" s="1"/>
  <c r="U53" s="1"/>
  <c r="T54" i="17"/>
  <c r="T55" s="1"/>
  <c r="U55" s="1"/>
  <c r="C58" i="10"/>
  <c r="C57"/>
  <c r="T35" i="19" l="1"/>
  <c r="T55"/>
  <c r="U55" s="1"/>
  <c r="U52"/>
  <c r="U51"/>
  <c r="T55" i="11"/>
  <c r="T54"/>
  <c r="T52"/>
  <c r="AF25" i="8"/>
  <c r="AE20"/>
  <c r="AE25"/>
  <c r="AD20"/>
  <c r="AC44" i="16" l="1"/>
  <c r="AC23"/>
  <c r="P23"/>
  <c r="AA50" i="15" l="1"/>
  <c r="U51" s="1"/>
  <c r="Z45" i="16"/>
  <c r="Z24"/>
  <c r="N43"/>
  <c r="P46" s="1"/>
  <c r="M24"/>
  <c r="AC49"/>
  <c r="Z46"/>
  <c r="AC45"/>
  <c r="B44"/>
  <c r="K43"/>
  <c r="S42"/>
  <c r="C41"/>
  <c r="P24"/>
  <c r="Z25"/>
  <c r="C21"/>
  <c r="B20"/>
  <c r="B22" s="1"/>
  <c r="C19"/>
  <c r="AC44" i="15"/>
  <c r="AC23"/>
  <c r="Q42"/>
  <c r="P23"/>
  <c r="S42"/>
  <c r="W30" i="16" l="1"/>
  <c r="AD27"/>
  <c r="M25"/>
  <c r="E28"/>
  <c r="D22"/>
  <c r="B46" s="1"/>
  <c r="C20"/>
  <c r="C22" s="1"/>
  <c r="G19" s="1"/>
  <c r="AC24"/>
  <c r="T51" s="1"/>
  <c r="D44"/>
  <c r="AD49"/>
  <c r="N44"/>
  <c r="Q46" s="1"/>
  <c r="AM25" i="10"/>
  <c r="AK8"/>
  <c r="BC107"/>
  <c r="BA127"/>
  <c r="T53" i="16" l="1"/>
  <c r="AE27"/>
  <c r="B47"/>
  <c r="B48" s="1"/>
  <c r="B49" s="1"/>
  <c r="X50" s="1"/>
  <c r="U52" s="1"/>
  <c r="V87" i="9"/>
  <c r="R29"/>
  <c r="U53" i="16" l="1"/>
  <c r="T54"/>
  <c r="T55" s="1"/>
  <c r="U55" s="1"/>
  <c r="U51"/>
  <c r="B51" i="9"/>
  <c r="B50"/>
  <c r="BD124" l="1"/>
  <c r="BC124"/>
  <c r="BC103"/>
  <c r="BB103"/>
  <c r="AN53"/>
  <c r="AM53"/>
  <c r="AK43"/>
  <c r="AJ43"/>
  <c r="BD56"/>
  <c r="BC56"/>
  <c r="AL9"/>
  <c r="AK9"/>
  <c r="S93"/>
  <c r="S34"/>
  <c r="D37" i="8"/>
  <c r="E45" i="9"/>
  <c r="Q42" i="11" l="1"/>
  <c r="AD27"/>
  <c r="BC105" i="10"/>
  <c r="L38"/>
  <c r="F28"/>
  <c r="V87" l="1"/>
  <c r="R29"/>
  <c r="D47" i="8" l="1"/>
  <c r="B20" i="15" l="1"/>
  <c r="Z46"/>
  <c r="AC45"/>
  <c r="AC49"/>
  <c r="B44"/>
  <c r="Q43"/>
  <c r="P46"/>
  <c r="K43"/>
  <c r="C41"/>
  <c r="M25"/>
  <c r="B22"/>
  <c r="C21"/>
  <c r="C20"/>
  <c r="C19"/>
  <c r="D44" l="1"/>
  <c r="W30"/>
  <c r="AD49"/>
  <c r="Z25"/>
  <c r="P24"/>
  <c r="E28"/>
  <c r="C22"/>
  <c r="G19" s="1"/>
  <c r="N44"/>
  <c r="AC24"/>
  <c r="AD27"/>
  <c r="L42" i="9"/>
  <c r="L41"/>
  <c r="F28"/>
  <c r="L34" s="1"/>
  <c r="M34" s="1"/>
  <c r="AE27" i="15" l="1"/>
  <c r="Q46"/>
  <c r="T54"/>
  <c r="T55" s="1"/>
  <c r="D22"/>
  <c r="B46" s="1"/>
  <c r="B47"/>
  <c r="B52" i="9"/>
  <c r="B49"/>
  <c r="B48"/>
  <c r="B47"/>
  <c r="BA121"/>
  <c r="AX122"/>
  <c r="AY103"/>
  <c r="AV104"/>
  <c r="AY72"/>
  <c r="AY54"/>
  <c r="AV55"/>
  <c r="AJ54"/>
  <c r="AG55"/>
  <c r="AH38"/>
  <c r="AE39"/>
  <c r="AF24"/>
  <c r="AG6"/>
  <c r="AD7"/>
  <c r="V88"/>
  <c r="T93" s="1"/>
  <c r="S89"/>
  <c r="P67"/>
  <c r="R30"/>
  <c r="T34" s="1"/>
  <c r="O31"/>
  <c r="O13"/>
  <c r="BA120"/>
  <c r="AY102"/>
  <c r="BB70"/>
  <c r="AY53"/>
  <c r="AJ53"/>
  <c r="AH37"/>
  <c r="AI22"/>
  <c r="AG5"/>
  <c r="S65"/>
  <c r="R11"/>
  <c r="B48" i="15" l="1"/>
  <c r="B49" s="1"/>
  <c r="L43" i="9"/>
  <c r="L44" s="1"/>
  <c r="C51"/>
  <c r="P40"/>
  <c r="D44" i="11"/>
  <c r="U52" i="15" l="1"/>
  <c r="U53"/>
  <c r="U55"/>
  <c r="M43" i="9"/>
  <c r="L45"/>
  <c r="M45" s="1"/>
  <c r="M46" s="1"/>
  <c r="M41"/>
  <c r="M42"/>
  <c r="P22" i="11"/>
  <c r="U56" i="15" l="1"/>
  <c r="E38" i="8"/>
  <c r="S42" i="11" l="1"/>
  <c r="AD49"/>
  <c r="AC49"/>
  <c r="AE27"/>
  <c r="P46"/>
  <c r="AC44"/>
  <c r="BA120" i="10" l="1"/>
  <c r="AY102"/>
  <c r="AJ53"/>
  <c r="AH37"/>
  <c r="BB70"/>
  <c r="AY53"/>
  <c r="AI22"/>
  <c r="AG5"/>
  <c r="AG6" s="1"/>
  <c r="S65"/>
  <c r="R11"/>
  <c r="BA121"/>
  <c r="AY103"/>
  <c r="BB71"/>
  <c r="AY54"/>
  <c r="AJ54"/>
  <c r="AH38"/>
  <c r="V88"/>
  <c r="R30"/>
  <c r="I21" i="8"/>
  <c r="AC23" i="11"/>
  <c r="Q43"/>
  <c r="P23"/>
  <c r="X50"/>
  <c r="T16" i="8"/>
  <c r="W30" i="11"/>
  <c r="K28"/>
  <c r="P24" s="1"/>
  <c r="AC45"/>
  <c r="Z46"/>
  <c r="AC24"/>
  <c r="Z25"/>
  <c r="T51" s="1"/>
  <c r="U51" s="1"/>
  <c r="N44"/>
  <c r="M25"/>
  <c r="C38" i="8"/>
  <c r="B46" i="11"/>
  <c r="AI23" i="10" l="1"/>
  <c r="Q46" i="11"/>
  <c r="T53"/>
  <c r="U53" s="1"/>
  <c r="F35"/>
  <c r="H35" s="1"/>
  <c r="Z45"/>
  <c r="U52" l="1"/>
  <c r="B22"/>
  <c r="B44"/>
  <c r="C41"/>
  <c r="Z24"/>
  <c r="N43"/>
  <c r="K43"/>
  <c r="C21"/>
  <c r="C20"/>
  <c r="C19"/>
  <c r="M24"/>
  <c r="U55" l="1"/>
  <c r="U56" s="1"/>
  <c r="E28"/>
  <c r="B47"/>
  <c r="B48" s="1"/>
  <c r="B49" s="1"/>
  <c r="C22"/>
  <c r="G19" s="1"/>
  <c r="AU71" i="10"/>
  <c r="AV54"/>
  <c r="AB23"/>
  <c r="P88"/>
  <c r="AV55" l="1"/>
  <c r="BC54" s="1"/>
  <c r="BB54"/>
  <c r="D22" i="11"/>
  <c r="AX121" i="10"/>
  <c r="AV103"/>
  <c r="S88"/>
  <c r="AY71"/>
  <c r="P66"/>
  <c r="P67" s="1"/>
  <c r="AG54"/>
  <c r="B44"/>
  <c r="C41"/>
  <c r="AE38"/>
  <c r="O30"/>
  <c r="L30"/>
  <c r="AF23"/>
  <c r="B22"/>
  <c r="C21"/>
  <c r="C20"/>
  <c r="C19"/>
  <c r="O12"/>
  <c r="AD6"/>
  <c r="AF24" l="1"/>
  <c r="AL23"/>
  <c r="AY72"/>
  <c r="BB75" s="1"/>
  <c r="BA75"/>
  <c r="S89"/>
  <c r="U93" s="1"/>
  <c r="S93"/>
  <c r="AE39"/>
  <c r="AK39"/>
  <c r="AX122"/>
  <c r="BB124" s="1"/>
  <c r="BA124"/>
  <c r="AD7"/>
  <c r="AJ6"/>
  <c r="O31"/>
  <c r="Q34" s="1"/>
  <c r="R33"/>
  <c r="AG55"/>
  <c r="AM50" s="1"/>
  <c r="AL50"/>
  <c r="AV104"/>
  <c r="BB105"/>
  <c r="O13"/>
  <c r="C22"/>
  <c r="G19" s="1"/>
  <c r="AX121" i="9"/>
  <c r="AV103"/>
  <c r="AY71"/>
  <c r="AV54"/>
  <c r="AG54"/>
  <c r="AE38"/>
  <c r="AF23"/>
  <c r="AD6"/>
  <c r="S88"/>
  <c r="P66"/>
  <c r="L30"/>
  <c r="O30"/>
  <c r="O12"/>
  <c r="B52" i="10" l="1"/>
  <c r="B53"/>
  <c r="B54"/>
  <c r="B55" s="1"/>
  <c r="AK6"/>
  <c r="M35"/>
  <c r="D22"/>
  <c r="G19" i="9"/>
  <c r="B46" i="10" l="1"/>
  <c r="B47"/>
  <c r="B48" i="8"/>
  <c r="B49" s="1"/>
  <c r="D49" s="1"/>
  <c r="B47"/>
  <c r="D46"/>
  <c r="C42"/>
  <c r="B48" i="10" l="1"/>
  <c r="D48" i="8"/>
  <c r="D50" s="1"/>
  <c r="B46"/>
  <c r="C37"/>
  <c r="C35"/>
  <c r="F19"/>
  <c r="C36"/>
  <c r="B49" i="10" l="1"/>
  <c r="C48"/>
  <c r="C52"/>
  <c r="P88" i="9"/>
  <c r="B44"/>
  <c r="C19"/>
  <c r="C53" i="10" l="1"/>
  <c r="C54"/>
  <c r="B57"/>
  <c r="B58"/>
  <c r="C41" i="9"/>
  <c r="B22"/>
  <c r="C21"/>
  <c r="C20"/>
  <c r="C22" l="1"/>
  <c r="D22" s="1"/>
  <c r="AG50" i="8"/>
  <c r="AF50"/>
  <c r="AA51" l="1"/>
  <c r="AA50"/>
  <c r="AD49"/>
  <c r="Z53"/>
  <c r="Z51"/>
  <c r="Z50"/>
  <c r="AC44"/>
  <c r="AC43"/>
  <c r="AC45"/>
  <c r="AF32"/>
  <c r="AF33" s="1"/>
  <c r="AF31"/>
  <c r="AC23"/>
  <c r="AC25"/>
  <c r="AA10"/>
  <c r="AA8"/>
  <c r="N20"/>
  <c r="O36"/>
  <c r="Q34"/>
  <c r="Z52" l="1"/>
  <c r="AA52" s="1"/>
  <c r="Z54"/>
  <c r="Z55" s="1"/>
  <c r="Z56" s="1"/>
  <c r="L35" l="1"/>
  <c r="W25"/>
  <c r="W44"/>
  <c r="K21" l="1"/>
  <c r="H34"/>
  <c r="N21"/>
  <c r="Z45"/>
  <c r="AC34"/>
  <c r="T36" s="1"/>
  <c r="X11"/>
  <c r="C34"/>
  <c r="B22"/>
  <c r="G26" s="1"/>
  <c r="C21"/>
  <c r="C20"/>
  <c r="C19"/>
  <c r="I26" l="1"/>
  <c r="C22"/>
  <c r="D22" s="1"/>
  <c r="Q18" l="1"/>
  <c r="Q20" s="1"/>
  <c r="L39" s="1"/>
  <c r="P38"/>
  <c r="C39"/>
  <c r="C40" s="1"/>
  <c r="R38" l="1"/>
</calcChain>
</file>

<file path=xl/sharedStrings.xml><?xml version="1.0" encoding="utf-8"?>
<sst xmlns="http://schemas.openxmlformats.org/spreadsheetml/2006/main" count="4221" uniqueCount="251">
  <si>
    <t>Refugo</t>
  </si>
  <si>
    <t>Descarga Mangueira</t>
  </si>
  <si>
    <t xml:space="preserve">Amostra </t>
  </si>
  <si>
    <t>Caracterização</t>
  </si>
  <si>
    <t xml:space="preserve">Testemunho </t>
  </si>
  <si>
    <t>Testemunho</t>
  </si>
  <si>
    <t>Amostras</t>
  </si>
  <si>
    <t>-</t>
  </si>
  <si>
    <t xml:space="preserve">Processo </t>
  </si>
  <si>
    <t>Processo</t>
  </si>
  <si>
    <t>Insumos</t>
  </si>
  <si>
    <t>Massa (kg)</t>
  </si>
  <si>
    <t>Volume (L)</t>
  </si>
  <si>
    <t>Densidade</t>
  </si>
  <si>
    <t>H2O</t>
  </si>
  <si>
    <t>Aditivo</t>
  </si>
  <si>
    <t xml:space="preserve">Grafite </t>
  </si>
  <si>
    <t>Total</t>
  </si>
  <si>
    <t>kg</t>
  </si>
  <si>
    <t>Produto</t>
  </si>
  <si>
    <t>Nanografite</t>
  </si>
  <si>
    <t>Nanopl+Grafeno de P.C.</t>
  </si>
  <si>
    <t>Grafeno de Poucas Camadas</t>
  </si>
  <si>
    <t xml:space="preserve">Nanoplaca de Grafeno </t>
  </si>
  <si>
    <t>Amostra Bancada</t>
  </si>
  <si>
    <t>diferença total</t>
  </si>
  <si>
    <t>Produto + Amostra</t>
  </si>
  <si>
    <t>Sólidos</t>
  </si>
  <si>
    <t>Massa de Sólidos</t>
  </si>
  <si>
    <t>Massa Corrente</t>
  </si>
  <si>
    <t>Massa Sólidos</t>
  </si>
  <si>
    <t>*Sólidos desprezível</t>
  </si>
  <si>
    <t>Kg</t>
  </si>
  <si>
    <t>m/m</t>
  </si>
  <si>
    <t>Grafeno A</t>
  </si>
  <si>
    <t>Grafeno B</t>
  </si>
  <si>
    <t>Nanoplaca</t>
  </si>
  <si>
    <t>Perda de Sólidos</t>
  </si>
  <si>
    <t>Porcentagem de perda de sólidos</t>
  </si>
  <si>
    <t>Bancada</t>
  </si>
  <si>
    <t>Rendimento</t>
  </si>
  <si>
    <t>Grafite Descontado bancada</t>
  </si>
  <si>
    <t>RP</t>
  </si>
  <si>
    <t>C(g/L)</t>
  </si>
  <si>
    <t>Descarga</t>
  </si>
  <si>
    <t>Dispersão</t>
  </si>
  <si>
    <t>Grafeno de poucas camadas + nanoplaca de grafeno</t>
  </si>
  <si>
    <t>20210510Pa_d02_8</t>
  </si>
  <si>
    <t>20210510Pa_d01_8</t>
  </si>
  <si>
    <t>Massa corrente</t>
  </si>
  <si>
    <t>20210510Pa_d01_10</t>
  </si>
  <si>
    <t>20210510Pa_d02_10</t>
  </si>
  <si>
    <t>20210510Pa_d01_8_d01_11</t>
  </si>
  <si>
    <t>Descargar</t>
  </si>
  <si>
    <t>Proceso</t>
  </si>
  <si>
    <t>20210510Pa_d01_8_d02_11</t>
  </si>
  <si>
    <t>20210510Pa_d01_8_s03</t>
  </si>
  <si>
    <t>20210510Pa_d01_8_s04</t>
  </si>
  <si>
    <t>20210510Pa_d01_10_d01_11</t>
  </si>
  <si>
    <t>20210510Pa_d01_10_d02_11</t>
  </si>
  <si>
    <t>20210510Pa_d01_10_s03</t>
  </si>
  <si>
    <t>20210510Pa_d01_10_s04</t>
  </si>
  <si>
    <t>L</t>
  </si>
  <si>
    <t>Con. Sólidos</t>
  </si>
  <si>
    <t>Grafite após correção</t>
  </si>
  <si>
    <t>Amostra+testemunho</t>
  </si>
  <si>
    <t>Descarte amostragem</t>
  </si>
  <si>
    <t>Perda Sólidos</t>
  </si>
  <si>
    <t>Perda total massa (MC e MS)</t>
  </si>
  <si>
    <t>Porcentagem da perda</t>
  </si>
  <si>
    <t>Rendimento de processo após correção:</t>
  </si>
  <si>
    <t>Sólidos bancada</t>
  </si>
  <si>
    <t>20210301Pa_d01_2</t>
  </si>
  <si>
    <t>20210301Pa_d02_2</t>
  </si>
  <si>
    <t>20210301Pa_d01_2_d01_9</t>
  </si>
  <si>
    <t>20210301Pa_d01_2_d02_9</t>
  </si>
  <si>
    <t>20210301Pa_d01_2_s03</t>
  </si>
  <si>
    <t>20210301Pa_d01_2_s04</t>
  </si>
  <si>
    <t>Perda de sólidos</t>
  </si>
  <si>
    <t>Amostra Jéssica</t>
  </si>
  <si>
    <t>20210524Pa_d01_8</t>
  </si>
  <si>
    <t>20210524Pa_d02_8</t>
  </si>
  <si>
    <t>20210524Pa_d01_5</t>
  </si>
  <si>
    <t>20210524Pa_d02_5</t>
  </si>
  <si>
    <t>20210524Pa_d01_8_d01_11</t>
  </si>
  <si>
    <t>20210524Pa_d01_8_d02_11</t>
  </si>
  <si>
    <t>20210524Pa_d01_8_s03</t>
  </si>
  <si>
    <t>20210524Pa_d01_8_s04</t>
  </si>
  <si>
    <t>20210524Pa_d01_5_d01_11</t>
  </si>
  <si>
    <t>20210524Pa_d01_5_d02_11</t>
  </si>
  <si>
    <t>20210524Pa_d01_5_s03</t>
  </si>
  <si>
    <t>20210524Pa_d01_5_s04</t>
  </si>
  <si>
    <t>20210607Pa_d01_5</t>
  </si>
  <si>
    <t>20210607Pa_d02_5</t>
  </si>
  <si>
    <t>20210607Pa_d01_5_s03</t>
  </si>
  <si>
    <t>20210607Pa_d01_5_s04</t>
  </si>
  <si>
    <t>Entra</t>
  </si>
  <si>
    <t>Diferença Total</t>
  </si>
  <si>
    <t>Grafite</t>
  </si>
  <si>
    <t>Concentração</t>
  </si>
  <si>
    <t>g/L</t>
  </si>
  <si>
    <t>Diferença</t>
  </si>
  <si>
    <t>Drenagem</t>
  </si>
  <si>
    <t>Total sólidos</t>
  </si>
  <si>
    <t>Massa(kg)</t>
  </si>
  <si>
    <t>Nanoplaca de grafeno</t>
  </si>
  <si>
    <t>Grafeno de poucas camadas</t>
  </si>
  <si>
    <t>Jéssica</t>
  </si>
  <si>
    <t>ARRUMAR NO SLIDE DE BALANCO DE MASSA</t>
  </si>
  <si>
    <t>20210616Pa_s01</t>
  </si>
  <si>
    <t>20210616Pa_s02</t>
  </si>
  <si>
    <t>20210616Pa_s03</t>
  </si>
  <si>
    <t>20210616Pa_s04</t>
  </si>
  <si>
    <t>20210622Pa_s04</t>
  </si>
  <si>
    <t>20210622Pa_s03</t>
  </si>
  <si>
    <t>20210622Pa_s01</t>
  </si>
  <si>
    <t>20210622Pa_s02</t>
  </si>
  <si>
    <t>20210714Pa_s01</t>
  </si>
  <si>
    <t>20210714Pa_s02</t>
  </si>
  <si>
    <t>20210714Pa_s03</t>
  </si>
  <si>
    <t>20210714Pa_s04</t>
  </si>
  <si>
    <t>20210720Pa_s01</t>
  </si>
  <si>
    <t>20210720Pa_s02</t>
  </si>
  <si>
    <t>20210720Pa_s03</t>
  </si>
  <si>
    <t>20210720Pa_s04</t>
  </si>
  <si>
    <t>Porcentagem</t>
  </si>
  <si>
    <t>Perda total</t>
  </si>
  <si>
    <t>Novo Rendimento</t>
  </si>
  <si>
    <t>20210118Pa_d02_5</t>
  </si>
  <si>
    <t>20210118Pa_d02_20</t>
  </si>
  <si>
    <t>20210118Pa_d01_20_d01_11</t>
  </si>
  <si>
    <t>20210118Pa_d01_20</t>
  </si>
  <si>
    <t>20210118Pa_d01_20_d02_11</t>
  </si>
  <si>
    <t>20210118Pa_d01_20_s03</t>
  </si>
  <si>
    <t>20210118Pa_d01_20_s04</t>
  </si>
  <si>
    <t>20210118Pa_d01_5_d01_11</t>
  </si>
  <si>
    <t>20210118Pa_d01_5</t>
  </si>
  <si>
    <t>20210118Pa_d01_5_d02_11</t>
  </si>
  <si>
    <t>20210118Pa_d01_5_s03</t>
  </si>
  <si>
    <t>20210118Pa_d01_5_s04</t>
  </si>
  <si>
    <t>20210729Pa_d01_10</t>
  </si>
  <si>
    <t>20210729Pa_d02_10</t>
  </si>
  <si>
    <t>20210729Pa_d01_10_s04</t>
  </si>
  <si>
    <t>20210729Pa_d01_10_s03</t>
  </si>
  <si>
    <t>q</t>
  </si>
  <si>
    <t>U</t>
  </si>
  <si>
    <t>lt5</t>
  </si>
  <si>
    <t>20210810Pa_d01_6</t>
  </si>
  <si>
    <t>20210810Pa_d02_6</t>
  </si>
  <si>
    <t>20210810Pa_d01_6_s03</t>
  </si>
  <si>
    <t>20210810Pa_d01_6_s04</t>
  </si>
  <si>
    <t>30 litros foram usado para o teste da discos</t>
  </si>
  <si>
    <t>20210816Pa_s01</t>
  </si>
  <si>
    <t>20210816Pa_s02</t>
  </si>
  <si>
    <t>20210816Pa_s03_4</t>
  </si>
  <si>
    <t>20210816Pa_s04_4</t>
  </si>
  <si>
    <t>20210818Pa_s01</t>
  </si>
  <si>
    <t>20210818Pa_s02</t>
  </si>
  <si>
    <t>20210818Pa_s03_4</t>
  </si>
  <si>
    <t>20210818Pa_s04_4</t>
  </si>
  <si>
    <t>Lote com NaOH</t>
  </si>
  <si>
    <t>20210824Pa_d01_2</t>
  </si>
  <si>
    <t>20210824Pa_d02_2</t>
  </si>
  <si>
    <t>20210824Pa_d01_2_d01_18</t>
  </si>
  <si>
    <t>20210824Pa_d01_2_d02_18</t>
  </si>
  <si>
    <t>Lote com NH4OH</t>
  </si>
  <si>
    <t>Rendimento ajustado para d01 total</t>
  </si>
  <si>
    <t>s01</t>
  </si>
  <si>
    <t>s02</t>
  </si>
  <si>
    <t>Resíduo total</t>
  </si>
  <si>
    <t>g</t>
  </si>
  <si>
    <t>Resíduo</t>
  </si>
  <si>
    <t>Recuperação</t>
  </si>
  <si>
    <t>EDER VAI REFAZER A AMOSTRA</t>
  </si>
  <si>
    <t>20210927Pa_d01_2</t>
  </si>
  <si>
    <t>20210927Pa_d02_2</t>
  </si>
  <si>
    <t>20210927Pa_d01_2_d01_18</t>
  </si>
  <si>
    <t>20210927Pa_d01_2_d02_18</t>
  </si>
  <si>
    <t>20211004Pa_d01_2</t>
  </si>
  <si>
    <t>20211004Pa_d02_2</t>
  </si>
  <si>
    <t>20211004Pa_d01_2_d02_18</t>
  </si>
  <si>
    <t>20211004Pa_d01_2_d01_18</t>
  </si>
  <si>
    <t>20210927Pb_s01</t>
  </si>
  <si>
    <t>20210927Pb_s02</t>
  </si>
  <si>
    <t>20210927Pb_s03</t>
  </si>
  <si>
    <t>20210927Pb_s04</t>
  </si>
  <si>
    <t>1 Recuperação</t>
  </si>
  <si>
    <t>2 Recuperação</t>
  </si>
  <si>
    <t>Reprocessamento</t>
  </si>
  <si>
    <t>20211025Pa_d01_23</t>
  </si>
  <si>
    <t>20211025Pa_d02_23</t>
  </si>
  <si>
    <t>20211025Pa_d01_23_s03</t>
  </si>
  <si>
    <t>20211025Pa_d01_23_s04</t>
  </si>
  <si>
    <t>NH4OH</t>
  </si>
  <si>
    <t>NaOH</t>
  </si>
  <si>
    <t>20211116Pa_d02_23</t>
  </si>
  <si>
    <t>20211116Pa_d01_23_s03</t>
  </si>
  <si>
    <t>20211116Pa_d01_23_s04</t>
  </si>
  <si>
    <t>20211116Pa_d01_23</t>
  </si>
  <si>
    <t>20211122Pa_d01_23</t>
  </si>
  <si>
    <t>20211122Pa_d02_23</t>
  </si>
  <si>
    <t>20211122Pa_d01_23_s03</t>
  </si>
  <si>
    <t>20211122Pa_d01_23_s04</t>
  </si>
  <si>
    <t>Refugo foi retornado para o tanque a partir deste lote</t>
  </si>
  <si>
    <t>20211124Pa_d01_23</t>
  </si>
  <si>
    <t>20211124Pa_d02_23</t>
  </si>
  <si>
    <t>20211124Pa_d01_23_s03</t>
  </si>
  <si>
    <t>20211124Pa_d01_23_s04</t>
  </si>
  <si>
    <t>20211129Pa_d01_23</t>
  </si>
  <si>
    <t>20211129Pa_d02_23</t>
  </si>
  <si>
    <t>20211129Pa_d01_23_s03</t>
  </si>
  <si>
    <t>20211129Pa_d01_23_s04</t>
  </si>
  <si>
    <t>20211201Pa_d01_23</t>
  </si>
  <si>
    <t>20211201Pa_d02_23</t>
  </si>
  <si>
    <t>20211201Pa_d01_23_s03</t>
  </si>
  <si>
    <t>20211201Pa_d01_23_s04</t>
  </si>
  <si>
    <t>20211206Pa_d01_23</t>
  </si>
  <si>
    <t>20211206Pa_d02_23</t>
  </si>
  <si>
    <t>20211206Pa_d01_23_s03</t>
  </si>
  <si>
    <t>20211206Pa_d01_23_s04</t>
  </si>
  <si>
    <t>20211214Pa_d01_23</t>
  </si>
  <si>
    <t>20211214Pa_d02_23</t>
  </si>
  <si>
    <t>20211214Pa_d01_23_s04</t>
  </si>
  <si>
    <t>20211214Pa_d01_23_s03</t>
  </si>
  <si>
    <t>20220118Pa_d01_23</t>
  </si>
  <si>
    <t>20220118Pa_d02_23</t>
  </si>
  <si>
    <t>20220118Pa_d01_23_s04</t>
  </si>
  <si>
    <t>20220118Pa_d01_23_s03</t>
  </si>
  <si>
    <t>Permeado</t>
  </si>
  <si>
    <t>Concentrado</t>
  </si>
  <si>
    <t>Volume diminuido</t>
  </si>
  <si>
    <t>Concentração aumentada</t>
  </si>
  <si>
    <t>Massa esperada</t>
  </si>
  <si>
    <t>Massa obtida</t>
  </si>
  <si>
    <t>Rendimento global</t>
  </si>
  <si>
    <t>Lote de 23 horas com adição de aditivo em 5 hrs</t>
  </si>
  <si>
    <t>20220208Pa_d01_23</t>
  </si>
  <si>
    <t>20220208Pa_d02_23</t>
  </si>
  <si>
    <t>20220208Pa_d01_23_s03</t>
  </si>
  <si>
    <t>20220208Pa_d01_23_s04</t>
  </si>
  <si>
    <t>Primeiro lote com transferência por baixo do KonMix</t>
  </si>
  <si>
    <t>20220214Pa_d01_23</t>
  </si>
  <si>
    <t>20220214Pa_d02_23</t>
  </si>
  <si>
    <t>20220214Pa_d01_23_s03</t>
  </si>
  <si>
    <t>20220214Pa_d01_23_s04</t>
  </si>
  <si>
    <t>Vazamento da dispersão da saída G-scan</t>
  </si>
  <si>
    <t>20220221Pa_d01_23</t>
  </si>
  <si>
    <t>20220221Pa_d02_23</t>
  </si>
  <si>
    <t>20220221Pa_d01_23_s03</t>
  </si>
  <si>
    <t>20220221Pa_d01_23_s04</t>
  </si>
  <si>
    <t>d01 total:</t>
  </si>
</sst>
</file>

<file path=xl/styles.xml><?xml version="1.0" encoding="utf-8"?>
<styleSheet xmlns="http://schemas.openxmlformats.org/spreadsheetml/2006/main">
  <numFmts count="7">
    <numFmt numFmtId="164" formatCode="0.000%"/>
    <numFmt numFmtId="165" formatCode="0.000"/>
    <numFmt numFmtId="166" formatCode="0.0%"/>
    <numFmt numFmtId="167" formatCode="0.0000"/>
    <numFmt numFmtId="168" formatCode="#,##0.000"/>
    <numFmt numFmtId="169" formatCode="#,##0.00000"/>
    <numFmt numFmtId="170" formatCode="#,##0.000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1"/>
      <color theme="5"/>
      <name val="Trebuchet MS"/>
      <family val="2"/>
    </font>
    <font>
      <u/>
      <sz val="11"/>
      <color theme="1"/>
      <name val="Trebuchet MS"/>
      <family val="2"/>
    </font>
    <font>
      <b/>
      <u/>
      <sz val="11"/>
      <color rgb="FF7030A0"/>
      <name val="Trebuchet MS"/>
      <family val="2"/>
    </font>
    <font>
      <sz val="14"/>
      <color theme="1"/>
      <name val="Trebuchet MS"/>
      <family val="2"/>
    </font>
    <font>
      <sz val="16"/>
      <color theme="1"/>
      <name val="Trebuchet MS"/>
      <family val="2"/>
    </font>
    <font>
      <sz val="12"/>
      <color theme="1"/>
      <name val="Trebuchet MS"/>
      <family val="2"/>
    </font>
    <font>
      <b/>
      <sz val="11"/>
      <color theme="0"/>
      <name val="Trebuchet MS"/>
      <family val="2"/>
    </font>
    <font>
      <sz val="11"/>
      <color theme="0"/>
      <name val="Trebuchet MS"/>
      <family val="2"/>
    </font>
    <font>
      <b/>
      <sz val="11"/>
      <color rgb="FF5AAF82"/>
      <name val="Trebuchet MS"/>
      <family val="2"/>
    </font>
    <font>
      <sz val="10"/>
      <color theme="0"/>
      <name val="Trebuchet MS"/>
      <family val="2"/>
    </font>
    <font>
      <b/>
      <sz val="12"/>
      <color theme="0"/>
      <name val="Trebuchet MS"/>
      <family val="2"/>
    </font>
    <font>
      <b/>
      <sz val="11"/>
      <color theme="4"/>
      <name val="Trebuchet MS"/>
      <family val="2"/>
    </font>
    <font>
      <b/>
      <sz val="16"/>
      <color theme="0"/>
      <name val="Trebuchet MS"/>
      <family val="2"/>
    </font>
    <font>
      <sz val="16"/>
      <name val="Trebuchet MS"/>
      <family val="2"/>
    </font>
    <font>
      <sz val="10"/>
      <color rgb="FF202124"/>
      <name val="Arial"/>
      <family val="2"/>
    </font>
    <font>
      <b/>
      <sz val="12"/>
      <name val="Trebuchet MS"/>
      <family val="2"/>
    </font>
    <font>
      <b/>
      <sz val="12"/>
      <color theme="1"/>
      <name val="Trebuchet MS"/>
      <family val="2"/>
    </font>
    <font>
      <b/>
      <sz val="16"/>
      <color rgb="FF5AAF82"/>
      <name val="Trebuchet MS"/>
      <family val="2"/>
    </font>
    <font>
      <b/>
      <sz val="16"/>
      <color theme="1"/>
      <name val="Trebuchet MS"/>
      <family val="2"/>
    </font>
    <font>
      <sz val="11"/>
      <color rgb="FFFF0000"/>
      <name val="Trebuchet MS"/>
      <family val="2"/>
    </font>
    <font>
      <b/>
      <sz val="11"/>
      <color rgb="FFFF0000"/>
      <name val="Trebuchet MS"/>
      <family val="2"/>
    </font>
    <font>
      <b/>
      <sz val="11"/>
      <color rgb="FF00B050"/>
      <name val="Trebuchet MS"/>
      <family val="2"/>
    </font>
    <font>
      <sz val="11"/>
      <color theme="5"/>
      <name val="Trebuchet MS"/>
      <family val="2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784182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6">
    <xf numFmtId="0" fontId="0" fillId="0" borderId="0" xfId="0"/>
    <xf numFmtId="0" fontId="2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2" fontId="4" fillId="2" borderId="6" xfId="0" applyNumberFormat="1" applyFont="1" applyFill="1" applyBorder="1" applyAlignment="1">
      <alignment horizontal="center"/>
    </xf>
    <xf numFmtId="2" fontId="4" fillId="3" borderId="6" xfId="0" applyNumberFormat="1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 applyBorder="1" applyAlignment="1"/>
    <xf numFmtId="0" fontId="6" fillId="0" borderId="2" xfId="0" applyFont="1" applyBorder="1" applyAlignment="1"/>
    <xf numFmtId="0" fontId="8" fillId="0" borderId="0" xfId="0" applyFont="1"/>
    <xf numFmtId="0" fontId="5" fillId="0" borderId="5" xfId="0" applyFont="1" applyBorder="1"/>
    <xf numFmtId="0" fontId="6" fillId="0" borderId="5" xfId="0" applyFont="1" applyBorder="1"/>
    <xf numFmtId="0" fontId="9" fillId="0" borderId="0" xfId="0" applyFont="1"/>
    <xf numFmtId="0" fontId="6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right"/>
    </xf>
    <xf numFmtId="165" fontId="9" fillId="0" borderId="0" xfId="0" applyNumberFormat="1" applyFont="1"/>
    <xf numFmtId="0" fontId="5" fillId="0" borderId="0" xfId="0" applyFont="1" applyAlignment="1">
      <alignment horizontal="right"/>
    </xf>
    <xf numFmtId="2" fontId="5" fillId="0" borderId="0" xfId="0" applyNumberFormat="1" applyFont="1"/>
    <xf numFmtId="164" fontId="5" fillId="0" borderId="0" xfId="1" applyNumberFormat="1" applyFont="1"/>
    <xf numFmtId="0" fontId="5" fillId="0" borderId="6" xfId="0" applyFont="1" applyBorder="1" applyAlignment="1">
      <alignment horizontal="right"/>
    </xf>
    <xf numFmtId="0" fontId="5" fillId="0" borderId="6" xfId="0" applyFont="1" applyBorder="1"/>
    <xf numFmtId="0" fontId="14" fillId="6" borderId="6" xfId="0" applyFont="1" applyFill="1" applyBorder="1" applyAlignment="1"/>
    <xf numFmtId="0" fontId="14" fillId="5" borderId="6" xfId="0" applyFont="1" applyFill="1" applyBorder="1" applyAlignment="1"/>
    <xf numFmtId="0" fontId="5" fillId="0" borderId="6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5" fillId="0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0" xfId="0" applyFont="1" applyFill="1" applyBorder="1" applyAlignment="1"/>
    <xf numFmtId="0" fontId="6" fillId="0" borderId="0" xfId="0" applyFont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6" fillId="0" borderId="6" xfId="0" applyFont="1" applyFill="1" applyBorder="1" applyAlignment="1"/>
    <xf numFmtId="0" fontId="15" fillId="0" borderId="0" xfId="0" applyFont="1" applyBorder="1" applyAlignment="1"/>
    <xf numFmtId="0" fontId="5" fillId="0" borderId="0" xfId="0" applyFont="1" applyFill="1" applyBorder="1"/>
    <xf numFmtId="2" fontId="17" fillId="6" borderId="0" xfId="0" applyNumberFormat="1" applyFont="1" applyFill="1"/>
    <xf numFmtId="0" fontId="6" fillId="0" borderId="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2" fontId="17" fillId="6" borderId="0" xfId="0" applyNumberFormat="1" applyFont="1" applyFill="1" applyAlignment="1">
      <alignment horizontal="center"/>
    </xf>
    <xf numFmtId="0" fontId="7" fillId="0" borderId="0" xfId="0" applyFont="1" applyAlignment="1">
      <alignment horizontal="right"/>
    </xf>
    <xf numFmtId="2" fontId="17" fillId="0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0" fillId="0" borderId="0" xfId="0" applyFont="1" applyFill="1"/>
    <xf numFmtId="0" fontId="5" fillId="0" borderId="0" xfId="0" applyFont="1" applyFill="1" applyBorder="1" applyAlignment="1"/>
    <xf numFmtId="0" fontId="20" fillId="0" borderId="0" xfId="0" applyFont="1"/>
    <xf numFmtId="10" fontId="20" fillId="0" borderId="0" xfId="1" applyNumberFormat="1" applyFont="1" applyAlignment="1">
      <alignment horizontal="left"/>
    </xf>
    <xf numFmtId="2" fontId="20" fillId="0" borderId="6" xfId="0" applyNumberFormat="1" applyFont="1" applyFill="1" applyBorder="1"/>
    <xf numFmtId="0" fontId="5" fillId="0" borderId="0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right"/>
    </xf>
    <xf numFmtId="0" fontId="14" fillId="5" borderId="6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left"/>
    </xf>
    <xf numFmtId="0" fontId="14" fillId="5" borderId="6" xfId="0" applyFont="1" applyFill="1" applyBorder="1" applyAlignment="1">
      <alignment horizontal="left"/>
    </xf>
    <xf numFmtId="0" fontId="5" fillId="6" borderId="6" xfId="0" applyFont="1" applyFill="1" applyBorder="1"/>
    <xf numFmtId="2" fontId="17" fillId="6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/>
    <xf numFmtId="0" fontId="21" fillId="0" borderId="6" xfId="0" applyFont="1" applyBorder="1"/>
    <xf numFmtId="2" fontId="5" fillId="0" borderId="6" xfId="0" applyNumberFormat="1" applyFont="1" applyBorder="1"/>
    <xf numFmtId="4" fontId="5" fillId="0" borderId="0" xfId="0" applyNumberFormat="1" applyFont="1"/>
    <xf numFmtId="166" fontId="5" fillId="0" borderId="0" xfId="1" applyNumberFormat="1" applyFont="1"/>
    <xf numFmtId="10" fontId="5" fillId="0" borderId="0" xfId="1" applyNumberFormat="1" applyFont="1"/>
    <xf numFmtId="10" fontId="5" fillId="0" borderId="0" xfId="0" applyNumberFormat="1" applyFont="1"/>
    <xf numFmtId="0" fontId="6" fillId="0" borderId="0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7" fontId="5" fillId="0" borderId="0" xfId="0" applyNumberFormat="1" applyFont="1"/>
    <xf numFmtId="0" fontId="14" fillId="6" borderId="6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23" fillId="0" borderId="6" xfId="0" applyFont="1" applyBorder="1" applyAlignment="1">
      <alignment horizontal="center"/>
    </xf>
    <xf numFmtId="2" fontId="12" fillId="3" borderId="6" xfId="0" applyNumberFormat="1" applyFont="1" applyFill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0" fontId="12" fillId="0" borderId="0" xfId="0" applyFont="1"/>
    <xf numFmtId="0" fontId="2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6" fillId="0" borderId="6" xfId="0" applyFont="1" applyBorder="1"/>
    <xf numFmtId="0" fontId="6" fillId="0" borderId="6" xfId="0" applyFont="1" applyBorder="1" applyAlignment="1">
      <alignment horizontal="right"/>
    </xf>
    <xf numFmtId="0" fontId="5" fillId="7" borderId="6" xfId="0" applyFont="1" applyFill="1" applyBorder="1"/>
    <xf numFmtId="4" fontId="12" fillId="3" borderId="6" xfId="0" applyNumberFormat="1" applyFont="1" applyFill="1" applyBorder="1" applyAlignment="1">
      <alignment horizontal="center"/>
    </xf>
    <xf numFmtId="2" fontId="17" fillId="6" borderId="6" xfId="0" applyNumberFormat="1" applyFont="1" applyFill="1" applyBorder="1"/>
    <xf numFmtId="0" fontId="24" fillId="0" borderId="0" xfId="0" applyFont="1" applyBorder="1" applyAlignment="1">
      <alignment horizontal="center"/>
    </xf>
    <xf numFmtId="0" fontId="6" fillId="0" borderId="6" xfId="0" applyFont="1" applyFill="1" applyBorder="1" applyAlignment="1">
      <alignment wrapText="1"/>
    </xf>
    <xf numFmtId="0" fontId="0" fillId="0" borderId="0" xfId="0"/>
    <xf numFmtId="0" fontId="24" fillId="0" borderId="0" xfId="0" applyFont="1" applyBorder="1" applyAlignment="1"/>
    <xf numFmtId="0" fontId="6" fillId="0" borderId="9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24" fillId="0" borderId="0" xfId="0" applyFont="1" applyAlignment="1"/>
    <xf numFmtId="0" fontId="11" fillId="0" borderId="0" xfId="0" applyFont="1"/>
    <xf numFmtId="0" fontId="14" fillId="5" borderId="6" xfId="0" applyFont="1" applyFill="1" applyBorder="1"/>
    <xf numFmtId="0" fontId="0" fillId="0" borderId="6" xfId="0" applyBorder="1"/>
    <xf numFmtId="0" fontId="14" fillId="5" borderId="9" xfId="0" applyFont="1" applyFill="1" applyBorder="1" applyAlignment="1">
      <alignment horizontal="left"/>
    </xf>
    <xf numFmtId="0" fontId="14" fillId="5" borderId="4" xfId="0" applyFont="1" applyFill="1" applyBorder="1" applyAlignment="1">
      <alignment horizontal="left"/>
    </xf>
    <xf numFmtId="0" fontId="14" fillId="6" borderId="8" xfId="0" applyFont="1" applyFill="1" applyBorder="1" applyAlignment="1"/>
    <xf numFmtId="0" fontId="0" fillId="0" borderId="6" xfId="0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14" fillId="6" borderId="6" xfId="0" applyFont="1" applyFill="1" applyBorder="1" applyAlignment="1">
      <alignment horizontal="center"/>
    </xf>
    <xf numFmtId="0" fontId="0" fillId="0" borderId="0" xfId="0"/>
    <xf numFmtId="10" fontId="5" fillId="0" borderId="0" xfId="1" applyNumberFormat="1" applyFont="1" applyAlignment="1"/>
    <xf numFmtId="168" fontId="5" fillId="0" borderId="0" xfId="0" applyNumberFormat="1" applyFont="1"/>
    <xf numFmtId="165" fontId="6" fillId="0" borderId="0" xfId="0" applyNumberFormat="1" applyFont="1" applyBorder="1" applyAlignment="1">
      <alignment horizontal="right"/>
    </xf>
    <xf numFmtId="165" fontId="6" fillId="0" borderId="0" xfId="0" applyNumberFormat="1" applyFont="1"/>
    <xf numFmtId="167" fontId="6" fillId="0" borderId="0" xfId="0" applyNumberFormat="1" applyFont="1" applyBorder="1"/>
    <xf numFmtId="165" fontId="6" fillId="0" borderId="5" xfId="0" applyNumberFormat="1" applyFont="1" applyBorder="1"/>
    <xf numFmtId="167" fontId="5" fillId="0" borderId="6" xfId="0" applyNumberFormat="1" applyFont="1" applyBorder="1"/>
    <xf numFmtId="169" fontId="5" fillId="0" borderId="0" xfId="0" applyNumberFormat="1" applyFont="1"/>
    <xf numFmtId="0" fontId="0" fillId="0" borderId="0" xfId="0"/>
    <xf numFmtId="0" fontId="6" fillId="0" borderId="0" xfId="0" applyFont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0" fillId="0" borderId="0" xfId="0"/>
    <xf numFmtId="165" fontId="5" fillId="0" borderId="6" xfId="0" applyNumberFormat="1" applyFont="1" applyBorder="1"/>
    <xf numFmtId="0" fontId="6" fillId="0" borderId="0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0" xfId="0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0" fillId="0" borderId="0" xfId="0"/>
    <xf numFmtId="0" fontId="0" fillId="0" borderId="0" xfId="0"/>
    <xf numFmtId="2" fontId="25" fillId="8" borderId="6" xfId="0" applyNumberFormat="1" applyFont="1" applyFill="1" applyBorder="1"/>
    <xf numFmtId="0" fontId="11" fillId="0" borderId="6" xfId="0" applyFont="1" applyBorder="1"/>
    <xf numFmtId="10" fontId="25" fillId="0" borderId="0" xfId="1" applyNumberFormat="1" applyFont="1"/>
    <xf numFmtId="4" fontId="0" fillId="0" borderId="0" xfId="0" applyNumberFormat="1"/>
    <xf numFmtId="0" fontId="25" fillId="8" borderId="6" xfId="0" applyFont="1" applyFill="1" applyBorder="1"/>
    <xf numFmtId="10" fontId="0" fillId="0" borderId="0" xfId="1" applyNumberFormat="1" applyFont="1"/>
    <xf numFmtId="2" fontId="19" fillId="6" borderId="6" xfId="0" applyNumberFormat="1" applyFont="1" applyFill="1" applyBorder="1"/>
    <xf numFmtId="166" fontId="5" fillId="0" borderId="0" xfId="0" applyNumberFormat="1" applyFont="1"/>
    <xf numFmtId="165" fontId="5" fillId="0" borderId="0" xfId="0" applyNumberFormat="1" applyFont="1"/>
    <xf numFmtId="0" fontId="0" fillId="0" borderId="0" xfId="0"/>
    <xf numFmtId="0" fontId="6" fillId="0" borderId="0" xfId="0" applyFont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0" fillId="0" borderId="0" xfId="0"/>
    <xf numFmtId="0" fontId="26" fillId="0" borderId="0" xfId="0" applyFont="1"/>
    <xf numFmtId="0" fontId="27" fillId="0" borderId="0" xfId="0" applyFont="1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10" fontId="0" fillId="0" borderId="0" xfId="0" applyNumberFormat="1"/>
    <xf numFmtId="0" fontId="6" fillId="0" borderId="0" xfId="0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0" fillId="0" borderId="0" xfId="0"/>
    <xf numFmtId="10" fontId="0" fillId="0" borderId="0" xfId="1" applyNumberFormat="1" applyFont="1"/>
    <xf numFmtId="0" fontId="0" fillId="0" borderId="0" xfId="0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0" fillId="0" borderId="0" xfId="0"/>
    <xf numFmtId="168" fontId="12" fillId="3" borderId="6" xfId="0" applyNumberFormat="1" applyFont="1" applyFill="1" applyBorder="1" applyAlignment="1">
      <alignment horizontal="center"/>
    </xf>
    <xf numFmtId="10" fontId="0" fillId="0" borderId="0" xfId="1" applyNumberFormat="1" applyFont="1"/>
    <xf numFmtId="2" fontId="0" fillId="0" borderId="0" xfId="0" applyNumberFormat="1"/>
    <xf numFmtId="0" fontId="0" fillId="0" borderId="0" xfId="0"/>
    <xf numFmtId="10" fontId="0" fillId="0" borderId="0" xfId="1" applyNumberFormat="1" applyFont="1"/>
    <xf numFmtId="0" fontId="17" fillId="6" borderId="0" xfId="0" applyFont="1" applyFill="1"/>
    <xf numFmtId="0" fontId="19" fillId="6" borderId="0" xfId="0" applyFont="1" applyFill="1"/>
    <xf numFmtId="0" fontId="17" fillId="6" borderId="0" xfId="0" applyFont="1" applyFill="1" applyAlignment="1">
      <alignment horizontal="center" vertical="center"/>
    </xf>
    <xf numFmtId="0" fontId="13" fillId="5" borderId="6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0" fillId="6" borderId="0" xfId="0" applyFont="1" applyFill="1"/>
    <xf numFmtId="0" fontId="7" fillId="0" borderId="0" xfId="0" applyFont="1" applyAlignment="1"/>
    <xf numFmtId="0" fontId="12" fillId="6" borderId="0" xfId="0" applyFont="1" applyFill="1"/>
    <xf numFmtId="0" fontId="17" fillId="6" borderId="0" xfId="0" applyFont="1" applyFill="1" applyAlignment="1">
      <alignment horizontal="center"/>
    </xf>
    <xf numFmtId="0" fontId="29" fillId="0" borderId="0" xfId="0" applyFont="1"/>
    <xf numFmtId="0" fontId="15" fillId="0" borderId="0" xfId="0" applyFont="1" applyAlignment="1"/>
    <xf numFmtId="0" fontId="0" fillId="0" borderId="0" xfId="0"/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5" fillId="0" borderId="6" xfId="0" quotePrefix="1" applyFont="1" applyBorder="1"/>
    <xf numFmtId="0" fontId="0" fillId="0" borderId="0" xfId="0"/>
    <xf numFmtId="0" fontId="0" fillId="0" borderId="0" xfId="0"/>
    <xf numFmtId="0" fontId="0" fillId="0" borderId="0" xfId="0"/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0" fillId="0" borderId="0" xfId="0"/>
    <xf numFmtId="10" fontId="0" fillId="0" borderId="0" xfId="1" applyNumberFormat="1" applyFont="1"/>
    <xf numFmtId="0" fontId="30" fillId="0" borderId="0" xfId="0" applyFont="1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0" fillId="0" borderId="0" xfId="0"/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0" fillId="0" borderId="0" xfId="0"/>
    <xf numFmtId="10" fontId="0" fillId="0" borderId="0" xfId="1" applyNumberFormat="1" applyFont="1"/>
    <xf numFmtId="0" fontId="0" fillId="0" borderId="0" xfId="0"/>
    <xf numFmtId="10" fontId="0" fillId="0" borderId="0" xfId="1" applyNumberFormat="1" applyFont="1"/>
    <xf numFmtId="0" fontId="0" fillId="0" borderId="0" xfId="0"/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0" fillId="0" borderId="0" xfId="0"/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0" fillId="0" borderId="0" xfId="0"/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0" fillId="0" borderId="0" xfId="0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170" fontId="0" fillId="0" borderId="0" xfId="0" applyNumberFormat="1"/>
    <xf numFmtId="0" fontId="0" fillId="0" borderId="0" xfId="0"/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10" fontId="0" fillId="0" borderId="0" xfId="1" applyNumberFormat="1" applyFont="1"/>
    <xf numFmtId="165" fontId="12" fillId="3" borderId="6" xfId="0" applyNumberFormat="1" applyFont="1" applyFill="1" applyBorder="1" applyAlignment="1">
      <alignment horizontal="center"/>
    </xf>
    <xf numFmtId="167" fontId="12" fillId="0" borderId="6" xfId="0" applyNumberFormat="1" applyFont="1" applyBorder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169" fontId="0" fillId="0" borderId="0" xfId="0" applyNumberFormat="1"/>
    <xf numFmtId="2" fontId="5" fillId="0" borderId="0" xfId="1" applyNumberFormat="1" applyFont="1"/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2" fontId="5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0" fillId="0" borderId="0" xfId="0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10" fontId="0" fillId="0" borderId="0" xfId="1" applyNumberFormat="1" applyFont="1"/>
    <xf numFmtId="0" fontId="15" fillId="0" borderId="0" xfId="0" applyFont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0" fontId="6" fillId="0" borderId="6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2" xfId="0" applyFont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15" fillId="0" borderId="0" xfId="0" applyFont="1" applyFill="1" applyAlignment="1">
      <alignment horizontal="left"/>
    </xf>
    <xf numFmtId="0" fontId="14" fillId="5" borderId="6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6" fillId="6" borderId="6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left"/>
    </xf>
    <xf numFmtId="0" fontId="14" fillId="6" borderId="4" xfId="0" applyFont="1" applyFill="1" applyBorder="1" applyAlignment="1">
      <alignment horizontal="left"/>
    </xf>
    <xf numFmtId="0" fontId="5" fillId="7" borderId="9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10" fontId="0" fillId="0" borderId="0" xfId="1" applyNumberFormat="1" applyFont="1"/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5AAF82"/>
      <color rgb="FF8C8C8C"/>
      <color rgb="FF784182"/>
      <color rgb="FF0091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33</xdr:row>
      <xdr:rowOff>88446</xdr:rowOff>
    </xdr:from>
    <xdr:to>
      <xdr:col>4</xdr:col>
      <xdr:colOff>266700</xdr:colOff>
      <xdr:row>35</xdr:row>
      <xdr:rowOff>187778</xdr:rowOff>
    </xdr:to>
    <xdr:cxnSp macro="">
      <xdr:nvCxnSpPr>
        <xdr:cNvPr id="2" name="Conector de seta reta 1"/>
        <xdr:cNvCxnSpPr/>
      </xdr:nvCxnSpPr>
      <xdr:spPr>
        <a:xfrm>
          <a:off x="3629025" y="7117896"/>
          <a:ext cx="0" cy="51843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362027</xdr:colOff>
      <xdr:row>64</xdr:row>
      <xdr:rowOff>13608</xdr:rowOff>
    </xdr:from>
    <xdr:to>
      <xdr:col>24</xdr:col>
      <xdr:colOff>666751</xdr:colOff>
      <xdr:row>66</xdr:row>
      <xdr:rowOff>13416</xdr:rowOff>
    </xdr:to>
    <xdr:cxnSp macro="">
      <xdr:nvCxnSpPr>
        <xdr:cNvPr id="3" name="Conector angulado 2"/>
        <xdr:cNvCxnSpPr/>
      </xdr:nvCxnSpPr>
      <xdr:spPr>
        <a:xfrm flipV="1">
          <a:off x="16440227" y="13662933"/>
          <a:ext cx="2000174" cy="418908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525235</xdr:colOff>
      <xdr:row>50</xdr:row>
      <xdr:rowOff>93889</xdr:rowOff>
    </xdr:from>
    <xdr:to>
      <xdr:col>22</xdr:col>
      <xdr:colOff>525235</xdr:colOff>
      <xdr:row>52</xdr:row>
      <xdr:rowOff>193221</xdr:rowOff>
    </xdr:to>
    <xdr:cxnSp macro="">
      <xdr:nvCxnSpPr>
        <xdr:cNvPr id="4" name="Conector de seta reta 3"/>
        <xdr:cNvCxnSpPr/>
      </xdr:nvCxnSpPr>
      <xdr:spPr>
        <a:xfrm>
          <a:off x="16603435" y="10771414"/>
          <a:ext cx="0" cy="51843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464003</xdr:colOff>
      <xdr:row>6</xdr:row>
      <xdr:rowOff>130628</xdr:rowOff>
    </xdr:from>
    <xdr:to>
      <xdr:col>21</xdr:col>
      <xdr:colOff>473528</xdr:colOff>
      <xdr:row>9</xdr:row>
      <xdr:rowOff>54429</xdr:rowOff>
    </xdr:to>
    <xdr:cxnSp macro="">
      <xdr:nvCxnSpPr>
        <xdr:cNvPr id="5" name="Conector de seta reta 4"/>
        <xdr:cNvCxnSpPr/>
      </xdr:nvCxnSpPr>
      <xdr:spPr>
        <a:xfrm flipV="1">
          <a:off x="15751628" y="1387928"/>
          <a:ext cx="9525" cy="55245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258536</xdr:colOff>
      <xdr:row>16</xdr:row>
      <xdr:rowOff>40822</xdr:rowOff>
    </xdr:from>
    <xdr:to>
      <xdr:col>12</xdr:col>
      <xdr:colOff>263298</xdr:colOff>
      <xdr:row>19</xdr:row>
      <xdr:rowOff>159203</xdr:rowOff>
    </xdr:to>
    <xdr:cxnSp macro="">
      <xdr:nvCxnSpPr>
        <xdr:cNvPr id="6" name="Conector de seta reta 5"/>
        <xdr:cNvCxnSpPr/>
      </xdr:nvCxnSpPr>
      <xdr:spPr>
        <a:xfrm flipH="1" flipV="1">
          <a:off x="9831161" y="3412672"/>
          <a:ext cx="4762" cy="74703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894896</xdr:colOff>
      <xdr:row>33</xdr:row>
      <xdr:rowOff>18142</xdr:rowOff>
    </xdr:from>
    <xdr:to>
      <xdr:col>2</xdr:col>
      <xdr:colOff>894896</xdr:colOff>
      <xdr:row>35</xdr:row>
      <xdr:rowOff>117474</xdr:rowOff>
    </xdr:to>
    <xdr:cxnSp macro="">
      <xdr:nvCxnSpPr>
        <xdr:cNvPr id="7" name="Conector de seta reta 6"/>
        <xdr:cNvCxnSpPr/>
      </xdr:nvCxnSpPr>
      <xdr:spPr>
        <a:xfrm>
          <a:off x="2447471" y="7047592"/>
          <a:ext cx="0" cy="51843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522513</xdr:colOff>
      <xdr:row>18</xdr:row>
      <xdr:rowOff>200026</xdr:rowOff>
    </xdr:from>
    <xdr:to>
      <xdr:col>14</xdr:col>
      <xdr:colOff>446314</xdr:colOff>
      <xdr:row>23</xdr:row>
      <xdr:rowOff>138793</xdr:rowOff>
    </xdr:to>
    <xdr:sp macro="" textlink="">
      <xdr:nvSpPr>
        <xdr:cNvPr id="8" name="Retângulo 7"/>
        <xdr:cNvSpPr/>
      </xdr:nvSpPr>
      <xdr:spPr>
        <a:xfrm>
          <a:off x="8418738" y="3990976"/>
          <a:ext cx="2600326" cy="1043667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200 G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</a:t>
          </a:r>
        </a:p>
      </xdr:txBody>
    </xdr:sp>
    <xdr:clientData/>
  </xdr:twoCellAnchor>
  <xdr:twoCellAnchor>
    <xdr:from>
      <xdr:col>13</xdr:col>
      <xdr:colOff>417739</xdr:colOff>
      <xdr:row>23</xdr:row>
      <xdr:rowOff>138793</xdr:rowOff>
    </xdr:from>
    <xdr:to>
      <xdr:col>13</xdr:col>
      <xdr:colOff>417739</xdr:colOff>
      <xdr:row>26</xdr:row>
      <xdr:rowOff>34018</xdr:rowOff>
    </xdr:to>
    <xdr:cxnSp macro="">
      <xdr:nvCxnSpPr>
        <xdr:cNvPr id="10" name="Conector de seta reta 9"/>
        <xdr:cNvCxnSpPr/>
      </xdr:nvCxnSpPr>
      <xdr:spPr>
        <a:xfrm>
          <a:off x="10457089" y="5034643"/>
          <a:ext cx="0" cy="5238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446314</xdr:colOff>
      <xdr:row>21</xdr:row>
      <xdr:rowOff>43543</xdr:rowOff>
    </xdr:from>
    <xdr:to>
      <xdr:col>18</xdr:col>
      <xdr:colOff>322489</xdr:colOff>
      <xdr:row>21</xdr:row>
      <xdr:rowOff>67356</xdr:rowOff>
    </xdr:to>
    <xdr:cxnSp macro="">
      <xdr:nvCxnSpPr>
        <xdr:cNvPr id="11" name="Conector de seta reta 10"/>
        <xdr:cNvCxnSpPr>
          <a:stCxn id="8" idx="3"/>
        </xdr:cNvCxnSpPr>
      </xdr:nvCxnSpPr>
      <xdr:spPr>
        <a:xfrm flipV="1">
          <a:off x="11019064" y="4520293"/>
          <a:ext cx="2762250" cy="2381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390523</xdr:colOff>
      <xdr:row>9</xdr:row>
      <xdr:rowOff>0</xdr:rowOff>
    </xdr:from>
    <xdr:to>
      <xdr:col>23</xdr:col>
      <xdr:colOff>104774</xdr:colOff>
      <xdr:row>13</xdr:row>
      <xdr:rowOff>142875</xdr:rowOff>
    </xdr:to>
    <xdr:sp macro="" textlink="">
      <xdr:nvSpPr>
        <xdr:cNvPr id="12" name="Retângulo 11"/>
        <xdr:cNvSpPr/>
      </xdr:nvSpPr>
      <xdr:spPr>
        <a:xfrm>
          <a:off x="14458948" y="1885950"/>
          <a:ext cx="2381251" cy="1000125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chemeClr val="bg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DECANTER</a:t>
          </a:r>
          <a:endParaRPr lang="pt-BR" sz="1800">
            <a:solidFill>
              <a:schemeClr val="bg1"/>
            </a:solidFill>
            <a:effectLst/>
            <a:latin typeface="Trebuchet MS" panose="020B0603020202020204" pitchFamily="34" charset="0"/>
          </a:endParaRP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4000 G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</a:t>
          </a:r>
        </a:p>
      </xdr:txBody>
    </xdr:sp>
    <xdr:clientData/>
  </xdr:twoCellAnchor>
  <xdr:twoCellAnchor>
    <xdr:from>
      <xdr:col>21</xdr:col>
      <xdr:colOff>416378</xdr:colOff>
      <xdr:row>13</xdr:row>
      <xdr:rowOff>148317</xdr:rowOff>
    </xdr:from>
    <xdr:to>
      <xdr:col>21</xdr:col>
      <xdr:colOff>416378</xdr:colOff>
      <xdr:row>16</xdr:row>
      <xdr:rowOff>43542</xdr:rowOff>
    </xdr:to>
    <xdr:cxnSp macro="">
      <xdr:nvCxnSpPr>
        <xdr:cNvPr id="14" name="Conector de seta reta 13"/>
        <xdr:cNvCxnSpPr/>
      </xdr:nvCxnSpPr>
      <xdr:spPr>
        <a:xfrm>
          <a:off x="15738021" y="2828924"/>
          <a:ext cx="0" cy="5075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447674</xdr:colOff>
      <xdr:row>28</xdr:row>
      <xdr:rowOff>9525</xdr:rowOff>
    </xdr:from>
    <xdr:to>
      <xdr:col>23</xdr:col>
      <xdr:colOff>371475</xdr:colOff>
      <xdr:row>32</xdr:row>
      <xdr:rowOff>152400</xdr:rowOff>
    </xdr:to>
    <xdr:sp macro="" textlink="">
      <xdr:nvSpPr>
        <xdr:cNvPr id="15" name="Retângulo 14"/>
        <xdr:cNvSpPr/>
      </xdr:nvSpPr>
      <xdr:spPr>
        <a:xfrm>
          <a:off x="14516099" y="5953125"/>
          <a:ext cx="2590801" cy="1019175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21</xdr:col>
      <xdr:colOff>529279</xdr:colOff>
      <xdr:row>32</xdr:row>
      <xdr:rowOff>165815</xdr:rowOff>
    </xdr:from>
    <xdr:to>
      <xdr:col>21</xdr:col>
      <xdr:colOff>529279</xdr:colOff>
      <xdr:row>35</xdr:row>
      <xdr:rowOff>61040</xdr:rowOff>
    </xdr:to>
    <xdr:cxnSp macro="">
      <xdr:nvCxnSpPr>
        <xdr:cNvPr id="17" name="Conector de seta reta 16"/>
        <xdr:cNvCxnSpPr/>
      </xdr:nvCxnSpPr>
      <xdr:spPr>
        <a:xfrm>
          <a:off x="15850922" y="6846922"/>
          <a:ext cx="0" cy="50754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457200</xdr:colOff>
      <xdr:row>31</xdr:row>
      <xdr:rowOff>85726</xdr:rowOff>
    </xdr:from>
    <xdr:to>
      <xdr:col>9</xdr:col>
      <xdr:colOff>456126</xdr:colOff>
      <xdr:row>31</xdr:row>
      <xdr:rowOff>93908</xdr:rowOff>
    </xdr:to>
    <xdr:cxnSp macro="">
      <xdr:nvCxnSpPr>
        <xdr:cNvPr id="18" name="Conector de seta reta 17"/>
        <xdr:cNvCxnSpPr/>
      </xdr:nvCxnSpPr>
      <xdr:spPr>
        <a:xfrm>
          <a:off x="3819525" y="6696076"/>
          <a:ext cx="3827976" cy="818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29</xdr:row>
      <xdr:rowOff>9525</xdr:rowOff>
    </xdr:from>
    <xdr:to>
      <xdr:col>4</xdr:col>
      <xdr:colOff>466725</xdr:colOff>
      <xdr:row>33</xdr:row>
      <xdr:rowOff>152400</xdr:rowOff>
    </xdr:to>
    <xdr:sp macro="" textlink="">
      <xdr:nvSpPr>
        <xdr:cNvPr id="19" name="Retângulo 18"/>
        <xdr:cNvSpPr/>
      </xdr:nvSpPr>
      <xdr:spPr>
        <a:xfrm>
          <a:off x="1552575" y="6162675"/>
          <a:ext cx="2276475" cy="1019175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9</xdr:col>
      <xdr:colOff>428625</xdr:colOff>
      <xdr:row>21</xdr:row>
      <xdr:rowOff>157163</xdr:rowOff>
    </xdr:from>
    <xdr:to>
      <xdr:col>10</xdr:col>
      <xdr:colOff>533398</xdr:colOff>
      <xdr:row>21</xdr:row>
      <xdr:rowOff>161925</xdr:rowOff>
    </xdr:to>
    <xdr:cxnSp macro="">
      <xdr:nvCxnSpPr>
        <xdr:cNvPr id="20" name="Conector de seta reta 19"/>
        <xdr:cNvCxnSpPr/>
      </xdr:nvCxnSpPr>
      <xdr:spPr>
        <a:xfrm flipV="1">
          <a:off x="7620000" y="4633913"/>
          <a:ext cx="809623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295275</xdr:colOff>
      <xdr:row>11</xdr:row>
      <xdr:rowOff>85725</xdr:rowOff>
    </xdr:from>
    <xdr:to>
      <xdr:col>18</xdr:col>
      <xdr:colOff>304800</xdr:colOff>
      <xdr:row>29</xdr:row>
      <xdr:rowOff>114300</xdr:rowOff>
    </xdr:to>
    <xdr:cxnSp macro="">
      <xdr:nvCxnSpPr>
        <xdr:cNvPr id="21" name="Conector reto 20"/>
        <xdr:cNvCxnSpPr/>
      </xdr:nvCxnSpPr>
      <xdr:spPr>
        <a:xfrm>
          <a:off x="13754100" y="2409825"/>
          <a:ext cx="9525" cy="38576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323850</xdr:colOff>
      <xdr:row>29</xdr:row>
      <xdr:rowOff>119063</xdr:rowOff>
    </xdr:from>
    <xdr:to>
      <xdr:col>19</xdr:col>
      <xdr:colOff>428623</xdr:colOff>
      <xdr:row>29</xdr:row>
      <xdr:rowOff>123825</xdr:rowOff>
    </xdr:to>
    <xdr:cxnSp macro="">
      <xdr:nvCxnSpPr>
        <xdr:cNvPr id="22" name="Conector de seta reta 21"/>
        <xdr:cNvCxnSpPr/>
      </xdr:nvCxnSpPr>
      <xdr:spPr>
        <a:xfrm flipV="1">
          <a:off x="13782675" y="6272213"/>
          <a:ext cx="714373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21</xdr:row>
      <xdr:rowOff>154144</xdr:rowOff>
    </xdr:from>
    <xdr:to>
      <xdr:col>9</xdr:col>
      <xdr:colOff>447675</xdr:colOff>
      <xdr:row>39</xdr:row>
      <xdr:rowOff>180036</xdr:rowOff>
    </xdr:to>
    <xdr:cxnSp macro="">
      <xdr:nvCxnSpPr>
        <xdr:cNvPr id="23" name="Conector reto 22"/>
        <xdr:cNvCxnSpPr/>
      </xdr:nvCxnSpPr>
      <xdr:spPr>
        <a:xfrm>
          <a:off x="7629525" y="4630894"/>
          <a:ext cx="9525" cy="383589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11</xdr:row>
      <xdr:rowOff>90488</xdr:rowOff>
    </xdr:from>
    <xdr:to>
      <xdr:col>19</xdr:col>
      <xdr:colOff>390523</xdr:colOff>
      <xdr:row>11</xdr:row>
      <xdr:rowOff>95250</xdr:rowOff>
    </xdr:to>
    <xdr:cxnSp macro="">
      <xdr:nvCxnSpPr>
        <xdr:cNvPr id="24" name="Conector de seta reta 23"/>
        <xdr:cNvCxnSpPr/>
      </xdr:nvCxnSpPr>
      <xdr:spPr>
        <a:xfrm flipV="1">
          <a:off x="13744575" y="2414588"/>
          <a:ext cx="714373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495299</xdr:colOff>
      <xdr:row>56</xdr:row>
      <xdr:rowOff>9525</xdr:rowOff>
    </xdr:from>
    <xdr:to>
      <xdr:col>14</xdr:col>
      <xdr:colOff>419100</xdr:colOff>
      <xdr:row>60</xdr:row>
      <xdr:rowOff>152400</xdr:rowOff>
    </xdr:to>
    <xdr:sp macro="" textlink="">
      <xdr:nvSpPr>
        <xdr:cNvPr id="25" name="Retângulo 24"/>
        <xdr:cNvSpPr/>
      </xdr:nvSpPr>
      <xdr:spPr>
        <a:xfrm>
          <a:off x="8391524" y="11944350"/>
          <a:ext cx="2600326" cy="100012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400 G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</a:t>
          </a:r>
        </a:p>
      </xdr:txBody>
    </xdr:sp>
    <xdr:clientData/>
  </xdr:twoCellAnchor>
  <xdr:twoCellAnchor>
    <xdr:from>
      <xdr:col>12</xdr:col>
      <xdr:colOff>226165</xdr:colOff>
      <xdr:row>53</xdr:row>
      <xdr:rowOff>85918</xdr:rowOff>
    </xdr:from>
    <xdr:to>
      <xdr:col>12</xdr:col>
      <xdr:colOff>229787</xdr:colOff>
      <xdr:row>55</xdr:row>
      <xdr:rowOff>197535</xdr:rowOff>
    </xdr:to>
    <xdr:cxnSp macro="">
      <xdr:nvCxnSpPr>
        <xdr:cNvPr id="26" name="Conector de seta reta 25"/>
        <xdr:cNvCxnSpPr/>
      </xdr:nvCxnSpPr>
      <xdr:spPr>
        <a:xfrm flipV="1">
          <a:off x="9819201" y="11230168"/>
          <a:ext cx="3622" cy="54704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1098097</xdr:colOff>
      <xdr:row>60</xdr:row>
      <xdr:rowOff>179615</xdr:rowOff>
    </xdr:from>
    <xdr:to>
      <xdr:col>11</xdr:col>
      <xdr:colOff>1098097</xdr:colOff>
      <xdr:row>63</xdr:row>
      <xdr:rowOff>74840</xdr:rowOff>
    </xdr:to>
    <xdr:cxnSp macro="">
      <xdr:nvCxnSpPr>
        <xdr:cNvPr id="28" name="Conector de seta reta 27"/>
        <xdr:cNvCxnSpPr/>
      </xdr:nvCxnSpPr>
      <xdr:spPr>
        <a:xfrm>
          <a:off x="9561740" y="12807044"/>
          <a:ext cx="0" cy="5619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419100</xdr:colOff>
      <xdr:row>58</xdr:row>
      <xdr:rowOff>57150</xdr:rowOff>
    </xdr:from>
    <xdr:to>
      <xdr:col>18</xdr:col>
      <xdr:colOff>295275</xdr:colOff>
      <xdr:row>58</xdr:row>
      <xdr:rowOff>80963</xdr:rowOff>
    </xdr:to>
    <xdr:cxnSp macro="">
      <xdr:nvCxnSpPr>
        <xdr:cNvPr id="29" name="Conector de seta reta 28"/>
        <xdr:cNvCxnSpPr>
          <a:stCxn id="25" idx="3"/>
        </xdr:cNvCxnSpPr>
      </xdr:nvCxnSpPr>
      <xdr:spPr>
        <a:xfrm flipV="1">
          <a:off x="10991850" y="12430125"/>
          <a:ext cx="2762250" cy="2381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322488</xdr:colOff>
      <xdr:row>46</xdr:row>
      <xdr:rowOff>0</xdr:rowOff>
    </xdr:from>
    <xdr:to>
      <xdr:col>22</xdr:col>
      <xdr:colOff>571501</xdr:colOff>
      <xdr:row>50</xdr:row>
      <xdr:rowOff>142875</xdr:rowOff>
    </xdr:to>
    <xdr:sp macro="" textlink="">
      <xdr:nvSpPr>
        <xdr:cNvPr id="30" name="Retângulo 29"/>
        <xdr:cNvSpPr/>
      </xdr:nvSpPr>
      <xdr:spPr>
        <a:xfrm>
          <a:off x="14390913" y="9810750"/>
          <a:ext cx="2258788" cy="100965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chemeClr val="bg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DECANTER</a:t>
          </a:r>
          <a:endParaRPr lang="pt-BR" sz="1800">
            <a:solidFill>
              <a:schemeClr val="bg1"/>
            </a:solidFill>
            <a:effectLst/>
            <a:latin typeface="Trebuchet MS" panose="020B0603020202020204" pitchFamily="34" charset="0"/>
          </a:endParaRP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4000 G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</a:t>
          </a:r>
        </a:p>
      </xdr:txBody>
    </xdr:sp>
    <xdr:clientData/>
  </xdr:twoCellAnchor>
  <xdr:twoCellAnchor>
    <xdr:from>
      <xdr:col>19</xdr:col>
      <xdr:colOff>447674</xdr:colOff>
      <xdr:row>65</xdr:row>
      <xdr:rowOff>9525</xdr:rowOff>
    </xdr:from>
    <xdr:to>
      <xdr:col>23</xdr:col>
      <xdr:colOff>371475</xdr:colOff>
      <xdr:row>69</xdr:row>
      <xdr:rowOff>152400</xdr:rowOff>
    </xdr:to>
    <xdr:sp macro="" textlink="">
      <xdr:nvSpPr>
        <xdr:cNvPr id="32" name="Retângulo 31"/>
        <xdr:cNvSpPr/>
      </xdr:nvSpPr>
      <xdr:spPr>
        <a:xfrm>
          <a:off x="14516099" y="13868400"/>
          <a:ext cx="2590801" cy="100965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9</xdr:col>
      <xdr:colOff>440531</xdr:colOff>
      <xdr:row>59</xdr:row>
      <xdr:rowOff>38100</xdr:rowOff>
    </xdr:from>
    <xdr:to>
      <xdr:col>10</xdr:col>
      <xdr:colOff>545304</xdr:colOff>
      <xdr:row>59</xdr:row>
      <xdr:rowOff>42862</xdr:rowOff>
    </xdr:to>
    <xdr:cxnSp macro="">
      <xdr:nvCxnSpPr>
        <xdr:cNvPr id="34" name="Conector de seta reta 33"/>
        <xdr:cNvCxnSpPr/>
      </xdr:nvCxnSpPr>
      <xdr:spPr>
        <a:xfrm flipV="1">
          <a:off x="7631906" y="12620625"/>
          <a:ext cx="809623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295275</xdr:colOff>
      <xdr:row>48</xdr:row>
      <xdr:rowOff>85725</xdr:rowOff>
    </xdr:from>
    <xdr:to>
      <xdr:col>18</xdr:col>
      <xdr:colOff>304800</xdr:colOff>
      <xdr:row>66</xdr:row>
      <xdr:rowOff>114300</xdr:rowOff>
    </xdr:to>
    <xdr:cxnSp macro="">
      <xdr:nvCxnSpPr>
        <xdr:cNvPr id="35" name="Conector reto 34"/>
        <xdr:cNvCxnSpPr/>
      </xdr:nvCxnSpPr>
      <xdr:spPr>
        <a:xfrm>
          <a:off x="13754100" y="10344150"/>
          <a:ext cx="9525" cy="38385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323850</xdr:colOff>
      <xdr:row>66</xdr:row>
      <xdr:rowOff>119063</xdr:rowOff>
    </xdr:from>
    <xdr:to>
      <xdr:col>19</xdr:col>
      <xdr:colOff>428623</xdr:colOff>
      <xdr:row>66</xdr:row>
      <xdr:rowOff>123825</xdr:rowOff>
    </xdr:to>
    <xdr:cxnSp macro="">
      <xdr:nvCxnSpPr>
        <xdr:cNvPr id="36" name="Conector de seta reta 35"/>
        <xdr:cNvCxnSpPr/>
      </xdr:nvCxnSpPr>
      <xdr:spPr>
        <a:xfrm flipV="1">
          <a:off x="13782675" y="14187488"/>
          <a:ext cx="714373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39</xdr:row>
      <xdr:rowOff>160985</xdr:rowOff>
    </xdr:from>
    <xdr:to>
      <xdr:col>9</xdr:col>
      <xdr:colOff>456126</xdr:colOff>
      <xdr:row>59</xdr:row>
      <xdr:rowOff>33404</xdr:rowOff>
    </xdr:to>
    <xdr:cxnSp macro="">
      <xdr:nvCxnSpPr>
        <xdr:cNvPr id="37" name="Conector reto 36"/>
        <xdr:cNvCxnSpPr/>
      </xdr:nvCxnSpPr>
      <xdr:spPr>
        <a:xfrm flipV="1">
          <a:off x="7629525" y="8447735"/>
          <a:ext cx="17976" cy="416819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48</xdr:row>
      <xdr:rowOff>90488</xdr:rowOff>
    </xdr:from>
    <xdr:to>
      <xdr:col>19</xdr:col>
      <xdr:colOff>390523</xdr:colOff>
      <xdr:row>48</xdr:row>
      <xdr:rowOff>95250</xdr:rowOff>
    </xdr:to>
    <xdr:cxnSp macro="">
      <xdr:nvCxnSpPr>
        <xdr:cNvPr id="38" name="Conector de seta reta 37"/>
        <xdr:cNvCxnSpPr/>
      </xdr:nvCxnSpPr>
      <xdr:spPr>
        <a:xfrm flipV="1">
          <a:off x="13744575" y="10348913"/>
          <a:ext cx="714373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409574</xdr:colOff>
      <xdr:row>26</xdr:row>
      <xdr:rowOff>1</xdr:rowOff>
    </xdr:from>
    <xdr:to>
      <xdr:col>23</xdr:col>
      <xdr:colOff>563451</xdr:colOff>
      <xdr:row>28</xdr:row>
      <xdr:rowOff>9526</xdr:rowOff>
    </xdr:to>
    <xdr:cxnSp macro="">
      <xdr:nvCxnSpPr>
        <xdr:cNvPr id="39" name="Conector angulado 77"/>
        <xdr:cNvCxnSpPr>
          <a:stCxn id="15" idx="0"/>
        </xdr:cNvCxnSpPr>
      </xdr:nvCxnSpPr>
      <xdr:spPr>
        <a:xfrm rot="5400000" flipH="1" flipV="1">
          <a:off x="16283725" y="4937975"/>
          <a:ext cx="428625" cy="160167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511264</xdr:colOff>
      <xdr:row>31</xdr:row>
      <xdr:rowOff>28374</xdr:rowOff>
    </xdr:from>
    <xdr:to>
      <xdr:col>2</xdr:col>
      <xdr:colOff>12340</xdr:colOff>
      <xdr:row>31</xdr:row>
      <xdr:rowOff>33136</xdr:rowOff>
    </xdr:to>
    <xdr:cxnSp macro="">
      <xdr:nvCxnSpPr>
        <xdr:cNvPr id="40" name="Conector de seta reta 39"/>
        <xdr:cNvCxnSpPr/>
      </xdr:nvCxnSpPr>
      <xdr:spPr>
        <a:xfrm flipV="1">
          <a:off x="511264" y="6638724"/>
          <a:ext cx="1053651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229282</xdr:colOff>
      <xdr:row>44</xdr:row>
      <xdr:rowOff>149679</xdr:rowOff>
    </xdr:from>
    <xdr:to>
      <xdr:col>22</xdr:col>
      <xdr:colOff>476251</xdr:colOff>
      <xdr:row>46</xdr:row>
      <xdr:rowOff>0</xdr:rowOff>
    </xdr:to>
    <xdr:cxnSp macro="">
      <xdr:nvCxnSpPr>
        <xdr:cNvPr id="41" name="Conector angulado 4"/>
        <xdr:cNvCxnSpPr>
          <a:stCxn id="30" idx="0"/>
        </xdr:cNvCxnSpPr>
      </xdr:nvCxnSpPr>
      <xdr:spPr>
        <a:xfrm rot="5400000" flipH="1" flipV="1">
          <a:off x="15872393" y="9128693"/>
          <a:ext cx="326571" cy="103754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204108</xdr:colOff>
      <xdr:row>69</xdr:row>
      <xdr:rowOff>163285</xdr:rowOff>
    </xdr:from>
    <xdr:to>
      <xdr:col>23</xdr:col>
      <xdr:colOff>1</xdr:colOff>
      <xdr:row>74</xdr:row>
      <xdr:rowOff>108858</xdr:rowOff>
    </xdr:to>
    <xdr:cxnSp macro="">
      <xdr:nvCxnSpPr>
        <xdr:cNvPr id="42" name="Conector angulado 41"/>
        <xdr:cNvCxnSpPr/>
      </xdr:nvCxnSpPr>
      <xdr:spPr>
        <a:xfrm rot="16200000" flipH="1">
          <a:off x="16012205" y="15159038"/>
          <a:ext cx="993323" cy="453118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317500</xdr:colOff>
      <xdr:row>21</xdr:row>
      <xdr:rowOff>63500</xdr:rowOff>
    </xdr:from>
    <xdr:to>
      <xdr:col>10</xdr:col>
      <xdr:colOff>324644</xdr:colOff>
      <xdr:row>23</xdr:row>
      <xdr:rowOff>193675</xdr:rowOff>
    </xdr:to>
    <xdr:cxnSp macro="">
      <xdr:nvCxnSpPr>
        <xdr:cNvPr id="29" name="Conector de seta reta 28"/>
        <xdr:cNvCxnSpPr/>
      </xdr:nvCxnSpPr>
      <xdr:spPr>
        <a:xfrm flipV="1">
          <a:off x="6683375" y="4397375"/>
          <a:ext cx="7144" cy="5429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841375</xdr:colOff>
      <xdr:row>20</xdr:row>
      <xdr:rowOff>149226</xdr:rowOff>
    </xdr:from>
    <xdr:to>
      <xdr:col>12</xdr:col>
      <xdr:colOff>853282</xdr:colOff>
      <xdr:row>24</xdr:row>
      <xdr:rowOff>142875</xdr:rowOff>
    </xdr:to>
    <xdr:cxnSp macro="">
      <xdr:nvCxnSpPr>
        <xdr:cNvPr id="3" name="Conector de seta reta 2"/>
        <xdr:cNvCxnSpPr/>
      </xdr:nvCxnSpPr>
      <xdr:spPr>
        <a:xfrm flipV="1">
          <a:off x="9032875" y="4276726"/>
          <a:ext cx="11907" cy="81914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250822</xdr:colOff>
      <xdr:row>28</xdr:row>
      <xdr:rowOff>73025</xdr:rowOff>
    </xdr:from>
    <xdr:to>
      <xdr:col>10</xdr:col>
      <xdr:colOff>250822</xdr:colOff>
      <xdr:row>30</xdr:row>
      <xdr:rowOff>158750</xdr:rowOff>
    </xdr:to>
    <xdr:cxnSp macro="">
      <xdr:nvCxnSpPr>
        <xdr:cNvPr id="4" name="Conector de seta reta 3"/>
        <xdr:cNvCxnSpPr/>
      </xdr:nvCxnSpPr>
      <xdr:spPr>
        <a:xfrm>
          <a:off x="6616697" y="5613400"/>
          <a:ext cx="0" cy="4667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676275</xdr:colOff>
      <xdr:row>28</xdr:row>
      <xdr:rowOff>41275</xdr:rowOff>
    </xdr:from>
    <xdr:to>
      <xdr:col>13</xdr:col>
      <xdr:colOff>676275</xdr:colOff>
      <xdr:row>30</xdr:row>
      <xdr:rowOff>142875</xdr:rowOff>
    </xdr:to>
    <xdr:cxnSp macro="">
      <xdr:nvCxnSpPr>
        <xdr:cNvPr id="5" name="Conector de seta reta 4"/>
        <xdr:cNvCxnSpPr/>
      </xdr:nvCxnSpPr>
      <xdr:spPr>
        <a:xfrm>
          <a:off x="8851900" y="5645150"/>
          <a:ext cx="0" cy="49847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339725</xdr:colOff>
      <xdr:row>26</xdr:row>
      <xdr:rowOff>63500</xdr:rowOff>
    </xdr:from>
    <xdr:to>
      <xdr:col>19</xdr:col>
      <xdr:colOff>317500</xdr:colOff>
      <xdr:row>26</xdr:row>
      <xdr:rowOff>65090</xdr:rowOff>
    </xdr:to>
    <xdr:cxnSp macro="">
      <xdr:nvCxnSpPr>
        <xdr:cNvPr id="6" name="Conector de seta reta 5"/>
        <xdr:cNvCxnSpPr/>
      </xdr:nvCxnSpPr>
      <xdr:spPr>
        <a:xfrm flipV="1">
          <a:off x="9547225" y="5508625"/>
          <a:ext cx="2851150" cy="159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234950</xdr:colOff>
      <xdr:row>18</xdr:row>
      <xdr:rowOff>57150</xdr:rowOff>
    </xdr:from>
    <xdr:to>
      <xdr:col>21</xdr:col>
      <xdr:colOff>234950</xdr:colOff>
      <xdr:row>20</xdr:row>
      <xdr:rowOff>158750</xdr:rowOff>
    </xdr:to>
    <xdr:cxnSp macro="">
      <xdr:nvCxnSpPr>
        <xdr:cNvPr id="8" name="Conector de seta reta 7"/>
        <xdr:cNvCxnSpPr/>
      </xdr:nvCxnSpPr>
      <xdr:spPr>
        <a:xfrm>
          <a:off x="12553950" y="3771900"/>
          <a:ext cx="0" cy="5143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346075</xdr:colOff>
      <xdr:row>18</xdr:row>
      <xdr:rowOff>50800</xdr:rowOff>
    </xdr:from>
    <xdr:to>
      <xdr:col>24</xdr:col>
      <xdr:colOff>346075</xdr:colOff>
      <xdr:row>20</xdr:row>
      <xdr:rowOff>152400</xdr:rowOff>
    </xdr:to>
    <xdr:cxnSp macro="">
      <xdr:nvCxnSpPr>
        <xdr:cNvPr id="9" name="Conector de seta reta 8"/>
        <xdr:cNvCxnSpPr/>
      </xdr:nvCxnSpPr>
      <xdr:spPr>
        <a:xfrm>
          <a:off x="14474825" y="3765550"/>
          <a:ext cx="0" cy="5143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314325</xdr:colOff>
      <xdr:row>37</xdr:row>
      <xdr:rowOff>9525</xdr:rowOff>
    </xdr:from>
    <xdr:to>
      <xdr:col>21</xdr:col>
      <xdr:colOff>314325</xdr:colOff>
      <xdr:row>39</xdr:row>
      <xdr:rowOff>95250</xdr:rowOff>
    </xdr:to>
    <xdr:cxnSp macro="">
      <xdr:nvCxnSpPr>
        <xdr:cNvPr id="11" name="Conector de seta reta 10"/>
        <xdr:cNvCxnSpPr/>
      </xdr:nvCxnSpPr>
      <xdr:spPr>
        <a:xfrm>
          <a:off x="12633325" y="7677150"/>
          <a:ext cx="0" cy="4826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297958</xdr:colOff>
      <xdr:row>38</xdr:row>
      <xdr:rowOff>38815</xdr:rowOff>
    </xdr:from>
    <xdr:to>
      <xdr:col>24</xdr:col>
      <xdr:colOff>297958</xdr:colOff>
      <xdr:row>40</xdr:row>
      <xdr:rowOff>140415</xdr:rowOff>
    </xdr:to>
    <xdr:cxnSp macro="">
      <xdr:nvCxnSpPr>
        <xdr:cNvPr id="12" name="Conector de seta reta 11"/>
        <xdr:cNvCxnSpPr/>
      </xdr:nvCxnSpPr>
      <xdr:spPr>
        <a:xfrm>
          <a:off x="14426708" y="7928690"/>
          <a:ext cx="0" cy="4826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462643</xdr:colOff>
      <xdr:row>26</xdr:row>
      <xdr:rowOff>40141</xdr:rowOff>
    </xdr:from>
    <xdr:to>
      <xdr:col>9</xdr:col>
      <xdr:colOff>495299</xdr:colOff>
      <xdr:row>26</xdr:row>
      <xdr:rowOff>54429</xdr:rowOff>
    </xdr:to>
    <xdr:cxnSp macro="">
      <xdr:nvCxnSpPr>
        <xdr:cNvPr id="13" name="Conector de seta reta 12"/>
        <xdr:cNvCxnSpPr/>
      </xdr:nvCxnSpPr>
      <xdr:spPr>
        <a:xfrm flipV="1">
          <a:off x="3834493" y="5164591"/>
          <a:ext cx="2947306" cy="1428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107950</xdr:colOff>
      <xdr:row>28</xdr:row>
      <xdr:rowOff>15875</xdr:rowOff>
    </xdr:from>
    <xdr:to>
      <xdr:col>2</xdr:col>
      <xdr:colOff>107950</xdr:colOff>
      <xdr:row>30</xdr:row>
      <xdr:rowOff>101600</xdr:rowOff>
    </xdr:to>
    <xdr:cxnSp macro="">
      <xdr:nvCxnSpPr>
        <xdr:cNvPr id="15" name="Conector de seta reta 14"/>
        <xdr:cNvCxnSpPr/>
      </xdr:nvCxnSpPr>
      <xdr:spPr>
        <a:xfrm>
          <a:off x="1314450" y="5556250"/>
          <a:ext cx="0" cy="4667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26</xdr:row>
      <xdr:rowOff>142875</xdr:rowOff>
    </xdr:from>
    <xdr:to>
      <xdr:col>4</xdr:col>
      <xdr:colOff>428625</xdr:colOff>
      <xdr:row>30</xdr:row>
      <xdr:rowOff>142875</xdr:rowOff>
    </xdr:to>
    <xdr:cxnSp macro="">
      <xdr:nvCxnSpPr>
        <xdr:cNvPr id="16" name="Conector de seta reta 15"/>
        <xdr:cNvCxnSpPr/>
      </xdr:nvCxnSpPr>
      <xdr:spPr>
        <a:xfrm>
          <a:off x="2841625" y="5302250"/>
          <a:ext cx="0" cy="7620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295275</xdr:colOff>
      <xdr:row>16</xdr:row>
      <xdr:rowOff>85725</xdr:rowOff>
    </xdr:from>
    <xdr:to>
      <xdr:col>19</xdr:col>
      <xdr:colOff>304800</xdr:colOff>
      <xdr:row>34</xdr:row>
      <xdr:rowOff>114300</xdr:rowOff>
    </xdr:to>
    <xdr:cxnSp macro="">
      <xdr:nvCxnSpPr>
        <xdr:cNvPr id="18" name="Conector reto 17"/>
        <xdr:cNvCxnSpPr/>
      </xdr:nvCxnSpPr>
      <xdr:spPr>
        <a:xfrm>
          <a:off x="11430000" y="3181350"/>
          <a:ext cx="9525" cy="3581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323850</xdr:colOff>
      <xdr:row>34</xdr:row>
      <xdr:rowOff>87313</xdr:rowOff>
    </xdr:from>
    <xdr:to>
      <xdr:col>20</xdr:col>
      <xdr:colOff>428623</xdr:colOff>
      <xdr:row>34</xdr:row>
      <xdr:rowOff>92075</xdr:rowOff>
    </xdr:to>
    <xdr:cxnSp macro="">
      <xdr:nvCxnSpPr>
        <xdr:cNvPr id="19" name="Conector de seta reta 18"/>
        <xdr:cNvCxnSpPr/>
      </xdr:nvCxnSpPr>
      <xdr:spPr>
        <a:xfrm flipV="1">
          <a:off x="12404725" y="7151688"/>
          <a:ext cx="708023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504825</xdr:colOff>
      <xdr:row>11</xdr:row>
      <xdr:rowOff>76200</xdr:rowOff>
    </xdr:from>
    <xdr:to>
      <xdr:col>21</xdr:col>
      <xdr:colOff>514350</xdr:colOff>
      <xdr:row>14</xdr:row>
      <xdr:rowOff>0</xdr:rowOff>
    </xdr:to>
    <xdr:cxnSp macro="">
      <xdr:nvCxnSpPr>
        <xdr:cNvPr id="20" name="Conector de seta reta 19"/>
        <xdr:cNvCxnSpPr/>
      </xdr:nvCxnSpPr>
      <xdr:spPr>
        <a:xfrm flipV="1">
          <a:off x="12858750" y="2171700"/>
          <a:ext cx="9525" cy="4953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285750</xdr:colOff>
      <xdr:row>16</xdr:row>
      <xdr:rowOff>90488</xdr:rowOff>
    </xdr:from>
    <xdr:to>
      <xdr:col>20</xdr:col>
      <xdr:colOff>390523</xdr:colOff>
      <xdr:row>16</xdr:row>
      <xdr:rowOff>95250</xdr:rowOff>
    </xdr:to>
    <xdr:cxnSp macro="">
      <xdr:nvCxnSpPr>
        <xdr:cNvPr id="21" name="Conector de seta reta 20"/>
        <xdr:cNvCxnSpPr/>
      </xdr:nvCxnSpPr>
      <xdr:spPr>
        <a:xfrm flipV="1">
          <a:off x="11420475" y="3186113"/>
          <a:ext cx="714373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250824</xdr:colOff>
      <xdr:row>31</xdr:row>
      <xdr:rowOff>15876</xdr:rowOff>
    </xdr:from>
    <xdr:to>
      <xdr:col>25</xdr:col>
      <xdr:colOff>499951</xdr:colOff>
      <xdr:row>33</xdr:row>
      <xdr:rowOff>25401</xdr:rowOff>
    </xdr:to>
    <xdr:cxnSp macro="">
      <xdr:nvCxnSpPr>
        <xdr:cNvPr id="22" name="Conector angulado 21"/>
        <xdr:cNvCxnSpPr/>
      </xdr:nvCxnSpPr>
      <xdr:spPr>
        <a:xfrm rot="5400000" flipH="1" flipV="1">
          <a:off x="14848625" y="5992075"/>
          <a:ext cx="422275" cy="1360377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463639</xdr:colOff>
      <xdr:row>26</xdr:row>
      <xdr:rowOff>60124</xdr:rowOff>
    </xdr:from>
    <xdr:to>
      <xdr:col>1</xdr:col>
      <xdr:colOff>567965</xdr:colOff>
      <xdr:row>26</xdr:row>
      <xdr:rowOff>64886</xdr:rowOff>
    </xdr:to>
    <xdr:cxnSp macro="">
      <xdr:nvCxnSpPr>
        <xdr:cNvPr id="23" name="Conector de seta reta 22"/>
        <xdr:cNvCxnSpPr/>
      </xdr:nvCxnSpPr>
      <xdr:spPr>
        <a:xfrm flipV="1">
          <a:off x="463639" y="5219499"/>
          <a:ext cx="707576" cy="476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555625</xdr:colOff>
      <xdr:row>24</xdr:row>
      <xdr:rowOff>79375</xdr:rowOff>
    </xdr:from>
    <xdr:to>
      <xdr:col>5</xdr:col>
      <xdr:colOff>79375</xdr:colOff>
      <xdr:row>28</xdr:row>
      <xdr:rowOff>142875</xdr:rowOff>
    </xdr:to>
    <xdr:sp macro="" textlink="">
      <xdr:nvSpPr>
        <xdr:cNvPr id="24" name="Retângulo 23"/>
        <xdr:cNvSpPr/>
      </xdr:nvSpPr>
      <xdr:spPr>
        <a:xfrm>
          <a:off x="1158875" y="4778375"/>
          <a:ext cx="1936750" cy="904875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9</xdr:col>
      <xdr:colOff>508000</xdr:colOff>
      <xdr:row>23</xdr:row>
      <xdr:rowOff>127000</xdr:rowOff>
    </xdr:from>
    <xdr:to>
      <xdr:col>14</xdr:col>
      <xdr:colOff>98426</xdr:colOff>
      <xdr:row>28</xdr:row>
      <xdr:rowOff>129267</xdr:rowOff>
    </xdr:to>
    <xdr:sp macro="" textlink="">
      <xdr:nvSpPr>
        <xdr:cNvPr id="25" name="Retângulo 24"/>
        <xdr:cNvSpPr/>
      </xdr:nvSpPr>
      <xdr:spPr>
        <a:xfrm>
          <a:off x="5334000" y="4635500"/>
          <a:ext cx="2606676" cy="10341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50 G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8 l/h</a:t>
          </a:r>
        </a:p>
      </xdr:txBody>
    </xdr:sp>
    <xdr:clientData/>
  </xdr:twoCellAnchor>
  <xdr:twoCellAnchor>
    <xdr:from>
      <xdr:col>20</xdr:col>
      <xdr:colOff>365125</xdr:colOff>
      <xdr:row>13</xdr:row>
      <xdr:rowOff>142875</xdr:rowOff>
    </xdr:from>
    <xdr:to>
      <xdr:col>24</xdr:col>
      <xdr:colOff>558801</xdr:colOff>
      <xdr:row>18</xdr:row>
      <xdr:rowOff>145142</xdr:rowOff>
    </xdr:to>
    <xdr:sp macro="" textlink="">
      <xdr:nvSpPr>
        <xdr:cNvPr id="26" name="Retângulo 25"/>
        <xdr:cNvSpPr/>
      </xdr:nvSpPr>
      <xdr:spPr>
        <a:xfrm>
          <a:off x="12080875" y="2794000"/>
          <a:ext cx="2606676" cy="10658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4000 G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8 l/h</a:t>
          </a:r>
        </a:p>
      </xdr:txBody>
    </xdr:sp>
    <xdr:clientData/>
  </xdr:twoCellAnchor>
  <xdr:twoCellAnchor>
    <xdr:from>
      <xdr:col>20</xdr:col>
      <xdr:colOff>428625</xdr:colOff>
      <xdr:row>32</xdr:row>
      <xdr:rowOff>111125</xdr:rowOff>
    </xdr:from>
    <xdr:to>
      <xdr:col>25</xdr:col>
      <xdr:colOff>19051</xdr:colOff>
      <xdr:row>37</xdr:row>
      <xdr:rowOff>176892</xdr:rowOff>
    </xdr:to>
    <xdr:sp macro="" textlink="">
      <xdr:nvSpPr>
        <xdr:cNvPr id="27" name="Retângulo 26"/>
        <xdr:cNvSpPr/>
      </xdr:nvSpPr>
      <xdr:spPr>
        <a:xfrm>
          <a:off x="10683875" y="6413500"/>
          <a:ext cx="2606676" cy="10341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16</xdr:col>
      <xdr:colOff>317500</xdr:colOff>
      <xdr:row>37</xdr:row>
      <xdr:rowOff>142875</xdr:rowOff>
    </xdr:from>
    <xdr:to>
      <xdr:col>16</xdr:col>
      <xdr:colOff>666750</xdr:colOff>
      <xdr:row>37</xdr:row>
      <xdr:rowOff>142875</xdr:rowOff>
    </xdr:to>
    <xdr:cxnSp macro="">
      <xdr:nvCxnSpPr>
        <xdr:cNvPr id="28" name="Conector de seta reta 27"/>
        <xdr:cNvCxnSpPr/>
      </xdr:nvCxnSpPr>
      <xdr:spPr>
        <a:xfrm>
          <a:off x="11795125" y="7874000"/>
          <a:ext cx="349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560916</xdr:colOff>
      <xdr:row>4</xdr:row>
      <xdr:rowOff>42333</xdr:rowOff>
    </xdr:from>
    <xdr:to>
      <xdr:col>32</xdr:col>
      <xdr:colOff>560916</xdr:colOff>
      <xdr:row>45</xdr:row>
      <xdr:rowOff>95250</xdr:rowOff>
    </xdr:to>
    <xdr:sp macro="" textlink="">
      <xdr:nvSpPr>
        <xdr:cNvPr id="30" name="Retângulo 29"/>
        <xdr:cNvSpPr/>
      </xdr:nvSpPr>
      <xdr:spPr>
        <a:xfrm>
          <a:off x="5757333" y="889000"/>
          <a:ext cx="18288000" cy="8953500"/>
        </a:xfrm>
        <a:prstGeom prst="rect">
          <a:avLst/>
        </a:prstGeom>
        <a:noFill/>
        <a:ln w="38100">
          <a:solidFill>
            <a:schemeClr val="tx1"/>
          </a:solidFill>
          <a:prstDash val="dashDot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0" name="Retângulo 19"/>
        <xdr:cNvSpPr/>
      </xdr:nvSpPr>
      <xdr:spPr>
        <a:xfrm>
          <a:off x="0" y="5984875"/>
          <a:ext cx="2873375" cy="904875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13</xdr:col>
      <xdr:colOff>460375</xdr:colOff>
      <xdr:row>16</xdr:row>
      <xdr:rowOff>15875</xdr:rowOff>
    </xdr:from>
    <xdr:to>
      <xdr:col>18</xdr:col>
      <xdr:colOff>98426</xdr:colOff>
      <xdr:row>21</xdr:row>
      <xdr:rowOff>34017</xdr:rowOff>
    </xdr:to>
    <xdr:sp macro="" textlink="">
      <xdr:nvSpPr>
        <xdr:cNvPr id="21" name="Retângulo 20"/>
        <xdr:cNvSpPr/>
      </xdr:nvSpPr>
      <xdr:spPr>
        <a:xfrm>
          <a:off x="10271125" y="3349625"/>
          <a:ext cx="3670301" cy="1050017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30 L/h, 800g</a:t>
          </a:r>
        </a:p>
      </xdr:txBody>
    </xdr:sp>
    <xdr:clientData/>
  </xdr:twoCellAnchor>
  <xdr:twoCellAnchor>
    <xdr:from>
      <xdr:col>29</xdr:col>
      <xdr:colOff>396875</xdr:colOff>
      <xdr:row>8</xdr:row>
      <xdr:rowOff>111125</xdr:rowOff>
    </xdr:from>
    <xdr:to>
      <xdr:col>33</xdr:col>
      <xdr:colOff>225426</xdr:colOff>
      <xdr:row>13</xdr:row>
      <xdr:rowOff>129267</xdr:rowOff>
    </xdr:to>
    <xdr:sp macro="" textlink="">
      <xdr:nvSpPr>
        <xdr:cNvPr id="22" name="Retângulo 21"/>
        <xdr:cNvSpPr/>
      </xdr:nvSpPr>
      <xdr:spPr>
        <a:xfrm>
          <a:off x="22637750" y="1905000"/>
          <a:ext cx="2606676" cy="1050017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L/h, 4000g</a:t>
          </a:r>
        </a:p>
      </xdr:txBody>
    </xdr:sp>
    <xdr:clientData/>
  </xdr:twoCellAnchor>
  <xdr:twoCellAnchor>
    <xdr:from>
      <xdr:col>3</xdr:col>
      <xdr:colOff>381000</xdr:colOff>
      <xdr:row>18</xdr:row>
      <xdr:rowOff>79375</xdr:rowOff>
    </xdr:from>
    <xdr:to>
      <xdr:col>13</xdr:col>
      <xdr:colOff>349250</xdr:colOff>
      <xdr:row>30</xdr:row>
      <xdr:rowOff>190504</xdr:rowOff>
    </xdr:to>
    <xdr:cxnSp macro="">
      <xdr:nvCxnSpPr>
        <xdr:cNvPr id="29" name="Conector Angulado 28"/>
        <xdr:cNvCxnSpPr/>
      </xdr:nvCxnSpPr>
      <xdr:spPr>
        <a:xfrm flipV="1">
          <a:off x="2984500" y="3952875"/>
          <a:ext cx="7905750" cy="2762254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30</xdr:row>
      <xdr:rowOff>190502</xdr:rowOff>
    </xdr:from>
    <xdr:to>
      <xdr:col>14</xdr:col>
      <xdr:colOff>333375</xdr:colOff>
      <xdr:row>73</xdr:row>
      <xdr:rowOff>15875</xdr:rowOff>
    </xdr:to>
    <xdr:cxnSp macro="">
      <xdr:nvCxnSpPr>
        <xdr:cNvPr id="42" name="Conector Angulado 41"/>
        <xdr:cNvCxnSpPr/>
      </xdr:nvCxnSpPr>
      <xdr:spPr>
        <a:xfrm>
          <a:off x="2984500" y="6715127"/>
          <a:ext cx="8763000" cy="8762998"/>
        </a:xfrm>
        <a:prstGeom prst="bentConnector3">
          <a:avLst>
            <a:gd name="adj1" fmla="val 45109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70</xdr:row>
      <xdr:rowOff>142875</xdr:rowOff>
    </xdr:from>
    <xdr:to>
      <xdr:col>19</xdr:col>
      <xdr:colOff>288926</xdr:colOff>
      <xdr:row>76</xdr:row>
      <xdr:rowOff>18142</xdr:rowOff>
    </xdr:to>
    <xdr:sp macro="" textlink="">
      <xdr:nvSpPr>
        <xdr:cNvPr id="50" name="Retângulo 49"/>
        <xdr:cNvSpPr/>
      </xdr:nvSpPr>
      <xdr:spPr>
        <a:xfrm>
          <a:off x="11795125" y="14986000"/>
          <a:ext cx="3670301" cy="1113517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30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1000g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53" name="Conector de Seta Reta 52"/>
        <xdr:cNvCxnSpPr/>
      </xdr:nvCxnSpPr>
      <xdr:spPr>
        <a:xfrm>
          <a:off x="1428750" y="6985000"/>
          <a:ext cx="0" cy="8890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777875</xdr:colOff>
      <xdr:row>13</xdr:row>
      <xdr:rowOff>95250</xdr:rowOff>
    </xdr:from>
    <xdr:to>
      <xdr:col>15</xdr:col>
      <xdr:colOff>777875</xdr:colOff>
      <xdr:row>16</xdr:row>
      <xdr:rowOff>15875</xdr:rowOff>
    </xdr:to>
    <xdr:cxnSp macro="">
      <xdr:nvCxnSpPr>
        <xdr:cNvPr id="55" name="Conector de Seta Reta 54"/>
        <xdr:cNvCxnSpPr/>
      </xdr:nvCxnSpPr>
      <xdr:spPr>
        <a:xfrm flipV="1">
          <a:off x="13017500" y="2968625"/>
          <a:ext cx="0" cy="539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21</xdr:row>
      <xdr:rowOff>31750</xdr:rowOff>
    </xdr:from>
    <xdr:to>
      <xdr:col>16</xdr:col>
      <xdr:colOff>0</xdr:colOff>
      <xdr:row>23</xdr:row>
      <xdr:rowOff>174625</xdr:rowOff>
    </xdr:to>
    <xdr:cxnSp macro="">
      <xdr:nvCxnSpPr>
        <xdr:cNvPr id="57" name="Conector de Seta Reta 56"/>
        <xdr:cNvCxnSpPr/>
      </xdr:nvCxnSpPr>
      <xdr:spPr>
        <a:xfrm>
          <a:off x="12811125" y="4587875"/>
          <a:ext cx="0" cy="587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79375</xdr:colOff>
      <xdr:row>67</xdr:row>
      <xdr:rowOff>95250</xdr:rowOff>
    </xdr:from>
    <xdr:to>
      <xdr:col>17</xdr:col>
      <xdr:colOff>79375</xdr:colOff>
      <xdr:row>70</xdr:row>
      <xdr:rowOff>142875</xdr:rowOff>
    </xdr:to>
    <xdr:cxnSp macro="">
      <xdr:nvCxnSpPr>
        <xdr:cNvPr id="60" name="Conector de Seta Reta 59"/>
        <xdr:cNvCxnSpPr/>
      </xdr:nvCxnSpPr>
      <xdr:spPr>
        <a:xfrm flipV="1">
          <a:off x="13906500" y="14589125"/>
          <a:ext cx="0" cy="666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79375</xdr:colOff>
      <xdr:row>76</xdr:row>
      <xdr:rowOff>31750</xdr:rowOff>
    </xdr:from>
    <xdr:to>
      <xdr:col>17</xdr:col>
      <xdr:colOff>79375</xdr:colOff>
      <xdr:row>79</xdr:row>
      <xdr:rowOff>95250</xdr:rowOff>
    </xdr:to>
    <xdr:cxnSp macro="">
      <xdr:nvCxnSpPr>
        <xdr:cNvPr id="62" name="Conector de Seta Reta 61"/>
        <xdr:cNvCxnSpPr/>
      </xdr:nvCxnSpPr>
      <xdr:spPr>
        <a:xfrm>
          <a:off x="13684250" y="16113125"/>
          <a:ext cx="0" cy="6826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63500</xdr:colOff>
      <xdr:row>10</xdr:row>
      <xdr:rowOff>158750</xdr:rowOff>
    </xdr:from>
    <xdr:to>
      <xdr:col>29</xdr:col>
      <xdr:colOff>365125</xdr:colOff>
      <xdr:row>18</xdr:row>
      <xdr:rowOff>190504</xdr:rowOff>
    </xdr:to>
    <xdr:cxnSp macro="">
      <xdr:nvCxnSpPr>
        <xdr:cNvPr id="24" name="Conector Angulado 23"/>
        <xdr:cNvCxnSpPr/>
      </xdr:nvCxnSpPr>
      <xdr:spPr>
        <a:xfrm flipV="1">
          <a:off x="14636750" y="2365375"/>
          <a:ext cx="7969250" cy="1698629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18</xdr:row>
      <xdr:rowOff>190505</xdr:rowOff>
    </xdr:from>
    <xdr:to>
      <xdr:col>29</xdr:col>
      <xdr:colOff>333375</xdr:colOff>
      <xdr:row>42</xdr:row>
      <xdr:rowOff>222250</xdr:rowOff>
    </xdr:to>
    <xdr:cxnSp macro="">
      <xdr:nvCxnSpPr>
        <xdr:cNvPr id="25" name="Conector Angulado 24"/>
        <xdr:cNvCxnSpPr/>
      </xdr:nvCxnSpPr>
      <xdr:spPr>
        <a:xfrm>
          <a:off x="14668500" y="4064005"/>
          <a:ext cx="7905750" cy="515937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460375</xdr:colOff>
      <xdr:row>40</xdr:row>
      <xdr:rowOff>63500</xdr:rowOff>
    </xdr:from>
    <xdr:to>
      <xdr:col>33</xdr:col>
      <xdr:colOff>288926</xdr:colOff>
      <xdr:row>45</xdr:row>
      <xdr:rowOff>18142</xdr:rowOff>
    </xdr:to>
    <xdr:sp macro="" textlink="">
      <xdr:nvSpPr>
        <xdr:cNvPr id="28" name="Retângulo 27"/>
        <xdr:cNvSpPr/>
      </xdr:nvSpPr>
      <xdr:spPr>
        <a:xfrm>
          <a:off x="22701250" y="8651875"/>
          <a:ext cx="2606676" cy="1050017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19</xdr:col>
      <xdr:colOff>285750</xdr:colOff>
      <xdr:row>59</xdr:row>
      <xdr:rowOff>190500</xdr:rowOff>
    </xdr:from>
    <xdr:to>
      <xdr:col>47</xdr:col>
      <xdr:colOff>238125</xdr:colOff>
      <xdr:row>73</xdr:row>
      <xdr:rowOff>79376</xdr:rowOff>
    </xdr:to>
    <xdr:cxnSp macro="">
      <xdr:nvCxnSpPr>
        <xdr:cNvPr id="30" name="Conector Angulado 29"/>
        <xdr:cNvCxnSpPr/>
      </xdr:nvCxnSpPr>
      <xdr:spPr>
        <a:xfrm flipV="1">
          <a:off x="15573375" y="12144375"/>
          <a:ext cx="18526125" cy="2651126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349250</xdr:colOff>
      <xdr:row>57</xdr:row>
      <xdr:rowOff>111125</xdr:rowOff>
    </xdr:from>
    <xdr:to>
      <xdr:col>51</xdr:col>
      <xdr:colOff>177801</xdr:colOff>
      <xdr:row>62</xdr:row>
      <xdr:rowOff>34017</xdr:rowOff>
    </xdr:to>
    <xdr:sp macro="" textlink="">
      <xdr:nvSpPr>
        <xdr:cNvPr id="37" name="Retângulo 36"/>
        <xdr:cNvSpPr/>
      </xdr:nvSpPr>
      <xdr:spPr>
        <a:xfrm>
          <a:off x="34210625" y="11684000"/>
          <a:ext cx="2305051" cy="9706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L/h, 4000g</a:t>
          </a:r>
        </a:p>
      </xdr:txBody>
    </xdr:sp>
    <xdr:clientData/>
  </xdr:twoCellAnchor>
  <xdr:twoCellAnchor>
    <xdr:from>
      <xdr:col>19</xdr:col>
      <xdr:colOff>285750</xdr:colOff>
      <xdr:row>73</xdr:row>
      <xdr:rowOff>79376</xdr:rowOff>
    </xdr:from>
    <xdr:to>
      <xdr:col>47</xdr:col>
      <xdr:colOff>238125</xdr:colOff>
      <xdr:row>109</xdr:row>
      <xdr:rowOff>0</xdr:rowOff>
    </xdr:to>
    <xdr:cxnSp macro="">
      <xdr:nvCxnSpPr>
        <xdr:cNvPr id="39" name="Conector Angulado 38"/>
        <xdr:cNvCxnSpPr/>
      </xdr:nvCxnSpPr>
      <xdr:spPr>
        <a:xfrm>
          <a:off x="15573375" y="14795501"/>
          <a:ext cx="18526125" cy="6873874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43" name="Retângulo 42"/>
        <xdr:cNvSpPr/>
      </xdr:nvSpPr>
      <xdr:spPr>
        <a:xfrm>
          <a:off x="34178875" y="21256625"/>
          <a:ext cx="2305051" cy="9071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31</xdr:col>
      <xdr:colOff>396875</xdr:colOff>
      <xdr:row>6</xdr:row>
      <xdr:rowOff>190500</xdr:rowOff>
    </xdr:from>
    <xdr:to>
      <xdr:col>31</xdr:col>
      <xdr:colOff>396875</xdr:colOff>
      <xdr:row>8</xdr:row>
      <xdr:rowOff>127000</xdr:rowOff>
    </xdr:to>
    <xdr:cxnSp macro="">
      <xdr:nvCxnSpPr>
        <xdr:cNvPr id="44" name="Conector de Seta Reta 43"/>
        <xdr:cNvCxnSpPr/>
      </xdr:nvCxnSpPr>
      <xdr:spPr>
        <a:xfrm flipV="1">
          <a:off x="23844250" y="1555750"/>
          <a:ext cx="0" cy="4127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428625</xdr:colOff>
      <xdr:row>13</xdr:row>
      <xdr:rowOff>142875</xdr:rowOff>
    </xdr:from>
    <xdr:to>
      <xdr:col>31</xdr:col>
      <xdr:colOff>428625</xdr:colOff>
      <xdr:row>16</xdr:row>
      <xdr:rowOff>111125</xdr:rowOff>
    </xdr:to>
    <xdr:cxnSp macro="">
      <xdr:nvCxnSpPr>
        <xdr:cNvPr id="45" name="Conector de Seta Reta 44"/>
        <xdr:cNvCxnSpPr/>
      </xdr:nvCxnSpPr>
      <xdr:spPr>
        <a:xfrm>
          <a:off x="23876000" y="3016250"/>
          <a:ext cx="0" cy="587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508000</xdr:colOff>
      <xdr:row>38</xdr:row>
      <xdr:rowOff>127000</xdr:rowOff>
    </xdr:from>
    <xdr:to>
      <xdr:col>31</xdr:col>
      <xdr:colOff>508000</xdr:colOff>
      <xdr:row>40</xdr:row>
      <xdr:rowOff>63500</xdr:rowOff>
    </xdr:to>
    <xdr:cxnSp macro="">
      <xdr:nvCxnSpPr>
        <xdr:cNvPr id="46" name="Conector de Seta Reta 45"/>
        <xdr:cNvCxnSpPr/>
      </xdr:nvCxnSpPr>
      <xdr:spPr>
        <a:xfrm flipV="1">
          <a:off x="23955375" y="8382000"/>
          <a:ext cx="0" cy="3492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508000</xdr:colOff>
      <xdr:row>45</xdr:row>
      <xdr:rowOff>31750</xdr:rowOff>
    </xdr:from>
    <xdr:to>
      <xdr:col>31</xdr:col>
      <xdr:colOff>508000</xdr:colOff>
      <xdr:row>48</xdr:row>
      <xdr:rowOff>0</xdr:rowOff>
    </xdr:to>
    <xdr:cxnSp macro="">
      <xdr:nvCxnSpPr>
        <xdr:cNvPr id="47" name="Conector de Seta Reta 46"/>
        <xdr:cNvCxnSpPr/>
      </xdr:nvCxnSpPr>
      <xdr:spPr>
        <a:xfrm>
          <a:off x="23955375" y="9731375"/>
          <a:ext cx="0" cy="587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254000</xdr:colOff>
      <xdr:row>55</xdr:row>
      <xdr:rowOff>142875</xdr:rowOff>
    </xdr:from>
    <xdr:to>
      <xdr:col>49</xdr:col>
      <xdr:colOff>254000</xdr:colOff>
      <xdr:row>57</xdr:row>
      <xdr:rowOff>79375</xdr:rowOff>
    </xdr:to>
    <xdr:cxnSp macro="">
      <xdr:nvCxnSpPr>
        <xdr:cNvPr id="49" name="Conector de Seta Reta 48"/>
        <xdr:cNvCxnSpPr/>
      </xdr:nvCxnSpPr>
      <xdr:spPr>
        <a:xfrm flipV="1">
          <a:off x="34925000" y="11969750"/>
          <a:ext cx="0" cy="3492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62</xdr:row>
      <xdr:rowOff>63500</xdr:rowOff>
    </xdr:from>
    <xdr:to>
      <xdr:col>49</xdr:col>
      <xdr:colOff>285750</xdr:colOff>
      <xdr:row>65</xdr:row>
      <xdr:rowOff>31750</xdr:rowOff>
    </xdr:to>
    <xdr:cxnSp macro="">
      <xdr:nvCxnSpPr>
        <xdr:cNvPr id="51" name="Conector de Seta Reta 50"/>
        <xdr:cNvCxnSpPr/>
      </xdr:nvCxnSpPr>
      <xdr:spPr>
        <a:xfrm>
          <a:off x="34956750" y="13398500"/>
          <a:ext cx="0" cy="587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54" name="Conector de Seta Reta 53"/>
        <xdr:cNvCxnSpPr/>
      </xdr:nvCxnSpPr>
      <xdr:spPr>
        <a:xfrm flipV="1">
          <a:off x="34940875" y="22399625"/>
          <a:ext cx="0" cy="3492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56" name="Conector de Seta Reta 55"/>
        <xdr:cNvCxnSpPr/>
      </xdr:nvCxnSpPr>
      <xdr:spPr>
        <a:xfrm>
          <a:off x="34956750" y="23749000"/>
          <a:ext cx="0" cy="587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15875</xdr:rowOff>
    </xdr:from>
    <xdr:to>
      <xdr:col>4</xdr:col>
      <xdr:colOff>190500</xdr:colOff>
      <xdr:row>36</xdr:row>
      <xdr:rowOff>142875</xdr:rowOff>
    </xdr:to>
    <xdr:cxnSp macro="">
      <xdr:nvCxnSpPr>
        <xdr:cNvPr id="33" name="Conector de Seta Reta 32"/>
        <xdr:cNvCxnSpPr/>
      </xdr:nvCxnSpPr>
      <xdr:spPr>
        <a:xfrm>
          <a:off x="3016250" y="7239000"/>
          <a:ext cx="984250" cy="8096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416718</xdr:colOff>
      <xdr:row>31</xdr:row>
      <xdr:rowOff>119063</xdr:rowOff>
    </xdr:from>
    <xdr:to>
      <xdr:col>4</xdr:col>
      <xdr:colOff>833437</xdr:colOff>
      <xdr:row>33</xdr:row>
      <xdr:rowOff>178593</xdr:rowOff>
    </xdr:to>
    <xdr:cxnSp macro="">
      <xdr:nvCxnSpPr>
        <xdr:cNvPr id="31" name="Conector de Seta Reta 30"/>
        <xdr:cNvCxnSpPr/>
      </xdr:nvCxnSpPr>
      <xdr:spPr>
        <a:xfrm>
          <a:off x="3238499" y="7060407"/>
          <a:ext cx="1393032" cy="48815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400800"/>
          <a:ext cx="3232150" cy="92075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13</xdr:col>
      <xdr:colOff>460375</xdr:colOff>
      <xdr:row>16</xdr:row>
      <xdr:rowOff>15875</xdr:rowOff>
    </xdr:from>
    <xdr:to>
      <xdr:col>18</xdr:col>
      <xdr:colOff>98426</xdr:colOff>
      <xdr:row>21</xdr:row>
      <xdr:rowOff>34017</xdr:rowOff>
    </xdr:to>
    <xdr:sp macro="" textlink="">
      <xdr:nvSpPr>
        <xdr:cNvPr id="3" name="Retângulo 2"/>
        <xdr:cNvSpPr/>
      </xdr:nvSpPr>
      <xdr:spPr>
        <a:xfrm>
          <a:off x="11242675" y="3530600"/>
          <a:ext cx="3686176" cy="11801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30 L/h, 800g</a:t>
          </a:r>
        </a:p>
      </xdr:txBody>
    </xdr:sp>
    <xdr:clientData/>
  </xdr:twoCellAnchor>
  <xdr:twoCellAnchor>
    <xdr:from>
      <xdr:col>29</xdr:col>
      <xdr:colOff>396875</xdr:colOff>
      <xdr:row>8</xdr:row>
      <xdr:rowOff>111125</xdr:rowOff>
    </xdr:from>
    <xdr:to>
      <xdr:col>33</xdr:col>
      <xdr:colOff>225426</xdr:colOff>
      <xdr:row>13</xdr:row>
      <xdr:rowOff>129267</xdr:rowOff>
    </xdr:to>
    <xdr:sp macro="" textlink="">
      <xdr:nvSpPr>
        <xdr:cNvPr id="4" name="Retângulo 3"/>
        <xdr:cNvSpPr/>
      </xdr:nvSpPr>
      <xdr:spPr>
        <a:xfrm>
          <a:off x="22913975" y="1949450"/>
          <a:ext cx="2619376" cy="10658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L/h, 4000g</a:t>
          </a:r>
        </a:p>
      </xdr:txBody>
    </xdr:sp>
    <xdr:clientData/>
  </xdr:twoCellAnchor>
  <xdr:twoCellAnchor>
    <xdr:from>
      <xdr:col>3</xdr:col>
      <xdr:colOff>381000</xdr:colOff>
      <xdr:row>18</xdr:row>
      <xdr:rowOff>79375</xdr:rowOff>
    </xdr:from>
    <xdr:to>
      <xdr:col>13</xdr:col>
      <xdr:colOff>349250</xdr:colOff>
      <xdr:row>30</xdr:row>
      <xdr:rowOff>190504</xdr:rowOff>
    </xdr:to>
    <xdr:cxnSp macro="">
      <xdr:nvCxnSpPr>
        <xdr:cNvPr id="5" name="Conector Angulado 4"/>
        <xdr:cNvCxnSpPr/>
      </xdr:nvCxnSpPr>
      <xdr:spPr>
        <a:xfrm flipV="1">
          <a:off x="3200400" y="4032250"/>
          <a:ext cx="7931150" cy="2835279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30</xdr:row>
      <xdr:rowOff>190502</xdr:rowOff>
    </xdr:from>
    <xdr:to>
      <xdr:col>14</xdr:col>
      <xdr:colOff>333375</xdr:colOff>
      <xdr:row>73</xdr:row>
      <xdr:rowOff>15875</xdr:rowOff>
    </xdr:to>
    <xdr:cxnSp macro="">
      <xdr:nvCxnSpPr>
        <xdr:cNvPr id="6" name="Conector Angulado 5"/>
        <xdr:cNvCxnSpPr/>
      </xdr:nvCxnSpPr>
      <xdr:spPr>
        <a:xfrm>
          <a:off x="3200400" y="6867527"/>
          <a:ext cx="8782050" cy="9064623"/>
        </a:xfrm>
        <a:prstGeom prst="bentConnector3">
          <a:avLst>
            <a:gd name="adj1" fmla="val 45109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381000</xdr:colOff>
      <xdr:row>70</xdr:row>
      <xdr:rowOff>142875</xdr:rowOff>
    </xdr:from>
    <xdr:to>
      <xdr:col>19</xdr:col>
      <xdr:colOff>288926</xdr:colOff>
      <xdr:row>76</xdr:row>
      <xdr:rowOff>18142</xdr:rowOff>
    </xdr:to>
    <xdr:sp macro="" textlink="">
      <xdr:nvSpPr>
        <xdr:cNvPr id="7" name="Retângulo 6"/>
        <xdr:cNvSpPr/>
      </xdr:nvSpPr>
      <xdr:spPr>
        <a:xfrm>
          <a:off x="12030075" y="15430500"/>
          <a:ext cx="3698876" cy="1132567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15 L/h, 400g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8" name="Conector de Seta Reta 7"/>
        <xdr:cNvCxnSpPr/>
      </xdr:nvCxnSpPr>
      <xdr:spPr>
        <a:xfrm>
          <a:off x="1435100" y="7305675"/>
          <a:ext cx="0" cy="9429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777875</xdr:colOff>
      <xdr:row>13</xdr:row>
      <xdr:rowOff>95250</xdr:rowOff>
    </xdr:from>
    <xdr:to>
      <xdr:col>15</xdr:col>
      <xdr:colOff>777875</xdr:colOff>
      <xdr:row>16</xdr:row>
      <xdr:rowOff>15875</xdr:rowOff>
    </xdr:to>
    <xdr:cxnSp macro="">
      <xdr:nvCxnSpPr>
        <xdr:cNvPr id="9" name="Conector de Seta Reta 8"/>
        <xdr:cNvCxnSpPr/>
      </xdr:nvCxnSpPr>
      <xdr:spPr>
        <a:xfrm flipV="1">
          <a:off x="13036550" y="2981325"/>
          <a:ext cx="0" cy="5492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21</xdr:row>
      <xdr:rowOff>31750</xdr:rowOff>
    </xdr:from>
    <xdr:to>
      <xdr:col>16</xdr:col>
      <xdr:colOff>0</xdr:colOff>
      <xdr:row>23</xdr:row>
      <xdr:rowOff>174625</xdr:rowOff>
    </xdr:to>
    <xdr:cxnSp macro="">
      <xdr:nvCxnSpPr>
        <xdr:cNvPr id="10" name="Conector de Seta Reta 9"/>
        <xdr:cNvCxnSpPr/>
      </xdr:nvCxnSpPr>
      <xdr:spPr>
        <a:xfrm>
          <a:off x="13058775" y="4708525"/>
          <a:ext cx="0" cy="600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79375</xdr:colOff>
      <xdr:row>67</xdr:row>
      <xdr:rowOff>95250</xdr:rowOff>
    </xdr:from>
    <xdr:to>
      <xdr:col>17</xdr:col>
      <xdr:colOff>79375</xdr:colOff>
      <xdr:row>70</xdr:row>
      <xdr:rowOff>142875</xdr:rowOff>
    </xdr:to>
    <xdr:cxnSp macro="">
      <xdr:nvCxnSpPr>
        <xdr:cNvPr id="11" name="Conector de Seta Reta 10"/>
        <xdr:cNvCxnSpPr/>
      </xdr:nvCxnSpPr>
      <xdr:spPr>
        <a:xfrm flipV="1">
          <a:off x="13938250" y="14754225"/>
          <a:ext cx="0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79375</xdr:colOff>
      <xdr:row>76</xdr:row>
      <xdr:rowOff>31750</xdr:rowOff>
    </xdr:from>
    <xdr:to>
      <xdr:col>17</xdr:col>
      <xdr:colOff>79375</xdr:colOff>
      <xdr:row>79</xdr:row>
      <xdr:rowOff>95250</xdr:rowOff>
    </xdr:to>
    <xdr:cxnSp macro="">
      <xdr:nvCxnSpPr>
        <xdr:cNvPr id="12" name="Conector de Seta Reta 11"/>
        <xdr:cNvCxnSpPr/>
      </xdr:nvCxnSpPr>
      <xdr:spPr>
        <a:xfrm>
          <a:off x="13938250" y="16576675"/>
          <a:ext cx="0" cy="6921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63500</xdr:colOff>
      <xdr:row>10</xdr:row>
      <xdr:rowOff>158750</xdr:rowOff>
    </xdr:from>
    <xdr:to>
      <xdr:col>29</xdr:col>
      <xdr:colOff>365125</xdr:colOff>
      <xdr:row>18</xdr:row>
      <xdr:rowOff>190504</xdr:rowOff>
    </xdr:to>
    <xdr:cxnSp macro="">
      <xdr:nvCxnSpPr>
        <xdr:cNvPr id="13" name="Conector Angulado 12"/>
        <xdr:cNvCxnSpPr/>
      </xdr:nvCxnSpPr>
      <xdr:spPr>
        <a:xfrm flipV="1">
          <a:off x="14893925" y="2416175"/>
          <a:ext cx="7988300" cy="1727204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95250</xdr:colOff>
      <xdr:row>18</xdr:row>
      <xdr:rowOff>190505</xdr:rowOff>
    </xdr:from>
    <xdr:to>
      <xdr:col>29</xdr:col>
      <xdr:colOff>333375</xdr:colOff>
      <xdr:row>42</xdr:row>
      <xdr:rowOff>222250</xdr:rowOff>
    </xdr:to>
    <xdr:cxnSp macro="">
      <xdr:nvCxnSpPr>
        <xdr:cNvPr id="14" name="Conector Angulado 13"/>
        <xdr:cNvCxnSpPr/>
      </xdr:nvCxnSpPr>
      <xdr:spPr>
        <a:xfrm>
          <a:off x="14925675" y="4143380"/>
          <a:ext cx="7924800" cy="5318120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460375</xdr:colOff>
      <xdr:row>40</xdr:row>
      <xdr:rowOff>63500</xdr:rowOff>
    </xdr:from>
    <xdr:to>
      <xdr:col>33</xdr:col>
      <xdr:colOff>288926</xdr:colOff>
      <xdr:row>45</xdr:row>
      <xdr:rowOff>18142</xdr:rowOff>
    </xdr:to>
    <xdr:sp macro="" textlink="">
      <xdr:nvSpPr>
        <xdr:cNvPr id="15" name="Retângulo 14"/>
        <xdr:cNvSpPr/>
      </xdr:nvSpPr>
      <xdr:spPr>
        <a:xfrm>
          <a:off x="22977475" y="8893175"/>
          <a:ext cx="2619376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19</xdr:col>
      <xdr:colOff>285750</xdr:colOff>
      <xdr:row>59</xdr:row>
      <xdr:rowOff>190500</xdr:rowOff>
    </xdr:from>
    <xdr:to>
      <xdr:col>47</xdr:col>
      <xdr:colOff>238125</xdr:colOff>
      <xdr:row>73</xdr:row>
      <xdr:rowOff>79376</xdr:rowOff>
    </xdr:to>
    <xdr:cxnSp macro="">
      <xdr:nvCxnSpPr>
        <xdr:cNvPr id="16" name="Conector Angulado 15"/>
        <xdr:cNvCxnSpPr/>
      </xdr:nvCxnSpPr>
      <xdr:spPr>
        <a:xfrm flipV="1">
          <a:off x="15725775" y="13058775"/>
          <a:ext cx="18354675" cy="2936876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349250</xdr:colOff>
      <xdr:row>57</xdr:row>
      <xdr:rowOff>111125</xdr:rowOff>
    </xdr:from>
    <xdr:to>
      <xdr:col>51</xdr:col>
      <xdr:colOff>177801</xdr:colOff>
      <xdr:row>62</xdr:row>
      <xdr:rowOff>34017</xdr:rowOff>
    </xdr:to>
    <xdr:sp macro="" textlink="">
      <xdr:nvSpPr>
        <xdr:cNvPr id="17" name="Retângulo 16"/>
        <xdr:cNvSpPr/>
      </xdr:nvSpPr>
      <xdr:spPr>
        <a:xfrm>
          <a:off x="34191575" y="12560300"/>
          <a:ext cx="2362201" cy="10277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L/h, 4000g</a:t>
          </a:r>
        </a:p>
      </xdr:txBody>
    </xdr:sp>
    <xdr:clientData/>
  </xdr:twoCellAnchor>
  <xdr:twoCellAnchor>
    <xdr:from>
      <xdr:col>19</xdr:col>
      <xdr:colOff>285750</xdr:colOff>
      <xdr:row>73</xdr:row>
      <xdr:rowOff>79376</xdr:rowOff>
    </xdr:from>
    <xdr:to>
      <xdr:col>47</xdr:col>
      <xdr:colOff>238125</xdr:colOff>
      <xdr:row>109</xdr:row>
      <xdr:rowOff>0</xdr:rowOff>
    </xdr:to>
    <xdr:cxnSp macro="">
      <xdr:nvCxnSpPr>
        <xdr:cNvPr id="18" name="Conector Angulado 17"/>
        <xdr:cNvCxnSpPr/>
      </xdr:nvCxnSpPr>
      <xdr:spPr>
        <a:xfrm>
          <a:off x="15725775" y="15995651"/>
          <a:ext cx="18354675" cy="7578724"/>
        </a:xfrm>
        <a:prstGeom prst="bentConnector3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19" name="Retângulo 18"/>
        <xdr:cNvSpPr/>
      </xdr:nvSpPr>
      <xdr:spPr>
        <a:xfrm>
          <a:off x="34159825" y="2310447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31</xdr:col>
      <xdr:colOff>396875</xdr:colOff>
      <xdr:row>6</xdr:row>
      <xdr:rowOff>190500</xdr:rowOff>
    </xdr:from>
    <xdr:to>
      <xdr:col>31</xdr:col>
      <xdr:colOff>396875</xdr:colOff>
      <xdr:row>8</xdr:row>
      <xdr:rowOff>127000</xdr:rowOff>
    </xdr:to>
    <xdr:cxnSp macro="">
      <xdr:nvCxnSpPr>
        <xdr:cNvPr id="20" name="Conector de Seta Reta 19"/>
        <xdr:cNvCxnSpPr/>
      </xdr:nvCxnSpPr>
      <xdr:spPr>
        <a:xfrm flipV="1">
          <a:off x="24133175" y="1619250"/>
          <a:ext cx="0" cy="3460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428625</xdr:colOff>
      <xdr:row>13</xdr:row>
      <xdr:rowOff>142875</xdr:rowOff>
    </xdr:from>
    <xdr:to>
      <xdr:col>31</xdr:col>
      <xdr:colOff>428625</xdr:colOff>
      <xdr:row>16</xdr:row>
      <xdr:rowOff>111125</xdr:rowOff>
    </xdr:to>
    <xdr:cxnSp macro="">
      <xdr:nvCxnSpPr>
        <xdr:cNvPr id="21" name="Conector de Seta Reta 20"/>
        <xdr:cNvCxnSpPr/>
      </xdr:nvCxnSpPr>
      <xdr:spPr>
        <a:xfrm>
          <a:off x="24164925" y="30289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508000</xdr:colOff>
      <xdr:row>38</xdr:row>
      <xdr:rowOff>127000</xdr:rowOff>
    </xdr:from>
    <xdr:to>
      <xdr:col>31</xdr:col>
      <xdr:colOff>508000</xdr:colOff>
      <xdr:row>40</xdr:row>
      <xdr:rowOff>63500</xdr:rowOff>
    </xdr:to>
    <xdr:cxnSp macro="">
      <xdr:nvCxnSpPr>
        <xdr:cNvPr id="22" name="Conector de Seta Reta 21"/>
        <xdr:cNvCxnSpPr/>
      </xdr:nvCxnSpPr>
      <xdr:spPr>
        <a:xfrm flipV="1">
          <a:off x="24244300" y="8537575"/>
          <a:ext cx="0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508000</xdr:colOff>
      <xdr:row>45</xdr:row>
      <xdr:rowOff>31750</xdr:rowOff>
    </xdr:from>
    <xdr:to>
      <xdr:col>31</xdr:col>
      <xdr:colOff>508000</xdr:colOff>
      <xdr:row>48</xdr:row>
      <xdr:rowOff>0</xdr:rowOff>
    </xdr:to>
    <xdr:cxnSp macro="">
      <xdr:nvCxnSpPr>
        <xdr:cNvPr id="23" name="Conector de Seta Reta 22"/>
        <xdr:cNvCxnSpPr/>
      </xdr:nvCxnSpPr>
      <xdr:spPr>
        <a:xfrm>
          <a:off x="24244300" y="990917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254000</xdr:colOff>
      <xdr:row>55</xdr:row>
      <xdr:rowOff>142875</xdr:rowOff>
    </xdr:from>
    <xdr:to>
      <xdr:col>49</xdr:col>
      <xdr:colOff>254000</xdr:colOff>
      <xdr:row>57</xdr:row>
      <xdr:rowOff>79375</xdr:rowOff>
    </xdr:to>
    <xdr:cxnSp macro="">
      <xdr:nvCxnSpPr>
        <xdr:cNvPr id="24" name="Conector de Seta Reta 23"/>
        <xdr:cNvCxnSpPr/>
      </xdr:nvCxnSpPr>
      <xdr:spPr>
        <a:xfrm flipV="1">
          <a:off x="35315525" y="12172950"/>
          <a:ext cx="0" cy="3556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62</xdr:row>
      <xdr:rowOff>63500</xdr:rowOff>
    </xdr:from>
    <xdr:to>
      <xdr:col>49</xdr:col>
      <xdr:colOff>285750</xdr:colOff>
      <xdr:row>65</xdr:row>
      <xdr:rowOff>31750</xdr:rowOff>
    </xdr:to>
    <xdr:cxnSp macro="">
      <xdr:nvCxnSpPr>
        <xdr:cNvPr id="25" name="Conector de Seta Reta 24"/>
        <xdr:cNvCxnSpPr/>
      </xdr:nvCxnSpPr>
      <xdr:spPr>
        <a:xfrm>
          <a:off x="35347275" y="1361757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26" name="Conector de Seta Reta 25"/>
        <xdr:cNvCxnSpPr/>
      </xdr:nvCxnSpPr>
      <xdr:spPr>
        <a:xfrm flipV="1">
          <a:off x="35331400" y="2273617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27" name="Conector de Seta Reta 26"/>
        <xdr:cNvCxnSpPr/>
      </xdr:nvCxnSpPr>
      <xdr:spPr>
        <a:xfrm>
          <a:off x="35347275" y="2410460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400800"/>
          <a:ext cx="3232150" cy="92075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318625" y="6397625"/>
          <a:ext cx="3567114" cy="108970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15 L/h, 400g</a:t>
          </a: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8" name="Conector de Seta Reta 7"/>
        <xdr:cNvCxnSpPr/>
      </xdr:nvCxnSpPr>
      <xdr:spPr>
        <a:xfrm>
          <a:off x="1435100" y="7305675"/>
          <a:ext cx="0" cy="9429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9" name="Conector de Seta Reta 8"/>
        <xdr:cNvCxnSpPr/>
      </xdr:nvCxnSpPr>
      <xdr:spPr>
        <a:xfrm flipV="1">
          <a:off x="11279187" y="5822156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10" name="Conector de Seta Reta 9"/>
        <xdr:cNvCxnSpPr/>
      </xdr:nvCxnSpPr>
      <xdr:spPr>
        <a:xfrm>
          <a:off x="11168063" y="7485063"/>
          <a:ext cx="0" cy="571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15" name="Retângulo 14"/>
        <xdr:cNvSpPr/>
      </xdr:nvSpPr>
      <xdr:spPr>
        <a:xfrm>
          <a:off x="18748376" y="6516687"/>
          <a:ext cx="2543176" cy="1050017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19" name="Retângulo 18"/>
        <xdr:cNvSpPr/>
      </xdr:nvSpPr>
      <xdr:spPr>
        <a:xfrm>
          <a:off x="34207450" y="2310447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23" name="Conector de Seta Reta 22"/>
        <xdr:cNvCxnSpPr/>
      </xdr:nvCxnSpPr>
      <xdr:spPr>
        <a:xfrm>
          <a:off x="20153313" y="7556500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26" name="Conector de Seta Reta 25"/>
        <xdr:cNvCxnSpPr/>
      </xdr:nvCxnSpPr>
      <xdr:spPr>
        <a:xfrm flipV="1">
          <a:off x="35379025" y="2273617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27" name="Conector de Seta Reta 26"/>
        <xdr:cNvCxnSpPr/>
      </xdr:nvCxnSpPr>
      <xdr:spPr>
        <a:xfrm>
          <a:off x="35394900" y="2410460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29" name="Conector de Seta Reta 28"/>
        <xdr:cNvCxnSpPr>
          <a:stCxn id="2" idx="3"/>
        </xdr:cNvCxnSpPr>
      </xdr:nvCxnSpPr>
      <xdr:spPr>
        <a:xfrm>
          <a:off x="3222625" y="6854032"/>
          <a:ext cx="5826125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30" name="Conector de Seta Reta 29"/>
        <xdr:cNvCxnSpPr/>
      </xdr:nvCxnSpPr>
      <xdr:spPr>
        <a:xfrm>
          <a:off x="12942093" y="7012781"/>
          <a:ext cx="5897562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31" name="Conector de Seta Reta 30"/>
        <xdr:cNvCxnSpPr/>
      </xdr:nvCxnSpPr>
      <xdr:spPr>
        <a:xfrm flipV="1">
          <a:off x="20097750" y="5905500"/>
          <a:ext cx="0" cy="6191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273843</xdr:colOff>
      <xdr:row>34</xdr:row>
      <xdr:rowOff>154781</xdr:rowOff>
    </xdr:from>
    <xdr:to>
      <xdr:col>7</xdr:col>
      <xdr:colOff>15875</xdr:colOff>
      <xdr:row>34</xdr:row>
      <xdr:rowOff>154781</xdr:rowOff>
    </xdr:to>
    <xdr:cxnSp macro="">
      <xdr:nvCxnSpPr>
        <xdr:cNvPr id="16" name="Conector de seta reta 27"/>
        <xdr:cNvCxnSpPr/>
      </xdr:nvCxnSpPr>
      <xdr:spPr>
        <a:xfrm>
          <a:off x="5679281" y="7727156"/>
          <a:ext cx="3492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385300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Decantação Estática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9429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286331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234738" y="7499350"/>
          <a:ext cx="0" cy="6143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88769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4426525" y="2295207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277138" y="7566025"/>
          <a:ext cx="0" cy="654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5598100" y="2258377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5613975" y="2395220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5888037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2949237" y="6953250"/>
          <a:ext cx="5899943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2215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50912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Decantação Estática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9429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41015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358563" y="7499350"/>
          <a:ext cx="0" cy="6143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000788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4550350" y="2295207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400963" y="7566025"/>
          <a:ext cx="0" cy="654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5721925" y="2258377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5737800" y="2395220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073062" y="6953250"/>
          <a:ext cx="5899943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345400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Decantação Estática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9429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61436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39131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4940875" y="2295207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791488" y="7566025"/>
          <a:ext cx="0" cy="6540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112450" y="2258377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128325" y="2395220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15711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73592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Decantação Estática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39131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494087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79148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11245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12832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15711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73592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Decantação Estática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39131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494087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79148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11245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12832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15711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73592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(100g, 50 L/h)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(100g, 30 L/h)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Estática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64,8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Estática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64,8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50g, 8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4000g,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8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Estática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Discos, 55 L/h, 3600 rpm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</a:t>
          </a:r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 </a:t>
          </a: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50g, 8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4000g, 8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50g, 8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4000g,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8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142875</xdr:rowOff>
    </xdr:from>
    <xdr:to>
      <xdr:col>3</xdr:col>
      <xdr:colOff>412750</xdr:colOff>
      <xdr:row>34</xdr:row>
      <xdr:rowOff>15875</xdr:rowOff>
    </xdr:to>
    <xdr:sp macro="" textlink="">
      <xdr:nvSpPr>
        <xdr:cNvPr id="2" name="Retângulo 1"/>
        <xdr:cNvSpPr/>
      </xdr:nvSpPr>
      <xdr:spPr>
        <a:xfrm>
          <a:off x="0" y="65913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29</xdr:row>
      <xdr:rowOff>158750</xdr:rowOff>
    </xdr:from>
    <xdr:to>
      <xdr:col>15</xdr:col>
      <xdr:colOff>598489</xdr:colOff>
      <xdr:row>34</xdr:row>
      <xdr:rowOff>176892</xdr:rowOff>
    </xdr:to>
    <xdr:sp macro="" textlink="">
      <xdr:nvSpPr>
        <xdr:cNvPr id="3" name="Retângulo 2"/>
        <xdr:cNvSpPr/>
      </xdr:nvSpPr>
      <xdr:spPr>
        <a:xfrm>
          <a:off x="9642475" y="66071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34</xdr:row>
      <xdr:rowOff>0</xdr:rowOff>
    </xdr:from>
    <xdr:to>
      <xdr:col>1</xdr:col>
      <xdr:colOff>682625</xdr:colOff>
      <xdr:row>38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5533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27</xdr:row>
      <xdr:rowOff>23812</xdr:rowOff>
    </xdr:from>
    <xdr:to>
      <xdr:col>13</xdr:col>
      <xdr:colOff>408781</xdr:colOff>
      <xdr:row>29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9959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34</xdr:row>
      <xdr:rowOff>174625</xdr:rowOff>
    </xdr:from>
    <xdr:to>
      <xdr:col>13</xdr:col>
      <xdr:colOff>357188</xdr:colOff>
      <xdr:row>37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7279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30</xdr:row>
      <xdr:rowOff>63499</xdr:rowOff>
    </xdr:from>
    <xdr:to>
      <xdr:col>27</xdr:col>
      <xdr:colOff>74614</xdr:colOff>
      <xdr:row>35</xdr:row>
      <xdr:rowOff>41954</xdr:rowOff>
    </xdr:to>
    <xdr:sp macro="" textlink="">
      <xdr:nvSpPr>
        <xdr:cNvPr id="7" name="Retângulo 6"/>
        <xdr:cNvSpPr/>
      </xdr:nvSpPr>
      <xdr:spPr>
        <a:xfrm>
          <a:off x="19524663" y="67214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107</xdr:row>
      <xdr:rowOff>158750</xdr:rowOff>
    </xdr:from>
    <xdr:to>
      <xdr:col>51</xdr:col>
      <xdr:colOff>146051</xdr:colOff>
      <xdr:row>112</xdr:row>
      <xdr:rowOff>113392</xdr:rowOff>
    </xdr:to>
    <xdr:sp macro="" textlink="">
      <xdr:nvSpPr>
        <xdr:cNvPr id="8" name="Retângulo 7"/>
        <xdr:cNvSpPr/>
      </xdr:nvSpPr>
      <xdr:spPr>
        <a:xfrm>
          <a:off x="35283775" y="231235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35</xdr:row>
      <xdr:rowOff>31750</xdr:rowOff>
    </xdr:from>
    <xdr:to>
      <xdr:col>25</xdr:col>
      <xdr:colOff>341313</xdr:colOff>
      <xdr:row>38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7946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106</xdr:row>
      <xdr:rowOff>0</xdr:rowOff>
    </xdr:from>
    <xdr:to>
      <xdr:col>49</xdr:col>
      <xdr:colOff>269875</xdr:colOff>
      <xdr:row>107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455350" y="227552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112</xdr:row>
      <xdr:rowOff>111125</xdr:rowOff>
    </xdr:from>
    <xdr:to>
      <xdr:col>49</xdr:col>
      <xdr:colOff>285750</xdr:colOff>
      <xdr:row>115</xdr:row>
      <xdr:rowOff>79375</xdr:rowOff>
    </xdr:to>
    <xdr:cxnSp macro="">
      <xdr:nvCxnSpPr>
        <xdr:cNvPr id="11" name="Conector de Seta Reta 10"/>
        <xdr:cNvCxnSpPr/>
      </xdr:nvCxnSpPr>
      <xdr:spPr>
        <a:xfrm>
          <a:off x="36471225" y="241236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31</xdr:row>
      <xdr:rowOff>186532</xdr:rowOff>
    </xdr:from>
    <xdr:to>
      <xdr:col>10</xdr:col>
      <xdr:colOff>642937</xdr:colOff>
      <xdr:row>32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71112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32</xdr:row>
      <xdr:rowOff>47625</xdr:rowOff>
    </xdr:from>
    <xdr:to>
      <xdr:col>24</xdr:col>
      <xdr:colOff>27780</xdr:colOff>
      <xdr:row>32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71818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27</xdr:row>
      <xdr:rowOff>119062</xdr:rowOff>
    </xdr:from>
    <xdr:to>
      <xdr:col>25</xdr:col>
      <xdr:colOff>285750</xdr:colOff>
      <xdr:row>30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60912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254000</xdr:colOff>
      <xdr:row>30</xdr:row>
      <xdr:rowOff>52917</xdr:rowOff>
    </xdr:from>
    <xdr:to>
      <xdr:col>36</xdr:col>
      <xdr:colOff>50801</xdr:colOff>
      <xdr:row>35</xdr:row>
      <xdr:rowOff>31372</xdr:rowOff>
    </xdr:to>
    <xdr:sp macro="" textlink="">
      <xdr:nvSpPr>
        <xdr:cNvPr id="15" name="Retângulo 14"/>
        <xdr:cNvSpPr/>
      </xdr:nvSpPr>
      <xdr:spPr>
        <a:xfrm>
          <a:off x="25561925" y="6710892"/>
          <a:ext cx="274955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Concentração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27</xdr:col>
      <xdr:colOff>105833</xdr:colOff>
      <xdr:row>32</xdr:row>
      <xdr:rowOff>74084</xdr:rowOff>
    </xdr:from>
    <xdr:to>
      <xdr:col>32</xdr:col>
      <xdr:colOff>148167</xdr:colOff>
      <xdr:row>32</xdr:row>
      <xdr:rowOff>95250</xdr:rowOff>
    </xdr:to>
    <xdr:cxnSp macro="">
      <xdr:nvCxnSpPr>
        <xdr:cNvPr id="16" name="Conector de Seta Reta 12"/>
        <xdr:cNvCxnSpPr/>
      </xdr:nvCxnSpPr>
      <xdr:spPr>
        <a:xfrm>
          <a:off x="22108583" y="7208309"/>
          <a:ext cx="3347509" cy="2116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52916</xdr:colOff>
      <xdr:row>32</xdr:row>
      <xdr:rowOff>63501</xdr:rowOff>
    </xdr:from>
    <xdr:to>
      <xdr:col>38</xdr:col>
      <xdr:colOff>42334</xdr:colOff>
      <xdr:row>32</xdr:row>
      <xdr:rowOff>74083</xdr:rowOff>
    </xdr:to>
    <xdr:cxnSp macro="">
      <xdr:nvCxnSpPr>
        <xdr:cNvPr id="17" name="Conector de Seta Reta 12"/>
        <xdr:cNvCxnSpPr/>
      </xdr:nvCxnSpPr>
      <xdr:spPr>
        <a:xfrm>
          <a:off x="28313591" y="7197726"/>
          <a:ext cx="1208618" cy="1058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603250</xdr:colOff>
      <xdr:row>35</xdr:row>
      <xdr:rowOff>42334</xdr:rowOff>
    </xdr:from>
    <xdr:to>
      <xdr:col>33</xdr:col>
      <xdr:colOff>603250</xdr:colOff>
      <xdr:row>38</xdr:row>
      <xdr:rowOff>10584</xdr:rowOff>
    </xdr:to>
    <xdr:cxnSp macro="">
      <xdr:nvCxnSpPr>
        <xdr:cNvPr id="18" name="Conector de Seta Reta 8"/>
        <xdr:cNvCxnSpPr/>
      </xdr:nvCxnSpPr>
      <xdr:spPr>
        <a:xfrm>
          <a:off x="26825575" y="7805209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142875</xdr:rowOff>
    </xdr:from>
    <xdr:to>
      <xdr:col>3</xdr:col>
      <xdr:colOff>412750</xdr:colOff>
      <xdr:row>33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28</xdr:row>
      <xdr:rowOff>158750</xdr:rowOff>
    </xdr:from>
    <xdr:to>
      <xdr:col>15</xdr:col>
      <xdr:colOff>598489</xdr:colOff>
      <xdr:row>33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33</xdr:row>
      <xdr:rowOff>0</xdr:rowOff>
    </xdr:from>
    <xdr:to>
      <xdr:col>1</xdr:col>
      <xdr:colOff>682625</xdr:colOff>
      <xdr:row>37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26</xdr:row>
      <xdr:rowOff>23812</xdr:rowOff>
    </xdr:from>
    <xdr:to>
      <xdr:col>13</xdr:col>
      <xdr:colOff>408781</xdr:colOff>
      <xdr:row>28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33</xdr:row>
      <xdr:rowOff>174625</xdr:rowOff>
    </xdr:from>
    <xdr:to>
      <xdr:col>13</xdr:col>
      <xdr:colOff>357188</xdr:colOff>
      <xdr:row>36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29</xdr:row>
      <xdr:rowOff>63499</xdr:rowOff>
    </xdr:from>
    <xdr:to>
      <xdr:col>27</xdr:col>
      <xdr:colOff>74614</xdr:colOff>
      <xdr:row>34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106</xdr:row>
      <xdr:rowOff>158750</xdr:rowOff>
    </xdr:from>
    <xdr:to>
      <xdr:col>51</xdr:col>
      <xdr:colOff>146051</xdr:colOff>
      <xdr:row>111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34</xdr:row>
      <xdr:rowOff>31750</xdr:rowOff>
    </xdr:from>
    <xdr:to>
      <xdr:col>25</xdr:col>
      <xdr:colOff>341313</xdr:colOff>
      <xdr:row>37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105</xdr:row>
      <xdr:rowOff>0</xdr:rowOff>
    </xdr:from>
    <xdr:to>
      <xdr:col>49</xdr:col>
      <xdr:colOff>269875</xdr:colOff>
      <xdr:row>106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111</xdr:row>
      <xdr:rowOff>111125</xdr:rowOff>
    </xdr:from>
    <xdr:to>
      <xdr:col>49</xdr:col>
      <xdr:colOff>285750</xdr:colOff>
      <xdr:row>114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30</xdr:row>
      <xdr:rowOff>186532</xdr:rowOff>
    </xdr:from>
    <xdr:to>
      <xdr:col>10</xdr:col>
      <xdr:colOff>642937</xdr:colOff>
      <xdr:row>31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31</xdr:row>
      <xdr:rowOff>47625</xdr:rowOff>
    </xdr:from>
    <xdr:to>
      <xdr:col>24</xdr:col>
      <xdr:colOff>27780</xdr:colOff>
      <xdr:row>31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26</xdr:row>
      <xdr:rowOff>119062</xdr:rowOff>
    </xdr:from>
    <xdr:to>
      <xdr:col>25</xdr:col>
      <xdr:colOff>285750</xdr:colOff>
      <xdr:row>29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142875</xdr:rowOff>
    </xdr:from>
    <xdr:to>
      <xdr:col>3</xdr:col>
      <xdr:colOff>412750</xdr:colOff>
      <xdr:row>34</xdr:row>
      <xdr:rowOff>15875</xdr:rowOff>
    </xdr:to>
    <xdr:sp macro="" textlink="">
      <xdr:nvSpPr>
        <xdr:cNvPr id="2" name="Retângulo 1"/>
        <xdr:cNvSpPr/>
      </xdr:nvSpPr>
      <xdr:spPr>
        <a:xfrm>
          <a:off x="0" y="63627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29</xdr:row>
      <xdr:rowOff>158750</xdr:rowOff>
    </xdr:from>
    <xdr:to>
      <xdr:col>15</xdr:col>
      <xdr:colOff>598489</xdr:colOff>
      <xdr:row>34</xdr:row>
      <xdr:rowOff>176892</xdr:rowOff>
    </xdr:to>
    <xdr:sp macro="" textlink="">
      <xdr:nvSpPr>
        <xdr:cNvPr id="3" name="Retângulo 2"/>
        <xdr:cNvSpPr/>
      </xdr:nvSpPr>
      <xdr:spPr>
        <a:xfrm>
          <a:off x="9642475" y="63785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34</xdr:row>
      <xdr:rowOff>0</xdr:rowOff>
    </xdr:from>
    <xdr:to>
      <xdr:col>1</xdr:col>
      <xdr:colOff>682625</xdr:colOff>
      <xdr:row>38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3247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27</xdr:row>
      <xdr:rowOff>23812</xdr:rowOff>
    </xdr:from>
    <xdr:to>
      <xdr:col>13</xdr:col>
      <xdr:colOff>408781</xdr:colOff>
      <xdr:row>29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7673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34</xdr:row>
      <xdr:rowOff>174625</xdr:rowOff>
    </xdr:from>
    <xdr:to>
      <xdr:col>13</xdr:col>
      <xdr:colOff>357188</xdr:colOff>
      <xdr:row>37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4993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30</xdr:row>
      <xdr:rowOff>63499</xdr:rowOff>
    </xdr:from>
    <xdr:to>
      <xdr:col>27</xdr:col>
      <xdr:colOff>74614</xdr:colOff>
      <xdr:row>35</xdr:row>
      <xdr:rowOff>41954</xdr:rowOff>
    </xdr:to>
    <xdr:sp macro="" textlink="">
      <xdr:nvSpPr>
        <xdr:cNvPr id="7" name="Retângulo 6"/>
        <xdr:cNvSpPr/>
      </xdr:nvSpPr>
      <xdr:spPr>
        <a:xfrm>
          <a:off x="19524663" y="64928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107</xdr:row>
      <xdr:rowOff>158750</xdr:rowOff>
    </xdr:from>
    <xdr:to>
      <xdr:col>51</xdr:col>
      <xdr:colOff>146051</xdr:colOff>
      <xdr:row>112</xdr:row>
      <xdr:rowOff>113392</xdr:rowOff>
    </xdr:to>
    <xdr:sp macro="" textlink="">
      <xdr:nvSpPr>
        <xdr:cNvPr id="8" name="Retângulo 7"/>
        <xdr:cNvSpPr/>
      </xdr:nvSpPr>
      <xdr:spPr>
        <a:xfrm>
          <a:off x="35074225" y="228949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35</xdr:row>
      <xdr:rowOff>31750</xdr:rowOff>
    </xdr:from>
    <xdr:to>
      <xdr:col>25</xdr:col>
      <xdr:colOff>341313</xdr:colOff>
      <xdr:row>38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5660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106</xdr:row>
      <xdr:rowOff>0</xdr:rowOff>
    </xdr:from>
    <xdr:to>
      <xdr:col>49</xdr:col>
      <xdr:colOff>269875</xdr:colOff>
      <xdr:row>107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245800" y="225266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112</xdr:row>
      <xdr:rowOff>111125</xdr:rowOff>
    </xdr:from>
    <xdr:to>
      <xdr:col>49</xdr:col>
      <xdr:colOff>285750</xdr:colOff>
      <xdr:row>115</xdr:row>
      <xdr:rowOff>79375</xdr:rowOff>
    </xdr:to>
    <xdr:cxnSp macro="">
      <xdr:nvCxnSpPr>
        <xdr:cNvPr id="11" name="Conector de Seta Reta 10"/>
        <xdr:cNvCxnSpPr/>
      </xdr:nvCxnSpPr>
      <xdr:spPr>
        <a:xfrm>
          <a:off x="36261675" y="238950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31</xdr:row>
      <xdr:rowOff>186532</xdr:rowOff>
    </xdr:from>
    <xdr:to>
      <xdr:col>10</xdr:col>
      <xdr:colOff>642937</xdr:colOff>
      <xdr:row>32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68826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32</xdr:row>
      <xdr:rowOff>47625</xdr:rowOff>
    </xdr:from>
    <xdr:to>
      <xdr:col>24</xdr:col>
      <xdr:colOff>27780</xdr:colOff>
      <xdr:row>32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69532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27</xdr:row>
      <xdr:rowOff>119062</xdr:rowOff>
    </xdr:from>
    <xdr:to>
      <xdr:col>25</xdr:col>
      <xdr:colOff>285750</xdr:colOff>
      <xdr:row>30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58626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142875</xdr:rowOff>
    </xdr:from>
    <xdr:to>
      <xdr:col>3</xdr:col>
      <xdr:colOff>412750</xdr:colOff>
      <xdr:row>34</xdr:row>
      <xdr:rowOff>15875</xdr:rowOff>
    </xdr:to>
    <xdr:sp macro="" textlink="">
      <xdr:nvSpPr>
        <xdr:cNvPr id="2" name="Retângulo 1"/>
        <xdr:cNvSpPr/>
      </xdr:nvSpPr>
      <xdr:spPr>
        <a:xfrm>
          <a:off x="0" y="6591300"/>
          <a:ext cx="3232150" cy="977900"/>
        </a:xfrm>
        <a:prstGeom prst="rect">
          <a:avLst/>
        </a:prstGeom>
        <a:solidFill>
          <a:srgbClr val="5AAF82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CONVERSÃO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11</xdr:col>
      <xdr:colOff>222250</xdr:colOff>
      <xdr:row>29</xdr:row>
      <xdr:rowOff>158750</xdr:rowOff>
    </xdr:from>
    <xdr:to>
      <xdr:col>15</xdr:col>
      <xdr:colOff>598489</xdr:colOff>
      <xdr:row>34</xdr:row>
      <xdr:rowOff>176892</xdr:rowOff>
    </xdr:to>
    <xdr:sp macro="" textlink="">
      <xdr:nvSpPr>
        <xdr:cNvPr id="3" name="Retângulo 2"/>
        <xdr:cNvSpPr/>
      </xdr:nvSpPr>
      <xdr:spPr>
        <a:xfrm>
          <a:off x="9642475" y="6607175"/>
          <a:ext cx="3567114" cy="112304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Decanter, 300g, 75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1</xdr:col>
      <xdr:colOff>682625</xdr:colOff>
      <xdr:row>34</xdr:row>
      <xdr:rowOff>0</xdr:rowOff>
    </xdr:from>
    <xdr:to>
      <xdr:col>1</xdr:col>
      <xdr:colOff>682625</xdr:colOff>
      <xdr:row>38</xdr:row>
      <xdr:rowOff>47625</xdr:rowOff>
    </xdr:to>
    <xdr:cxnSp macro="">
      <xdr:nvCxnSpPr>
        <xdr:cNvPr id="4" name="Conector de Seta Reta 3"/>
        <xdr:cNvCxnSpPr/>
      </xdr:nvCxnSpPr>
      <xdr:spPr>
        <a:xfrm>
          <a:off x="1435100" y="7553325"/>
          <a:ext cx="0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408781</xdr:colOff>
      <xdr:row>27</xdr:row>
      <xdr:rowOff>23812</xdr:rowOff>
    </xdr:from>
    <xdr:to>
      <xdr:col>13</xdr:col>
      <xdr:colOff>408781</xdr:colOff>
      <xdr:row>29</xdr:row>
      <xdr:rowOff>158750</xdr:rowOff>
    </xdr:to>
    <xdr:cxnSp macro="">
      <xdr:nvCxnSpPr>
        <xdr:cNvPr id="5" name="Conector de Seta Reta 4"/>
        <xdr:cNvCxnSpPr/>
      </xdr:nvCxnSpPr>
      <xdr:spPr>
        <a:xfrm flipV="1">
          <a:off x="11543506" y="5995987"/>
          <a:ext cx="0" cy="6111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357188</xdr:colOff>
      <xdr:row>34</xdr:row>
      <xdr:rowOff>174625</xdr:rowOff>
    </xdr:from>
    <xdr:to>
      <xdr:col>13</xdr:col>
      <xdr:colOff>357188</xdr:colOff>
      <xdr:row>37</xdr:row>
      <xdr:rowOff>103188</xdr:rowOff>
    </xdr:to>
    <xdr:cxnSp macro="">
      <xdr:nvCxnSpPr>
        <xdr:cNvPr id="6" name="Conector de Seta Reta 5"/>
        <xdr:cNvCxnSpPr/>
      </xdr:nvCxnSpPr>
      <xdr:spPr>
        <a:xfrm>
          <a:off x="11491913" y="7727950"/>
          <a:ext cx="0" cy="5572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55563</xdr:colOff>
      <xdr:row>30</xdr:row>
      <xdr:rowOff>63499</xdr:rowOff>
    </xdr:from>
    <xdr:to>
      <xdr:col>27</xdr:col>
      <xdr:colOff>74614</xdr:colOff>
      <xdr:row>35</xdr:row>
      <xdr:rowOff>41954</xdr:rowOff>
    </xdr:to>
    <xdr:sp macro="" textlink="">
      <xdr:nvSpPr>
        <xdr:cNvPr id="7" name="Retângulo 6"/>
        <xdr:cNvSpPr/>
      </xdr:nvSpPr>
      <xdr:spPr>
        <a:xfrm>
          <a:off x="19524663" y="6721474"/>
          <a:ext cx="2552701" cy="1083355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Discos, 3600rpm,</a:t>
          </a:r>
          <a:r>
            <a:rPr lang="pt-BR" sz="1800" b="1" baseline="0">
              <a:solidFill>
                <a:schemeClr val="bg1"/>
              </a:solidFill>
              <a:latin typeface="Trebuchet MS" panose="020B0603020202020204" pitchFamily="34" charset="0"/>
            </a:rPr>
            <a:t> 55 L/h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47</xdr:col>
      <xdr:colOff>317500</xdr:colOff>
      <xdr:row>107</xdr:row>
      <xdr:rowOff>158750</xdr:rowOff>
    </xdr:from>
    <xdr:to>
      <xdr:col>51</xdr:col>
      <xdr:colOff>146051</xdr:colOff>
      <xdr:row>112</xdr:row>
      <xdr:rowOff>113392</xdr:rowOff>
    </xdr:to>
    <xdr:sp macro="" textlink="">
      <xdr:nvSpPr>
        <xdr:cNvPr id="8" name="Retângulo 7"/>
        <xdr:cNvSpPr/>
      </xdr:nvSpPr>
      <xdr:spPr>
        <a:xfrm>
          <a:off x="35283775" y="23123525"/>
          <a:ext cx="2362201" cy="1002392"/>
        </a:xfrm>
        <a:prstGeom prst="rect">
          <a:avLst/>
        </a:prstGeom>
        <a:solidFill>
          <a:srgbClr val="00919B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latin typeface="Trebuchet MS" panose="020B0603020202020204" pitchFamily="34" charset="0"/>
            </a:rPr>
            <a:t>DISCOS</a:t>
          </a:r>
        </a:p>
        <a:p>
          <a:pPr algn="ctr"/>
          <a:r>
            <a:rPr lang="pt-BR" sz="1800">
              <a:solidFill>
                <a:schemeClr val="bg1"/>
              </a:solidFill>
              <a:latin typeface="Trebuchet MS" panose="020B0603020202020204" pitchFamily="34" charset="0"/>
            </a:rPr>
            <a:t>55</a:t>
          </a:r>
          <a:r>
            <a:rPr lang="pt-BR" sz="1800" baseline="0">
              <a:solidFill>
                <a:schemeClr val="bg1"/>
              </a:solidFill>
              <a:latin typeface="Trebuchet MS" panose="020B0603020202020204" pitchFamily="34" charset="0"/>
            </a:rPr>
            <a:t> L/h, 3600rpm</a:t>
          </a:r>
          <a:endParaRPr lang="pt-BR" sz="18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twoCellAnchor>
  <xdr:twoCellAnchor>
    <xdr:from>
      <xdr:col>25</xdr:col>
      <xdr:colOff>341313</xdr:colOff>
      <xdr:row>35</xdr:row>
      <xdr:rowOff>31750</xdr:rowOff>
    </xdr:from>
    <xdr:to>
      <xdr:col>25</xdr:col>
      <xdr:colOff>341313</xdr:colOff>
      <xdr:row>38</xdr:row>
      <xdr:rowOff>0</xdr:rowOff>
    </xdr:to>
    <xdr:cxnSp macro="">
      <xdr:nvCxnSpPr>
        <xdr:cNvPr id="9" name="Conector de Seta Reta 8"/>
        <xdr:cNvCxnSpPr/>
      </xdr:nvCxnSpPr>
      <xdr:spPr>
        <a:xfrm>
          <a:off x="20924838" y="7794625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269875</xdr:colOff>
      <xdr:row>106</xdr:row>
      <xdr:rowOff>0</xdr:rowOff>
    </xdr:from>
    <xdr:to>
      <xdr:col>49</xdr:col>
      <xdr:colOff>269875</xdr:colOff>
      <xdr:row>107</xdr:row>
      <xdr:rowOff>142875</xdr:rowOff>
    </xdr:to>
    <xdr:cxnSp macro="">
      <xdr:nvCxnSpPr>
        <xdr:cNvPr id="10" name="Conector de Seta Reta 9"/>
        <xdr:cNvCxnSpPr/>
      </xdr:nvCxnSpPr>
      <xdr:spPr>
        <a:xfrm flipV="1">
          <a:off x="36455350" y="22755225"/>
          <a:ext cx="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285750</xdr:colOff>
      <xdr:row>112</xdr:row>
      <xdr:rowOff>111125</xdr:rowOff>
    </xdr:from>
    <xdr:to>
      <xdr:col>49</xdr:col>
      <xdr:colOff>285750</xdr:colOff>
      <xdr:row>115</xdr:row>
      <xdr:rowOff>79375</xdr:rowOff>
    </xdr:to>
    <xdr:cxnSp macro="">
      <xdr:nvCxnSpPr>
        <xdr:cNvPr id="11" name="Conector de Seta Reta 10"/>
        <xdr:cNvCxnSpPr/>
      </xdr:nvCxnSpPr>
      <xdr:spPr>
        <a:xfrm>
          <a:off x="36471225" y="24123650"/>
          <a:ext cx="0" cy="5969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412750</xdr:colOff>
      <xdr:row>31</xdr:row>
      <xdr:rowOff>186532</xdr:rowOff>
    </xdr:from>
    <xdr:to>
      <xdr:col>10</xdr:col>
      <xdr:colOff>642937</xdr:colOff>
      <xdr:row>32</xdr:row>
      <xdr:rowOff>-1</xdr:rowOff>
    </xdr:to>
    <xdr:cxnSp macro="">
      <xdr:nvCxnSpPr>
        <xdr:cNvPr id="12" name="Conector de Seta Reta 11"/>
        <xdr:cNvCxnSpPr>
          <a:stCxn id="2" idx="3"/>
        </xdr:cNvCxnSpPr>
      </xdr:nvCxnSpPr>
      <xdr:spPr>
        <a:xfrm>
          <a:off x="3232150" y="7111207"/>
          <a:ext cx="6011862" cy="2301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595312</xdr:colOff>
      <xdr:row>32</xdr:row>
      <xdr:rowOff>47625</xdr:rowOff>
    </xdr:from>
    <xdr:to>
      <xdr:col>24</xdr:col>
      <xdr:colOff>27780</xdr:colOff>
      <xdr:row>32</xdr:row>
      <xdr:rowOff>75405</xdr:rowOff>
    </xdr:to>
    <xdr:cxnSp macro="">
      <xdr:nvCxnSpPr>
        <xdr:cNvPr id="13" name="Conector de Seta Reta 12"/>
        <xdr:cNvCxnSpPr/>
      </xdr:nvCxnSpPr>
      <xdr:spPr>
        <a:xfrm>
          <a:off x="13206412" y="7181850"/>
          <a:ext cx="6290468" cy="2778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285750</xdr:colOff>
      <xdr:row>27</xdr:row>
      <xdr:rowOff>119062</xdr:rowOff>
    </xdr:from>
    <xdr:to>
      <xdr:col>25</xdr:col>
      <xdr:colOff>285750</xdr:colOff>
      <xdr:row>30</xdr:row>
      <xdr:rowOff>71438</xdr:rowOff>
    </xdr:to>
    <xdr:cxnSp macro="">
      <xdr:nvCxnSpPr>
        <xdr:cNvPr id="14" name="Conector de Seta Reta 13"/>
        <xdr:cNvCxnSpPr/>
      </xdr:nvCxnSpPr>
      <xdr:spPr>
        <a:xfrm flipV="1">
          <a:off x="20869275" y="6091237"/>
          <a:ext cx="0" cy="6381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&#231;o%20Global%20Ressuspens&#227;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10607Pa"/>
      <sheetName val="20210616Pa_a01"/>
      <sheetName val="20210616Pa_a02"/>
      <sheetName val="20210616Pa_a03"/>
      <sheetName val="20210616Pa_a04"/>
      <sheetName val="20210616Pa_a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3">
          <cell r="T63">
            <v>1.03029E-2</v>
          </cell>
        </row>
        <row r="64">
          <cell r="T64">
            <v>0.11184960200000001</v>
          </cell>
        </row>
        <row r="65">
          <cell r="T65">
            <v>8.8406054980000004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81"/>
  <sheetViews>
    <sheetView showGridLines="0" topLeftCell="A46" zoomScale="70" zoomScaleNormal="70" workbookViewId="0">
      <selection activeCell="H47" sqref="H47"/>
    </sheetView>
  </sheetViews>
  <sheetFormatPr defaultRowHeight="16.5"/>
  <cols>
    <col min="1" max="1" width="9.140625" style="15"/>
    <col min="2" max="2" width="14.140625" style="15" bestFit="1" customWidth="1"/>
    <col min="3" max="3" width="15.7109375" style="15" bestFit="1" customWidth="1"/>
    <col min="4" max="4" width="11.42578125" style="15" customWidth="1"/>
    <col min="5" max="5" width="13.85546875" style="15" customWidth="1"/>
    <col min="6" max="6" width="10.140625" style="15" customWidth="1"/>
    <col min="7" max="7" width="9.140625" style="15"/>
    <col min="8" max="8" width="11.28515625" style="15" customWidth="1"/>
    <col min="9" max="9" width="13" style="15" customWidth="1"/>
    <col min="10" max="10" width="10.5703125" style="15" customWidth="1"/>
    <col min="11" max="11" width="8.28515625" style="15" customWidth="1"/>
    <col min="12" max="12" width="16.85546875" style="15" bestFit="1" customWidth="1"/>
    <col min="13" max="13" width="7" style="15" customWidth="1"/>
    <col min="14" max="14" width="8" style="15" customWidth="1"/>
    <col min="15" max="15" width="15.85546875" style="15" customWidth="1"/>
    <col min="16" max="20" width="9.140625" style="15"/>
    <col min="21" max="21" width="9.140625" style="15" customWidth="1"/>
    <col min="22" max="22" width="11.85546875" style="15" bestFit="1" customWidth="1"/>
    <col min="23" max="23" width="9.85546875" style="15" customWidth="1"/>
    <col min="24" max="24" width="15.5703125" style="15" customWidth="1"/>
    <col min="25" max="25" width="10.85546875" style="15" customWidth="1"/>
    <col min="26" max="26" width="15.85546875" style="15" bestFit="1" customWidth="1"/>
    <col min="27" max="16384" width="9.140625" style="15"/>
  </cols>
  <sheetData>
    <row r="1" spans="8:27">
      <c r="U1" s="373" t="s">
        <v>130</v>
      </c>
      <c r="V1" s="373"/>
      <c r="W1" s="373"/>
      <c r="X1" s="373"/>
    </row>
    <row r="2" spans="8:27">
      <c r="T2" s="201"/>
      <c r="U2" s="201"/>
      <c r="V2" s="201"/>
      <c r="W2" s="201"/>
      <c r="X2" s="201"/>
      <c r="Y2" s="201"/>
      <c r="Z2" s="201"/>
      <c r="AA2" s="201"/>
    </row>
    <row r="3" spans="8:27">
      <c r="T3" s="201"/>
      <c r="U3" s="36" t="s">
        <v>3</v>
      </c>
      <c r="V3" s="34">
        <v>0.56000000000000005</v>
      </c>
      <c r="W3" s="15" t="s">
        <v>18</v>
      </c>
      <c r="X3" s="36" t="s">
        <v>49</v>
      </c>
      <c r="Y3" s="73">
        <v>13.02</v>
      </c>
      <c r="Z3" s="201" t="s">
        <v>18</v>
      </c>
      <c r="AA3" s="201"/>
    </row>
    <row r="4" spans="8:27">
      <c r="T4" s="201"/>
      <c r="U4" s="36" t="s">
        <v>4</v>
      </c>
      <c r="V4" s="34">
        <v>0.51</v>
      </c>
      <c r="W4" s="15" t="s">
        <v>18</v>
      </c>
      <c r="X4" s="36" t="s">
        <v>27</v>
      </c>
      <c r="Y4" s="34">
        <f>0.102074/100</f>
        <v>1.02074E-3</v>
      </c>
      <c r="Z4" s="201" t="s">
        <v>33</v>
      </c>
      <c r="AA4" s="201"/>
    </row>
    <row r="5" spans="8:27">
      <c r="T5" s="201"/>
      <c r="U5" s="103" t="s">
        <v>17</v>
      </c>
      <c r="V5" s="34">
        <f>SUM(V3:V4)</f>
        <v>1.07</v>
      </c>
      <c r="W5" s="15" t="s">
        <v>18</v>
      </c>
      <c r="X5" s="67" t="s">
        <v>30</v>
      </c>
      <c r="Y5" s="37">
        <f>Y4*Y3</f>
        <v>1.3290034799999999E-2</v>
      </c>
      <c r="Z5" s="201" t="s">
        <v>18</v>
      </c>
      <c r="AA5" s="201"/>
    </row>
    <row r="6" spans="8:27">
      <c r="T6" s="201"/>
      <c r="U6" s="67" t="s">
        <v>30</v>
      </c>
      <c r="V6" s="37">
        <f>Y4*V5</f>
        <v>1.0921918E-3</v>
      </c>
      <c r="W6" s="15" t="s">
        <v>18</v>
      </c>
      <c r="Z6" s="201"/>
      <c r="AA6" s="201"/>
    </row>
    <row r="8" spans="8:27">
      <c r="W8" s="374" t="s">
        <v>22</v>
      </c>
      <c r="X8" s="375"/>
      <c r="Y8" s="376"/>
    </row>
    <row r="11" spans="8:27" ht="18">
      <c r="L11" s="377" t="s">
        <v>131</v>
      </c>
      <c r="M11" s="377"/>
      <c r="N11" s="377"/>
      <c r="P11" s="22"/>
      <c r="S11" s="203">
        <f>SUM(V20,Y22,W6)</f>
        <v>0</v>
      </c>
      <c r="Z11" s="23"/>
    </row>
    <row r="12" spans="8:27">
      <c r="I12" s="378"/>
      <c r="J12" s="378"/>
      <c r="K12" s="201"/>
      <c r="L12" s="379"/>
      <c r="M12" s="379"/>
      <c r="N12" s="379"/>
      <c r="O12" s="201"/>
    </row>
    <row r="13" spans="8:27">
      <c r="H13" s="201"/>
      <c r="I13" s="201"/>
      <c r="J13" s="201"/>
      <c r="K13" s="36" t="s">
        <v>3</v>
      </c>
      <c r="L13" s="34">
        <v>0.61</v>
      </c>
      <c r="M13" s="15" t="s">
        <v>18</v>
      </c>
      <c r="N13" s="36" t="s">
        <v>49</v>
      </c>
      <c r="O13" s="73"/>
      <c r="P13" s="201" t="s">
        <v>18</v>
      </c>
    </row>
    <row r="14" spans="8:27">
      <c r="H14" s="201"/>
      <c r="I14" s="201"/>
      <c r="J14" s="201"/>
      <c r="K14" s="36" t="s">
        <v>4</v>
      </c>
      <c r="L14" s="34">
        <v>0.64</v>
      </c>
      <c r="M14" s="15" t="s">
        <v>18</v>
      </c>
      <c r="N14" s="36" t="s">
        <v>27</v>
      </c>
      <c r="O14" s="34"/>
      <c r="P14" s="201" t="s">
        <v>33</v>
      </c>
    </row>
    <row r="15" spans="8:27">
      <c r="H15" s="201"/>
      <c r="I15" s="201"/>
      <c r="J15" s="201"/>
      <c r="K15" s="103" t="s">
        <v>17</v>
      </c>
      <c r="L15" s="34">
        <f>SUM(L13:L14)</f>
        <v>1.25</v>
      </c>
      <c r="M15" s="15" t="s">
        <v>18</v>
      </c>
      <c r="N15" s="67" t="s">
        <v>30</v>
      </c>
      <c r="O15" s="37">
        <f>O14*O13</f>
        <v>0</v>
      </c>
      <c r="P15" s="201" t="s">
        <v>18</v>
      </c>
      <c r="W15" s="19"/>
      <c r="X15" s="380" t="s">
        <v>23</v>
      </c>
      <c r="Y15" s="380"/>
      <c r="Z15" s="42"/>
    </row>
    <row r="16" spans="8:27">
      <c r="H16" s="201"/>
      <c r="I16" s="201"/>
      <c r="J16" s="201"/>
      <c r="K16" s="67" t="s">
        <v>30</v>
      </c>
      <c r="L16" s="37">
        <f>O14*L15</f>
        <v>0</v>
      </c>
      <c r="M16" s="15" t="s">
        <v>18</v>
      </c>
      <c r="P16" s="201"/>
    </row>
    <row r="17" spans="1:31">
      <c r="T17" s="214" t="s">
        <v>132</v>
      </c>
      <c r="U17" s="214"/>
      <c r="V17" s="214"/>
      <c r="W17" s="201"/>
    </row>
    <row r="18" spans="1:31">
      <c r="M18" s="19"/>
      <c r="N18" s="380" t="s">
        <v>21</v>
      </c>
      <c r="O18" s="380"/>
      <c r="P18" s="380"/>
      <c r="T18" s="379"/>
      <c r="U18" s="379"/>
      <c r="V18" s="201"/>
      <c r="W18" s="201"/>
      <c r="X18" s="379"/>
      <c r="Y18" s="379"/>
      <c r="Z18" s="201"/>
      <c r="AA18" s="201"/>
      <c r="AB18" s="201"/>
      <c r="AC18" s="201"/>
    </row>
    <row r="19" spans="1:31">
      <c r="T19" s="36" t="s">
        <v>3</v>
      </c>
      <c r="U19" s="34">
        <v>7.0000000000000007E-2</v>
      </c>
      <c r="V19" s="15" t="s">
        <v>18</v>
      </c>
      <c r="W19" s="36" t="s">
        <v>49</v>
      </c>
      <c r="X19" s="73">
        <v>0.12</v>
      </c>
      <c r="Y19" s="201" t="s">
        <v>18</v>
      </c>
      <c r="Z19" s="201"/>
      <c r="AA19" s="201"/>
      <c r="AB19" s="201"/>
      <c r="AC19" s="201"/>
    </row>
    <row r="20" spans="1:31">
      <c r="T20" s="36" t="s">
        <v>4</v>
      </c>
      <c r="U20" s="34">
        <v>0.05</v>
      </c>
      <c r="V20" s="15" t="s">
        <v>18</v>
      </c>
      <c r="W20" s="36" t="s">
        <v>27</v>
      </c>
      <c r="X20" s="34">
        <f>17.686468/100</f>
        <v>0.17686468000000002</v>
      </c>
      <c r="Y20" s="201" t="s">
        <v>33</v>
      </c>
      <c r="Z20" s="201"/>
      <c r="AA20" s="201"/>
      <c r="AB20" s="201"/>
      <c r="AC20" s="201"/>
    </row>
    <row r="21" spans="1:31" ht="21">
      <c r="J21" s="204">
        <f>SUM(N16,Q21,P32,M31)</f>
        <v>0</v>
      </c>
      <c r="Q21" s="203">
        <f>SUM(S11,S31)</f>
        <v>0</v>
      </c>
      <c r="T21" s="103" t="s">
        <v>17</v>
      </c>
      <c r="U21" s="34">
        <f>SUM(U19:U20)</f>
        <v>0.12000000000000001</v>
      </c>
      <c r="V21" s="15" t="s">
        <v>18</v>
      </c>
      <c r="W21" s="67" t="s">
        <v>30</v>
      </c>
      <c r="X21" s="37">
        <f>X20*X19</f>
        <v>2.1223761600000002E-2</v>
      </c>
      <c r="Y21" s="201" t="s">
        <v>18</v>
      </c>
      <c r="Z21" s="201"/>
      <c r="AA21" s="201"/>
      <c r="AB21" s="201"/>
      <c r="AC21" s="201"/>
    </row>
    <row r="22" spans="1:31">
      <c r="A22" s="1" t="s">
        <v>10</v>
      </c>
      <c r="B22" s="2" t="s">
        <v>11</v>
      </c>
      <c r="C22" s="2" t="s">
        <v>12</v>
      </c>
      <c r="D22" s="3" t="s">
        <v>13</v>
      </c>
      <c r="T22" s="67" t="s">
        <v>30</v>
      </c>
      <c r="U22" s="37">
        <f>X20*U21</f>
        <v>2.1223761600000005E-2</v>
      </c>
      <c r="V22" s="15" t="s">
        <v>18</v>
      </c>
      <c r="Y22" s="201"/>
      <c r="Z22" s="201"/>
      <c r="AA22" s="201"/>
      <c r="AB22" s="201"/>
      <c r="AC22" s="201"/>
    </row>
    <row r="23" spans="1:31">
      <c r="A23" s="4" t="s">
        <v>14</v>
      </c>
      <c r="B23" s="5">
        <v>93.12</v>
      </c>
      <c r="C23" s="6">
        <f>B23/D23</f>
        <v>93.325315694527958</v>
      </c>
      <c r="D23" s="7">
        <v>0.99780000000000002</v>
      </c>
      <c r="F23" s="15">
        <f>B25/C26*1000</f>
        <v>52.404223286865765</v>
      </c>
      <c r="Y23" s="23"/>
      <c r="Z23" s="381"/>
      <c r="AA23" s="381"/>
    </row>
    <row r="24" spans="1:31">
      <c r="A24" s="4" t="s">
        <v>15</v>
      </c>
      <c r="B24" s="8">
        <v>0.10008</v>
      </c>
      <c r="C24" s="9">
        <f>B24/D24</f>
        <v>9.3532710280373826E-2</v>
      </c>
      <c r="D24" s="10">
        <v>1.07</v>
      </c>
    </row>
    <row r="25" spans="1:31">
      <c r="A25" s="4" t="s">
        <v>16</v>
      </c>
      <c r="B25" s="11">
        <v>5.0149999999999997</v>
      </c>
      <c r="C25" s="9">
        <f>B25/D25</f>
        <v>2.2795454545454543</v>
      </c>
      <c r="D25" s="7">
        <v>2.2000000000000002</v>
      </c>
      <c r="M25" s="19"/>
      <c r="U25" s="380" t="s">
        <v>22</v>
      </c>
      <c r="V25" s="380"/>
      <c r="W25" s="380"/>
      <c r="X25" s="380"/>
      <c r="Y25" s="201"/>
      <c r="Z25" s="373" t="s">
        <v>133</v>
      </c>
      <c r="AA25" s="373"/>
      <c r="AB25" s="373"/>
      <c r="AC25" s="201"/>
      <c r="AD25" s="201"/>
      <c r="AE25" s="201"/>
    </row>
    <row r="26" spans="1:31">
      <c r="A26" s="12" t="s">
        <v>17</v>
      </c>
      <c r="B26" s="13">
        <f>SUM(B23:B25)</f>
        <v>98.235080000000011</v>
      </c>
      <c r="C26" s="13">
        <f>SUM(C23:C25)</f>
        <v>95.698393859353786</v>
      </c>
      <c r="D26" s="14">
        <f>B26/C26</f>
        <v>1.0265070921082997</v>
      </c>
      <c r="O26" s="380" t="s">
        <v>20</v>
      </c>
      <c r="P26" s="380"/>
      <c r="Y26" s="379"/>
      <c r="Z26" s="379"/>
      <c r="AA26" s="201"/>
      <c r="AB26" s="201"/>
      <c r="AC26" s="201"/>
      <c r="AD26" s="201"/>
      <c r="AE26" s="201"/>
    </row>
    <row r="27" spans="1:31">
      <c r="K27" s="379"/>
      <c r="L27" s="379"/>
      <c r="M27" s="379"/>
      <c r="N27" s="201"/>
      <c r="W27" s="19"/>
      <c r="Y27" s="379"/>
      <c r="Z27" s="379"/>
      <c r="AA27" s="201"/>
      <c r="AB27" s="201"/>
      <c r="AC27" s="201"/>
      <c r="AD27" s="201"/>
      <c r="AE27" s="201"/>
    </row>
    <row r="28" spans="1:31">
      <c r="K28" s="201"/>
      <c r="L28" s="377" t="s">
        <v>129</v>
      </c>
      <c r="M28" s="377"/>
      <c r="N28" s="201"/>
      <c r="O28" s="379"/>
      <c r="P28" s="379"/>
      <c r="Q28" s="201"/>
      <c r="Y28" s="36" t="s">
        <v>3</v>
      </c>
      <c r="Z28" s="34">
        <v>0.57999999999999996</v>
      </c>
      <c r="AA28" s="15" t="s">
        <v>18</v>
      </c>
      <c r="AB28" s="36" t="s">
        <v>49</v>
      </c>
      <c r="AC28" s="73">
        <v>16.98</v>
      </c>
      <c r="AD28" s="201" t="s">
        <v>18</v>
      </c>
      <c r="AE28" s="201"/>
    </row>
    <row r="29" spans="1:31">
      <c r="K29" s="201"/>
      <c r="L29" s="379"/>
      <c r="M29" s="379"/>
      <c r="N29" s="379"/>
      <c r="O29" s="201"/>
      <c r="Q29" s="201"/>
      <c r="Y29" s="36" t="s">
        <v>4</v>
      </c>
      <c r="Z29" s="34">
        <v>0.57999999999999996</v>
      </c>
      <c r="AA29" s="15" t="s">
        <v>18</v>
      </c>
      <c r="AB29" s="36" t="s">
        <v>27</v>
      </c>
      <c r="AC29" s="34">
        <f>0.048182/100</f>
        <v>4.8182000000000005E-4</v>
      </c>
      <c r="AD29" s="201" t="s">
        <v>33</v>
      </c>
      <c r="AE29" s="201"/>
    </row>
    <row r="30" spans="1:31" ht="18">
      <c r="A30" s="23"/>
      <c r="F30" s="50">
        <f>B26-(C39+G38)</f>
        <v>94.08308000000001</v>
      </c>
      <c r="I30" s="205">
        <f>SUM(J61,J21)</f>
        <v>7.7522279999999995E-4</v>
      </c>
      <c r="K30" s="36" t="s">
        <v>3</v>
      </c>
      <c r="L30" s="34">
        <v>0.18</v>
      </c>
      <c r="M30" s="15" t="s">
        <v>18</v>
      </c>
      <c r="N30" s="36" t="s">
        <v>49</v>
      </c>
      <c r="O30" s="73">
        <v>5.2</v>
      </c>
      <c r="P30" s="201" t="s">
        <v>18</v>
      </c>
      <c r="Q30" s="201"/>
      <c r="Y30" s="103" t="s">
        <v>17</v>
      </c>
      <c r="Z30" s="34">
        <f>SUM(Z28:Z29)</f>
        <v>1.1599999999999999</v>
      </c>
      <c r="AA30" s="15" t="s">
        <v>18</v>
      </c>
      <c r="AB30" s="67" t="s">
        <v>30</v>
      </c>
      <c r="AC30" s="37">
        <f>AC29*AC28</f>
        <v>8.1813036000000002E-3</v>
      </c>
      <c r="AD30" s="201" t="s">
        <v>18</v>
      </c>
      <c r="AE30" s="201"/>
    </row>
    <row r="31" spans="1:31" ht="18">
      <c r="A31" s="23"/>
      <c r="I31" s="165"/>
      <c r="K31" s="36" t="s">
        <v>4</v>
      </c>
      <c r="L31" s="34">
        <v>0.18</v>
      </c>
      <c r="M31" s="15" t="s">
        <v>18</v>
      </c>
      <c r="N31" s="36" t="s">
        <v>27</v>
      </c>
      <c r="O31" s="34">
        <f>41.016561/100</f>
        <v>0.41016561000000001</v>
      </c>
      <c r="P31" s="201" t="s">
        <v>33</v>
      </c>
      <c r="Q31" s="201"/>
      <c r="S31" s="203">
        <f>SUM(AA29,V39,Y41)</f>
        <v>0</v>
      </c>
      <c r="Y31" s="67" t="s">
        <v>30</v>
      </c>
      <c r="Z31" s="37">
        <f>AC29*Z30</f>
        <v>5.589112E-4</v>
      </c>
      <c r="AA31" s="15" t="s">
        <v>18</v>
      </c>
      <c r="AD31" s="201"/>
    </row>
    <row r="32" spans="1:31">
      <c r="K32" s="103" t="s">
        <v>17</v>
      </c>
      <c r="L32" s="34">
        <f>SUM(L30:L31)</f>
        <v>0.36</v>
      </c>
      <c r="M32" s="15" t="s">
        <v>18</v>
      </c>
      <c r="N32" s="67" t="s">
        <v>30</v>
      </c>
      <c r="O32" s="37">
        <f>O31*O30</f>
        <v>2.1328611720000001</v>
      </c>
      <c r="P32" s="201" t="s">
        <v>18</v>
      </c>
      <c r="Q32" s="201"/>
      <c r="AA32" s="22"/>
    </row>
    <row r="33" spans="1:29">
      <c r="K33" s="67" t="s">
        <v>30</v>
      </c>
      <c r="L33" s="37">
        <f>O31*L32</f>
        <v>0.14765961959999999</v>
      </c>
      <c r="M33" s="15" t="s">
        <v>18</v>
      </c>
      <c r="P33" s="201"/>
      <c r="Q33" s="201"/>
    </row>
    <row r="34" spans="1:29">
      <c r="K34" s="201"/>
      <c r="L34" s="201"/>
      <c r="M34" s="201"/>
      <c r="N34" s="201"/>
      <c r="O34" s="201"/>
      <c r="W34" s="19"/>
      <c r="X34" s="380" t="s">
        <v>23</v>
      </c>
      <c r="Y34" s="380"/>
    </row>
    <row r="35" spans="1:29">
      <c r="K35" s="201"/>
      <c r="L35" s="201"/>
      <c r="M35" s="201"/>
      <c r="N35" s="201"/>
      <c r="O35" s="201"/>
      <c r="S35" s="201"/>
      <c r="T35" s="201"/>
      <c r="U35" s="201"/>
      <c r="V35" s="201"/>
      <c r="W35" s="201"/>
    </row>
    <row r="36" spans="1:29">
      <c r="K36" s="201"/>
      <c r="L36" s="201"/>
      <c r="M36" s="201"/>
      <c r="N36" s="201"/>
      <c r="O36" s="201"/>
      <c r="S36" s="201"/>
      <c r="T36" s="379"/>
      <c r="U36" s="379"/>
      <c r="V36" s="379"/>
      <c r="W36" s="201"/>
      <c r="X36" s="214" t="s">
        <v>134</v>
      </c>
      <c r="Y36" s="214"/>
      <c r="Z36" s="214"/>
    </row>
    <row r="37" spans="1:29">
      <c r="B37" s="206" t="s">
        <v>6</v>
      </c>
      <c r="C37" s="33">
        <v>0.74199999999999999</v>
      </c>
      <c r="D37" s="15" t="s">
        <v>18</v>
      </c>
      <c r="E37" s="382" t="s">
        <v>0</v>
      </c>
      <c r="F37" s="382"/>
      <c r="G37" s="382"/>
      <c r="H37" s="17"/>
      <c r="I37" s="17"/>
      <c r="K37" s="201"/>
      <c r="L37" s="201"/>
      <c r="M37" s="201"/>
      <c r="N37" s="201"/>
      <c r="O37" s="201"/>
      <c r="S37" s="201"/>
      <c r="T37" s="379"/>
      <c r="U37" s="379"/>
      <c r="V37" s="201"/>
      <c r="W37" s="201"/>
      <c r="X37" s="201"/>
      <c r="Y37" s="201"/>
      <c r="Z37" s="201"/>
      <c r="AA37" s="201"/>
      <c r="AB37" s="201"/>
      <c r="AC37" s="201"/>
    </row>
    <row r="38" spans="1:29">
      <c r="B38" s="207" t="s">
        <v>5</v>
      </c>
      <c r="C38" s="33">
        <v>0.72</v>
      </c>
      <c r="D38" s="15" t="s">
        <v>18</v>
      </c>
      <c r="E38" s="383" t="s">
        <v>1</v>
      </c>
      <c r="F38" s="384"/>
      <c r="G38" s="33">
        <v>2.69</v>
      </c>
      <c r="H38" s="24" t="s">
        <v>18</v>
      </c>
      <c r="I38" s="24"/>
      <c r="S38" s="201"/>
      <c r="T38" s="379"/>
      <c r="U38" s="379"/>
      <c r="V38" s="36" t="s">
        <v>3</v>
      </c>
      <c r="W38" s="34">
        <v>7.0000000000000007E-2</v>
      </c>
      <c r="X38" s="15" t="s">
        <v>18</v>
      </c>
      <c r="Y38" s="36" t="s">
        <v>49</v>
      </c>
      <c r="Z38" s="73">
        <v>0.21</v>
      </c>
      <c r="AA38" s="201" t="s">
        <v>18</v>
      </c>
      <c r="AB38" s="201"/>
      <c r="AC38" s="201"/>
    </row>
    <row r="39" spans="1:29">
      <c r="B39" s="208"/>
      <c r="C39" s="28">
        <f>SUM(C37:C38)</f>
        <v>1.462</v>
      </c>
      <c r="D39" s="23" t="s">
        <v>18</v>
      </c>
      <c r="S39" s="201"/>
      <c r="T39" s="201"/>
      <c r="U39" s="201"/>
      <c r="V39" s="36" t="s">
        <v>4</v>
      </c>
      <c r="W39" s="34">
        <v>0.05</v>
      </c>
      <c r="X39" s="15" t="s">
        <v>18</v>
      </c>
      <c r="Y39" s="36" t="s">
        <v>27</v>
      </c>
      <c r="Z39" s="34">
        <f>30.325594/100</f>
        <v>0.30325594</v>
      </c>
      <c r="AA39" s="201" t="s">
        <v>33</v>
      </c>
      <c r="AB39" s="201"/>
      <c r="AC39" s="201"/>
    </row>
    <row r="40" spans="1:29">
      <c r="B40" s="26"/>
      <c r="S40" s="201"/>
      <c r="T40" s="201"/>
      <c r="U40" s="201"/>
      <c r="V40" s="103" t="s">
        <v>17</v>
      </c>
      <c r="W40" s="34">
        <f>SUM(W38:W39)</f>
        <v>0.12000000000000001</v>
      </c>
      <c r="X40" s="15" t="s">
        <v>18</v>
      </c>
      <c r="Y40" s="67" t="s">
        <v>30</v>
      </c>
      <c r="Z40" s="37">
        <f>Z39*Z38</f>
        <v>6.3683747400000004E-2</v>
      </c>
      <c r="AA40" s="201" t="s">
        <v>18</v>
      </c>
      <c r="AB40" s="201"/>
      <c r="AC40" s="201"/>
    </row>
    <row r="41" spans="1:29">
      <c r="L41" s="201"/>
      <c r="M41" s="379"/>
      <c r="N41" s="379"/>
      <c r="O41" s="379"/>
      <c r="P41" s="201"/>
      <c r="V41" s="67" t="s">
        <v>30</v>
      </c>
      <c r="W41" s="37">
        <f>Z39*W40</f>
        <v>3.6390712800000002E-2</v>
      </c>
      <c r="X41" s="15" t="s">
        <v>18</v>
      </c>
      <c r="AA41" s="201"/>
      <c r="AB41" s="201"/>
      <c r="AC41" s="201"/>
    </row>
    <row r="42" spans="1:29">
      <c r="B42" s="15" t="s">
        <v>66</v>
      </c>
      <c r="C42" s="15">
        <f>G38/D26</f>
        <v>2.6205371796069348</v>
      </c>
      <c r="D42" s="201" t="s">
        <v>62</v>
      </c>
      <c r="W42" s="16"/>
    </row>
    <row r="43" spans="1:29">
      <c r="B43" s="15" t="s">
        <v>65</v>
      </c>
      <c r="C43" s="15">
        <f>C39/D26</f>
        <v>1.4242473444555164</v>
      </c>
      <c r="D43" s="15" t="s">
        <v>62</v>
      </c>
      <c r="G43" s="31"/>
      <c r="H43" s="31"/>
      <c r="W43" s="373" t="s">
        <v>135</v>
      </c>
      <c r="X43" s="373"/>
      <c r="Y43" s="373"/>
      <c r="Z43" s="373"/>
    </row>
    <row r="44" spans="1:29">
      <c r="B44" s="15" t="s">
        <v>67</v>
      </c>
      <c r="C44" s="15">
        <f>F23*(C42+C43)/1000</f>
        <v>0.21196379134622775</v>
      </c>
      <c r="D44" s="15" t="s">
        <v>18</v>
      </c>
      <c r="T44" s="380" t="s">
        <v>22</v>
      </c>
      <c r="U44" s="380"/>
      <c r="V44" s="380"/>
      <c r="W44" s="380"/>
      <c r="X44" s="379"/>
      <c r="Y44" s="379"/>
      <c r="Z44" s="201"/>
      <c r="AA44" s="201"/>
      <c r="AB44" s="201"/>
      <c r="AC44" s="201"/>
    </row>
    <row r="45" spans="1:29">
      <c r="A45" s="201"/>
      <c r="B45" s="15" t="s">
        <v>64</v>
      </c>
      <c r="C45" s="74">
        <f>B25-C44</f>
        <v>4.8030362086537721</v>
      </c>
      <c r="D45" s="15" t="s">
        <v>18</v>
      </c>
      <c r="E45" s="201"/>
      <c r="F45" s="201"/>
      <c r="G45" s="32"/>
      <c r="H45" s="32"/>
      <c r="W45" s="24"/>
      <c r="X45" s="36" t="s">
        <v>3</v>
      </c>
      <c r="Y45" s="34">
        <v>0.4</v>
      </c>
      <c r="Z45" s="15" t="s">
        <v>18</v>
      </c>
      <c r="AA45" s="36" t="s">
        <v>49</v>
      </c>
      <c r="AB45" s="73">
        <v>11.86</v>
      </c>
      <c r="AC45" s="201" t="s">
        <v>18</v>
      </c>
    </row>
    <row r="46" spans="1:29">
      <c r="A46" s="201"/>
      <c r="B46" s="379"/>
      <c r="C46" s="379"/>
      <c r="D46" s="201"/>
      <c r="E46" s="201"/>
      <c r="F46" s="201"/>
      <c r="L46" s="201"/>
      <c r="M46" s="201"/>
      <c r="N46" s="201"/>
      <c r="O46" s="201"/>
      <c r="P46" s="201"/>
      <c r="V46" s="19"/>
      <c r="W46" s="24"/>
      <c r="X46" s="36" t="s">
        <v>4</v>
      </c>
      <c r="Y46" s="34">
        <v>0.36</v>
      </c>
      <c r="Z46" s="15" t="s">
        <v>18</v>
      </c>
      <c r="AA46" s="36" t="s">
        <v>27</v>
      </c>
      <c r="AB46" s="34">
        <f>0.102003/100</f>
        <v>1.0200299999999999E-3</v>
      </c>
      <c r="AC46" s="201" t="s">
        <v>33</v>
      </c>
    </row>
    <row r="47" spans="1:29">
      <c r="A47" s="201"/>
      <c r="B47" s="201"/>
      <c r="C47" s="201"/>
      <c r="D47" s="201"/>
      <c r="E47" s="201"/>
      <c r="F47" s="201"/>
      <c r="M47" s="373" t="s">
        <v>136</v>
      </c>
      <c r="N47" s="373"/>
      <c r="O47" s="373"/>
      <c r="X47" s="103" t="s">
        <v>17</v>
      </c>
      <c r="Y47" s="34">
        <f>SUM(Y45:Y46)</f>
        <v>0.76</v>
      </c>
      <c r="Z47" s="15" t="s">
        <v>18</v>
      </c>
      <c r="AA47" s="67" t="s">
        <v>30</v>
      </c>
      <c r="AB47" s="37">
        <f>AB46*AB45</f>
        <v>1.2097555799999998E-2</v>
      </c>
      <c r="AC47" s="201" t="s">
        <v>18</v>
      </c>
    </row>
    <row r="48" spans="1:29" ht="18.75">
      <c r="A48" s="201"/>
      <c r="B48" s="201"/>
      <c r="C48" s="201"/>
      <c r="D48" s="201"/>
      <c r="E48" s="201"/>
      <c r="F48" s="201"/>
      <c r="S48" s="209">
        <f>SUM(Y48,V57,Y58)</f>
        <v>7.7522279999999995E-4</v>
      </c>
      <c r="X48" s="67" t="s">
        <v>30</v>
      </c>
      <c r="Y48" s="37">
        <f>AB46*Y47</f>
        <v>7.7522279999999995E-4</v>
      </c>
      <c r="Z48" s="15" t="s">
        <v>18</v>
      </c>
      <c r="AC48" s="201"/>
    </row>
    <row r="49" spans="2:31">
      <c r="B49" s="15" t="s">
        <v>27</v>
      </c>
      <c r="D49" s="15" t="s">
        <v>40</v>
      </c>
      <c r="F49" s="15" t="s">
        <v>98</v>
      </c>
      <c r="G49" s="74">
        <f>C45</f>
        <v>4.8030362086537721</v>
      </c>
      <c r="H49" s="15" t="s">
        <v>18</v>
      </c>
      <c r="I49" s="379"/>
      <c r="J49" s="379"/>
      <c r="K49" s="201"/>
      <c r="L49" s="36" t="s">
        <v>3</v>
      </c>
      <c r="M49" s="34">
        <v>1.03</v>
      </c>
      <c r="N49" s="15" t="s">
        <v>18</v>
      </c>
      <c r="O49" s="36" t="s">
        <v>49</v>
      </c>
      <c r="P49" s="73"/>
      <c r="Q49" s="201" t="s">
        <v>18</v>
      </c>
    </row>
    <row r="50" spans="2:31">
      <c r="B50" s="15" t="s">
        <v>34</v>
      </c>
      <c r="C50" s="15">
        <f>Y5+V6+AC30+Z31+AB47+AE67+AB68</f>
        <v>4.7689997200000001E-2</v>
      </c>
      <c r="D50" s="76">
        <f>C50/G49</f>
        <v>9.9291354735314141E-3</v>
      </c>
      <c r="I50" s="201"/>
      <c r="J50" s="201"/>
      <c r="K50" s="201"/>
      <c r="L50" s="36" t="s">
        <v>4</v>
      </c>
      <c r="M50" s="34">
        <v>0.96</v>
      </c>
      <c r="N50" s="15" t="s">
        <v>18</v>
      </c>
      <c r="O50" s="36" t="s">
        <v>27</v>
      </c>
      <c r="P50" s="34"/>
      <c r="Q50" s="201" t="s">
        <v>33</v>
      </c>
    </row>
    <row r="51" spans="2:31">
      <c r="B51" s="15" t="s">
        <v>35</v>
      </c>
      <c r="C51" s="15">
        <f>X21+U22+Z40+W41+Z58+Z79+W80</f>
        <v>0.28634498850000001</v>
      </c>
      <c r="D51" s="76">
        <f>C51/G49</f>
        <v>5.9617495280190433E-2</v>
      </c>
      <c r="I51" s="201"/>
      <c r="J51" s="201"/>
      <c r="K51" s="201"/>
      <c r="L51" s="103" t="s">
        <v>17</v>
      </c>
      <c r="M51" s="34">
        <f>SUM(M49:M50)</f>
        <v>1.99</v>
      </c>
      <c r="N51" s="15" t="s">
        <v>18</v>
      </c>
      <c r="O51" s="67" t="s">
        <v>30</v>
      </c>
      <c r="P51" s="37">
        <f>P50*P49</f>
        <v>0</v>
      </c>
      <c r="Q51" s="201" t="s">
        <v>18</v>
      </c>
    </row>
    <row r="52" spans="2:31">
      <c r="B52" s="15" t="s">
        <v>36</v>
      </c>
      <c r="C52" s="201">
        <f>L33+O32+L70+O69</f>
        <v>4.1469668010999996</v>
      </c>
      <c r="D52" s="202">
        <f>C52/G49</f>
        <v>0.86340527552723567</v>
      </c>
      <c r="E52" s="201"/>
      <c r="F52" s="201"/>
      <c r="I52" s="201"/>
      <c r="J52" s="201"/>
      <c r="K52" s="201"/>
      <c r="L52" s="67" t="s">
        <v>30</v>
      </c>
      <c r="M52" s="37">
        <f>P50*M51</f>
        <v>0</v>
      </c>
      <c r="N52" s="15" t="s">
        <v>18</v>
      </c>
      <c r="Q52" s="201"/>
      <c r="W52" s="19"/>
      <c r="X52" s="380" t="s">
        <v>23</v>
      </c>
      <c r="Y52" s="380"/>
    </row>
    <row r="53" spans="2:31">
      <c r="B53" s="15" t="s">
        <v>17</v>
      </c>
      <c r="C53" s="201">
        <f>SUM(C50:C52)</f>
        <v>4.4810017867999994</v>
      </c>
      <c r="D53" s="202">
        <f>SUM(D50:D52)</f>
        <v>0.93295190628095748</v>
      </c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X53" s="386" t="s">
        <v>137</v>
      </c>
      <c r="Y53" s="386"/>
      <c r="Z53" s="386"/>
    </row>
    <row r="54" spans="2:31">
      <c r="B54" s="15" t="s">
        <v>37</v>
      </c>
      <c r="C54" s="145">
        <f>G49-C53</f>
        <v>0.32203442185377273</v>
      </c>
      <c r="D54" s="202">
        <f>C54/G49</f>
        <v>6.7048093719042509E-2</v>
      </c>
      <c r="E54" s="201"/>
      <c r="F54" s="201"/>
      <c r="G54" s="201"/>
      <c r="H54" s="201"/>
      <c r="T54" s="379"/>
      <c r="U54" s="379"/>
      <c r="V54" s="379"/>
      <c r="W54" s="201"/>
      <c r="X54" s="379"/>
      <c r="Y54" s="379"/>
      <c r="Z54" s="201"/>
      <c r="AA54" s="201"/>
      <c r="AB54" s="201"/>
      <c r="AC54" s="201"/>
    </row>
    <row r="55" spans="2:31">
      <c r="J55" s="210"/>
      <c r="O55" s="380" t="s">
        <v>21</v>
      </c>
      <c r="P55" s="380"/>
      <c r="Q55" s="380"/>
      <c r="T55" s="379"/>
      <c r="U55" s="379"/>
      <c r="V55" s="201"/>
      <c r="W55" s="201"/>
      <c r="X55" s="201"/>
      <c r="Y55" s="201"/>
      <c r="Z55" s="201"/>
      <c r="AA55" s="201"/>
      <c r="AB55" s="201"/>
      <c r="AC55" s="201"/>
    </row>
    <row r="56" spans="2:31">
      <c r="T56" s="379"/>
      <c r="U56" s="379"/>
      <c r="V56" s="36" t="s">
        <v>3</v>
      </c>
      <c r="W56" s="34"/>
      <c r="X56" s="15" t="s">
        <v>18</v>
      </c>
      <c r="Y56" s="36" t="s">
        <v>49</v>
      </c>
      <c r="Z56" s="73">
        <v>0.04</v>
      </c>
      <c r="AA56" s="201" t="s">
        <v>18</v>
      </c>
      <c r="AB56" s="201"/>
      <c r="AC56" s="201"/>
    </row>
    <row r="57" spans="2:31">
      <c r="T57" s="201"/>
      <c r="U57" s="201"/>
      <c r="V57" s="36" t="s">
        <v>4</v>
      </c>
      <c r="W57" s="34"/>
      <c r="X57" s="15" t="s">
        <v>18</v>
      </c>
      <c r="Y57" s="36" t="s">
        <v>27</v>
      </c>
      <c r="Z57" s="34">
        <f>67.944613/100</f>
        <v>0.67944613000000009</v>
      </c>
      <c r="AA57" s="201" t="s">
        <v>33</v>
      </c>
      <c r="AB57" s="201"/>
      <c r="AC57" s="201"/>
    </row>
    <row r="58" spans="2:31" ht="18">
      <c r="Q58" s="211">
        <f>SUM(S48,S68)</f>
        <v>7.7522279999999995E-4</v>
      </c>
      <c r="T58" s="201"/>
      <c r="U58" s="201"/>
      <c r="V58" s="103" t="s">
        <v>17</v>
      </c>
      <c r="W58" s="34"/>
      <c r="X58" s="15" t="s">
        <v>18</v>
      </c>
      <c r="Y58" s="67" t="s">
        <v>30</v>
      </c>
      <c r="Z58" s="37">
        <f>Z57*Z56</f>
        <v>2.7177845200000005E-2</v>
      </c>
      <c r="AA58" s="201" t="s">
        <v>18</v>
      </c>
      <c r="AB58" s="201"/>
      <c r="AC58" s="201"/>
    </row>
    <row r="59" spans="2:31">
      <c r="V59" s="67" t="s">
        <v>30</v>
      </c>
      <c r="W59" s="37">
        <f>Z57*W58</f>
        <v>0</v>
      </c>
      <c r="X59" s="15" t="s">
        <v>18</v>
      </c>
      <c r="AA59" s="201"/>
    </row>
    <row r="60" spans="2:31">
      <c r="X60" s="23"/>
    </row>
    <row r="61" spans="2:31" ht="18">
      <c r="J61" s="212">
        <f>SUM(M68,P70,O53,Q58)</f>
        <v>7.7522279999999995E-4</v>
      </c>
    </row>
    <row r="62" spans="2:31">
      <c r="M62" s="19"/>
      <c r="Y62" s="16"/>
      <c r="Z62" s="379"/>
      <c r="AA62" s="379"/>
      <c r="AB62" s="201"/>
      <c r="AC62" s="201"/>
      <c r="AD62" s="201"/>
      <c r="AE62" s="201"/>
    </row>
    <row r="63" spans="2:31">
      <c r="N63" s="380" t="s">
        <v>20</v>
      </c>
      <c r="O63" s="380"/>
      <c r="U63" s="380" t="s">
        <v>22</v>
      </c>
      <c r="V63" s="380"/>
      <c r="W63" s="380"/>
      <c r="X63" s="380"/>
      <c r="Z63" s="385" t="s">
        <v>138</v>
      </c>
      <c r="AA63" s="385"/>
      <c r="AB63" s="385"/>
      <c r="AC63" s="201"/>
      <c r="AD63" s="201"/>
      <c r="AE63" s="201"/>
    </row>
    <row r="64" spans="2:31">
      <c r="K64" s="388"/>
      <c r="L64" s="388"/>
      <c r="M64" s="388"/>
      <c r="Z64" s="201"/>
      <c r="AA64" s="201"/>
      <c r="AB64" s="201"/>
      <c r="AC64" s="201"/>
      <c r="AD64" s="201"/>
      <c r="AE64" s="201"/>
    </row>
    <row r="65" spans="10:32">
      <c r="J65" s="201"/>
      <c r="K65" s="201"/>
      <c r="L65" s="373" t="s">
        <v>128</v>
      </c>
      <c r="M65" s="373"/>
      <c r="N65" s="201"/>
      <c r="Y65" s="24"/>
      <c r="Z65" s="201"/>
      <c r="AA65" s="36" t="s">
        <v>3</v>
      </c>
      <c r="AB65" s="34">
        <v>0.54</v>
      </c>
      <c r="AC65" s="15" t="s">
        <v>18</v>
      </c>
      <c r="AD65" s="36" t="s">
        <v>49</v>
      </c>
      <c r="AE65" s="73">
        <v>28.01</v>
      </c>
      <c r="AF65" s="201" t="s">
        <v>18</v>
      </c>
    </row>
    <row r="66" spans="10:32">
      <c r="J66" s="201"/>
      <c r="K66" s="201"/>
      <c r="L66" s="201"/>
      <c r="M66" s="201"/>
      <c r="N66" s="201"/>
      <c r="O66" s="379"/>
      <c r="P66" s="379"/>
      <c r="Y66" s="24"/>
      <c r="Z66" s="201"/>
      <c r="AA66" s="36" t="s">
        <v>4</v>
      </c>
      <c r="AB66" s="34">
        <v>0.45</v>
      </c>
      <c r="AC66" s="15" t="s">
        <v>18</v>
      </c>
      <c r="AD66" s="36" t="s">
        <v>27</v>
      </c>
      <c r="AE66" s="34">
        <f>0.043/100</f>
        <v>4.2999999999999999E-4</v>
      </c>
      <c r="AF66" s="201" t="s">
        <v>33</v>
      </c>
    </row>
    <row r="67" spans="10:32">
      <c r="J67" s="201"/>
      <c r="K67" s="36" t="s">
        <v>3</v>
      </c>
      <c r="L67" s="34">
        <v>0.13</v>
      </c>
      <c r="M67" s="15" t="s">
        <v>18</v>
      </c>
      <c r="N67" s="36" t="s">
        <v>49</v>
      </c>
      <c r="O67" s="73">
        <v>3.79</v>
      </c>
      <c r="P67" s="201" t="s">
        <v>18</v>
      </c>
      <c r="Q67" s="201"/>
      <c r="Z67" s="201"/>
      <c r="AA67" s="103" t="s">
        <v>17</v>
      </c>
      <c r="AB67" s="34">
        <f>SUM(AB65:AB66)</f>
        <v>0.99</v>
      </c>
      <c r="AC67" s="15" t="s">
        <v>18</v>
      </c>
      <c r="AD67" s="67" t="s">
        <v>30</v>
      </c>
      <c r="AE67" s="37">
        <f>AE66*AE65</f>
        <v>1.2044300000000001E-2</v>
      </c>
      <c r="AF67" s="201" t="s">
        <v>18</v>
      </c>
    </row>
    <row r="68" spans="10:32" ht="18.75">
      <c r="J68" s="201"/>
      <c r="K68" s="36" t="s">
        <v>4</v>
      </c>
      <c r="L68" s="34">
        <v>0.45</v>
      </c>
      <c r="M68" s="15" t="s">
        <v>18</v>
      </c>
      <c r="N68" s="36" t="s">
        <v>27</v>
      </c>
      <c r="O68" s="34">
        <f>42.710435/100</f>
        <v>0.42710434999999997</v>
      </c>
      <c r="P68" s="201" t="s">
        <v>33</v>
      </c>
      <c r="Q68" s="201"/>
      <c r="S68" s="209">
        <f>SUM(AA66,Y79,V76)</f>
        <v>0</v>
      </c>
      <c r="Y68" s="27"/>
      <c r="Z68" s="213"/>
      <c r="AA68" s="67" t="s">
        <v>30</v>
      </c>
      <c r="AB68" s="37">
        <f>AE66*AB67</f>
        <v>4.2569999999999999E-4</v>
      </c>
      <c r="AC68" s="15" t="s">
        <v>18</v>
      </c>
      <c r="AF68" s="201"/>
    </row>
    <row r="69" spans="10:32">
      <c r="J69" s="201"/>
      <c r="K69" s="103" t="s">
        <v>17</v>
      </c>
      <c r="L69" s="34">
        <f>SUM(L67:L68)</f>
        <v>0.58000000000000007</v>
      </c>
      <c r="M69" s="15" t="s">
        <v>18</v>
      </c>
      <c r="N69" s="67" t="s">
        <v>30</v>
      </c>
      <c r="O69" s="37">
        <f>O68*O67</f>
        <v>1.6187254864999998</v>
      </c>
      <c r="P69" s="201" t="s">
        <v>18</v>
      </c>
      <c r="Q69" s="201"/>
    </row>
    <row r="70" spans="10:32">
      <c r="J70" s="201"/>
      <c r="K70" s="67" t="s">
        <v>30</v>
      </c>
      <c r="L70" s="37">
        <f>O68*L69</f>
        <v>0.247720523</v>
      </c>
      <c r="M70" s="15" t="s">
        <v>18</v>
      </c>
      <c r="P70" s="201"/>
      <c r="Q70" s="201"/>
    </row>
    <row r="71" spans="10:32">
      <c r="J71" s="201"/>
      <c r="K71" s="201"/>
      <c r="L71" s="201"/>
      <c r="M71" s="201"/>
      <c r="N71" s="201"/>
      <c r="O71" s="201"/>
      <c r="P71" s="201"/>
      <c r="Q71" s="201"/>
      <c r="V71" s="19"/>
      <c r="X71" s="380" t="s">
        <v>23</v>
      </c>
      <c r="Y71" s="380"/>
    </row>
    <row r="72" spans="10:32">
      <c r="J72" s="201"/>
      <c r="K72" s="201"/>
      <c r="L72" s="201"/>
      <c r="M72" s="201"/>
      <c r="N72" s="201"/>
      <c r="S72" s="201"/>
      <c r="T72" s="201"/>
      <c r="U72" s="201"/>
      <c r="V72" s="201"/>
    </row>
    <row r="73" spans="10:32">
      <c r="J73" s="201"/>
      <c r="K73" s="201"/>
      <c r="L73" s="201"/>
      <c r="M73" s="201"/>
      <c r="N73" s="201"/>
      <c r="S73" s="201"/>
      <c r="T73" s="379"/>
      <c r="U73" s="379"/>
      <c r="V73" s="379"/>
      <c r="W73" s="16"/>
    </row>
    <row r="74" spans="10:32">
      <c r="J74" s="201"/>
      <c r="K74" s="201"/>
      <c r="L74" s="201"/>
      <c r="M74" s="201"/>
      <c r="N74" s="201"/>
      <c r="S74" s="201"/>
      <c r="T74" s="379"/>
      <c r="U74" s="379"/>
      <c r="V74" s="201"/>
      <c r="X74" s="214" t="s">
        <v>139</v>
      </c>
      <c r="Y74" s="214"/>
      <c r="Z74" s="214"/>
    </row>
    <row r="75" spans="10:32">
      <c r="J75" s="201"/>
      <c r="K75" s="201"/>
      <c r="L75" s="201"/>
      <c r="M75" s="201"/>
      <c r="N75" s="201"/>
      <c r="S75" s="201"/>
      <c r="T75" s="379"/>
      <c r="U75" s="379"/>
      <c r="V75" s="201"/>
      <c r="X75" s="379"/>
      <c r="Y75" s="379"/>
      <c r="Z75" s="201"/>
      <c r="AA75" s="201"/>
      <c r="AB75" s="201"/>
      <c r="AC75" s="201"/>
    </row>
    <row r="76" spans="10:32">
      <c r="J76" s="201"/>
      <c r="K76" s="201"/>
      <c r="L76" s="201"/>
      <c r="M76" s="201"/>
      <c r="N76" s="201"/>
      <c r="S76" s="201"/>
      <c r="T76" s="201"/>
      <c r="U76" s="201"/>
      <c r="V76" s="201"/>
      <c r="W76" s="23"/>
      <c r="X76" s="201"/>
      <c r="Y76" s="201"/>
      <c r="Z76" s="201"/>
      <c r="AA76" s="201"/>
      <c r="AB76" s="201"/>
      <c r="AC76" s="201"/>
    </row>
    <row r="77" spans="10:32">
      <c r="N77" s="24"/>
      <c r="O77" s="24"/>
      <c r="P77" s="24"/>
      <c r="Q77" s="24"/>
      <c r="R77" s="24"/>
      <c r="V77" s="36" t="s">
        <v>3</v>
      </c>
      <c r="W77" s="34">
        <v>0.11</v>
      </c>
      <c r="X77" s="15" t="s">
        <v>18</v>
      </c>
      <c r="Y77" s="36" t="s">
        <v>49</v>
      </c>
      <c r="Z77" s="73">
        <v>0.18</v>
      </c>
      <c r="AA77" s="201" t="s">
        <v>18</v>
      </c>
      <c r="AB77" s="201"/>
      <c r="AC77" s="201"/>
    </row>
    <row r="78" spans="10:32">
      <c r="N78" s="24"/>
      <c r="O78" s="387"/>
      <c r="P78" s="387"/>
      <c r="Q78" s="24"/>
      <c r="R78" s="24"/>
      <c r="V78" s="36" t="s">
        <v>4</v>
      </c>
      <c r="W78" s="34">
        <v>0.12</v>
      </c>
      <c r="X78" s="15" t="s">
        <v>18</v>
      </c>
      <c r="Y78" s="36" t="s">
        <v>27</v>
      </c>
      <c r="Z78" s="34">
        <f>28.450039/100</f>
        <v>0.28450038999999999</v>
      </c>
      <c r="AA78" s="201" t="s">
        <v>33</v>
      </c>
      <c r="AB78" s="201"/>
      <c r="AC78" s="201"/>
    </row>
    <row r="79" spans="10:32">
      <c r="N79" s="24"/>
      <c r="O79" s="387"/>
      <c r="P79" s="387"/>
      <c r="Q79" s="24"/>
      <c r="R79" s="24"/>
      <c r="V79" s="103" t="s">
        <v>17</v>
      </c>
      <c r="W79" s="34">
        <f>SUM(W77:W78)</f>
        <v>0.22999999999999998</v>
      </c>
      <c r="X79" s="15" t="s">
        <v>18</v>
      </c>
      <c r="Y79" s="67" t="s">
        <v>30</v>
      </c>
      <c r="Z79" s="37">
        <f>Z78*Z77</f>
        <v>5.1210070199999999E-2</v>
      </c>
      <c r="AA79" s="201" t="s">
        <v>18</v>
      </c>
      <c r="AB79" s="201"/>
      <c r="AC79" s="201"/>
    </row>
    <row r="80" spans="10:32">
      <c r="N80" s="24"/>
      <c r="O80" s="24"/>
      <c r="P80" s="24"/>
      <c r="Q80" s="24"/>
      <c r="R80" s="24"/>
      <c r="V80" s="67" t="s">
        <v>30</v>
      </c>
      <c r="W80" s="37">
        <f>Z78*W79</f>
        <v>6.543508969999999E-2</v>
      </c>
      <c r="X80" s="15" t="s">
        <v>18</v>
      </c>
      <c r="AA80" s="201"/>
      <c r="AB80" s="201"/>
      <c r="AC80" s="201"/>
    </row>
    <row r="81" spans="14:18">
      <c r="N81" s="24"/>
      <c r="O81" s="24"/>
      <c r="P81" s="24"/>
      <c r="Q81" s="24"/>
      <c r="R81" s="24"/>
    </row>
  </sheetData>
  <mergeCells count="53">
    <mergeCell ref="O78:P78"/>
    <mergeCell ref="O79:P79"/>
    <mergeCell ref="L29:N29"/>
    <mergeCell ref="M41:O41"/>
    <mergeCell ref="L65:M65"/>
    <mergeCell ref="O66:P66"/>
    <mergeCell ref="K64:M64"/>
    <mergeCell ref="O55:Q55"/>
    <mergeCell ref="M47:O47"/>
    <mergeCell ref="X71:Y71"/>
    <mergeCell ref="T73:V73"/>
    <mergeCell ref="T74:U74"/>
    <mergeCell ref="T75:U75"/>
    <mergeCell ref="X75:Y75"/>
    <mergeCell ref="I49:J49"/>
    <mergeCell ref="T55:U55"/>
    <mergeCell ref="T56:U56"/>
    <mergeCell ref="Z63:AB63"/>
    <mergeCell ref="N63:O63"/>
    <mergeCell ref="Z62:AA62"/>
    <mergeCell ref="U63:X63"/>
    <mergeCell ref="X52:Y52"/>
    <mergeCell ref="X53:Z53"/>
    <mergeCell ref="T54:V54"/>
    <mergeCell ref="X54:Y54"/>
    <mergeCell ref="E37:G37"/>
    <mergeCell ref="T37:U37"/>
    <mergeCell ref="E38:F38"/>
    <mergeCell ref="T38:U38"/>
    <mergeCell ref="B46:C46"/>
    <mergeCell ref="W43:Z43"/>
    <mergeCell ref="T44:W44"/>
    <mergeCell ref="X44:Y44"/>
    <mergeCell ref="L28:M28"/>
    <mergeCell ref="Y27:Z27"/>
    <mergeCell ref="O28:P28"/>
    <mergeCell ref="X34:Y34"/>
    <mergeCell ref="T36:V36"/>
    <mergeCell ref="Z23:AA23"/>
    <mergeCell ref="Z25:AB25"/>
    <mergeCell ref="O26:P26"/>
    <mergeCell ref="U25:X25"/>
    <mergeCell ref="Y26:Z26"/>
    <mergeCell ref="X15:Y15"/>
    <mergeCell ref="N18:P18"/>
    <mergeCell ref="T18:U18"/>
    <mergeCell ref="X18:Y18"/>
    <mergeCell ref="K27:M27"/>
    <mergeCell ref="U1:X1"/>
    <mergeCell ref="W8:Y8"/>
    <mergeCell ref="L11:N11"/>
    <mergeCell ref="I12:J12"/>
    <mergeCell ref="L12:N1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56"/>
  <sheetViews>
    <sheetView showGridLines="0" topLeftCell="A28" zoomScale="80" zoomScaleNormal="80" workbookViewId="0">
      <selection activeCell="R22" sqref="R22"/>
    </sheetView>
  </sheetViews>
  <sheetFormatPr defaultRowHeight="16.5"/>
  <cols>
    <col min="1" max="1" width="11.42578125" style="15" customWidth="1"/>
    <col min="2" max="2" width="14.140625" style="15" bestFit="1" customWidth="1"/>
    <col min="3" max="3" width="13.7109375" style="15" bestFit="1" customWidth="1"/>
    <col min="4" max="4" width="13.28515625" style="15" bestFit="1" customWidth="1"/>
    <col min="5" max="8" width="9.140625" style="15"/>
    <col min="9" max="9" width="12.7109375" style="15" customWidth="1"/>
    <col min="10" max="10" width="13.5703125" style="15" customWidth="1"/>
    <col min="11" max="11" width="10.28515625" style="15" customWidth="1"/>
    <col min="12" max="12" width="9.140625" style="15"/>
    <col min="13" max="13" width="15.140625" style="15" customWidth="1"/>
    <col min="14" max="14" width="13" style="15" customWidth="1"/>
    <col min="15" max="15" width="9.140625" style="15"/>
    <col min="16" max="17" width="12" style="15" customWidth="1"/>
    <col min="18" max="18" width="14.5703125" style="15" customWidth="1"/>
    <col min="19" max="19" width="9.140625" style="15"/>
    <col min="20" max="20" width="10.85546875" style="15" customWidth="1"/>
    <col min="21" max="23" width="9.140625" style="15"/>
    <col min="24" max="24" width="9.85546875" style="15" bestFit="1" customWidth="1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1" width="9.140625" style="15"/>
    <col min="32" max="32" width="9.85546875" style="15" bestFit="1" customWidth="1"/>
    <col min="33" max="33" width="13.7109375" style="15" bestFit="1" customWidth="1"/>
    <col min="34" max="16384" width="9.140625" style="15"/>
  </cols>
  <sheetData>
    <row r="1" spans="15:28">
      <c r="Z1" s="16"/>
    </row>
    <row r="6" spans="15:28">
      <c r="V6" s="373" t="s">
        <v>74</v>
      </c>
      <c r="W6" s="373"/>
      <c r="X6" s="373"/>
      <c r="Y6" s="373"/>
    </row>
    <row r="7" spans="15:28">
      <c r="V7" s="16"/>
      <c r="W7" s="17" t="s">
        <v>2</v>
      </c>
      <c r="X7" s="18"/>
    </row>
    <row r="8" spans="15:28">
      <c r="V8" s="396" t="s">
        <v>3</v>
      </c>
      <c r="W8" s="397"/>
      <c r="X8" s="34">
        <v>0.63</v>
      </c>
      <c r="Y8" s="15" t="s">
        <v>18</v>
      </c>
      <c r="Z8" s="69" t="s">
        <v>29</v>
      </c>
      <c r="AA8" s="73">
        <f>X11</f>
        <v>23.28</v>
      </c>
      <c r="AB8" s="15" t="s">
        <v>18</v>
      </c>
    </row>
    <row r="9" spans="15:28">
      <c r="V9" s="396" t="s">
        <v>4</v>
      </c>
      <c r="W9" s="397"/>
      <c r="X9" s="34">
        <v>0.67</v>
      </c>
      <c r="Y9" s="15" t="s">
        <v>18</v>
      </c>
      <c r="Z9" s="71" t="s">
        <v>27</v>
      </c>
      <c r="AA9" s="37">
        <v>6.9999999999999999E-4</v>
      </c>
      <c r="AB9" s="15" t="s">
        <v>33</v>
      </c>
    </row>
    <row r="10" spans="15:28">
      <c r="V10" s="396" t="s">
        <v>19</v>
      </c>
      <c r="W10" s="397"/>
      <c r="X10" s="34">
        <v>21.98</v>
      </c>
      <c r="Y10" s="15" t="s">
        <v>18</v>
      </c>
      <c r="Z10" s="69" t="s">
        <v>30</v>
      </c>
      <c r="AA10" s="34">
        <f>AA9*AA8</f>
        <v>1.6296000000000001E-2</v>
      </c>
      <c r="AB10" s="15" t="s">
        <v>18</v>
      </c>
    </row>
    <row r="11" spans="15:28">
      <c r="V11" s="20"/>
      <c r="W11" s="40"/>
      <c r="X11" s="117">
        <f>SUM(X8:X10)</f>
        <v>23.28</v>
      </c>
      <c r="Y11" s="23" t="s">
        <v>18</v>
      </c>
    </row>
    <row r="13" spans="15:28">
      <c r="S13" s="52"/>
      <c r="T13" s="52"/>
      <c r="U13" s="52"/>
      <c r="V13" s="52"/>
      <c r="W13" s="380" t="s">
        <v>22</v>
      </c>
      <c r="X13" s="380"/>
      <c r="Y13" s="380"/>
      <c r="Z13" s="380"/>
    </row>
    <row r="14" spans="15:28">
      <c r="O14" s="22"/>
    </row>
    <row r="15" spans="15:28">
      <c r="Z15" s="23"/>
    </row>
    <row r="16" spans="15:28" ht="18">
      <c r="T16" s="53">
        <f>(X11+W25+Z25)</f>
        <v>24.2</v>
      </c>
    </row>
    <row r="17" spans="1:33">
      <c r="H17" s="43"/>
      <c r="I17" s="43"/>
      <c r="J17" s="24"/>
      <c r="M17" s="377" t="s">
        <v>72</v>
      </c>
      <c r="N17" s="377"/>
      <c r="O17" s="377"/>
    </row>
    <row r="18" spans="1:33" ht="18">
      <c r="A18" s="1" t="s">
        <v>10</v>
      </c>
      <c r="B18" s="2" t="s">
        <v>11</v>
      </c>
      <c r="C18" s="2" t="s">
        <v>12</v>
      </c>
      <c r="D18" s="3" t="s">
        <v>13</v>
      </c>
      <c r="F18" s="15" t="s">
        <v>63</v>
      </c>
      <c r="H18" s="24"/>
      <c r="I18" s="24"/>
      <c r="J18" s="25"/>
      <c r="M18" s="36" t="s">
        <v>3</v>
      </c>
      <c r="N18" s="34">
        <v>0.68</v>
      </c>
      <c r="O18" s="15" t="s">
        <v>18</v>
      </c>
      <c r="P18" s="69" t="s">
        <v>29</v>
      </c>
      <c r="Q18" s="70">
        <f>I26-K21-N21-L35-Q34</f>
        <v>49.53</v>
      </c>
      <c r="R18" s="15" t="s">
        <v>18</v>
      </c>
    </row>
    <row r="19" spans="1:33">
      <c r="A19" s="4" t="s">
        <v>14</v>
      </c>
      <c r="B19" s="5">
        <v>93.69</v>
      </c>
      <c r="C19" s="6">
        <f>B19/D19</f>
        <v>93.896572459410706</v>
      </c>
      <c r="D19" s="7">
        <v>0.99780000000000002</v>
      </c>
      <c r="F19" s="15">
        <f>B21*1000/C22</f>
        <v>52.194529233009952</v>
      </c>
      <c r="H19" s="24"/>
      <c r="I19" s="24"/>
      <c r="M19" s="36" t="s">
        <v>4</v>
      </c>
      <c r="N19" s="34">
        <v>0.59</v>
      </c>
      <c r="O19" s="15" t="s">
        <v>18</v>
      </c>
      <c r="P19" s="71" t="s">
        <v>27</v>
      </c>
      <c r="Q19" s="72">
        <v>4.6125999999999997E-3</v>
      </c>
      <c r="R19" s="15" t="s">
        <v>33</v>
      </c>
    </row>
    <row r="20" spans="1:33">
      <c r="A20" s="4" t="s">
        <v>15</v>
      </c>
      <c r="B20" s="8">
        <v>0.10036</v>
      </c>
      <c r="C20" s="9">
        <f>B20/D20</f>
        <v>9.3794392523364481E-2</v>
      </c>
      <c r="D20" s="10">
        <v>1.07</v>
      </c>
      <c r="H20" s="24"/>
      <c r="I20" s="36" t="s">
        <v>24</v>
      </c>
      <c r="J20" s="36"/>
      <c r="K20" s="33">
        <v>15.19</v>
      </c>
      <c r="L20" s="15" t="s">
        <v>18</v>
      </c>
      <c r="M20" s="66" t="s">
        <v>30</v>
      </c>
      <c r="N20" s="37">
        <f>N21*Q19</f>
        <v>5.8580019999999993E-3</v>
      </c>
      <c r="O20" s="15" t="s">
        <v>18</v>
      </c>
      <c r="P20" s="69" t="s">
        <v>30</v>
      </c>
      <c r="Q20" s="34">
        <f>Q19*Q18</f>
        <v>0.22846207799999999</v>
      </c>
      <c r="R20" s="31" t="s">
        <v>32</v>
      </c>
      <c r="X20" s="19"/>
      <c r="Z20" s="47" t="s">
        <v>23</v>
      </c>
      <c r="AA20" s="47"/>
      <c r="AB20" s="47"/>
      <c r="AD20" s="31">
        <f>AC23+AC43</f>
        <v>1.0899999999999999</v>
      </c>
      <c r="AE20" s="31">
        <f>AA8+AF31</f>
        <v>47.28</v>
      </c>
    </row>
    <row r="21" spans="1:33">
      <c r="A21" s="4" t="s">
        <v>16</v>
      </c>
      <c r="B21" s="11">
        <v>5.0250000000000004</v>
      </c>
      <c r="C21" s="9">
        <f>B21/D21</f>
        <v>2.2840909090909092</v>
      </c>
      <c r="D21" s="7">
        <v>2.2000000000000002</v>
      </c>
      <c r="I21" s="15">
        <f>K21*Q19</f>
        <v>7.0065393999999989E-2</v>
      </c>
      <c r="K21" s="116">
        <f>SUM(K20)</f>
        <v>15.19</v>
      </c>
      <c r="L21" s="23" t="s">
        <v>18</v>
      </c>
      <c r="N21" s="116">
        <f>SUM(N18:N19)</f>
        <v>1.27</v>
      </c>
      <c r="O21" s="23" t="s">
        <v>18</v>
      </c>
      <c r="P21" s="23"/>
      <c r="Q21" s="23"/>
      <c r="R21" s="23"/>
    </row>
    <row r="22" spans="1:33">
      <c r="A22" s="12" t="s">
        <v>17</v>
      </c>
      <c r="B22" s="13">
        <f>SUM(B19:B21)</f>
        <v>98.815359999999998</v>
      </c>
      <c r="C22" s="13">
        <f>SUM(C19:C21)</f>
        <v>96.274457761024976</v>
      </c>
      <c r="D22" s="14">
        <f>B22/C22</f>
        <v>1.0263922778488364</v>
      </c>
      <c r="K22" s="24"/>
      <c r="L22" s="24"/>
      <c r="M22" s="24"/>
      <c r="N22" s="24"/>
      <c r="O22" s="24"/>
      <c r="U22" s="382" t="s">
        <v>0</v>
      </c>
      <c r="V22" s="382"/>
      <c r="W22" s="382"/>
      <c r="X22" s="16"/>
      <c r="Y22" s="385" t="s">
        <v>75</v>
      </c>
      <c r="Z22" s="385"/>
      <c r="AA22" s="385"/>
    </row>
    <row r="23" spans="1:33">
      <c r="J23" s="54"/>
      <c r="K23" s="54"/>
      <c r="L23" s="19"/>
      <c r="N23" s="374" t="s">
        <v>21</v>
      </c>
      <c r="O23" s="375"/>
      <c r="P23" s="376"/>
      <c r="Q23" s="51"/>
      <c r="R23" s="51"/>
      <c r="U23" s="389" t="s">
        <v>1</v>
      </c>
      <c r="V23" s="389"/>
      <c r="W23" s="33">
        <v>0.31</v>
      </c>
      <c r="X23" s="15" t="s">
        <v>18</v>
      </c>
      <c r="Y23" s="378" t="s">
        <v>2</v>
      </c>
      <c r="Z23" s="378"/>
      <c r="AB23" s="69" t="s">
        <v>29</v>
      </c>
      <c r="AC23" s="73">
        <f>Z25</f>
        <v>0.4</v>
      </c>
      <c r="AD23" s="15" t="s">
        <v>18</v>
      </c>
    </row>
    <row r="24" spans="1:33">
      <c r="U24" s="389" t="s">
        <v>9</v>
      </c>
      <c r="V24" s="389"/>
      <c r="W24" s="41">
        <v>0.21</v>
      </c>
      <c r="X24" s="15" t="s">
        <v>18</v>
      </c>
      <c r="Y24" s="44" t="s">
        <v>19</v>
      </c>
      <c r="Z24" s="34">
        <v>0.4</v>
      </c>
      <c r="AA24" s="15" t="s">
        <v>18</v>
      </c>
      <c r="AB24" s="71" t="s">
        <v>27</v>
      </c>
      <c r="AC24" s="37">
        <v>0.38569999999999999</v>
      </c>
      <c r="AD24" s="15" t="s">
        <v>33</v>
      </c>
    </row>
    <row r="25" spans="1:33">
      <c r="R25" s="31"/>
      <c r="V25" s="24"/>
      <c r="W25" s="40">
        <f>SUM(W23:W24)</f>
        <v>0.52</v>
      </c>
      <c r="X25" s="23" t="s">
        <v>18</v>
      </c>
      <c r="Y25" s="38"/>
      <c r="Z25" s="24">
        <v>0.4</v>
      </c>
      <c r="AA25" s="23" t="s">
        <v>18</v>
      </c>
      <c r="AB25" s="69" t="s">
        <v>30</v>
      </c>
      <c r="AC25" s="34">
        <f>AC24*AC23</f>
        <v>0.15428</v>
      </c>
      <c r="AD25" s="15" t="s">
        <v>18</v>
      </c>
      <c r="AE25" s="15">
        <f>AC25+AC45</f>
        <v>0.40226600000000001</v>
      </c>
      <c r="AF25" s="81">
        <f>AA10+AF33</f>
        <v>2.8296000000000002E-2</v>
      </c>
    </row>
    <row r="26" spans="1:33" ht="18">
      <c r="A26" s="23"/>
      <c r="G26" s="50">
        <f>B22-(C34+H33)</f>
        <v>97.065359999999998</v>
      </c>
      <c r="I26" s="50">
        <f>SUM(K21,N21,L35,Q34,X11,W25,Z25,AC34,W44,Z45)</f>
        <v>94.69</v>
      </c>
      <c r="P26" s="55"/>
    </row>
    <row r="27" spans="1:33">
      <c r="A27" s="23"/>
    </row>
    <row r="28" spans="1:33">
      <c r="Z28" s="23"/>
      <c r="AA28" s="45"/>
      <c r="AB28" s="45"/>
    </row>
    <row r="29" spans="1:33">
      <c r="Z29" s="373" t="s">
        <v>76</v>
      </c>
      <c r="AA29" s="373"/>
      <c r="AB29" s="373"/>
      <c r="AC29" s="373"/>
    </row>
    <row r="30" spans="1:33">
      <c r="L30" s="19"/>
      <c r="O30" s="374" t="s">
        <v>20</v>
      </c>
      <c r="P30" s="376"/>
      <c r="Q30" s="51"/>
      <c r="R30" s="51"/>
      <c r="V30" s="374" t="s">
        <v>22</v>
      </c>
      <c r="W30" s="375"/>
      <c r="X30" s="375"/>
      <c r="Y30" s="376"/>
      <c r="Z30" s="42"/>
      <c r="AA30" s="16"/>
      <c r="AB30" s="17" t="s">
        <v>2</v>
      </c>
      <c r="AC30" s="18"/>
    </row>
    <row r="31" spans="1:33">
      <c r="F31" s="28"/>
      <c r="G31" s="28"/>
      <c r="AA31" s="392" t="s">
        <v>3</v>
      </c>
      <c r="AB31" s="392"/>
      <c r="AC31" s="34">
        <v>0.56999999999999995</v>
      </c>
      <c r="AD31" s="15" t="s">
        <v>18</v>
      </c>
      <c r="AE31" s="69" t="s">
        <v>29</v>
      </c>
      <c r="AF31" s="73">
        <f>AC34</f>
        <v>24</v>
      </c>
      <c r="AG31" s="15" t="s">
        <v>18</v>
      </c>
    </row>
    <row r="32" spans="1:33">
      <c r="A32" s="392" t="s">
        <v>6</v>
      </c>
      <c r="B32" s="392"/>
      <c r="C32" s="33">
        <v>0.33</v>
      </c>
      <c r="D32" s="15" t="s">
        <v>18</v>
      </c>
      <c r="E32" s="382" t="s">
        <v>0</v>
      </c>
      <c r="F32" s="382"/>
      <c r="G32" s="382"/>
      <c r="H32" s="382"/>
      <c r="J32" s="388" t="s">
        <v>0</v>
      </c>
      <c r="K32" s="388"/>
      <c r="L32" s="388"/>
      <c r="M32" s="16"/>
      <c r="N32" s="48" t="s">
        <v>73</v>
      </c>
      <c r="O32" s="48"/>
      <c r="Y32" s="19"/>
      <c r="AA32" s="392" t="s">
        <v>4</v>
      </c>
      <c r="AB32" s="392"/>
      <c r="AC32" s="34">
        <v>0.47</v>
      </c>
      <c r="AD32" s="15" t="s">
        <v>18</v>
      </c>
      <c r="AE32" s="71" t="s">
        <v>27</v>
      </c>
      <c r="AF32" s="37">
        <f>0.05/100</f>
        <v>5.0000000000000001E-4</v>
      </c>
      <c r="AG32" s="15" t="s">
        <v>33</v>
      </c>
    </row>
    <row r="33" spans="1:33">
      <c r="A33" s="392" t="s">
        <v>5</v>
      </c>
      <c r="B33" s="392"/>
      <c r="C33" s="33">
        <v>0.63</v>
      </c>
      <c r="D33" s="15" t="s">
        <v>18</v>
      </c>
      <c r="E33" s="35" t="s">
        <v>1</v>
      </c>
      <c r="F33" s="35"/>
      <c r="G33" s="35"/>
      <c r="H33" s="33">
        <v>0.79</v>
      </c>
      <c r="I33" s="15" t="s">
        <v>18</v>
      </c>
      <c r="J33" s="389" t="s">
        <v>1</v>
      </c>
      <c r="K33" s="389"/>
      <c r="L33" s="34">
        <v>0.54</v>
      </c>
      <c r="M33" s="15" t="s">
        <v>18</v>
      </c>
      <c r="N33" s="382"/>
      <c r="O33" s="382"/>
      <c r="AA33" s="392" t="s">
        <v>19</v>
      </c>
      <c r="AB33" s="392"/>
      <c r="AC33" s="34">
        <v>22.96</v>
      </c>
      <c r="AD33" s="15" t="s">
        <v>18</v>
      </c>
      <c r="AE33" s="69" t="s">
        <v>30</v>
      </c>
      <c r="AF33" s="119">
        <f>AF32*AF31</f>
        <v>1.2E-2</v>
      </c>
      <c r="AG33" s="15" t="s">
        <v>18</v>
      </c>
    </row>
    <row r="34" spans="1:33">
      <c r="B34" s="46"/>
      <c r="C34" s="28">
        <f>SUM(C32:C33)</f>
        <v>0.96</v>
      </c>
      <c r="D34" s="23" t="s">
        <v>18</v>
      </c>
      <c r="H34" s="23">
        <f>SUM(H33)</f>
        <v>0.79</v>
      </c>
      <c r="I34" s="23" t="s">
        <v>18</v>
      </c>
      <c r="J34" s="389" t="s">
        <v>9</v>
      </c>
      <c r="K34" s="389"/>
      <c r="L34" s="64">
        <v>0.66</v>
      </c>
      <c r="M34" s="15" t="s">
        <v>18</v>
      </c>
      <c r="N34" s="68" t="s">
        <v>26</v>
      </c>
      <c r="O34" s="39">
        <v>27.5</v>
      </c>
      <c r="P34" s="15" t="s">
        <v>18</v>
      </c>
      <c r="Q34" s="16">
        <f>SUM(O34)</f>
        <v>27.5</v>
      </c>
      <c r="R34" s="23" t="s">
        <v>18</v>
      </c>
      <c r="AA34" s="24"/>
      <c r="AB34" s="38"/>
      <c r="AC34" s="118">
        <f>SUM(AC31:AC33)</f>
        <v>24</v>
      </c>
      <c r="AD34" s="23" t="s">
        <v>18</v>
      </c>
    </row>
    <row r="35" spans="1:33">
      <c r="B35" s="15" t="s">
        <v>66</v>
      </c>
      <c r="C35" s="15">
        <f>H34/D22</f>
        <v>0.76968622723440694</v>
      </c>
      <c r="D35" s="15" t="s">
        <v>62</v>
      </c>
      <c r="I35" s="26"/>
      <c r="J35" s="59"/>
      <c r="K35" s="59"/>
      <c r="L35" s="115">
        <f>SUM(L33:L34)</f>
        <v>1.2000000000000002</v>
      </c>
      <c r="M35" s="23" t="s">
        <v>18</v>
      </c>
      <c r="N35" s="65" t="s">
        <v>27</v>
      </c>
      <c r="O35" s="37">
        <v>0.107</v>
      </c>
      <c r="P35" s="15" t="s">
        <v>33</v>
      </c>
      <c r="Q35" s="23"/>
      <c r="R35" s="23"/>
    </row>
    <row r="36" spans="1:33" ht="18">
      <c r="B36" s="15" t="s">
        <v>65</v>
      </c>
      <c r="C36" s="15">
        <f>C34/D22</f>
        <v>0.93531490904434256</v>
      </c>
      <c r="D36" s="15" t="s">
        <v>62</v>
      </c>
      <c r="E36" s="30"/>
      <c r="H36" s="45"/>
      <c r="J36" s="15" t="s">
        <v>31</v>
      </c>
      <c r="N36" s="67" t="s">
        <v>28</v>
      </c>
      <c r="O36" s="34">
        <f>O35*O34</f>
        <v>2.9424999999999999</v>
      </c>
      <c r="P36" s="15" t="s">
        <v>18</v>
      </c>
      <c r="Q36" s="49"/>
      <c r="R36" s="49"/>
      <c r="T36" s="53">
        <f>(AC34+W44+Z45)</f>
        <v>25.330000000000002</v>
      </c>
      <c r="AA36" s="27"/>
      <c r="AB36" s="27"/>
    </row>
    <row r="37" spans="1:33">
      <c r="B37" s="15" t="s">
        <v>67</v>
      </c>
      <c r="C37" s="26">
        <f>F19*(C36+C35)/1000</f>
        <v>8.8991731649816372E-2</v>
      </c>
      <c r="D37" s="113">
        <f>C37/C38</f>
        <v>1.8029088853119171E-2</v>
      </c>
      <c r="E37" s="30"/>
      <c r="N37" s="38"/>
      <c r="AB37" s="22"/>
    </row>
    <row r="38" spans="1:33" ht="21">
      <c r="A38" s="15" t="s">
        <v>64</v>
      </c>
      <c r="C38" s="114">
        <f>B21-C37</f>
        <v>4.936008268350184</v>
      </c>
      <c r="D38" s="15" t="s">
        <v>18</v>
      </c>
      <c r="E38" s="114">
        <f>C38-I21</f>
        <v>4.8659428743501838</v>
      </c>
      <c r="N38" s="390" t="s">
        <v>25</v>
      </c>
      <c r="O38" s="390"/>
      <c r="P38" s="62">
        <f>G26-I26</f>
        <v>2.3753600000000006</v>
      </c>
      <c r="Q38" s="60" t="s">
        <v>18</v>
      </c>
      <c r="R38" s="61">
        <f>P38/B22</f>
        <v>2.4038368124145889E-2</v>
      </c>
    </row>
    <row r="39" spans="1:33">
      <c r="A39" s="15" t="s">
        <v>68</v>
      </c>
      <c r="C39" s="81">
        <f>G26-I26</f>
        <v>2.3753600000000006</v>
      </c>
      <c r="D39" s="15" t="s">
        <v>18</v>
      </c>
      <c r="F39" s="31"/>
      <c r="G39" s="31"/>
      <c r="L39" s="15">
        <f>O36+Q20+N20+I21</f>
        <v>3.2468854739999999</v>
      </c>
      <c r="X39" s="19"/>
      <c r="Y39" s="56"/>
      <c r="Z39" s="56"/>
      <c r="AA39" s="56"/>
    </row>
    <row r="40" spans="1:33" ht="21">
      <c r="A40" s="15" t="s">
        <v>69</v>
      </c>
      <c r="C40" s="113">
        <f>C39/(B22-C35-C36)</f>
        <v>2.4460418309579471E-2</v>
      </c>
      <c r="H40" s="57"/>
      <c r="M40" s="394"/>
      <c r="N40" s="394"/>
      <c r="O40" s="394"/>
      <c r="P40" s="394"/>
      <c r="Y40" s="24"/>
      <c r="Z40" s="380" t="s">
        <v>23</v>
      </c>
      <c r="AA40" s="380"/>
      <c r="AB40" s="380"/>
    </row>
    <row r="41" spans="1:33">
      <c r="F41" s="32"/>
      <c r="G41" s="32"/>
      <c r="M41" s="49"/>
      <c r="N41" s="63"/>
      <c r="O41" s="49"/>
      <c r="P41" s="49"/>
      <c r="U41" s="382" t="s">
        <v>0</v>
      </c>
      <c r="V41" s="382"/>
      <c r="W41" s="382"/>
      <c r="X41" s="16"/>
      <c r="AB41" s="29"/>
    </row>
    <row r="42" spans="1:33">
      <c r="A42" s="15" t="s">
        <v>71</v>
      </c>
      <c r="C42" s="15">
        <f>K21*Q19</f>
        <v>7.0065393999999989E-2</v>
      </c>
      <c r="D42" s="15" t="s">
        <v>18</v>
      </c>
      <c r="M42" s="393"/>
      <c r="N42" s="393"/>
      <c r="O42" s="393"/>
      <c r="P42" s="49"/>
      <c r="U42" s="395" t="s">
        <v>1</v>
      </c>
      <c r="V42" s="395"/>
      <c r="W42" s="37" t="s">
        <v>7</v>
      </c>
      <c r="X42" s="15" t="s">
        <v>18</v>
      </c>
      <c r="Y42" s="391" t="s">
        <v>77</v>
      </c>
      <c r="Z42" s="391"/>
      <c r="AA42" s="391"/>
    </row>
    <row r="43" spans="1:33" ht="18.75">
      <c r="H43" s="58"/>
      <c r="M43" s="393"/>
      <c r="N43" s="393"/>
      <c r="O43" s="393"/>
      <c r="P43" s="49"/>
      <c r="U43" s="389" t="s">
        <v>8</v>
      </c>
      <c r="V43" s="389"/>
      <c r="W43" s="41">
        <v>0.64</v>
      </c>
      <c r="X43" s="15" t="s">
        <v>18</v>
      </c>
      <c r="Y43" s="382" t="s">
        <v>2</v>
      </c>
      <c r="Z43" s="382"/>
      <c r="AB43" s="69" t="s">
        <v>29</v>
      </c>
      <c r="AC43" s="73">
        <f>Z45</f>
        <v>0.69</v>
      </c>
      <c r="AD43" s="15" t="s">
        <v>18</v>
      </c>
    </row>
    <row r="44" spans="1:33">
      <c r="V44" s="24"/>
      <c r="W44" s="40">
        <f>SUM(W42:W43)</f>
        <v>0.64</v>
      </c>
      <c r="X44" s="23" t="s">
        <v>18</v>
      </c>
      <c r="Y44" s="44" t="s">
        <v>19</v>
      </c>
      <c r="Z44" s="37">
        <v>0.69</v>
      </c>
      <c r="AA44" s="15" t="s">
        <v>18</v>
      </c>
      <c r="AB44" s="71" t="s">
        <v>27</v>
      </c>
      <c r="AC44" s="37">
        <f>35.94/100</f>
        <v>0.3594</v>
      </c>
      <c r="AD44" s="15" t="s">
        <v>33</v>
      </c>
    </row>
    <row r="45" spans="1:33">
      <c r="A45" s="15" t="s">
        <v>70</v>
      </c>
      <c r="Y45" s="40"/>
      <c r="Z45" s="21">
        <f>SUM(Z44:Z44)</f>
        <v>0.69</v>
      </c>
      <c r="AA45" s="23" t="s">
        <v>18</v>
      </c>
      <c r="AB45" s="69" t="s">
        <v>30</v>
      </c>
      <c r="AC45" s="34">
        <f>AC44*AC43</f>
        <v>0.24798599999999998</v>
      </c>
      <c r="AD45" s="15" t="s">
        <v>18</v>
      </c>
    </row>
    <row r="46" spans="1:33">
      <c r="A46" s="15" t="s">
        <v>34</v>
      </c>
      <c r="B46" s="15">
        <f>X11*AA9+AC34*AF32</f>
        <v>2.8296000000000002E-2</v>
      </c>
      <c r="C46" s="15" t="s">
        <v>18</v>
      </c>
      <c r="D46" s="76">
        <f>B46/(C38-C42)</f>
        <v>5.81511142458259E-3</v>
      </c>
    </row>
    <row r="47" spans="1:33">
      <c r="A47" s="15" t="s">
        <v>35</v>
      </c>
      <c r="B47" s="15">
        <f>Z25*AC24+Z45*AC44</f>
        <v>0.40226600000000001</v>
      </c>
      <c r="C47" s="15" t="s">
        <v>18</v>
      </c>
      <c r="D47" s="76">
        <f>B47/(C38-C42)</f>
        <v>8.2669692264671343E-2</v>
      </c>
    </row>
    <row r="48" spans="1:33">
      <c r="A48" s="15" t="s">
        <v>20</v>
      </c>
      <c r="B48" s="15">
        <f>O34*O35</f>
        <v>2.9424999999999999</v>
      </c>
      <c r="C48" s="15" t="s">
        <v>18</v>
      </c>
      <c r="D48" s="76">
        <f>B48/(C38-C42)</f>
        <v>0.60471322331192645</v>
      </c>
    </row>
    <row r="49" spans="1:33">
      <c r="A49" s="15" t="s">
        <v>78</v>
      </c>
      <c r="B49" s="120">
        <f>C38-(C42+B46+B47+B48)</f>
        <v>1.4928808743501842</v>
      </c>
      <c r="C49" s="15" t="s">
        <v>18</v>
      </c>
      <c r="D49" s="76">
        <f>B49/(C38-C42)</f>
        <v>0.30680197299881973</v>
      </c>
      <c r="Y49" s="15" t="s">
        <v>27</v>
      </c>
      <c r="AA49" s="15" t="s">
        <v>40</v>
      </c>
      <c r="AC49" s="15" t="s">
        <v>41</v>
      </c>
      <c r="AD49" s="74">
        <f>B21-Z53</f>
        <v>4.9549346060000001</v>
      </c>
      <c r="AF49" s="15" t="s">
        <v>43</v>
      </c>
      <c r="AG49" s="15" t="s">
        <v>42</v>
      </c>
    </row>
    <row r="50" spans="1:33">
      <c r="D50" s="77">
        <f>SUM(D46:D49)</f>
        <v>1</v>
      </c>
      <c r="Y50" s="15" t="s">
        <v>34</v>
      </c>
      <c r="Z50" s="15">
        <f>AA10+AF33</f>
        <v>2.8296000000000002E-2</v>
      </c>
      <c r="AA50" s="76">
        <f>Z50/AD49</f>
        <v>5.7106707252475089E-3</v>
      </c>
      <c r="AF50" s="81">
        <f>Z50*1000/(AF31+AA8)</f>
        <v>0.59847715736040619</v>
      </c>
      <c r="AG50" s="76">
        <f>AF50*C22/B21/1000</f>
        <v>1.1466281354673178E-2</v>
      </c>
    </row>
    <row r="51" spans="1:33">
      <c r="Y51" s="15" t="s">
        <v>35</v>
      </c>
      <c r="Z51" s="15">
        <f>AC25+AC45</f>
        <v>0.40226600000000001</v>
      </c>
      <c r="AA51" s="76">
        <f>Z51/AD49</f>
        <v>8.118492613664173E-2</v>
      </c>
    </row>
    <row r="52" spans="1:33">
      <c r="Y52" s="15" t="s">
        <v>36</v>
      </c>
      <c r="Z52" s="15">
        <f>O36</f>
        <v>2.9424999999999999</v>
      </c>
      <c r="AA52" s="75">
        <f>Z52/AD49</f>
        <v>0.59385243882671734</v>
      </c>
    </row>
    <row r="53" spans="1:33">
      <c r="Y53" s="15" t="s">
        <v>39</v>
      </c>
      <c r="Z53" s="15">
        <f>K21*Q19</f>
        <v>7.0065393999999989E-2</v>
      </c>
      <c r="AA53" s="77"/>
    </row>
    <row r="54" spans="1:33">
      <c r="Y54" s="15" t="s">
        <v>17</v>
      </c>
      <c r="Z54" s="15">
        <f>SUM(Z50:Z53)</f>
        <v>3.4431273939999998</v>
      </c>
    </row>
    <row r="55" spans="1:33">
      <c r="Y55" s="15" t="s">
        <v>37</v>
      </c>
      <c r="Z55" s="74">
        <f>B21-Z54</f>
        <v>1.5818726060000006</v>
      </c>
    </row>
    <row r="56" spans="1:33">
      <c r="Y56" s="15" t="s">
        <v>38</v>
      </c>
      <c r="Z56" s="76">
        <f>Z55/B21</f>
        <v>0.31480051860696528</v>
      </c>
      <c r="AB56" s="77"/>
    </row>
  </sheetData>
  <mergeCells count="35">
    <mergeCell ref="M17:O17"/>
    <mergeCell ref="O30:P30"/>
    <mergeCell ref="AA31:AB31"/>
    <mergeCell ref="AA32:AB32"/>
    <mergeCell ref="V6:Y6"/>
    <mergeCell ref="N23:P23"/>
    <mergeCell ref="V8:W8"/>
    <mergeCell ref="V9:W9"/>
    <mergeCell ref="U24:V24"/>
    <mergeCell ref="Y22:AA22"/>
    <mergeCell ref="Y23:Z23"/>
    <mergeCell ref="W13:Z13"/>
    <mergeCell ref="V10:W10"/>
    <mergeCell ref="V30:Y30"/>
    <mergeCell ref="U22:W22"/>
    <mergeCell ref="U23:V23"/>
    <mergeCell ref="E32:H32"/>
    <mergeCell ref="Z29:AC29"/>
    <mergeCell ref="A32:B32"/>
    <mergeCell ref="A33:B33"/>
    <mergeCell ref="J32:L32"/>
    <mergeCell ref="U43:V43"/>
    <mergeCell ref="Z40:AB40"/>
    <mergeCell ref="J33:K33"/>
    <mergeCell ref="N38:O38"/>
    <mergeCell ref="Y42:AA42"/>
    <mergeCell ref="Y43:Z43"/>
    <mergeCell ref="AA33:AB33"/>
    <mergeCell ref="M42:O42"/>
    <mergeCell ref="M43:O43"/>
    <mergeCell ref="M40:P40"/>
    <mergeCell ref="J34:K34"/>
    <mergeCell ref="U41:W41"/>
    <mergeCell ref="N33:O33"/>
    <mergeCell ref="U42:V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28"/>
  <sheetViews>
    <sheetView showGridLines="0" zoomScale="60" zoomScaleNormal="60" workbookViewId="0">
      <selection activeCell="H39" sqref="H39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8" width="9.140625" style="15"/>
    <col min="9" max="9" width="12.7109375" style="15" customWidth="1"/>
    <col min="10" max="10" width="13.5703125" style="15" customWidth="1"/>
    <col min="11" max="11" width="10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7" width="12" style="15" customWidth="1"/>
    <col min="18" max="18" width="14.5703125" style="15" customWidth="1"/>
    <col min="19" max="19" width="9.140625" style="15"/>
    <col min="20" max="20" width="10.85546875" style="15" customWidth="1"/>
    <col min="21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AD1" s="374" t="s">
        <v>22</v>
      </c>
      <c r="AE1" s="375"/>
      <c r="AF1" s="375"/>
      <c r="AG1" s="376"/>
      <c r="AH1" s="97"/>
      <c r="AI1" s="97"/>
    </row>
    <row r="2" spans="9:38" ht="21">
      <c r="O2" s="22"/>
      <c r="R2" s="97"/>
      <c r="S2" s="97"/>
      <c r="T2" s="97"/>
      <c r="U2" s="97"/>
      <c r="AD2" s="101" t="s">
        <v>52</v>
      </c>
      <c r="AE2" s="101"/>
      <c r="AF2" s="101"/>
      <c r="AG2" s="102"/>
    </row>
    <row r="3" spans="9:38">
      <c r="R3" s="97"/>
      <c r="S3" s="97"/>
      <c r="T3" s="97"/>
      <c r="U3" s="97"/>
      <c r="AB3" s="16"/>
      <c r="AC3" s="17"/>
      <c r="AD3" s="18"/>
    </row>
    <row r="4" spans="9:38">
      <c r="AB4" s="105" t="s">
        <v>3</v>
      </c>
      <c r="AC4" s="106"/>
      <c r="AD4" s="34">
        <v>0.43147000000000002</v>
      </c>
      <c r="AE4" s="15" t="s">
        <v>18</v>
      </c>
      <c r="AF4" s="36" t="s">
        <v>49</v>
      </c>
      <c r="AG4" s="34">
        <v>13.97</v>
      </c>
      <c r="AH4" s="97" t="s">
        <v>18</v>
      </c>
    </row>
    <row r="5" spans="9:38" ht="21" customHeight="1">
      <c r="I5" s="78"/>
      <c r="J5" s="24"/>
      <c r="S5" s="121"/>
      <c r="AB5" s="105" t="s">
        <v>4</v>
      </c>
      <c r="AC5" s="106"/>
      <c r="AD5" s="34">
        <v>0.52</v>
      </c>
      <c r="AE5" s="15" t="s">
        <v>18</v>
      </c>
      <c r="AF5" s="36" t="s">
        <v>27</v>
      </c>
      <c r="AG5" s="34">
        <f>0.082/100</f>
        <v>8.1999999999999998E-4</v>
      </c>
      <c r="AH5" s="97" t="s">
        <v>33</v>
      </c>
    </row>
    <row r="6" spans="9:38" ht="21">
      <c r="I6"/>
      <c r="J6"/>
      <c r="K6"/>
      <c r="L6"/>
      <c r="O6" s="98" t="s">
        <v>48</v>
      </c>
      <c r="P6" s="98"/>
      <c r="Q6" s="98"/>
      <c r="S6" s="121"/>
      <c r="AB6" s="105" t="s">
        <v>17</v>
      </c>
      <c r="AC6" s="106"/>
      <c r="AD6" s="34">
        <f>SUM(AD4:AD5)</f>
        <v>0.95147000000000004</v>
      </c>
      <c r="AE6" s="15" t="s">
        <v>18</v>
      </c>
      <c r="AF6" s="67" t="s">
        <v>30</v>
      </c>
      <c r="AG6" s="37">
        <f>AG5*AG4</f>
        <v>1.1455400000000001E-2</v>
      </c>
      <c r="AH6" s="97" t="s">
        <v>18</v>
      </c>
    </row>
    <row r="7" spans="9:38" ht="15.75" customHeight="1">
      <c r="I7"/>
      <c r="J7"/>
      <c r="K7"/>
      <c r="L7"/>
      <c r="N7" s="47" t="s">
        <v>46</v>
      </c>
      <c r="O7" s="96"/>
      <c r="P7" s="96"/>
      <c r="Q7" s="34"/>
      <c r="R7" s="34"/>
      <c r="S7" s="121"/>
      <c r="AA7" s="97"/>
      <c r="AB7" s="398" t="s">
        <v>30</v>
      </c>
      <c r="AC7" s="399"/>
      <c r="AD7" s="104">
        <f>AD6*AG5</f>
        <v>7.8020539999999999E-4</v>
      </c>
      <c r="AE7" s="15" t="s">
        <v>18</v>
      </c>
    </row>
    <row r="8" spans="9:38">
      <c r="I8"/>
      <c r="J8"/>
      <c r="K8"/>
      <c r="L8"/>
      <c r="S8" s="121"/>
      <c r="AA8" s="97"/>
      <c r="AB8" s="97"/>
      <c r="AC8" s="97"/>
      <c r="AD8" s="97"/>
      <c r="AE8" s="23"/>
    </row>
    <row r="9" spans="9:38">
      <c r="I9"/>
      <c r="J9"/>
      <c r="K9"/>
      <c r="L9"/>
      <c r="M9" s="112"/>
      <c r="Q9" s="23"/>
      <c r="W9"/>
      <c r="AK9" s="15">
        <f>AG4+AD6</f>
        <v>14.921470000000001</v>
      </c>
      <c r="AL9" s="15">
        <f>AG6+AD7</f>
        <v>1.22356054E-2</v>
      </c>
    </row>
    <row r="10" spans="9:38">
      <c r="I10"/>
      <c r="J10"/>
      <c r="K10"/>
      <c r="L10"/>
      <c r="M10" s="112"/>
      <c r="N10" s="36" t="s">
        <v>3</v>
      </c>
      <c r="O10" s="34">
        <v>0.19</v>
      </c>
      <c r="P10" s="15" t="s">
        <v>18</v>
      </c>
      <c r="Q10" s="36" t="s">
        <v>49</v>
      </c>
      <c r="R10" s="73">
        <f>AA10+AA41</f>
        <v>32.355719999999998</v>
      </c>
      <c r="S10" s="112" t="s">
        <v>18</v>
      </c>
      <c r="W10"/>
      <c r="AA10" s="81">
        <f>AD6+AG4+AF23</f>
        <v>14.924190000000001</v>
      </c>
    </row>
    <row r="11" spans="9:38">
      <c r="J11" s="54"/>
      <c r="K11" s="54"/>
      <c r="L11" s="19"/>
      <c r="M11" s="112"/>
      <c r="N11" s="36" t="s">
        <v>4</v>
      </c>
      <c r="O11" s="34">
        <v>0.43</v>
      </c>
      <c r="P11" s="15" t="s">
        <v>18</v>
      </c>
      <c r="Q11" s="36" t="s">
        <v>27</v>
      </c>
      <c r="R11" s="34">
        <f>0.283/100</f>
        <v>2.8299999999999996E-3</v>
      </c>
      <c r="S11" s="112" t="s">
        <v>33</v>
      </c>
      <c r="W11"/>
    </row>
    <row r="12" spans="9:38">
      <c r="M12" s="112"/>
      <c r="N12" s="103" t="s">
        <v>17</v>
      </c>
      <c r="O12" s="34">
        <f>SUM(O10:O11)</f>
        <v>0.62</v>
      </c>
      <c r="P12" s="15" t="s">
        <v>18</v>
      </c>
      <c r="Q12" s="67" t="s">
        <v>30</v>
      </c>
      <c r="R12" s="37"/>
      <c r="S12" s="112" t="s">
        <v>18</v>
      </c>
      <c r="W12"/>
    </row>
    <row r="13" spans="9:38">
      <c r="N13" s="111" t="s">
        <v>30</v>
      </c>
      <c r="O13" s="37">
        <f>O12*R11</f>
        <v>1.7545999999999998E-3</v>
      </c>
      <c r="P13" s="15" t="s">
        <v>18</v>
      </c>
      <c r="S13" s="112"/>
      <c r="W13"/>
    </row>
    <row r="15" spans="9:38">
      <c r="Z15" s="23"/>
    </row>
    <row r="17" spans="1:39">
      <c r="H17" s="78"/>
      <c r="J17" s="31"/>
      <c r="L17" s="31"/>
    </row>
    <row r="18" spans="1:39" ht="18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J18" s="31">
        <f>O12+R10+L30+O30+R28</f>
        <v>39.565719999999999</v>
      </c>
      <c r="AE18" s="47" t="s">
        <v>23</v>
      </c>
      <c r="AF18" s="47"/>
      <c r="AG18" s="47"/>
    </row>
    <row r="19" spans="1:39" ht="21">
      <c r="A19" s="89" t="s">
        <v>14</v>
      </c>
      <c r="B19" s="85">
        <v>93.07</v>
      </c>
      <c r="C19" s="85">
        <f>B19/D19</f>
        <v>93.275205451994381</v>
      </c>
      <c r="D19" s="86">
        <v>0.99780000000000002</v>
      </c>
      <c r="G19" s="15">
        <f>B21/C22*1000</f>
        <v>52.329349156373368</v>
      </c>
      <c r="H19" s="24"/>
      <c r="AC19" s="97"/>
      <c r="AD19" s="101" t="s">
        <v>55</v>
      </c>
      <c r="AE19" s="101"/>
      <c r="AF19" s="101"/>
    </row>
    <row r="20" spans="1:39" ht="18">
      <c r="A20" s="89" t="s">
        <v>15</v>
      </c>
      <c r="B20" s="85">
        <v>0.10059999999999999</v>
      </c>
      <c r="C20" s="86">
        <f>B20/D20</f>
        <v>9.4018691588785036E-2</v>
      </c>
      <c r="D20" s="89">
        <v>1.07</v>
      </c>
      <c r="H20" s="24"/>
      <c r="X20" s="19"/>
      <c r="AA20" s="18"/>
      <c r="AB20" s="18"/>
      <c r="AC20" s="97"/>
      <c r="AD20" s="16"/>
      <c r="AE20" s="97"/>
      <c r="AF20" s="97"/>
      <c r="AG20" s="97"/>
      <c r="AH20" s="97"/>
      <c r="AI20" s="97"/>
      <c r="AJ20" s="97"/>
    </row>
    <row r="21" spans="1:39" ht="18">
      <c r="A21" s="89" t="s">
        <v>16</v>
      </c>
      <c r="B21" s="93">
        <v>5.0049999999999999</v>
      </c>
      <c r="C21" s="86">
        <f>B21/D21</f>
        <v>2.2749999999999999</v>
      </c>
      <c r="D21" s="86">
        <v>2.2000000000000002</v>
      </c>
      <c r="AA21" s="35" t="s">
        <v>53</v>
      </c>
      <c r="AB21" s="33"/>
      <c r="AC21" s="97" t="s">
        <v>18</v>
      </c>
      <c r="AD21" s="105" t="s">
        <v>3</v>
      </c>
      <c r="AE21" s="106"/>
      <c r="AF21" s="34">
        <v>1E-3</v>
      </c>
      <c r="AG21" s="15" t="s">
        <v>18</v>
      </c>
      <c r="AH21" s="36" t="s">
        <v>49</v>
      </c>
      <c r="AI21" s="34">
        <v>0</v>
      </c>
      <c r="AJ21" s="97" t="s">
        <v>18</v>
      </c>
    </row>
    <row r="22" spans="1:39" ht="18">
      <c r="A22" s="84" t="s">
        <v>17</v>
      </c>
      <c r="B22" s="86">
        <f>SUM(B19:B21)</f>
        <v>98.175599999999989</v>
      </c>
      <c r="C22" s="86">
        <f>SUM(C19:C21)</f>
        <v>95.644224143583173</v>
      </c>
      <c r="D22" s="86">
        <f>B22/C22</f>
        <v>1.0264665836236662</v>
      </c>
      <c r="AA22" s="107" t="s">
        <v>54</v>
      </c>
      <c r="AB22" s="41"/>
      <c r="AC22" s="97" t="s">
        <v>18</v>
      </c>
      <c r="AD22" s="105" t="s">
        <v>4</v>
      </c>
      <c r="AE22" s="106"/>
      <c r="AF22" s="34">
        <v>1.72E-3</v>
      </c>
      <c r="AG22" s="15" t="s">
        <v>18</v>
      </c>
      <c r="AH22" s="36" t="s">
        <v>27</v>
      </c>
      <c r="AI22" s="34">
        <f>91.77/100</f>
        <v>0.91769999999999996</v>
      </c>
      <c r="AJ22" s="97" t="s">
        <v>33</v>
      </c>
    </row>
    <row r="23" spans="1:39" ht="18">
      <c r="B23" s="87"/>
      <c r="C23" s="87"/>
      <c r="D23" s="87"/>
      <c r="E23" s="87"/>
      <c r="S23"/>
      <c r="AA23" s="34" t="s">
        <v>17</v>
      </c>
      <c r="AB23" s="34"/>
      <c r="AC23" s="97" t="s">
        <v>18</v>
      </c>
      <c r="AD23" s="105" t="s">
        <v>17</v>
      </c>
      <c r="AE23" s="106"/>
      <c r="AF23" s="119">
        <f>SUM(AF21:AF22)</f>
        <v>2.7200000000000002E-3</v>
      </c>
      <c r="AG23" s="15" t="s">
        <v>18</v>
      </c>
      <c r="AH23" s="67" t="s">
        <v>30</v>
      </c>
      <c r="AI23" s="37"/>
      <c r="AJ23" s="97" t="s">
        <v>18</v>
      </c>
    </row>
    <row r="24" spans="1:39">
      <c r="N24" s="80"/>
      <c r="O24" s="80"/>
      <c r="P24" s="16"/>
      <c r="S24"/>
      <c r="AC24" s="97"/>
      <c r="AD24" s="398" t="s">
        <v>30</v>
      </c>
      <c r="AE24" s="399"/>
      <c r="AF24" s="104">
        <f>AF23*AI22</f>
        <v>2.4961440000000001E-3</v>
      </c>
      <c r="AG24" s="15" t="s">
        <v>18</v>
      </c>
    </row>
    <row r="25" spans="1:39" ht="21">
      <c r="P25" s="98" t="s">
        <v>47</v>
      </c>
      <c r="Q25" s="48"/>
      <c r="AA25" s="97"/>
    </row>
    <row r="26" spans="1:39">
      <c r="A26" s="23"/>
      <c r="P26" s="374" t="s">
        <v>20</v>
      </c>
      <c r="Q26" s="376"/>
      <c r="AA26" s="97"/>
    </row>
    <row r="27" spans="1:39">
      <c r="A27" s="23"/>
    </row>
    <row r="28" spans="1:39" ht="18">
      <c r="E28" s="34" t="s">
        <v>45</v>
      </c>
      <c r="F28" s="94">
        <f>B22-C41-B44-F39-G35</f>
        <v>79.250599999999977</v>
      </c>
      <c r="G28" s="15" t="s">
        <v>18</v>
      </c>
      <c r="K28" s="67" t="s">
        <v>1</v>
      </c>
      <c r="L28" s="34">
        <v>0.31</v>
      </c>
      <c r="M28" s="15" t="s">
        <v>18</v>
      </c>
      <c r="N28" s="36" t="s">
        <v>3</v>
      </c>
      <c r="O28" s="34">
        <v>0.16</v>
      </c>
      <c r="P28" s="15" t="s">
        <v>18</v>
      </c>
      <c r="Q28" s="36" t="s">
        <v>49</v>
      </c>
      <c r="R28" s="34">
        <v>4.7300000000000004</v>
      </c>
      <c r="S28" t="s">
        <v>18</v>
      </c>
      <c r="T28"/>
    </row>
    <row r="29" spans="1:39">
      <c r="K29" s="67" t="s">
        <v>9</v>
      </c>
      <c r="L29" s="64">
        <v>1.24</v>
      </c>
      <c r="M29" s="15" t="s">
        <v>18</v>
      </c>
      <c r="N29" s="36" t="s">
        <v>4</v>
      </c>
      <c r="O29" s="34">
        <v>0.15</v>
      </c>
      <c r="P29" s="15" t="s">
        <v>18</v>
      </c>
      <c r="Q29" s="36" t="s">
        <v>27</v>
      </c>
      <c r="R29" s="34">
        <f>41.8/100</f>
        <v>0.41799999999999998</v>
      </c>
      <c r="S29" t="s">
        <v>33</v>
      </c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</row>
    <row r="30" spans="1:39">
      <c r="K30" s="34" t="s">
        <v>17</v>
      </c>
      <c r="L30" s="91">
        <f>SUM(L28:L29)</f>
        <v>1.55</v>
      </c>
      <c r="M30" s="23" t="s">
        <v>18</v>
      </c>
      <c r="N30" s="103" t="s">
        <v>17</v>
      </c>
      <c r="O30" s="73">
        <f>SUM(O28:O29)</f>
        <v>0.31</v>
      </c>
      <c r="P30" s="15" t="s">
        <v>18</v>
      </c>
      <c r="Q30" s="67" t="s">
        <v>30</v>
      </c>
      <c r="R30" s="37">
        <f>R29*R28</f>
        <v>1.9771400000000001</v>
      </c>
      <c r="S30" t="s">
        <v>18</v>
      </c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</row>
    <row r="31" spans="1:39">
      <c r="N31" s="67" t="s">
        <v>30</v>
      </c>
      <c r="O31" s="37">
        <f>O30*R29</f>
        <v>0.12958</v>
      </c>
      <c r="P31" s="15" t="s">
        <v>18</v>
      </c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</row>
    <row r="32" spans="1:39"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</row>
    <row r="33" spans="1:55">
      <c r="AA33" s="97"/>
      <c r="AE33" s="374" t="s">
        <v>22</v>
      </c>
      <c r="AF33" s="375"/>
      <c r="AG33" s="375"/>
      <c r="AH33" s="375"/>
      <c r="AI33" s="376"/>
      <c r="AJ33" s="97"/>
      <c r="AL33" s="97"/>
      <c r="AM33" s="97"/>
    </row>
    <row r="34" spans="1:55" ht="21">
      <c r="I34" s="34" t="s">
        <v>96</v>
      </c>
      <c r="J34" s="94">
        <f>L30+O30+R28+O12+P66+S88+V86+AD6+AG4+AF23+AE38+AH36+AG54+AJ52+AV54+AY52+AY71+AV103+AY101+AX121+BA119</f>
        <v>66.703830000000011</v>
      </c>
      <c r="K34" s="15" t="s">
        <v>18</v>
      </c>
      <c r="L34" s="31">
        <f>F28-J34</f>
        <v>12.546769999999967</v>
      </c>
      <c r="M34" s="76">
        <f>L34/F28</f>
        <v>0.15831766573376063</v>
      </c>
      <c r="S34" s="31">
        <f>R28+O30</f>
        <v>5.04</v>
      </c>
      <c r="T34" s="15">
        <f>R30+O31</f>
        <v>2.1067200000000001</v>
      </c>
      <c r="AA34" s="97"/>
      <c r="AE34" s="101" t="s">
        <v>56</v>
      </c>
      <c r="AF34" s="101"/>
      <c r="AG34" s="101"/>
      <c r="AH34" s="102"/>
      <c r="AL34" s="97"/>
      <c r="AM34" s="97"/>
    </row>
    <row r="35" spans="1:55">
      <c r="E35" s="30"/>
      <c r="F35" s="36" t="s">
        <v>102</v>
      </c>
      <c r="G35" s="34">
        <v>15</v>
      </c>
      <c r="H35" s="15" t="s">
        <v>18</v>
      </c>
      <c r="AA35" s="97"/>
      <c r="AC35" s="16"/>
      <c r="AD35" s="17"/>
      <c r="AE35" s="18"/>
      <c r="AL35" s="97"/>
      <c r="AM35" s="97"/>
    </row>
    <row r="36" spans="1:55">
      <c r="AA36" s="97"/>
      <c r="AC36" s="105" t="s">
        <v>3</v>
      </c>
      <c r="AD36" s="106"/>
      <c r="AE36" s="34">
        <v>0.43153000000000002</v>
      </c>
      <c r="AF36" s="15" t="s">
        <v>18</v>
      </c>
      <c r="AG36" s="36" t="s">
        <v>49</v>
      </c>
      <c r="AH36" s="34">
        <v>16.38</v>
      </c>
      <c r="AI36" s="97" t="s">
        <v>18</v>
      </c>
      <c r="AL36" s="97"/>
      <c r="AM36" s="97"/>
    </row>
    <row r="37" spans="1:55">
      <c r="E37" s="30"/>
      <c r="M37"/>
      <c r="AA37" s="97"/>
      <c r="AC37" s="105" t="s">
        <v>4</v>
      </c>
      <c r="AD37" s="106"/>
      <c r="AE37" s="34">
        <v>0.47</v>
      </c>
      <c r="AF37" s="15" t="s">
        <v>18</v>
      </c>
      <c r="AG37" s="36" t="s">
        <v>27</v>
      </c>
      <c r="AH37" s="34">
        <f>0.041/100</f>
        <v>4.0999999999999999E-4</v>
      </c>
      <c r="AI37" s="97" t="s">
        <v>33</v>
      </c>
      <c r="AL37" s="97"/>
      <c r="AM37" s="97"/>
    </row>
    <row r="38" spans="1:55">
      <c r="E38" s="15" t="s">
        <v>79</v>
      </c>
      <c r="M38"/>
      <c r="AA38" s="97"/>
      <c r="AC38" s="105" t="s">
        <v>17</v>
      </c>
      <c r="AD38" s="106"/>
      <c r="AE38" s="34">
        <f>SUM(AE36:AE37)</f>
        <v>0.90152999999999994</v>
      </c>
      <c r="AF38" s="15" t="s">
        <v>18</v>
      </c>
      <c r="AG38" s="67" t="s">
        <v>30</v>
      </c>
      <c r="AH38" s="37">
        <f>AH37*AH36</f>
        <v>6.7157999999999992E-3</v>
      </c>
      <c r="AI38" s="97" t="s">
        <v>18</v>
      </c>
      <c r="AL38" s="97"/>
      <c r="AM38" s="97"/>
    </row>
    <row r="39" spans="1:55">
      <c r="A39" s="392" t="s">
        <v>6</v>
      </c>
      <c r="B39" s="392"/>
      <c r="C39" s="33">
        <v>0.22500000000000001</v>
      </c>
      <c r="D39" s="15" t="s">
        <v>18</v>
      </c>
      <c r="E39" s="36" t="s">
        <v>49</v>
      </c>
      <c r="F39" s="34">
        <v>2.15</v>
      </c>
      <c r="G39" s="15" t="s">
        <v>18</v>
      </c>
      <c r="M39"/>
      <c r="AB39" s="97"/>
      <c r="AC39" s="398" t="s">
        <v>30</v>
      </c>
      <c r="AD39" s="399"/>
      <c r="AE39" s="104">
        <f>AE38*AH37</f>
        <v>3.6962729999999997E-4</v>
      </c>
      <c r="AF39" s="15" t="s">
        <v>18</v>
      </c>
    </row>
    <row r="40" spans="1:55">
      <c r="A40" s="392" t="s">
        <v>5</v>
      </c>
      <c r="B40" s="392"/>
      <c r="C40" s="33">
        <v>1.35</v>
      </c>
      <c r="D40" s="15" t="s">
        <v>18</v>
      </c>
      <c r="E40" s="112"/>
      <c r="F40" s="112"/>
      <c r="G40" s="112"/>
      <c r="K40" s="15" t="s">
        <v>27</v>
      </c>
      <c r="M40" s="15" t="s">
        <v>40</v>
      </c>
      <c r="O40" s="15" t="s">
        <v>98</v>
      </c>
      <c r="P40" s="74">
        <f>B52</f>
        <v>4.0402019748287756</v>
      </c>
      <c r="Q40" s="15" t="s">
        <v>18</v>
      </c>
      <c r="AB40" s="97"/>
      <c r="AC40" s="97"/>
      <c r="AD40" s="97"/>
      <c r="AE40" s="97"/>
      <c r="AF40" s="23"/>
    </row>
    <row r="41" spans="1:55">
      <c r="A41" s="400" t="s">
        <v>17</v>
      </c>
      <c r="B41" s="401"/>
      <c r="C41" s="91">
        <f>SUM(C39:C40)</f>
        <v>1.5750000000000002</v>
      </c>
      <c r="D41" s="23" t="s">
        <v>18</v>
      </c>
      <c r="E41" s="112"/>
      <c r="F41" s="112"/>
      <c r="G41" s="112"/>
      <c r="K41" s="15" t="s">
        <v>34</v>
      </c>
      <c r="L41" s="15">
        <f>AD7+AG6+AE39+AH38+AV55+AY54+AV104+AY103</f>
        <v>3.3132440200000002E-2</v>
      </c>
      <c r="M41" s="76">
        <f>L41/P40</f>
        <v>8.2006890760465412E-3</v>
      </c>
      <c r="AA41" s="15">
        <f>AE38+AH36+AG54+AJ52</f>
        <v>17.431529999999999</v>
      </c>
    </row>
    <row r="42" spans="1:55">
      <c r="C42"/>
      <c r="D42"/>
      <c r="E42" s="112"/>
      <c r="F42" s="112"/>
      <c r="G42" s="112"/>
      <c r="I42" s="26"/>
      <c r="K42" s="15" t="s">
        <v>35</v>
      </c>
      <c r="L42" s="15">
        <f>AF24+AG55+AJ54+AY72+AX122+BA121</f>
        <v>8.4356137999999997E-2</v>
      </c>
      <c r="M42" s="76">
        <f>L42/P40</f>
        <v>2.0879188348888182E-2</v>
      </c>
      <c r="AK42" s="22"/>
    </row>
    <row r="43" spans="1:55">
      <c r="A43" s="36" t="s">
        <v>44</v>
      </c>
      <c r="B43" s="33">
        <v>0.2</v>
      </c>
      <c r="C43"/>
      <c r="D43"/>
      <c r="E43" s="112"/>
      <c r="F43" s="112"/>
      <c r="G43" s="112"/>
      <c r="H43" s="79"/>
      <c r="K43" s="15" t="s">
        <v>36</v>
      </c>
      <c r="L43" s="151">
        <f>O31+R30+S89+V88</f>
        <v>2.8897200000000001</v>
      </c>
      <c r="M43" s="147">
        <f>L43/P40</f>
        <v>0.71524147010557981</v>
      </c>
      <c r="N43" s="151"/>
      <c r="O43" s="151"/>
      <c r="AJ43" s="15">
        <f>AH36+AE38</f>
        <v>17.28153</v>
      </c>
      <c r="AK43" s="15">
        <f>AH38+AE39</f>
        <v>7.0854272999999988E-3</v>
      </c>
    </row>
    <row r="44" spans="1:55">
      <c r="A44" s="92" t="s">
        <v>17</v>
      </c>
      <c r="B44" s="90">
        <f>SUM(B43)</f>
        <v>0.2</v>
      </c>
      <c r="C44"/>
      <c r="D44"/>
      <c r="E44"/>
      <c r="K44" s="15" t="s">
        <v>17</v>
      </c>
      <c r="L44" s="151">
        <f>SUM(L41:L43)</f>
        <v>3.0072085782000002</v>
      </c>
      <c r="M44" s="147"/>
      <c r="N44" s="151"/>
      <c r="O44" s="151"/>
      <c r="P44" s="151"/>
      <c r="Q44" s="151"/>
      <c r="AG44" s="19"/>
      <c r="AH44" s="56"/>
      <c r="AI44" s="56"/>
      <c r="AJ44" s="56"/>
    </row>
    <row r="45" spans="1:55">
      <c r="C45"/>
      <c r="D45"/>
      <c r="E45">
        <f>C41+B44+F39</f>
        <v>3.9249999999999998</v>
      </c>
      <c r="K45" s="15" t="s">
        <v>37</v>
      </c>
      <c r="L45" s="145">
        <f>P40-L44</f>
        <v>1.0329933966287754</v>
      </c>
      <c r="M45" s="147">
        <f>L45/P40</f>
        <v>0.25567865246948546</v>
      </c>
      <c r="N45" s="151"/>
      <c r="O45" s="151"/>
      <c r="P45" s="151"/>
      <c r="Q45" s="151"/>
      <c r="AU45" s="97"/>
      <c r="AV45" s="97"/>
      <c r="AW45" s="97"/>
      <c r="AX45" s="97"/>
      <c r="AY45" s="97"/>
      <c r="AZ45" s="97"/>
      <c r="BA45" s="97"/>
      <c r="BB45" s="97"/>
      <c r="BC45" s="97"/>
    </row>
    <row r="46" spans="1:55">
      <c r="C46"/>
      <c r="D46"/>
      <c r="E46"/>
      <c r="M46" s="77">
        <f>SUM(M41:M45)</f>
        <v>1</v>
      </c>
      <c r="AU46" s="97"/>
      <c r="AV46" s="97"/>
      <c r="AW46" s="97"/>
      <c r="AX46" s="97"/>
      <c r="AY46" s="97"/>
      <c r="AZ46" s="97"/>
      <c r="BA46" s="97"/>
      <c r="BB46" s="97"/>
      <c r="BC46" s="97"/>
    </row>
    <row r="47" spans="1:55">
      <c r="A47" s="15" t="s">
        <v>66</v>
      </c>
      <c r="B47" s="15">
        <f>B44/D22</f>
        <v>0.19484316702639595</v>
      </c>
      <c r="C47" s="151" t="s">
        <v>62</v>
      </c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U47" s="97"/>
      <c r="AV47" s="97"/>
      <c r="AW47" s="97"/>
      <c r="AX47" s="97"/>
      <c r="AY47" s="97"/>
      <c r="AZ47" s="97"/>
      <c r="BA47" s="97"/>
      <c r="BB47" s="97"/>
      <c r="BC47" s="97"/>
    </row>
    <row r="48" spans="1:55">
      <c r="A48" s="15" t="s">
        <v>65</v>
      </c>
      <c r="B48" s="15">
        <f>C41/D22</f>
        <v>1.5343899403328682</v>
      </c>
      <c r="C48" s="15" t="s">
        <v>62</v>
      </c>
      <c r="Z48" s="97"/>
      <c r="AA48" s="97"/>
      <c r="AS48" s="97"/>
      <c r="AT48" s="97"/>
      <c r="AU48" s="97"/>
      <c r="AV48" s="97"/>
      <c r="AW48" s="97"/>
      <c r="AX48" s="97"/>
      <c r="AY48" s="97"/>
      <c r="AZ48" s="97"/>
      <c r="BA48" s="97"/>
    </row>
    <row r="49" spans="1:56">
      <c r="A49" s="15" t="s">
        <v>107</v>
      </c>
      <c r="B49" s="15">
        <f>F39/D22</f>
        <v>2.0945640455337564</v>
      </c>
      <c r="C49" s="15" t="s">
        <v>62</v>
      </c>
      <c r="Z49" s="97"/>
      <c r="AA49" s="97"/>
      <c r="AE49" s="47" t="s">
        <v>23</v>
      </c>
      <c r="AF49" s="47"/>
      <c r="AG49" s="47"/>
      <c r="AV49" s="374" t="s">
        <v>22</v>
      </c>
      <c r="AW49" s="375"/>
      <c r="AX49" s="375"/>
      <c r="AY49" s="375"/>
      <c r="AZ49" s="376"/>
      <c r="BA49" s="97"/>
    </row>
    <row r="50" spans="1:56" ht="21">
      <c r="A50" s="15" t="s">
        <v>102</v>
      </c>
      <c r="B50" s="15">
        <f>(G35/D22)*G19/1000</f>
        <v>0.76470120885433857</v>
      </c>
      <c r="C50" s="15" t="s">
        <v>18</v>
      </c>
      <c r="K50" s="161" t="s">
        <v>108</v>
      </c>
      <c r="L50" s="161"/>
      <c r="M50" s="161"/>
      <c r="N50" s="161"/>
      <c r="R50"/>
      <c r="Z50" s="97"/>
      <c r="AA50" s="97"/>
      <c r="AD50" s="101" t="s">
        <v>57</v>
      </c>
      <c r="AE50" s="101"/>
      <c r="AF50" s="101"/>
      <c r="AV50" s="101" t="s">
        <v>58</v>
      </c>
      <c r="AW50" s="101"/>
      <c r="AX50" s="101"/>
      <c r="AY50" s="102"/>
    </row>
    <row r="51" spans="1:56">
      <c r="A51" s="15" t="s">
        <v>67</v>
      </c>
      <c r="B51" s="15">
        <f>G19*(B47+B48+B49)/1000+B50</f>
        <v>0.96479802517122382</v>
      </c>
      <c r="C51" s="76">
        <f>B51/B52</f>
        <v>0.23879945388426085</v>
      </c>
      <c r="Q51"/>
      <c r="R51"/>
      <c r="Z51" s="97"/>
      <c r="AA51" s="97"/>
      <c r="AT51" s="16"/>
      <c r="AU51" s="17"/>
      <c r="AV51" s="18"/>
    </row>
    <row r="52" spans="1:56">
      <c r="A52" s="15" t="s">
        <v>64</v>
      </c>
      <c r="B52" s="74">
        <f>B21-B51</f>
        <v>4.0402019748287756</v>
      </c>
      <c r="C52" s="15" t="s">
        <v>18</v>
      </c>
      <c r="Z52" s="97"/>
      <c r="AA52" s="97"/>
      <c r="AB52" s="35" t="s">
        <v>53</v>
      </c>
      <c r="AC52" s="33"/>
      <c r="AD52" s="97" t="s">
        <v>18</v>
      </c>
      <c r="AE52" s="105" t="s">
        <v>3</v>
      </c>
      <c r="AF52" s="106"/>
      <c r="AG52" s="34">
        <v>0.08</v>
      </c>
      <c r="AH52" s="15" t="s">
        <v>18</v>
      </c>
      <c r="AI52" s="36" t="s">
        <v>49</v>
      </c>
      <c r="AJ52" s="34">
        <v>0.02</v>
      </c>
      <c r="AK52" s="97" t="s">
        <v>18</v>
      </c>
      <c r="AT52" s="105" t="s">
        <v>3</v>
      </c>
      <c r="AU52" s="106"/>
      <c r="AV52" s="34">
        <v>0.45179000000000002</v>
      </c>
      <c r="AW52" s="15" t="s">
        <v>18</v>
      </c>
      <c r="AX52" s="36" t="s">
        <v>49</v>
      </c>
      <c r="AY52" s="34">
        <v>8.06</v>
      </c>
      <c r="AZ52" s="97" t="s">
        <v>18</v>
      </c>
    </row>
    <row r="53" spans="1:56">
      <c r="D53"/>
      <c r="E53"/>
      <c r="F53"/>
      <c r="G53"/>
      <c r="H53"/>
      <c r="Z53" s="97"/>
      <c r="AA53" s="97"/>
      <c r="AB53" s="107" t="s">
        <v>54</v>
      </c>
      <c r="AC53" s="41"/>
      <c r="AD53" s="97" t="s">
        <v>18</v>
      </c>
      <c r="AE53" s="105" t="s">
        <v>4</v>
      </c>
      <c r="AF53" s="106"/>
      <c r="AG53" s="34">
        <v>0.05</v>
      </c>
      <c r="AH53" s="15" t="s">
        <v>18</v>
      </c>
      <c r="AI53" s="36" t="s">
        <v>27</v>
      </c>
      <c r="AJ53" s="34">
        <f>28.94/100</f>
        <v>0.28939999999999999</v>
      </c>
      <c r="AK53" s="97" t="s">
        <v>33</v>
      </c>
      <c r="AM53" s="15">
        <f>AJ52+AG54</f>
        <v>0.15</v>
      </c>
      <c r="AN53" s="15">
        <f>AJ54+AG55</f>
        <v>4.3410000000000004E-2</v>
      </c>
      <c r="AT53" s="105" t="s">
        <v>4</v>
      </c>
      <c r="AU53" s="106"/>
      <c r="AV53" s="34">
        <v>0.55000000000000004</v>
      </c>
      <c r="AW53" s="15" t="s">
        <v>18</v>
      </c>
      <c r="AX53" s="36" t="s">
        <v>27</v>
      </c>
      <c r="AY53" s="34">
        <f>0.077/100</f>
        <v>7.6999999999999996E-4</v>
      </c>
      <c r="AZ53" s="97" t="s">
        <v>33</v>
      </c>
    </row>
    <row r="54" spans="1:56">
      <c r="D54" s="379"/>
      <c r="E54" s="379"/>
      <c r="F54" s="379"/>
      <c r="G54" s="379"/>
      <c r="H54"/>
      <c r="Z54" s="97"/>
      <c r="AA54" s="97"/>
      <c r="AB54" s="34" t="s">
        <v>17</v>
      </c>
      <c r="AC54" s="34"/>
      <c r="AD54" s="97" t="s">
        <v>18</v>
      </c>
      <c r="AE54" s="105" t="s">
        <v>17</v>
      </c>
      <c r="AF54" s="106"/>
      <c r="AG54" s="34">
        <f>SUM(AG52:AG53)</f>
        <v>0.13</v>
      </c>
      <c r="AH54" s="15" t="s">
        <v>18</v>
      </c>
      <c r="AI54" s="67" t="s">
        <v>30</v>
      </c>
      <c r="AJ54" s="37">
        <f>AJ53*AJ52</f>
        <v>5.7879999999999997E-3</v>
      </c>
      <c r="AK54" s="97" t="s">
        <v>18</v>
      </c>
      <c r="AT54" s="105" t="s">
        <v>17</v>
      </c>
      <c r="AU54" s="106"/>
      <c r="AV54" s="34">
        <f>SUM(AV52:AV53)</f>
        <v>1.0017900000000002</v>
      </c>
      <c r="AW54" s="15" t="s">
        <v>18</v>
      </c>
      <c r="AX54" s="67" t="s">
        <v>30</v>
      </c>
      <c r="AY54" s="37">
        <f>AY53*AY52</f>
        <v>6.2062000000000003E-3</v>
      </c>
      <c r="AZ54" s="97" t="s">
        <v>18</v>
      </c>
    </row>
    <row r="55" spans="1:56">
      <c r="D55"/>
      <c r="E55"/>
      <c r="F55"/>
      <c r="G55"/>
      <c r="H55"/>
      <c r="Z55" s="97"/>
      <c r="AD55" s="97"/>
      <c r="AE55" s="398" t="s">
        <v>30</v>
      </c>
      <c r="AF55" s="399"/>
      <c r="AG55" s="104">
        <f>AG54*AJ53</f>
        <v>3.7622000000000003E-2</v>
      </c>
      <c r="AH55" s="15" t="s">
        <v>18</v>
      </c>
      <c r="AS55" s="97"/>
      <c r="AT55" s="109" t="s">
        <v>30</v>
      </c>
      <c r="AU55" s="110"/>
      <c r="AV55" s="104">
        <f>AV54*AY53</f>
        <v>7.7137830000000007E-4</v>
      </c>
      <c r="AW55" s="15" t="s">
        <v>18</v>
      </c>
    </row>
    <row r="56" spans="1:56">
      <c r="D56"/>
      <c r="E56"/>
      <c r="F56"/>
      <c r="G56"/>
      <c r="H56"/>
      <c r="K56" s="31"/>
      <c r="Z56" s="97"/>
      <c r="AB56" s="97"/>
      <c r="AU56" s="97"/>
      <c r="AV56" s="97"/>
      <c r="AW56" s="97"/>
      <c r="AX56" s="97"/>
      <c r="AY56" s="23"/>
      <c r="BC56" s="15">
        <f>AY52+AV54</f>
        <v>9.0617900000000002</v>
      </c>
      <c r="BD56" s="15">
        <f>AY54+AV55</f>
        <v>6.9775783000000004E-3</v>
      </c>
    </row>
    <row r="57" spans="1:56">
      <c r="D57"/>
      <c r="E57"/>
      <c r="F57"/>
      <c r="G57"/>
      <c r="H57"/>
    </row>
    <row r="59" spans="1:56">
      <c r="J59" s="31"/>
      <c r="AS59" s="15">
        <f>AV54+AY52+AY71</f>
        <v>9.0836000000000006</v>
      </c>
    </row>
    <row r="60" spans="1:56">
      <c r="M60" s="31"/>
    </row>
    <row r="61" spans="1:56" ht="21">
      <c r="Q61" s="95" t="s">
        <v>50</v>
      </c>
      <c r="R61" s="95"/>
    </row>
    <row r="62" spans="1:56">
      <c r="O62" s="374" t="s">
        <v>46</v>
      </c>
      <c r="P62" s="375"/>
      <c r="Q62" s="375"/>
      <c r="R62" s="375"/>
      <c r="S62" s="375"/>
      <c r="T62" s="376"/>
    </row>
    <row r="64" spans="1:56">
      <c r="M64" s="112"/>
      <c r="O64" s="36" t="s">
        <v>3</v>
      </c>
      <c r="P64" s="34">
        <v>0.19</v>
      </c>
      <c r="Q64" s="15" t="s">
        <v>18</v>
      </c>
      <c r="R64" s="36" t="s">
        <v>49</v>
      </c>
      <c r="S64" s="73">
        <f>AS59+AR108</f>
        <v>24.738109999999999</v>
      </c>
      <c r="T64" s="97" t="s">
        <v>18</v>
      </c>
    </row>
    <row r="65" spans="11:55">
      <c r="M65" s="112"/>
      <c r="O65" s="36" t="s">
        <v>4</v>
      </c>
      <c r="P65" s="34">
        <v>0.41</v>
      </c>
      <c r="Q65" s="15" t="s">
        <v>18</v>
      </c>
      <c r="R65" s="36" t="s">
        <v>27</v>
      </c>
      <c r="S65" s="34">
        <f>0.223/100</f>
        <v>2.2300000000000002E-3</v>
      </c>
      <c r="T65" s="97" t="s">
        <v>33</v>
      </c>
      <c r="AS65" s="23"/>
    </row>
    <row r="66" spans="11:55">
      <c r="M66" s="112"/>
      <c r="O66" s="103" t="s">
        <v>17</v>
      </c>
      <c r="P66" s="73">
        <f>SUM(P64:P65)</f>
        <v>0.6</v>
      </c>
      <c r="Q66" s="15" t="s">
        <v>18</v>
      </c>
      <c r="R66" s="82" t="s">
        <v>30</v>
      </c>
      <c r="S66" s="37"/>
      <c r="T66" s="97" t="s">
        <v>18</v>
      </c>
      <c r="AW66" s="47" t="s">
        <v>23</v>
      </c>
      <c r="AX66" s="47"/>
      <c r="AY66" s="47"/>
    </row>
    <row r="67" spans="11:55" ht="21">
      <c r="M67" s="226" t="s">
        <v>144</v>
      </c>
      <c r="O67" s="67" t="s">
        <v>30</v>
      </c>
      <c r="P67" s="37">
        <f>P66*S65</f>
        <v>1.338E-3</v>
      </c>
      <c r="Q67" s="15" t="s">
        <v>18</v>
      </c>
      <c r="AV67" s="101" t="s">
        <v>59</v>
      </c>
      <c r="AW67" s="101"/>
      <c r="AX67" s="101"/>
    </row>
    <row r="69" spans="11:55">
      <c r="AT69" s="35" t="s">
        <v>53</v>
      </c>
      <c r="AU69" s="33"/>
      <c r="AV69" s="97" t="s">
        <v>18</v>
      </c>
      <c r="AW69" s="105" t="s">
        <v>3</v>
      </c>
      <c r="AX69" s="106"/>
      <c r="AY69" s="34">
        <v>9.0900000000000009E-3</v>
      </c>
      <c r="AZ69" s="15" t="s">
        <v>18</v>
      </c>
      <c r="BA69" s="36" t="s">
        <v>49</v>
      </c>
      <c r="BB69" s="34">
        <v>0</v>
      </c>
      <c r="BC69" s="97" t="s">
        <v>18</v>
      </c>
    </row>
    <row r="70" spans="11:55">
      <c r="O70" s="80"/>
      <c r="P70" s="80"/>
      <c r="Q70" s="16"/>
      <c r="T70"/>
      <c r="AT70" s="107" t="s">
        <v>54</v>
      </c>
      <c r="AU70" s="41"/>
      <c r="AV70" s="97" t="s">
        <v>18</v>
      </c>
      <c r="AW70" s="105" t="s">
        <v>4</v>
      </c>
      <c r="AX70" s="106"/>
      <c r="AY70" s="34">
        <v>1.272E-2</v>
      </c>
      <c r="AZ70" s="15" t="s">
        <v>18</v>
      </c>
      <c r="BA70" s="36" t="s">
        <v>27</v>
      </c>
      <c r="BB70" s="34">
        <f>21.5/100</f>
        <v>0.215</v>
      </c>
      <c r="BC70" s="97" t="s">
        <v>33</v>
      </c>
    </row>
    <row r="71" spans="11:55">
      <c r="AT71" s="34" t="s">
        <v>17</v>
      </c>
      <c r="AU71" s="34"/>
      <c r="AV71" s="97" t="s">
        <v>18</v>
      </c>
      <c r="AW71" s="105" t="s">
        <v>17</v>
      </c>
      <c r="AX71" s="106"/>
      <c r="AY71" s="34">
        <f>SUM(AY69:AY70)</f>
        <v>2.1810000000000003E-2</v>
      </c>
      <c r="AZ71" s="15" t="s">
        <v>18</v>
      </c>
      <c r="BA71" s="67" t="s">
        <v>30</v>
      </c>
      <c r="BB71" s="37"/>
      <c r="BC71" s="97" t="s">
        <v>18</v>
      </c>
    </row>
    <row r="72" spans="11:55">
      <c r="K72" s="31">
        <f>P66+S64+S88+V86</f>
        <v>27.138110000000001</v>
      </c>
      <c r="M72" s="31"/>
      <c r="AV72" s="97"/>
      <c r="AW72" s="398" t="s">
        <v>30</v>
      </c>
      <c r="AX72" s="399"/>
      <c r="AY72" s="104">
        <f>AY71*BB70</f>
        <v>4.6891500000000004E-3</v>
      </c>
      <c r="AZ72" s="15" t="s">
        <v>18</v>
      </c>
    </row>
    <row r="73" spans="11:55">
      <c r="AT73" s="97"/>
    </row>
    <row r="76" spans="11:55">
      <c r="AT76" s="97"/>
      <c r="BB76" s="15" t="s">
        <v>145</v>
      </c>
    </row>
    <row r="82" spans="15:56" ht="21">
      <c r="P82" s="98" t="s">
        <v>51</v>
      </c>
      <c r="Q82" s="48"/>
    </row>
    <row r="83" spans="15:56">
      <c r="Q83" s="99" t="s">
        <v>20</v>
      </c>
      <c r="R83" s="100"/>
      <c r="AF83" s="23"/>
    </row>
    <row r="86" spans="15:56">
      <c r="O86" s="67" t="s">
        <v>1</v>
      </c>
      <c r="P86" s="34"/>
      <c r="Q86" s="15" t="s">
        <v>18</v>
      </c>
      <c r="R86" s="36" t="s">
        <v>3</v>
      </c>
      <c r="S86" s="34">
        <v>0.19</v>
      </c>
      <c r="T86" s="15" t="s">
        <v>18</v>
      </c>
      <c r="U86" s="36" t="s">
        <v>49</v>
      </c>
      <c r="V86" s="34">
        <v>1.45</v>
      </c>
      <c r="W86" s="97" t="s">
        <v>18</v>
      </c>
    </row>
    <row r="87" spans="15:56">
      <c r="O87" s="67" t="s">
        <v>9</v>
      </c>
      <c r="P87" s="64"/>
      <c r="Q87" s="15" t="s">
        <v>18</v>
      </c>
      <c r="R87" s="36" t="s">
        <v>4</v>
      </c>
      <c r="S87" s="34">
        <v>0.16</v>
      </c>
      <c r="T87" s="15" t="s">
        <v>18</v>
      </c>
      <c r="U87" s="36" t="s">
        <v>27</v>
      </c>
      <c r="V87" s="34">
        <f>43.5/100</f>
        <v>0.435</v>
      </c>
      <c r="W87" s="97" t="s">
        <v>33</v>
      </c>
    </row>
    <row r="88" spans="15:56">
      <c r="O88" s="34" t="s">
        <v>17</v>
      </c>
      <c r="P88" s="91">
        <f>SUM(Q86:Q87)</f>
        <v>0</v>
      </c>
      <c r="Q88" s="23" t="s">
        <v>18</v>
      </c>
      <c r="R88" s="103" t="s">
        <v>17</v>
      </c>
      <c r="S88" s="34">
        <f>SUM(S86:S87)</f>
        <v>0.35</v>
      </c>
      <c r="T88" s="15" t="s">
        <v>18</v>
      </c>
      <c r="U88" s="67" t="s">
        <v>30</v>
      </c>
      <c r="V88" s="37">
        <f>V87*V86</f>
        <v>0.63075000000000003</v>
      </c>
      <c r="W88" t="s">
        <v>18</v>
      </c>
    </row>
    <row r="89" spans="15:56">
      <c r="R89" s="67" t="s">
        <v>30</v>
      </c>
      <c r="S89" s="37">
        <f>S88*V87</f>
        <v>0.15225</v>
      </c>
      <c r="T89" s="15" t="s">
        <v>18</v>
      </c>
    </row>
    <row r="93" spans="15:56">
      <c r="S93" s="15">
        <f>V86+S88</f>
        <v>1.7999999999999998</v>
      </c>
      <c r="T93" s="15">
        <f>V88+S89</f>
        <v>0.78300000000000003</v>
      </c>
      <c r="AQ93" s="97"/>
      <c r="AR93" s="97"/>
      <c r="AS93" s="97"/>
      <c r="AT93" s="97"/>
      <c r="AU93" s="97"/>
      <c r="AV93" s="97"/>
      <c r="AW93" s="97"/>
      <c r="AX93" s="97"/>
      <c r="AY93" s="97"/>
      <c r="AZ93" s="97"/>
      <c r="BA93" s="97"/>
      <c r="BB93" s="97"/>
      <c r="BC93" s="97"/>
      <c r="BD93" s="97"/>
    </row>
    <row r="94" spans="15:56">
      <c r="AQ94" s="97"/>
      <c r="AR94" s="97"/>
      <c r="AS94" s="97"/>
      <c r="AT94" s="97"/>
      <c r="AU94" s="97"/>
      <c r="AV94" s="97"/>
      <c r="AW94" s="97"/>
      <c r="AX94" s="97"/>
      <c r="AY94" s="97"/>
      <c r="AZ94" s="97"/>
      <c r="BA94" s="97"/>
      <c r="BB94" s="97"/>
      <c r="BC94" s="97"/>
      <c r="BD94" s="97"/>
    </row>
    <row r="95" spans="15:56">
      <c r="AQ95" s="97"/>
      <c r="AR95" s="97"/>
      <c r="AS95" s="97"/>
      <c r="AT95" s="97"/>
      <c r="AU95" s="97"/>
      <c r="AV95" s="97"/>
      <c r="AW95" s="97"/>
      <c r="AX95" s="97"/>
      <c r="AY95" s="97"/>
      <c r="AZ95" s="97"/>
      <c r="BA95" s="97"/>
      <c r="BB95" s="97"/>
      <c r="BC95" s="97"/>
      <c r="BD95" s="97"/>
    </row>
    <row r="96" spans="15:56">
      <c r="AQ96" s="97"/>
      <c r="AR96" s="97"/>
      <c r="AS96" s="97"/>
      <c r="AT96" s="97"/>
      <c r="AU96" s="97"/>
      <c r="AV96" s="97"/>
      <c r="AW96" s="97"/>
      <c r="AX96" s="97"/>
      <c r="AY96" s="97"/>
      <c r="AZ96" s="97"/>
      <c r="BA96" s="97"/>
      <c r="BB96" s="97"/>
      <c r="BC96" s="97"/>
      <c r="BD96" s="97"/>
    </row>
    <row r="97" spans="14:56">
      <c r="AG97" s="77"/>
      <c r="AQ97" s="97"/>
      <c r="AR97" s="97"/>
      <c r="AS97" s="97"/>
      <c r="AT97" s="97"/>
      <c r="AU97" s="37"/>
      <c r="AV97" s="37"/>
      <c r="AW97" s="83" t="s">
        <v>22</v>
      </c>
      <c r="AX97" s="83"/>
      <c r="AY97" s="108"/>
      <c r="BC97" s="97"/>
      <c r="BD97" s="97"/>
    </row>
    <row r="98" spans="14:56" ht="21">
      <c r="AQ98" s="97"/>
      <c r="AR98" s="97"/>
      <c r="AS98" s="97"/>
      <c r="AT98" s="97"/>
      <c r="AU98" s="101" t="s">
        <v>60</v>
      </c>
      <c r="AV98" s="101"/>
      <c r="AW98" s="101"/>
      <c r="AX98" s="102"/>
      <c r="BD98" s="97"/>
    </row>
    <row r="99" spans="14:56">
      <c r="AQ99" s="97"/>
      <c r="AR99" s="97"/>
      <c r="AS99" s="97"/>
      <c r="AT99" s="97"/>
      <c r="AV99" s="16"/>
      <c r="AW99" s="17"/>
      <c r="AX99" s="97"/>
      <c r="AY99" s="97"/>
      <c r="BD99" s="97"/>
    </row>
    <row r="100" spans="14:56">
      <c r="AQ100" s="97"/>
      <c r="AR100" s="97"/>
      <c r="AS100" s="97"/>
      <c r="AT100" s="97"/>
      <c r="AX100" s="97"/>
      <c r="AY100" s="97"/>
      <c r="BD100" s="97"/>
    </row>
    <row r="101" spans="14:56">
      <c r="O101" s="77"/>
      <c r="AQ101" s="97"/>
      <c r="AR101" s="97"/>
      <c r="AS101" s="97"/>
      <c r="AT101" s="105" t="s">
        <v>3</v>
      </c>
      <c r="AU101" s="106"/>
      <c r="AV101" s="34">
        <v>0.41143000000000002</v>
      </c>
      <c r="AW101" s="15" t="s">
        <v>18</v>
      </c>
      <c r="AX101" s="36" t="s">
        <v>49</v>
      </c>
      <c r="AY101" s="34">
        <v>14.41</v>
      </c>
      <c r="AZ101" s="97" t="s">
        <v>18</v>
      </c>
      <c r="BD101" s="97"/>
    </row>
    <row r="102" spans="14:56">
      <c r="AQ102" s="97"/>
      <c r="AR102" s="97"/>
      <c r="AS102" s="97"/>
      <c r="AT102" s="105" t="s">
        <v>4</v>
      </c>
      <c r="AU102" s="106"/>
      <c r="AV102" s="34">
        <v>0.71</v>
      </c>
      <c r="AW102" s="15" t="s">
        <v>18</v>
      </c>
      <c r="AX102" s="36" t="s">
        <v>27</v>
      </c>
      <c r="AY102" s="34">
        <f>0.044/100</f>
        <v>4.3999999999999996E-4</v>
      </c>
      <c r="AZ102" s="97" t="s">
        <v>33</v>
      </c>
      <c r="BD102" s="97"/>
    </row>
    <row r="103" spans="14:56">
      <c r="N103" s="74"/>
      <c r="AT103" s="105" t="s">
        <v>17</v>
      </c>
      <c r="AU103" s="106"/>
      <c r="AV103" s="34">
        <f>SUM(AV101:AW102)</f>
        <v>1.1214299999999999</v>
      </c>
      <c r="AW103" s="15" t="s">
        <v>18</v>
      </c>
      <c r="AX103" s="67" t="s">
        <v>30</v>
      </c>
      <c r="AY103" s="37">
        <f>AY102*AY101</f>
        <v>6.3403999999999995E-3</v>
      </c>
      <c r="AZ103" s="97" t="s">
        <v>18</v>
      </c>
      <c r="BB103" s="15">
        <f>AY101+AV103</f>
        <v>15.53143</v>
      </c>
      <c r="BC103" s="15">
        <f>AY103+AV104</f>
        <v>6.8338291999999997E-3</v>
      </c>
    </row>
    <row r="104" spans="14:56">
      <c r="N104" s="76"/>
      <c r="AT104" s="109" t="s">
        <v>30</v>
      </c>
      <c r="AU104" s="110"/>
      <c r="AV104" s="104">
        <f>AV103*AY102</f>
        <v>4.9342919999999994E-4</v>
      </c>
      <c r="AW104" s="15" t="s">
        <v>18</v>
      </c>
    </row>
    <row r="108" spans="14:56">
      <c r="AR108" s="15">
        <f>AV103+AY101+AX121+BA119</f>
        <v>15.65451</v>
      </c>
    </row>
    <row r="115" spans="44:61">
      <c r="BH115" s="27"/>
      <c r="BI115" s="27"/>
    </row>
    <row r="116" spans="44:61">
      <c r="AW116" s="47" t="s">
        <v>23</v>
      </c>
      <c r="AX116" s="47"/>
      <c r="AY116" s="47"/>
      <c r="BI116" s="22"/>
    </row>
    <row r="117" spans="44:61" ht="21">
      <c r="AS117" s="97"/>
      <c r="AT117" s="97"/>
      <c r="AU117" s="97"/>
      <c r="AV117" s="101" t="s">
        <v>61</v>
      </c>
      <c r="AW117" s="101"/>
      <c r="AX117" s="101"/>
      <c r="BA117" s="97"/>
      <c r="BB117" s="97"/>
      <c r="BC117" s="97"/>
    </row>
    <row r="118" spans="44:61">
      <c r="AR118" s="97"/>
      <c r="AS118" s="97"/>
      <c r="BE118" s="19"/>
      <c r="BF118" s="56"/>
      <c r="BG118" s="56"/>
      <c r="BH118" s="56"/>
    </row>
    <row r="119" spans="44:61">
      <c r="AR119" s="97"/>
      <c r="AS119" s="35" t="s">
        <v>53</v>
      </c>
      <c r="AT119" s="33"/>
      <c r="AU119" s="97" t="s">
        <v>18</v>
      </c>
      <c r="AV119" s="105" t="s">
        <v>3</v>
      </c>
      <c r="AW119" s="106"/>
      <c r="AX119" s="34">
        <v>7.3080000000000006E-2</v>
      </c>
      <c r="AY119" s="15" t="s">
        <v>18</v>
      </c>
      <c r="AZ119" s="36" t="s">
        <v>49</v>
      </c>
      <c r="BA119" s="34">
        <v>0.01</v>
      </c>
      <c r="BB119" s="97" t="s">
        <v>18</v>
      </c>
    </row>
    <row r="120" spans="44:61">
      <c r="AR120" s="97"/>
      <c r="AS120" s="107" t="s">
        <v>54</v>
      </c>
      <c r="AT120" s="41"/>
      <c r="AU120" s="97" t="s">
        <v>18</v>
      </c>
      <c r="AV120" s="105" t="s">
        <v>4</v>
      </c>
      <c r="AW120" s="106"/>
      <c r="AX120" s="34">
        <v>0.04</v>
      </c>
      <c r="AY120" s="15" t="s">
        <v>18</v>
      </c>
      <c r="AZ120" s="36" t="s">
        <v>27</v>
      </c>
      <c r="BA120" s="34">
        <f>27.43/100</f>
        <v>0.27429999999999999</v>
      </c>
      <c r="BB120" s="97" t="s">
        <v>33</v>
      </c>
    </row>
    <row r="121" spans="44:61">
      <c r="AR121" s="97"/>
      <c r="AS121" s="34" t="s">
        <v>17</v>
      </c>
      <c r="AT121" s="34"/>
      <c r="AU121" s="97" t="s">
        <v>18</v>
      </c>
      <c r="AV121" s="105" t="s">
        <v>17</v>
      </c>
      <c r="AW121" s="106"/>
      <c r="AX121" s="34">
        <f>SUM(AX119:AX120)</f>
        <v>0.11308000000000001</v>
      </c>
      <c r="AY121" s="15" t="s">
        <v>18</v>
      </c>
      <c r="AZ121" s="67" t="s">
        <v>30</v>
      </c>
      <c r="BA121" s="37">
        <f>BA120*BA119</f>
        <v>2.7429999999999998E-3</v>
      </c>
      <c r="BB121" s="97" t="s">
        <v>18</v>
      </c>
    </row>
    <row r="122" spans="44:61">
      <c r="AR122" s="97"/>
      <c r="AU122" s="97"/>
      <c r="AV122" s="398" t="s">
        <v>30</v>
      </c>
      <c r="AW122" s="399"/>
      <c r="AX122" s="104">
        <f>AX121*BA120</f>
        <v>3.1017844000000003E-2</v>
      </c>
      <c r="AY122" s="15" t="s">
        <v>18</v>
      </c>
    </row>
    <row r="123" spans="44:61">
      <c r="AR123" s="97"/>
      <c r="AS123" s="97"/>
    </row>
    <row r="124" spans="44:61">
      <c r="AR124" s="97"/>
      <c r="AS124" s="97"/>
      <c r="BC124" s="15">
        <f>BA119+AX121</f>
        <v>0.12308000000000001</v>
      </c>
      <c r="BD124" s="15">
        <f>BA121+AX122</f>
        <v>3.3760844000000005E-2</v>
      </c>
    </row>
    <row r="125" spans="44:61">
      <c r="AR125" s="97"/>
    </row>
    <row r="126" spans="44:61">
      <c r="AR126" s="97"/>
      <c r="AT126" s="97"/>
    </row>
    <row r="127" spans="44:61">
      <c r="AR127" s="97"/>
    </row>
    <row r="128" spans="44:61">
      <c r="AR128" s="97"/>
      <c r="AS128" s="97"/>
      <c r="AT128" s="97"/>
      <c r="AU128" s="97"/>
      <c r="AV128" s="97"/>
      <c r="AW128" s="97"/>
      <c r="AX128" s="97"/>
      <c r="AY128" s="97"/>
      <c r="AZ128" s="97"/>
      <c r="BA128" s="97"/>
      <c r="BB128" s="97"/>
      <c r="BC128" s="97"/>
    </row>
  </sheetData>
  <mergeCells count="15">
    <mergeCell ref="D54:G54"/>
    <mergeCell ref="A41:B41"/>
    <mergeCell ref="A40:B40"/>
    <mergeCell ref="P26:Q26"/>
    <mergeCell ref="A39:B39"/>
    <mergeCell ref="O62:T62"/>
    <mergeCell ref="AD1:AG1"/>
    <mergeCell ref="AE33:AI33"/>
    <mergeCell ref="AV49:AZ49"/>
    <mergeCell ref="AV122:AW122"/>
    <mergeCell ref="AW72:AX72"/>
    <mergeCell ref="AB7:AC7"/>
    <mergeCell ref="AD24:AE24"/>
    <mergeCell ref="AC39:AD39"/>
    <mergeCell ref="AE55:AF5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T1" zoomScale="60" zoomScaleNormal="60" workbookViewId="0">
      <selection activeCell="T29" sqref="T29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2.42578125" style="15" customWidth="1"/>
    <col min="7" max="7" width="9.140625" style="15"/>
    <col min="8" max="8" width="11" style="15" customWidth="1"/>
    <col min="9" max="9" width="12.7109375" style="15" customWidth="1"/>
    <col min="10" max="10" width="13.5703125" style="15" customWidth="1"/>
    <col min="11" max="11" width="10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7" width="12" style="15" customWidth="1"/>
    <col min="18" max="18" width="14.5703125" style="15" customWidth="1"/>
    <col min="19" max="19" width="9.140625" style="15"/>
    <col min="20" max="20" width="10.85546875" style="15" customWidth="1"/>
    <col min="21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7">
      <c r="AD1" s="130"/>
      <c r="AE1" s="34"/>
      <c r="AF1" s="123" t="s">
        <v>22</v>
      </c>
      <c r="AG1" s="123"/>
      <c r="AH1" s="127"/>
      <c r="AI1" s="127"/>
    </row>
    <row r="2" spans="9:37" ht="21">
      <c r="O2" s="22"/>
      <c r="R2" s="127"/>
      <c r="S2" s="127"/>
      <c r="T2" s="127"/>
      <c r="U2" s="127"/>
      <c r="AD2" s="101" t="s">
        <v>84</v>
      </c>
      <c r="AE2" s="101"/>
      <c r="AF2" s="101"/>
      <c r="AG2" s="102"/>
    </row>
    <row r="3" spans="9:37">
      <c r="R3" s="127"/>
      <c r="S3" s="127"/>
      <c r="T3" s="127"/>
      <c r="U3" s="127"/>
      <c r="AB3" s="16"/>
      <c r="AC3" s="17"/>
      <c r="AD3" s="18"/>
    </row>
    <row r="4" spans="9:37">
      <c r="AB4" s="105" t="s">
        <v>3</v>
      </c>
      <c r="AC4" s="106"/>
      <c r="AD4" s="73">
        <v>0.48257</v>
      </c>
      <c r="AE4" s="15" t="s">
        <v>18</v>
      </c>
      <c r="AF4" s="36" t="s">
        <v>49</v>
      </c>
      <c r="AG4" s="34">
        <v>19.91</v>
      </c>
      <c r="AH4" s="127" t="s">
        <v>18</v>
      </c>
    </row>
    <row r="5" spans="9:37" ht="21" customHeight="1">
      <c r="I5" s="122"/>
      <c r="J5" s="24"/>
      <c r="S5" s="127"/>
      <c r="AB5" s="105" t="s">
        <v>4</v>
      </c>
      <c r="AC5" s="106"/>
      <c r="AD5" s="34">
        <v>0.64</v>
      </c>
      <c r="AE5" s="15" t="s">
        <v>18</v>
      </c>
      <c r="AF5" s="36" t="s">
        <v>27</v>
      </c>
      <c r="AG5" s="34">
        <f>0.131/100</f>
        <v>1.31E-3</v>
      </c>
      <c r="AH5" s="127" t="s">
        <v>33</v>
      </c>
    </row>
    <row r="6" spans="9:37" ht="21">
      <c r="I6" s="127"/>
      <c r="J6" s="127"/>
      <c r="K6" s="127"/>
      <c r="L6" s="127"/>
      <c r="O6" s="98" t="s">
        <v>80</v>
      </c>
      <c r="P6" s="98"/>
      <c r="Q6" s="98"/>
      <c r="S6" s="127"/>
      <c r="AB6" s="105" t="s">
        <v>17</v>
      </c>
      <c r="AC6" s="106"/>
      <c r="AD6" s="73">
        <f>SUM(AD4:AD5)</f>
        <v>1.1225700000000001</v>
      </c>
      <c r="AE6" s="15" t="s">
        <v>18</v>
      </c>
      <c r="AF6" s="67" t="s">
        <v>30</v>
      </c>
      <c r="AG6" s="37">
        <f>AG5*AG4</f>
        <v>2.60821E-2</v>
      </c>
      <c r="AH6" s="127" t="s">
        <v>18</v>
      </c>
      <c r="AJ6" s="31">
        <f>AG4+AD6</f>
        <v>21.03257</v>
      </c>
      <c r="AK6" s="15">
        <f>AD7+AG6</f>
        <v>2.7552666699999999E-2</v>
      </c>
    </row>
    <row r="7" spans="9:37" ht="15.75" customHeight="1">
      <c r="I7" s="127"/>
      <c r="J7" s="127"/>
      <c r="K7" s="127"/>
      <c r="L7" s="127"/>
      <c r="N7" s="47" t="s">
        <v>46</v>
      </c>
      <c r="O7" s="96"/>
      <c r="P7" s="96"/>
      <c r="Q7" s="34"/>
      <c r="R7" s="34"/>
      <c r="S7" s="127"/>
      <c r="AA7" s="127"/>
      <c r="AB7" s="398" t="s">
        <v>30</v>
      </c>
      <c r="AC7" s="399"/>
      <c r="AD7" s="104">
        <f>AG5*AD6</f>
        <v>1.4705667E-3</v>
      </c>
      <c r="AE7" s="15" t="s">
        <v>18</v>
      </c>
    </row>
    <row r="8" spans="9:37">
      <c r="I8" s="127"/>
      <c r="J8" s="127"/>
      <c r="K8" s="127"/>
      <c r="L8" s="127"/>
      <c r="S8" s="127"/>
      <c r="AA8" s="127"/>
      <c r="AB8" s="127"/>
      <c r="AC8" s="127"/>
      <c r="AD8" s="127"/>
      <c r="AE8" s="23"/>
      <c r="AK8" s="15">
        <f>AK6+BC54</f>
        <v>4.5745932700000005E-2</v>
      </c>
    </row>
    <row r="9" spans="9:37">
      <c r="I9" s="127"/>
      <c r="J9" s="127"/>
      <c r="K9" s="127"/>
      <c r="L9" s="127"/>
      <c r="M9" s="127"/>
      <c r="Q9" s="23"/>
      <c r="W9" s="127"/>
    </row>
    <row r="10" spans="9:37">
      <c r="I10" s="127"/>
      <c r="J10" s="127"/>
      <c r="K10" s="127"/>
      <c r="L10" s="127"/>
      <c r="M10" s="127"/>
      <c r="N10" s="36" t="s">
        <v>3</v>
      </c>
      <c r="O10" s="34">
        <v>0.22</v>
      </c>
      <c r="P10" s="15" t="s">
        <v>18</v>
      </c>
      <c r="Q10" s="36" t="s">
        <v>49</v>
      </c>
      <c r="R10" s="73">
        <f>Z10+Z41</f>
        <v>40.528409999999994</v>
      </c>
      <c r="S10" s="127" t="s">
        <v>18</v>
      </c>
      <c r="W10" s="127"/>
      <c r="Z10" s="31">
        <f>AG4+AD6+AB23+AF23+AI21</f>
        <v>21.765629999999998</v>
      </c>
    </row>
    <row r="11" spans="9:37">
      <c r="J11" s="54"/>
      <c r="K11" s="54"/>
      <c r="L11" s="19"/>
      <c r="M11" s="127"/>
      <c r="N11" s="36" t="s">
        <v>4</v>
      </c>
      <c r="O11" s="34">
        <v>0.22</v>
      </c>
      <c r="P11" s="15" t="s">
        <v>18</v>
      </c>
      <c r="Q11" s="36" t="s">
        <v>27</v>
      </c>
      <c r="R11" s="34">
        <f>0.325/100</f>
        <v>3.2500000000000003E-3</v>
      </c>
      <c r="S11" s="127" t="s">
        <v>33</v>
      </c>
      <c r="W11" s="127"/>
    </row>
    <row r="12" spans="9:37">
      <c r="M12" s="127"/>
      <c r="N12" s="103" t="s">
        <v>17</v>
      </c>
      <c r="O12" s="34">
        <f>SUM(O10:O11)</f>
        <v>0.44</v>
      </c>
      <c r="P12" s="15" t="s">
        <v>18</v>
      </c>
      <c r="Q12" s="67" t="s">
        <v>30</v>
      </c>
      <c r="R12" s="37"/>
      <c r="S12" s="127" t="s">
        <v>18</v>
      </c>
      <c r="W12" s="127"/>
    </row>
    <row r="13" spans="9:37">
      <c r="N13" s="124" t="s">
        <v>30</v>
      </c>
      <c r="O13" s="37">
        <f>O12*R11</f>
        <v>1.4300000000000001E-3</v>
      </c>
      <c r="P13" s="15" t="s">
        <v>18</v>
      </c>
      <c r="S13" s="127"/>
      <c r="W13" s="127"/>
    </row>
    <row r="15" spans="9:37">
      <c r="Z15" s="23"/>
    </row>
    <row r="17" spans="1:39">
      <c r="H17" s="122"/>
    </row>
    <row r="18" spans="1:39" ht="18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J18" s="31"/>
      <c r="K18" s="31">
        <f>O12+R10+L30+O30+R28</f>
        <v>51.498409999999993</v>
      </c>
      <c r="L18" s="31"/>
      <c r="AE18" s="47" t="s">
        <v>23</v>
      </c>
      <c r="AF18" s="47"/>
      <c r="AG18" s="47"/>
    </row>
    <row r="19" spans="1:39" ht="21">
      <c r="A19" s="89" t="s">
        <v>14</v>
      </c>
      <c r="B19" s="85">
        <v>95.99</v>
      </c>
      <c r="C19" s="85">
        <f>B19/D19</f>
        <v>96.201643615955092</v>
      </c>
      <c r="D19" s="86">
        <v>0.99780000000000002</v>
      </c>
      <c r="G19" s="15">
        <f>B21/C22*1000</f>
        <v>75.222408096195778</v>
      </c>
      <c r="H19" s="24"/>
      <c r="AC19" s="127"/>
      <c r="AD19" s="101" t="s">
        <v>85</v>
      </c>
      <c r="AE19" s="101"/>
      <c r="AF19" s="101"/>
    </row>
    <row r="20" spans="1:39" ht="18">
      <c r="A20" s="89" t="s">
        <v>15</v>
      </c>
      <c r="B20" s="85">
        <v>0.10015</v>
      </c>
      <c r="C20" s="86">
        <f>B20/D20</f>
        <v>9.3598130841121494E-2</v>
      </c>
      <c r="D20" s="89">
        <v>1.07</v>
      </c>
      <c r="H20" s="24"/>
      <c r="X20" s="19"/>
      <c r="AA20" s="18"/>
      <c r="AB20" s="18"/>
      <c r="AC20" s="127"/>
      <c r="AD20" s="16"/>
      <c r="AE20" s="127"/>
      <c r="AF20" s="127"/>
      <c r="AG20" s="127"/>
      <c r="AH20" s="127"/>
      <c r="AI20" s="127"/>
      <c r="AJ20" s="127"/>
    </row>
    <row r="21" spans="1:39" ht="18">
      <c r="A21" s="89" t="s">
        <v>16</v>
      </c>
      <c r="B21" s="93">
        <v>7.5</v>
      </c>
      <c r="C21" s="86">
        <f>B21/D21</f>
        <v>3.4090909090909087</v>
      </c>
      <c r="D21" s="86">
        <v>2.2000000000000002</v>
      </c>
      <c r="AA21" s="35" t="s">
        <v>53</v>
      </c>
      <c r="AB21" s="33">
        <v>0.28999999999999998</v>
      </c>
      <c r="AC21" s="127" t="s">
        <v>18</v>
      </c>
      <c r="AD21" s="105" t="s">
        <v>3</v>
      </c>
      <c r="AE21" s="106"/>
      <c r="AF21" s="73">
        <v>0.17305999999999999</v>
      </c>
      <c r="AG21" s="15" t="s">
        <v>18</v>
      </c>
      <c r="AH21" s="36" t="s">
        <v>49</v>
      </c>
      <c r="AI21" s="34">
        <v>0.11</v>
      </c>
      <c r="AJ21" s="127" t="s">
        <v>18</v>
      </c>
    </row>
    <row r="22" spans="1:39" ht="18">
      <c r="A22" s="84" t="s">
        <v>17</v>
      </c>
      <c r="B22" s="86">
        <f>SUM(B19:B21)</f>
        <v>103.59014999999999</v>
      </c>
      <c r="C22" s="86">
        <f>SUM(C19:C21)</f>
        <v>99.704332655887114</v>
      </c>
      <c r="D22" s="86">
        <f>B22/C22</f>
        <v>1.0389734050728179</v>
      </c>
      <c r="AA22" s="107" t="s">
        <v>54</v>
      </c>
      <c r="AB22" s="41"/>
      <c r="AC22" s="127" t="s">
        <v>18</v>
      </c>
      <c r="AD22" s="105" t="s">
        <v>4</v>
      </c>
      <c r="AE22" s="106"/>
      <c r="AF22" s="34">
        <v>0.16</v>
      </c>
      <c r="AG22" s="15" t="s">
        <v>18</v>
      </c>
      <c r="AH22" s="36" t="s">
        <v>27</v>
      </c>
      <c r="AI22" s="34">
        <f>3.82/100</f>
        <v>3.8199999999999998E-2</v>
      </c>
      <c r="AJ22" s="127" t="s">
        <v>33</v>
      </c>
    </row>
    <row r="23" spans="1:39" ht="18">
      <c r="B23" s="87"/>
      <c r="C23" s="87"/>
      <c r="D23" s="87"/>
      <c r="E23" s="87"/>
      <c r="K23" s="31"/>
      <c r="S23" s="127"/>
      <c r="AA23" s="34" t="s">
        <v>17</v>
      </c>
      <c r="AB23" s="34">
        <f>SUM(AB21:AB22)</f>
        <v>0.28999999999999998</v>
      </c>
      <c r="AC23" s="127" t="s">
        <v>18</v>
      </c>
      <c r="AD23" s="105" t="s">
        <v>17</v>
      </c>
      <c r="AE23" s="106"/>
      <c r="AF23" s="73">
        <f>SUM(AF21:AF22)</f>
        <v>0.33306000000000002</v>
      </c>
      <c r="AG23" s="15" t="s">
        <v>18</v>
      </c>
      <c r="AH23" s="67" t="s">
        <v>30</v>
      </c>
      <c r="AI23" s="37">
        <f>AI22*AI21</f>
        <v>4.202E-3</v>
      </c>
      <c r="AJ23" s="127" t="s">
        <v>18</v>
      </c>
      <c r="AL23" s="31">
        <f>AI21+AF23</f>
        <v>0.44306000000000001</v>
      </c>
      <c r="AM23" s="31">
        <f>AI23+AF24</f>
        <v>1.6924892E-2</v>
      </c>
    </row>
    <row r="24" spans="1:39">
      <c r="N24" s="126"/>
      <c r="O24" s="126"/>
      <c r="P24" s="16"/>
      <c r="S24" s="127"/>
      <c r="AC24" s="127"/>
      <c r="AD24" s="398" t="s">
        <v>30</v>
      </c>
      <c r="AE24" s="399"/>
      <c r="AF24" s="104">
        <f>AI22*AF23</f>
        <v>1.2722892E-2</v>
      </c>
      <c r="AG24" s="15" t="s">
        <v>18</v>
      </c>
    </row>
    <row r="25" spans="1:39" ht="21">
      <c r="P25" s="98" t="s">
        <v>81</v>
      </c>
      <c r="Q25" s="48"/>
      <c r="AA25" s="127"/>
      <c r="AM25" s="31">
        <f>AM23+BB75</f>
        <v>2.3334571999999998E-2</v>
      </c>
    </row>
    <row r="26" spans="1:39">
      <c r="A26" s="23"/>
      <c r="P26" s="374" t="s">
        <v>20</v>
      </c>
      <c r="Q26" s="376"/>
      <c r="AA26" s="127"/>
    </row>
    <row r="27" spans="1:39">
      <c r="A27" s="23"/>
    </row>
    <row r="28" spans="1:39" ht="21">
      <c r="E28" s="143" t="s">
        <v>45</v>
      </c>
      <c r="F28" s="148">
        <f>B22-C41-B44</f>
        <v>99.810149999999993</v>
      </c>
      <c r="G28" s="15" t="s">
        <v>18</v>
      </c>
      <c r="K28" s="67" t="s">
        <v>1</v>
      </c>
      <c r="L28" s="34">
        <v>0.38</v>
      </c>
      <c r="M28" s="15" t="s">
        <v>18</v>
      </c>
      <c r="N28" s="36" t="s">
        <v>3</v>
      </c>
      <c r="O28" s="73">
        <v>0.2</v>
      </c>
      <c r="P28" s="15" t="s">
        <v>18</v>
      </c>
      <c r="Q28" s="36" t="s">
        <v>49</v>
      </c>
      <c r="R28" s="34">
        <v>9.76</v>
      </c>
      <c r="S28" s="127" t="s">
        <v>18</v>
      </c>
      <c r="T28" s="127"/>
    </row>
    <row r="29" spans="1:39">
      <c r="K29" s="67" t="s">
        <v>9</v>
      </c>
      <c r="L29" s="64"/>
      <c r="M29" s="15" t="s">
        <v>18</v>
      </c>
      <c r="N29" s="36" t="s">
        <v>4</v>
      </c>
      <c r="O29" s="34">
        <v>0.19</v>
      </c>
      <c r="P29" s="15" t="s">
        <v>18</v>
      </c>
      <c r="Q29" s="36" t="s">
        <v>27</v>
      </c>
      <c r="R29" s="34">
        <f>41.8/100</f>
        <v>0.41799999999999998</v>
      </c>
      <c r="S29" s="127" t="s">
        <v>33</v>
      </c>
      <c r="T29" s="15" t="s">
        <v>146</v>
      </c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</row>
    <row r="30" spans="1:39">
      <c r="K30" s="34" t="s">
        <v>17</v>
      </c>
      <c r="L30" s="91">
        <f>SUM(L28:L29)</f>
        <v>0.38</v>
      </c>
      <c r="M30" s="23" t="s">
        <v>18</v>
      </c>
      <c r="N30" s="103" t="s">
        <v>17</v>
      </c>
      <c r="O30" s="73">
        <f>SUM(O28:O29)</f>
        <v>0.39</v>
      </c>
      <c r="P30" s="15" t="s">
        <v>18</v>
      </c>
      <c r="Q30" s="67" t="s">
        <v>30</v>
      </c>
      <c r="R30" s="37">
        <f>R29*R28</f>
        <v>4.0796799999999998</v>
      </c>
      <c r="S30" s="127" t="s">
        <v>18</v>
      </c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</row>
    <row r="31" spans="1:39">
      <c r="N31" s="67" t="s">
        <v>30</v>
      </c>
      <c r="O31" s="37">
        <f>R29*O30</f>
        <v>0.16302</v>
      </c>
      <c r="P31" s="15" t="s">
        <v>18</v>
      </c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</row>
    <row r="32" spans="1:39">
      <c r="G32" s="225"/>
      <c r="H32" s="225"/>
      <c r="I32" s="225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</row>
    <row r="33" spans="1:55">
      <c r="H33" s="31">
        <f>K18+K71</f>
        <v>87.487579999999994</v>
      </c>
      <c r="J33" s="31"/>
      <c r="R33" s="31">
        <f>R28+O30</f>
        <v>10.15</v>
      </c>
      <c r="AA33" s="127"/>
      <c r="AE33" s="374" t="s">
        <v>22</v>
      </c>
      <c r="AF33" s="375"/>
      <c r="AG33" s="375"/>
      <c r="AH33" s="375"/>
      <c r="AI33" s="376"/>
      <c r="AJ33" s="127"/>
      <c r="AL33" s="127"/>
      <c r="AM33" s="127"/>
    </row>
    <row r="34" spans="1:55" ht="21">
      <c r="F34" s="31"/>
      <c r="H34" s="31"/>
      <c r="J34" s="226"/>
      <c r="K34" s="226"/>
      <c r="L34" s="226"/>
      <c r="Q34" s="15">
        <f>O31+R30</f>
        <v>4.2427000000000001</v>
      </c>
      <c r="AA34" s="127"/>
      <c r="AE34" s="101" t="s">
        <v>86</v>
      </c>
      <c r="AF34" s="101"/>
      <c r="AG34" s="101"/>
      <c r="AH34" s="102"/>
      <c r="AL34" s="127"/>
      <c r="AM34" s="127"/>
    </row>
    <row r="35" spans="1:55">
      <c r="J35" s="226"/>
      <c r="K35" s="226"/>
      <c r="L35" s="226"/>
      <c r="M35" s="76">
        <f>K35/B22</f>
        <v>0</v>
      </c>
      <c r="AA35" s="127"/>
      <c r="AC35" s="16"/>
      <c r="AD35" s="17"/>
      <c r="AE35" s="18"/>
      <c r="AL35" s="127"/>
      <c r="AM35" s="127"/>
    </row>
    <row r="36" spans="1:55">
      <c r="J36" s="226"/>
      <c r="K36" s="226"/>
      <c r="L36" s="226"/>
      <c r="AA36" s="127"/>
      <c r="AC36" s="105" t="s">
        <v>3</v>
      </c>
      <c r="AD36" s="106"/>
      <c r="AE36" s="73">
        <v>0.44990999999999998</v>
      </c>
      <c r="AF36" s="15" t="s">
        <v>18</v>
      </c>
      <c r="AG36" s="36" t="s">
        <v>49</v>
      </c>
      <c r="AH36" s="34">
        <v>17.309999999999999</v>
      </c>
      <c r="AI36" s="127" t="s">
        <v>18</v>
      </c>
      <c r="AL36" s="127"/>
      <c r="AM36" s="127"/>
    </row>
    <row r="37" spans="1:55">
      <c r="E37" s="30"/>
      <c r="G37" s="31"/>
      <c r="M37" s="127"/>
      <c r="AA37" s="127"/>
      <c r="AC37" s="105" t="s">
        <v>4</v>
      </c>
      <c r="AD37" s="106"/>
      <c r="AE37" s="34">
        <v>0.56999999999999995</v>
      </c>
      <c r="AF37" s="15" t="s">
        <v>18</v>
      </c>
      <c r="AG37" s="36" t="s">
        <v>27</v>
      </c>
      <c r="AH37" s="34">
        <f>0.047/100</f>
        <v>4.6999999999999999E-4</v>
      </c>
      <c r="AI37" s="127" t="s">
        <v>33</v>
      </c>
      <c r="AL37" s="127"/>
      <c r="AM37" s="127"/>
    </row>
    <row r="38" spans="1:55">
      <c r="L38" s="15">
        <f>L30+P88+AB23+AU71</f>
        <v>0.85000000000000009</v>
      </c>
      <c r="M38" s="127"/>
      <c r="AA38" s="127"/>
      <c r="AC38" s="105" t="s">
        <v>17</v>
      </c>
      <c r="AD38" s="106"/>
      <c r="AE38" s="73">
        <f>SUM(AE36:AE37)</f>
        <v>1.0199099999999999</v>
      </c>
      <c r="AF38" s="15" t="s">
        <v>18</v>
      </c>
      <c r="AG38" s="67" t="s">
        <v>30</v>
      </c>
      <c r="AH38" s="37">
        <f>AH37*AH36</f>
        <v>8.1356999999999992E-3</v>
      </c>
      <c r="AI38" s="127" t="s">
        <v>18</v>
      </c>
      <c r="AL38" s="127"/>
      <c r="AM38" s="127"/>
    </row>
    <row r="39" spans="1:55">
      <c r="A39" s="392" t="s">
        <v>6</v>
      </c>
      <c r="B39" s="392"/>
      <c r="C39" s="33">
        <v>0.51</v>
      </c>
      <c r="D39" s="15" t="s">
        <v>18</v>
      </c>
      <c r="E39" s="30"/>
      <c r="F39" s="130"/>
      <c r="G39" s="130"/>
      <c r="M39" s="127"/>
      <c r="AB39" s="127"/>
      <c r="AC39" s="398" t="s">
        <v>30</v>
      </c>
      <c r="AD39" s="399"/>
      <c r="AE39" s="104">
        <f>AH37*AE38</f>
        <v>4.7935769999999994E-4</v>
      </c>
      <c r="AF39" s="15" t="s">
        <v>18</v>
      </c>
      <c r="AK39" s="31">
        <f>AH36+AE38</f>
        <v>18.329909999999998</v>
      </c>
      <c r="AL39" s="15">
        <f>AH38+AE39</f>
        <v>8.6150576999999996E-3</v>
      </c>
    </row>
    <row r="40" spans="1:55">
      <c r="A40" s="392" t="s">
        <v>5</v>
      </c>
      <c r="B40" s="392"/>
      <c r="C40" s="33">
        <v>1.1200000000000001</v>
      </c>
      <c r="D40" s="15" t="s">
        <v>18</v>
      </c>
      <c r="E40" s="127"/>
      <c r="F40" s="127"/>
      <c r="G40" s="127"/>
      <c r="AB40" s="127"/>
      <c r="AC40" s="127"/>
      <c r="AD40" s="127"/>
      <c r="AE40" s="127"/>
      <c r="AF40" s="23"/>
    </row>
    <row r="41" spans="1:55">
      <c r="A41" s="400" t="s">
        <v>17</v>
      </c>
      <c r="B41" s="401"/>
      <c r="C41" s="91">
        <f>SUM(C39:C40)</f>
        <v>1.6300000000000001</v>
      </c>
      <c r="D41" s="23" t="s">
        <v>18</v>
      </c>
      <c r="E41" s="127"/>
      <c r="F41" s="127"/>
      <c r="G41" s="127"/>
      <c r="Z41" s="31">
        <f>AH36+AE38+AG54+AJ52</f>
        <v>18.762779999999999</v>
      </c>
    </row>
    <row r="42" spans="1:55">
      <c r="C42" s="127"/>
      <c r="D42" s="127"/>
      <c r="E42" s="127"/>
      <c r="F42" s="127"/>
      <c r="G42" s="127"/>
      <c r="I42" s="26"/>
      <c r="AK42" s="22"/>
    </row>
    <row r="43" spans="1:55">
      <c r="A43" s="36" t="s">
        <v>44</v>
      </c>
      <c r="B43" s="33">
        <v>2.15</v>
      </c>
      <c r="C43" s="127" t="s">
        <v>18</v>
      </c>
      <c r="D43" s="127"/>
      <c r="E43" s="127"/>
      <c r="F43" s="127"/>
      <c r="G43" s="127"/>
      <c r="H43" s="125"/>
    </row>
    <row r="44" spans="1:55">
      <c r="A44" s="92" t="s">
        <v>17</v>
      </c>
      <c r="B44" s="90">
        <f>SUM(B43)</f>
        <v>2.15</v>
      </c>
      <c r="C44" s="127" t="s">
        <v>18</v>
      </c>
      <c r="D44" s="127"/>
      <c r="E44" s="127"/>
      <c r="AG44" s="19"/>
      <c r="AH44" s="56"/>
      <c r="AI44" s="56"/>
      <c r="AJ44" s="56"/>
    </row>
    <row r="45" spans="1:55">
      <c r="C45" s="127"/>
      <c r="D45" s="127"/>
      <c r="E45" s="127"/>
      <c r="AU45" s="127"/>
      <c r="AV45" s="127"/>
      <c r="AW45" s="127"/>
      <c r="AX45" s="127"/>
      <c r="AY45" s="127"/>
      <c r="AZ45" s="127"/>
      <c r="BA45" s="127"/>
      <c r="BB45" s="127"/>
      <c r="BC45" s="127"/>
    </row>
    <row r="46" spans="1:55">
      <c r="A46" s="15" t="s">
        <v>66</v>
      </c>
      <c r="B46" s="15">
        <f>B43/D22</f>
        <v>2.0693503698001914</v>
      </c>
      <c r="C46" s="141" t="s">
        <v>62</v>
      </c>
      <c r="D46" s="127"/>
      <c r="E46" s="127"/>
      <c r="G46" s="74"/>
      <c r="AU46" s="127"/>
      <c r="AV46" s="127"/>
      <c r="AW46" s="127"/>
      <c r="AX46" s="127"/>
      <c r="AY46" s="127"/>
      <c r="AZ46" s="127"/>
      <c r="BA46" s="127"/>
      <c r="BB46" s="127"/>
      <c r="BC46" s="127"/>
    </row>
    <row r="47" spans="1:55">
      <c r="A47" s="15" t="s">
        <v>65</v>
      </c>
      <c r="B47" s="15">
        <f>C41/D22</f>
        <v>1.5688563268717732</v>
      </c>
      <c r="C47" s="15" t="s">
        <v>62</v>
      </c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U47" s="127"/>
      <c r="AV47" s="127"/>
      <c r="AW47" s="127"/>
      <c r="AX47" s="127"/>
      <c r="AY47" s="127"/>
      <c r="AZ47" s="127"/>
      <c r="BA47" s="127"/>
      <c r="BB47" s="127"/>
      <c r="BC47" s="127"/>
    </row>
    <row r="48" spans="1:55">
      <c r="A48" s="15" t="s">
        <v>67</v>
      </c>
      <c r="B48" s="15">
        <f>G19*(B46+B47)/1000</f>
        <v>0.2736746688753709</v>
      </c>
      <c r="C48" s="76">
        <f>B48/B21</f>
        <v>3.6489955850049452E-2</v>
      </c>
      <c r="Z48" s="127"/>
      <c r="AA48" s="127"/>
      <c r="AS48" s="127"/>
      <c r="AT48" s="127"/>
      <c r="AU48" s="127"/>
      <c r="AV48" s="127"/>
      <c r="AW48" s="127"/>
      <c r="AX48" s="127"/>
      <c r="AY48" s="127"/>
      <c r="AZ48" s="127"/>
      <c r="BA48" s="127"/>
    </row>
    <row r="49" spans="1:55">
      <c r="A49" s="15" t="s">
        <v>64</v>
      </c>
      <c r="B49" s="74">
        <f>B21-B48</f>
        <v>7.2263253311246292</v>
      </c>
      <c r="C49" s="15" t="s">
        <v>18</v>
      </c>
      <c r="Z49" s="127"/>
      <c r="AA49" s="127"/>
      <c r="AE49" s="47" t="s">
        <v>23</v>
      </c>
      <c r="AF49" s="47"/>
      <c r="AG49" s="47"/>
      <c r="AV49" s="374" t="s">
        <v>22</v>
      </c>
      <c r="AW49" s="375"/>
      <c r="AX49" s="375"/>
      <c r="AY49" s="375"/>
      <c r="AZ49" s="376"/>
      <c r="BA49" s="127"/>
    </row>
    <row r="50" spans="1:55" ht="21">
      <c r="R50" s="127"/>
      <c r="Z50" s="127"/>
      <c r="AA50" s="127"/>
      <c r="AD50" s="101" t="s">
        <v>87</v>
      </c>
      <c r="AE50" s="101"/>
      <c r="AF50" s="101"/>
      <c r="AL50" s="31">
        <f>AJ52+AG54</f>
        <v>0.43286999999999998</v>
      </c>
      <c r="AM50" s="15">
        <f>AJ54+AG55</f>
        <v>8.5838120999999989E-2</v>
      </c>
      <c r="AV50" s="101" t="s">
        <v>88</v>
      </c>
      <c r="AW50" s="101"/>
      <c r="AX50" s="101"/>
      <c r="AY50" s="102"/>
    </row>
    <row r="51" spans="1:55">
      <c r="A51" s="15" t="s">
        <v>103</v>
      </c>
      <c r="B51" s="15" t="s">
        <v>104</v>
      </c>
      <c r="C51" s="15" t="s">
        <v>40</v>
      </c>
      <c r="E51" s="31"/>
      <c r="Q51" s="127"/>
      <c r="R51" s="127"/>
      <c r="Z51" s="127"/>
      <c r="AA51" s="127"/>
      <c r="AL51" s="141"/>
      <c r="AT51" s="16"/>
      <c r="AU51" s="17"/>
      <c r="AV51" s="18"/>
    </row>
    <row r="52" spans="1:55">
      <c r="A52" s="15" t="s">
        <v>20</v>
      </c>
      <c r="B52" s="15">
        <f>O31+R30+S89+V88</f>
        <v>6.3964260000000008</v>
      </c>
      <c r="C52" s="75">
        <f>B52/B49</f>
        <v>0.88515610727486138</v>
      </c>
      <c r="Z52" s="127"/>
      <c r="AA52" s="127"/>
      <c r="AB52" s="35" t="s">
        <v>53</v>
      </c>
      <c r="AC52" s="33"/>
      <c r="AD52" s="127" t="s">
        <v>18</v>
      </c>
      <c r="AE52" s="105" t="s">
        <v>3</v>
      </c>
      <c r="AF52" s="106"/>
      <c r="AG52" s="73">
        <v>0.12286999999999999</v>
      </c>
      <c r="AH52" s="15" t="s">
        <v>18</v>
      </c>
      <c r="AI52" s="36" t="s">
        <v>49</v>
      </c>
      <c r="AJ52" s="34">
        <v>0.19</v>
      </c>
      <c r="AK52" s="127" t="s">
        <v>18</v>
      </c>
      <c r="AL52" s="141"/>
      <c r="AT52" s="105" t="s">
        <v>3</v>
      </c>
      <c r="AU52" s="106"/>
      <c r="AV52" s="73">
        <v>0.43980000000000002</v>
      </c>
      <c r="AW52" s="15" t="s">
        <v>18</v>
      </c>
      <c r="AX52" s="36" t="s">
        <v>49</v>
      </c>
      <c r="AY52" s="34">
        <v>14.4</v>
      </c>
      <c r="AZ52" s="127" t="s">
        <v>18</v>
      </c>
    </row>
    <row r="53" spans="1:55">
      <c r="A53" s="15" t="s">
        <v>105</v>
      </c>
      <c r="B53" s="15">
        <f>AF24+AI23+AG55+AJ54+AY72+BB71+AX122+BA121</f>
        <v>0.15482966799999998</v>
      </c>
      <c r="C53" s="76">
        <f>B53/B49</f>
        <v>2.1425781556378382E-2</v>
      </c>
      <c r="D53" s="127"/>
      <c r="E53" s="127"/>
      <c r="F53" s="127"/>
      <c r="G53" s="127"/>
      <c r="H53" s="127"/>
      <c r="J53" s="31"/>
      <c r="K53" s="31"/>
      <c r="Z53" s="127"/>
      <c r="AA53" s="127"/>
      <c r="AB53" s="107" t="s">
        <v>54</v>
      </c>
      <c r="AC53" s="41"/>
      <c r="AD53" s="127" t="s">
        <v>18</v>
      </c>
      <c r="AE53" s="105" t="s">
        <v>4</v>
      </c>
      <c r="AF53" s="106"/>
      <c r="AG53" s="34">
        <v>0.12</v>
      </c>
      <c r="AH53" s="15" t="s">
        <v>18</v>
      </c>
      <c r="AI53" s="36" t="s">
        <v>27</v>
      </c>
      <c r="AJ53" s="34">
        <f>19.83/100</f>
        <v>0.19829999999999998</v>
      </c>
      <c r="AK53" s="127" t="s">
        <v>33</v>
      </c>
      <c r="AL53" s="141"/>
      <c r="AT53" s="105" t="s">
        <v>4</v>
      </c>
      <c r="AU53" s="106"/>
      <c r="AV53" s="34">
        <v>0.71</v>
      </c>
      <c r="AW53" s="15" t="s">
        <v>18</v>
      </c>
      <c r="AX53" s="36" t="s">
        <v>27</v>
      </c>
      <c r="AY53" s="34">
        <f>0.117/100</f>
        <v>1.17E-3</v>
      </c>
      <c r="AZ53" s="127" t="s">
        <v>33</v>
      </c>
    </row>
    <row r="54" spans="1:55">
      <c r="A54" s="15" t="s">
        <v>106</v>
      </c>
      <c r="B54" s="15">
        <f>AD7+AG6+AE39+AV55+AV104+AY103+AH38+AY54</f>
        <v>6.0843611999999991E-2</v>
      </c>
      <c r="C54" s="76">
        <f>B54/B49</f>
        <v>8.4197166902989316E-3</v>
      </c>
      <c r="D54" s="402"/>
      <c r="E54" s="402"/>
      <c r="F54" s="402"/>
      <c r="G54" s="402"/>
      <c r="H54" s="127"/>
      <c r="Z54" s="127"/>
      <c r="AA54" s="127"/>
      <c r="AB54" s="34" t="s">
        <v>17</v>
      </c>
      <c r="AC54" s="34"/>
      <c r="AD54" s="127" t="s">
        <v>18</v>
      </c>
      <c r="AE54" s="105" t="s">
        <v>17</v>
      </c>
      <c r="AF54" s="106"/>
      <c r="AG54" s="73">
        <f>SUM(AG52:AG53)</f>
        <v>0.24286999999999997</v>
      </c>
      <c r="AH54" s="15" t="s">
        <v>18</v>
      </c>
      <c r="AI54" s="67" t="s">
        <v>30</v>
      </c>
      <c r="AJ54" s="37">
        <f>AJ53*AJ52</f>
        <v>3.7676999999999995E-2</v>
      </c>
      <c r="AK54" s="127" t="s">
        <v>18</v>
      </c>
      <c r="AL54" s="141"/>
      <c r="AT54" s="105" t="s">
        <v>17</v>
      </c>
      <c r="AU54" s="106"/>
      <c r="AV54" s="73">
        <f>SUM(AV52:AV53)</f>
        <v>1.1497999999999999</v>
      </c>
      <c r="AW54" s="15" t="s">
        <v>18</v>
      </c>
      <c r="AX54" s="67" t="s">
        <v>30</v>
      </c>
      <c r="AY54" s="37">
        <f>AY53*AY52</f>
        <v>1.6848000000000002E-2</v>
      </c>
      <c r="AZ54" s="127" t="s">
        <v>18</v>
      </c>
      <c r="BB54" s="31">
        <f>AY52+AV54</f>
        <v>15.549800000000001</v>
      </c>
      <c r="BC54" s="15">
        <f>AY54+AV55</f>
        <v>1.8193266000000003E-2</v>
      </c>
    </row>
    <row r="55" spans="1:55">
      <c r="A55" s="15" t="s">
        <v>17</v>
      </c>
      <c r="B55" s="15">
        <f>SUM(B52:B54)</f>
        <v>6.6120992800000007</v>
      </c>
      <c r="C55" s="149"/>
      <c r="D55" s="127"/>
      <c r="E55" s="127"/>
      <c r="F55" s="127"/>
      <c r="G55" s="127"/>
      <c r="H55" s="127"/>
      <c r="Z55" s="127"/>
      <c r="AD55" s="127"/>
      <c r="AE55" s="398" t="s">
        <v>30</v>
      </c>
      <c r="AF55" s="399"/>
      <c r="AG55" s="104">
        <f>AJ53*AG54</f>
        <v>4.8161120999999987E-2</v>
      </c>
      <c r="AH55" s="15" t="s">
        <v>18</v>
      </c>
      <c r="AS55" s="127"/>
      <c r="AT55" s="128" t="s">
        <v>30</v>
      </c>
      <c r="AU55" s="129"/>
      <c r="AV55" s="104">
        <f>AY53*AV54</f>
        <v>1.3452659999999999E-3</v>
      </c>
      <c r="AW55" s="15" t="s">
        <v>18</v>
      </c>
    </row>
    <row r="56" spans="1:55">
      <c r="C56" s="75"/>
      <c r="D56" s="127"/>
      <c r="E56" s="127"/>
      <c r="F56" s="127"/>
      <c r="G56" s="127"/>
      <c r="H56" s="127"/>
      <c r="Z56" s="127"/>
      <c r="AB56" s="127"/>
      <c r="AU56" s="127"/>
      <c r="AV56" s="127"/>
      <c r="AW56" s="127"/>
      <c r="AX56" s="127"/>
      <c r="AY56" s="23"/>
    </row>
    <row r="57" spans="1:55">
      <c r="A57" s="15" t="s">
        <v>78</v>
      </c>
      <c r="B57" s="74">
        <f>B49-B55-B56</f>
        <v>0.61422605112462847</v>
      </c>
      <c r="C57" s="149">
        <f>B57/B49</f>
        <v>8.4998394478461262E-2</v>
      </c>
      <c r="D57" s="127"/>
      <c r="E57" s="145"/>
      <c r="F57" s="127"/>
      <c r="G57" s="127"/>
      <c r="H57" s="127"/>
    </row>
    <row r="58" spans="1:55">
      <c r="A58" s="15" t="s">
        <v>17</v>
      </c>
      <c r="B58" s="74">
        <f>B55+B56+B57</f>
        <v>7.2263253311246292</v>
      </c>
      <c r="C58" s="149">
        <f>SUM(C52:C57)</f>
        <v>1</v>
      </c>
    </row>
    <row r="59" spans="1:55">
      <c r="AR59" s="150">
        <f>AV54+AY52+AU71+AY71+BB69</f>
        <v>15.685480000000002</v>
      </c>
    </row>
    <row r="60" spans="1:55">
      <c r="C60" s="76"/>
    </row>
    <row r="61" spans="1:55" ht="21">
      <c r="C61" s="76"/>
      <c r="Q61" s="95" t="s">
        <v>82</v>
      </c>
      <c r="R61" s="95"/>
    </row>
    <row r="62" spans="1:55">
      <c r="C62" s="76"/>
      <c r="O62" s="374" t="s">
        <v>46</v>
      </c>
      <c r="P62" s="375"/>
      <c r="Q62" s="375"/>
      <c r="R62" s="375"/>
      <c r="S62" s="375"/>
      <c r="T62" s="376"/>
    </row>
    <row r="63" spans="1:55">
      <c r="C63" s="77"/>
    </row>
    <row r="64" spans="1:55">
      <c r="M64" s="127"/>
      <c r="O64" s="36" t="s">
        <v>3</v>
      </c>
      <c r="P64" s="73">
        <v>0.2</v>
      </c>
      <c r="Q64" s="15" t="s">
        <v>18</v>
      </c>
      <c r="R64" s="36" t="s">
        <v>49</v>
      </c>
      <c r="S64" s="73">
        <f>AR59+AR107</f>
        <v>29.129170000000002</v>
      </c>
      <c r="T64" s="127" t="s">
        <v>18</v>
      </c>
    </row>
    <row r="65" spans="3:55">
      <c r="C65" s="77"/>
      <c r="M65" s="127"/>
      <c r="O65" s="36" t="s">
        <v>4</v>
      </c>
      <c r="P65" s="34">
        <v>0.21</v>
      </c>
      <c r="Q65" s="15" t="s">
        <v>18</v>
      </c>
      <c r="R65" s="36" t="s">
        <v>27</v>
      </c>
      <c r="S65" s="34">
        <f>0.358/100</f>
        <v>3.5799999999999998E-3</v>
      </c>
      <c r="T65" s="127" t="s">
        <v>33</v>
      </c>
      <c r="AS65" s="23"/>
    </row>
    <row r="66" spans="3:55">
      <c r="C66" s="77"/>
      <c r="M66" s="127"/>
      <c r="O66" s="103" t="s">
        <v>17</v>
      </c>
      <c r="P66" s="73">
        <f>SUM(P64:P65)</f>
        <v>0.41000000000000003</v>
      </c>
      <c r="Q66" s="15" t="s">
        <v>18</v>
      </c>
      <c r="R66" s="124" t="s">
        <v>30</v>
      </c>
      <c r="S66" s="37"/>
      <c r="T66" s="127" t="s">
        <v>18</v>
      </c>
      <c r="AW66" s="47" t="s">
        <v>23</v>
      </c>
      <c r="AX66" s="47"/>
      <c r="AY66" s="47"/>
    </row>
    <row r="67" spans="3:55" ht="21">
      <c r="M67" s="127"/>
      <c r="O67" s="67" t="s">
        <v>30</v>
      </c>
      <c r="P67" s="37">
        <f>S65*P66</f>
        <v>1.4678E-3</v>
      </c>
      <c r="Q67" s="15" t="s">
        <v>18</v>
      </c>
      <c r="AV67" s="101" t="s">
        <v>89</v>
      </c>
      <c r="AW67" s="101"/>
      <c r="AX67" s="101"/>
    </row>
    <row r="68" spans="3:55">
      <c r="J68" s="31"/>
    </row>
    <row r="69" spans="3:55">
      <c r="AT69" s="35" t="s">
        <v>53</v>
      </c>
      <c r="AU69" s="33">
        <v>0.01</v>
      </c>
      <c r="AV69" s="127" t="s">
        <v>18</v>
      </c>
      <c r="AW69" s="105" t="s">
        <v>3</v>
      </c>
      <c r="AX69" s="106"/>
      <c r="AY69" s="73">
        <v>0.11284</v>
      </c>
      <c r="AZ69" s="15" t="s">
        <v>18</v>
      </c>
      <c r="BA69" s="36" t="s">
        <v>49</v>
      </c>
      <c r="BB69" s="131">
        <v>2.8400000000000001E-3</v>
      </c>
      <c r="BC69" s="127" t="s">
        <v>18</v>
      </c>
    </row>
    <row r="70" spans="3:55">
      <c r="K70" s="31"/>
      <c r="O70" s="126"/>
      <c r="P70" s="126"/>
      <c r="Q70" s="16"/>
      <c r="T70" s="127"/>
      <c r="AT70" s="107" t="s">
        <v>54</v>
      </c>
      <c r="AU70" s="41"/>
      <c r="AV70" s="127" t="s">
        <v>18</v>
      </c>
      <c r="AW70" s="105" t="s">
        <v>4</v>
      </c>
      <c r="AX70" s="106"/>
      <c r="AY70" s="34">
        <v>0.01</v>
      </c>
      <c r="AZ70" s="15" t="s">
        <v>18</v>
      </c>
      <c r="BA70" s="36" t="s">
        <v>27</v>
      </c>
      <c r="BB70" s="34">
        <f>5.1/100</f>
        <v>5.0999999999999997E-2</v>
      </c>
      <c r="BC70" s="127" t="s">
        <v>33</v>
      </c>
    </row>
    <row r="71" spans="3:55">
      <c r="K71" s="31">
        <f>P66+S64+P88+S88+V86</f>
        <v>35.989170000000001</v>
      </c>
      <c r="AT71" s="34" t="s">
        <v>17</v>
      </c>
      <c r="AU71" s="34">
        <f>SUM(AU69:AU70)</f>
        <v>0.01</v>
      </c>
      <c r="AV71" s="127" t="s">
        <v>18</v>
      </c>
      <c r="AW71" s="105" t="s">
        <v>17</v>
      </c>
      <c r="AX71" s="106"/>
      <c r="AY71" s="73">
        <f>SUM(AY69:AY70)</f>
        <v>0.12283999999999999</v>
      </c>
      <c r="AZ71" s="15" t="s">
        <v>18</v>
      </c>
      <c r="BA71" s="67" t="s">
        <v>30</v>
      </c>
      <c r="BB71" s="37">
        <f>BB70*BB69</f>
        <v>1.4484E-4</v>
      </c>
      <c r="BC71" s="127" t="s">
        <v>18</v>
      </c>
    </row>
    <row r="72" spans="3:55">
      <c r="K72" s="31"/>
      <c r="AV72" s="127"/>
      <c r="AW72" s="398" t="s">
        <v>30</v>
      </c>
      <c r="AX72" s="399"/>
      <c r="AY72" s="104">
        <f>BB70*AY71</f>
        <v>6.264839999999999E-3</v>
      </c>
      <c r="AZ72" s="15" t="s">
        <v>18</v>
      </c>
    </row>
    <row r="73" spans="3:55">
      <c r="AT73" s="127"/>
    </row>
    <row r="75" spans="3:55">
      <c r="K75" s="31"/>
      <c r="BA75" s="150">
        <f>BB69+AY71</f>
        <v>0.12567999999999999</v>
      </c>
      <c r="BB75" s="15">
        <f>BB71+AY72</f>
        <v>6.4096799999999992E-3</v>
      </c>
    </row>
    <row r="76" spans="3:55">
      <c r="AT76" s="127"/>
    </row>
    <row r="82" spans="15:56" ht="21">
      <c r="P82" s="98" t="s">
        <v>83</v>
      </c>
      <c r="Q82" s="48"/>
    </row>
    <row r="83" spans="15:56">
      <c r="Q83" s="99" t="s">
        <v>20</v>
      </c>
      <c r="R83" s="100"/>
      <c r="AF83" s="23"/>
    </row>
    <row r="86" spans="15:56">
      <c r="O86" s="67" t="s">
        <v>1</v>
      </c>
      <c r="P86" s="34">
        <v>0.17</v>
      </c>
      <c r="Q86" s="15" t="s">
        <v>18</v>
      </c>
      <c r="R86" s="36" t="s">
        <v>3</v>
      </c>
      <c r="S86" s="34">
        <v>0.19</v>
      </c>
      <c r="T86" s="15" t="s">
        <v>18</v>
      </c>
      <c r="U86" s="36" t="s">
        <v>49</v>
      </c>
      <c r="V86" s="73">
        <v>5.9</v>
      </c>
      <c r="W86" s="127" t="s">
        <v>18</v>
      </c>
    </row>
    <row r="87" spans="15:56">
      <c r="O87" s="67" t="s">
        <v>9</v>
      </c>
      <c r="P87" s="64"/>
      <c r="Q87" s="15" t="s">
        <v>18</v>
      </c>
      <c r="R87" s="36" t="s">
        <v>4</v>
      </c>
      <c r="S87" s="34">
        <v>0.19</v>
      </c>
      <c r="T87" s="15" t="s">
        <v>18</v>
      </c>
      <c r="U87" s="36" t="s">
        <v>27</v>
      </c>
      <c r="V87" s="34">
        <f>34.295/100</f>
        <v>0.34295000000000003</v>
      </c>
      <c r="W87" s="127" t="s">
        <v>33</v>
      </c>
    </row>
    <row r="88" spans="15:56">
      <c r="O88" s="34" t="s">
        <v>17</v>
      </c>
      <c r="P88" s="91">
        <f>SUM(P86:P87)</f>
        <v>0.17</v>
      </c>
      <c r="Q88" s="23" t="s">
        <v>18</v>
      </c>
      <c r="R88" s="103" t="s">
        <v>17</v>
      </c>
      <c r="S88" s="34">
        <f>SUM(S86:S87)</f>
        <v>0.38</v>
      </c>
      <c r="T88" s="15" t="s">
        <v>18</v>
      </c>
      <c r="U88" s="67" t="s">
        <v>30</v>
      </c>
      <c r="V88" s="37">
        <f>V87*V86</f>
        <v>2.0234050000000003</v>
      </c>
      <c r="W88" s="127" t="s">
        <v>18</v>
      </c>
    </row>
    <row r="89" spans="15:56">
      <c r="R89" s="67" t="s">
        <v>30</v>
      </c>
      <c r="S89" s="37">
        <f>V87*S88</f>
        <v>0.13032100000000002</v>
      </c>
      <c r="T89" s="15" t="s">
        <v>18</v>
      </c>
    </row>
    <row r="93" spans="15:56">
      <c r="S93" s="31">
        <f>V86+S88</f>
        <v>6.28</v>
      </c>
      <c r="U93" s="15">
        <f>S89+V88</f>
        <v>2.1537260000000003</v>
      </c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</row>
    <row r="94" spans="15:56">
      <c r="AQ94" s="127"/>
      <c r="AR94" s="127"/>
      <c r="AS94" s="127"/>
      <c r="AT94" s="127"/>
      <c r="AU94" s="127"/>
      <c r="AV94" s="127"/>
      <c r="AW94" s="127"/>
      <c r="AX94" s="127"/>
      <c r="AY94" s="127"/>
      <c r="AZ94" s="127"/>
      <c r="BA94" s="127"/>
      <c r="BB94" s="127"/>
      <c r="BC94" s="127"/>
      <c r="BD94" s="127"/>
    </row>
    <row r="95" spans="15:56">
      <c r="AQ95" s="127"/>
      <c r="AR95" s="127"/>
      <c r="AS95" s="127"/>
      <c r="AT95" s="127"/>
      <c r="AU95" s="127"/>
      <c r="AV95" s="127"/>
      <c r="AW95" s="127"/>
      <c r="AX95" s="127"/>
      <c r="AY95" s="127"/>
      <c r="AZ95" s="127"/>
      <c r="BA95" s="127"/>
      <c r="BB95" s="127"/>
      <c r="BC95" s="127"/>
      <c r="BD95" s="127"/>
    </row>
    <row r="96" spans="15:56">
      <c r="AQ96" s="127"/>
      <c r="AR96" s="127"/>
      <c r="AS96" s="127"/>
      <c r="AT96" s="127"/>
      <c r="AU96" s="127"/>
      <c r="AV96" s="127"/>
      <c r="AW96" s="127"/>
      <c r="AX96" s="127"/>
      <c r="AY96" s="127"/>
      <c r="AZ96" s="127"/>
      <c r="BA96" s="127"/>
      <c r="BB96" s="127"/>
      <c r="BC96" s="127"/>
      <c r="BD96" s="127"/>
    </row>
    <row r="97" spans="14:56">
      <c r="AG97" s="77"/>
      <c r="AQ97" s="127"/>
      <c r="AR97" s="127"/>
      <c r="AS97" s="127"/>
      <c r="AT97" s="127"/>
      <c r="AU97" s="374" t="s">
        <v>22</v>
      </c>
      <c r="AV97" s="375"/>
      <c r="AW97" s="375"/>
      <c r="AX97" s="375"/>
      <c r="AY97" s="376"/>
      <c r="BC97" s="127"/>
      <c r="BD97" s="127"/>
    </row>
    <row r="98" spans="14:56" ht="21">
      <c r="AQ98" s="127"/>
      <c r="AR98" s="127"/>
      <c r="AS98" s="127"/>
      <c r="AT98" s="127"/>
      <c r="AU98" s="101" t="s">
        <v>90</v>
      </c>
      <c r="AV98" s="101"/>
      <c r="AW98" s="101"/>
      <c r="AX98" s="102"/>
      <c r="BD98" s="127"/>
    </row>
    <row r="99" spans="14:56">
      <c r="AQ99" s="127"/>
      <c r="AR99" s="127"/>
      <c r="AS99" s="127"/>
      <c r="AT99" s="127"/>
      <c r="AV99" s="16"/>
      <c r="AW99" s="17"/>
      <c r="AX99" s="127"/>
      <c r="AY99" s="127"/>
      <c r="BD99" s="127"/>
    </row>
    <row r="100" spans="14:56">
      <c r="AQ100" s="127"/>
      <c r="AR100" s="127"/>
      <c r="AS100" s="127"/>
      <c r="AT100" s="127"/>
      <c r="AX100" s="127"/>
      <c r="AY100" s="127"/>
      <c r="BD100" s="127"/>
    </row>
    <row r="101" spans="14:56">
      <c r="O101" s="77"/>
      <c r="AQ101" s="127"/>
      <c r="AR101" s="127"/>
      <c r="AS101" s="127"/>
      <c r="AT101" s="105" t="s">
        <v>3</v>
      </c>
      <c r="AU101" s="106"/>
      <c r="AV101" s="73">
        <v>0.45984000000000003</v>
      </c>
      <c r="AW101" s="15" t="s">
        <v>18</v>
      </c>
      <c r="AX101" s="36" t="s">
        <v>49</v>
      </c>
      <c r="AY101" s="34">
        <v>12.23</v>
      </c>
      <c r="AZ101" s="127" t="s">
        <v>18</v>
      </c>
      <c r="BD101" s="127"/>
    </row>
    <row r="102" spans="14:56">
      <c r="AQ102" s="127"/>
      <c r="AR102" s="127"/>
      <c r="AS102" s="127"/>
      <c r="AT102" s="105" t="s">
        <v>4</v>
      </c>
      <c r="AU102" s="106"/>
      <c r="AV102" s="34">
        <v>0.54</v>
      </c>
      <c r="AW102" s="15" t="s">
        <v>18</v>
      </c>
      <c r="AX102" s="36" t="s">
        <v>27</v>
      </c>
      <c r="AY102" s="34">
        <f>0.049/100</f>
        <v>4.8999999999999998E-4</v>
      </c>
      <c r="AZ102" s="127" t="s">
        <v>33</v>
      </c>
      <c r="BD102" s="127"/>
    </row>
    <row r="103" spans="14:56">
      <c r="N103" s="74"/>
      <c r="AT103" s="105" t="s">
        <v>17</v>
      </c>
      <c r="AU103" s="106"/>
      <c r="AV103" s="73">
        <f>SUM(AV101:AW102)</f>
        <v>0.99984000000000006</v>
      </c>
      <c r="AW103" s="15" t="s">
        <v>18</v>
      </c>
      <c r="AX103" s="67" t="s">
        <v>30</v>
      </c>
      <c r="AY103" s="37">
        <f>AY102*AY101</f>
        <v>5.9927000000000001E-3</v>
      </c>
      <c r="AZ103" s="127" t="s">
        <v>18</v>
      </c>
    </row>
    <row r="104" spans="14:56">
      <c r="N104" s="76"/>
      <c r="AT104" s="128" t="s">
        <v>30</v>
      </c>
      <c r="AU104" s="129"/>
      <c r="AV104" s="104">
        <f>AY102*AV103</f>
        <v>4.8992160000000003E-4</v>
      </c>
      <c r="AW104" s="15" t="s">
        <v>18</v>
      </c>
    </row>
    <row r="105" spans="14:56">
      <c r="BB105" s="31">
        <f>AY101+AV103</f>
        <v>13.229840000000001</v>
      </c>
      <c r="BC105" s="15">
        <f>AY103+AV104</f>
        <v>6.4826216000000002E-3</v>
      </c>
    </row>
    <row r="107" spans="14:56">
      <c r="AR107" s="31">
        <f>AV103+AY101+AX121+BA119</f>
        <v>13.44369</v>
      </c>
      <c r="BC107" s="15">
        <f>BC105+AL39</f>
        <v>1.50976793E-2</v>
      </c>
    </row>
    <row r="115" spans="44:61">
      <c r="BH115" s="27"/>
      <c r="BI115" s="27"/>
    </row>
    <row r="116" spans="44:61">
      <c r="AW116" s="47" t="s">
        <v>23</v>
      </c>
      <c r="AX116" s="47"/>
      <c r="AY116" s="47"/>
      <c r="BI116" s="22"/>
    </row>
    <row r="117" spans="44:61" ht="21">
      <c r="AS117" s="127"/>
      <c r="AT117" s="127"/>
      <c r="AU117" s="127"/>
      <c r="AV117" s="101" t="s">
        <v>91</v>
      </c>
      <c r="AW117" s="101"/>
      <c r="AX117" s="101"/>
      <c r="BA117" s="127"/>
      <c r="BB117" s="127"/>
      <c r="BC117" s="127"/>
    </row>
    <row r="118" spans="44:61">
      <c r="AR118" s="127"/>
      <c r="AS118" s="127"/>
      <c r="BC118" s="141"/>
      <c r="BE118" s="19"/>
      <c r="BF118" s="56"/>
      <c r="BG118" s="56"/>
      <c r="BH118" s="56"/>
    </row>
    <row r="119" spans="44:61">
      <c r="AR119" s="127"/>
      <c r="AS119" s="35" t="s">
        <v>53</v>
      </c>
      <c r="AT119" s="33"/>
      <c r="AU119" s="127" t="s">
        <v>18</v>
      </c>
      <c r="AV119" s="105" t="s">
        <v>3</v>
      </c>
      <c r="AW119" s="106"/>
      <c r="AX119" s="73">
        <v>0.12385</v>
      </c>
      <c r="AY119" s="15" t="s">
        <v>18</v>
      </c>
      <c r="AZ119" s="36" t="s">
        <v>49</v>
      </c>
      <c r="BA119" s="34">
        <v>0.01</v>
      </c>
      <c r="BB119" s="127" t="s">
        <v>18</v>
      </c>
      <c r="BC119" s="141"/>
    </row>
    <row r="120" spans="44:61">
      <c r="AR120" s="127"/>
      <c r="AS120" s="107" t="s">
        <v>54</v>
      </c>
      <c r="AT120" s="41"/>
      <c r="AU120" s="127" t="s">
        <v>18</v>
      </c>
      <c r="AV120" s="105" t="s">
        <v>4</v>
      </c>
      <c r="AW120" s="106"/>
      <c r="AX120" s="34">
        <v>0.08</v>
      </c>
      <c r="AY120" s="15" t="s">
        <v>18</v>
      </c>
      <c r="AZ120" s="36" t="s">
        <v>27</v>
      </c>
      <c r="BA120" s="34">
        <f>21.35/100</f>
        <v>0.21350000000000002</v>
      </c>
      <c r="BB120" s="127" t="s">
        <v>33</v>
      </c>
      <c r="BC120" s="141"/>
    </row>
    <row r="121" spans="44:61">
      <c r="AR121" s="127"/>
      <c r="AS121" s="34" t="s">
        <v>17</v>
      </c>
      <c r="AT121" s="34"/>
      <c r="AU121" s="127" t="s">
        <v>18</v>
      </c>
      <c r="AV121" s="105" t="s">
        <v>17</v>
      </c>
      <c r="AW121" s="106"/>
      <c r="AX121" s="73">
        <f>SUM(AX119:AX120)</f>
        <v>0.20385</v>
      </c>
      <c r="AY121" s="15" t="s">
        <v>18</v>
      </c>
      <c r="AZ121" s="67" t="s">
        <v>30</v>
      </c>
      <c r="BA121" s="37">
        <f>BA120*BA119</f>
        <v>2.1350000000000002E-3</v>
      </c>
      <c r="BB121" s="127" t="s">
        <v>18</v>
      </c>
      <c r="BC121" s="141"/>
    </row>
    <row r="122" spans="44:61">
      <c r="AR122" s="127"/>
      <c r="AU122" s="127"/>
      <c r="AV122" s="398" t="s">
        <v>30</v>
      </c>
      <c r="AW122" s="399"/>
      <c r="AX122" s="104">
        <f>BA120*AX121</f>
        <v>4.3521975000000004E-2</v>
      </c>
      <c r="AY122" s="15" t="s">
        <v>18</v>
      </c>
      <c r="BC122" s="141"/>
    </row>
    <row r="123" spans="44:61">
      <c r="AR123" s="127"/>
      <c r="AS123" s="127"/>
    </row>
    <row r="124" spans="44:61">
      <c r="AR124" s="127"/>
      <c r="AS124" s="127"/>
      <c r="BA124" s="31">
        <f>BA119+AX121</f>
        <v>0.21385000000000001</v>
      </c>
      <c r="BB124" s="15">
        <f>BA121+AX122</f>
        <v>4.5656975000000002E-2</v>
      </c>
    </row>
    <row r="125" spans="44:61">
      <c r="AR125" s="127"/>
    </row>
    <row r="126" spans="44:61">
      <c r="AR126" s="127"/>
      <c r="AT126" s="127"/>
    </row>
    <row r="127" spans="44:61">
      <c r="AR127" s="127"/>
      <c r="BA127" s="15">
        <f>BB124+0.085</f>
        <v>0.13065697500000001</v>
      </c>
    </row>
    <row r="128" spans="44:61"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</row>
  </sheetData>
  <mergeCells count="15">
    <mergeCell ref="AW72:AX72"/>
    <mergeCell ref="AV122:AW122"/>
    <mergeCell ref="A40:B40"/>
    <mergeCell ref="AB7:AC7"/>
    <mergeCell ref="AD24:AE24"/>
    <mergeCell ref="P26:Q26"/>
    <mergeCell ref="D54:G54"/>
    <mergeCell ref="AE55:AF55"/>
    <mergeCell ref="A39:B39"/>
    <mergeCell ref="AC39:AD39"/>
    <mergeCell ref="A41:B41"/>
    <mergeCell ref="AE33:AI33"/>
    <mergeCell ref="AV49:AZ49"/>
    <mergeCell ref="O62:T62"/>
    <mergeCell ref="AU97:AY9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H37" zoomScale="80" zoomScaleNormal="80" workbookViewId="0">
      <selection activeCell="U53" sqref="U53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0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7" width="12" style="15" customWidth="1"/>
    <col min="18" max="18" width="14.5703125" style="15" customWidth="1"/>
    <col min="19" max="19" width="13.5703125" style="15" customWidth="1"/>
    <col min="20" max="20" width="10.85546875" style="15" customWidth="1"/>
    <col min="21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</row>
    <row r="2" spans="9:38">
      <c r="AK2" s="140"/>
      <c r="AL2" s="140"/>
    </row>
    <row r="3" spans="9:38">
      <c r="AK3" s="140"/>
      <c r="AL3" s="140"/>
    </row>
    <row r="4" spans="9:38">
      <c r="AK4" s="140"/>
      <c r="AL4" s="140"/>
    </row>
    <row r="5" spans="9:38" ht="21" customHeight="1">
      <c r="I5" s="132"/>
      <c r="AK5" s="140"/>
      <c r="AL5" s="140"/>
    </row>
    <row r="6" spans="9:38">
      <c r="I6" s="134"/>
      <c r="AK6" s="140"/>
      <c r="AL6" s="140"/>
    </row>
    <row r="7" spans="9:38" ht="15.75" customHeight="1">
      <c r="I7" s="134"/>
      <c r="AK7" s="140"/>
      <c r="AL7" s="140"/>
    </row>
    <row r="8" spans="9:38">
      <c r="I8" s="134"/>
      <c r="AK8" s="140"/>
      <c r="AL8" s="140"/>
    </row>
    <row r="9" spans="9:38">
      <c r="I9" s="134"/>
      <c r="AK9" s="140"/>
      <c r="AL9" s="140"/>
    </row>
    <row r="10" spans="9:38">
      <c r="I10" s="134"/>
      <c r="AK10" s="140"/>
      <c r="AL10" s="140"/>
    </row>
    <row r="11" spans="9:38">
      <c r="AK11" s="140"/>
      <c r="AL11" s="140"/>
    </row>
    <row r="12" spans="9:38">
      <c r="AK12" s="140"/>
      <c r="AL12" s="140"/>
    </row>
    <row r="13" spans="9:38">
      <c r="AK13" s="140"/>
      <c r="AL13" s="140"/>
    </row>
    <row r="14" spans="9:38">
      <c r="Q14" s="22"/>
      <c r="T14" s="134"/>
      <c r="U14" s="134"/>
      <c r="V14" s="134"/>
      <c r="W14" s="134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</row>
    <row r="15" spans="9:38">
      <c r="T15" s="134"/>
      <c r="U15" s="134"/>
      <c r="V15" s="134"/>
      <c r="W15" s="134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</row>
    <row r="16" spans="9:38" ht="21">
      <c r="AB16" s="102"/>
      <c r="AC16" s="140"/>
      <c r="AD16" s="140"/>
      <c r="AE16" s="140"/>
      <c r="AF16" s="140"/>
      <c r="AG16" s="140"/>
      <c r="AH16" s="140"/>
      <c r="AI16" s="140"/>
      <c r="AJ16" s="140"/>
      <c r="AK16" s="140"/>
    </row>
    <row r="17" spans="1:38">
      <c r="H17" s="132"/>
      <c r="Q17" s="134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92</v>
      </c>
      <c r="N18" s="98"/>
      <c r="O18" s="98"/>
      <c r="Q18" s="134"/>
      <c r="W18" s="140"/>
      <c r="X18" s="140"/>
      <c r="Y18" s="101" t="s">
        <v>94</v>
      </c>
      <c r="Z18" s="101"/>
      <c r="AA18" s="101"/>
      <c r="AB18" s="140"/>
      <c r="AC18" s="140"/>
      <c r="AD18" s="140"/>
      <c r="AE18" s="140"/>
      <c r="AJ18" s="140"/>
      <c r="AK18" s="140"/>
      <c r="AL18" s="140"/>
    </row>
    <row r="19" spans="1:38" ht="21">
      <c r="A19" s="89" t="s">
        <v>14</v>
      </c>
      <c r="B19" s="85">
        <v>95.7</v>
      </c>
      <c r="C19" s="85">
        <f>B19/D19</f>
        <v>95.911004209260369</v>
      </c>
      <c r="D19" s="86">
        <v>0.99780000000000002</v>
      </c>
      <c r="F19" s="143" t="s">
        <v>99</v>
      </c>
      <c r="G19" s="146">
        <f>B21/C22*1000</f>
        <v>99.737784839963084</v>
      </c>
      <c r="H19" s="24" t="s">
        <v>100</v>
      </c>
      <c r="L19" s="47" t="s">
        <v>46</v>
      </c>
      <c r="M19" s="96"/>
      <c r="N19" s="96"/>
      <c r="O19" s="34"/>
      <c r="P19" s="34"/>
      <c r="Q19" s="134"/>
      <c r="AE19" s="140"/>
      <c r="AJ19" s="140"/>
      <c r="AK19" s="140"/>
      <c r="AL19" s="140"/>
    </row>
    <row r="20" spans="1:38" ht="18">
      <c r="A20" s="89" t="s">
        <v>15</v>
      </c>
      <c r="B20" s="85">
        <v>0.10015</v>
      </c>
      <c r="C20" s="86">
        <f>B20/D20</f>
        <v>9.3598130841121494E-2</v>
      </c>
      <c r="D20" s="89">
        <v>1.07</v>
      </c>
      <c r="H20" s="24"/>
      <c r="Q20" s="134"/>
      <c r="W20" s="141"/>
      <c r="X20" s="403" t="s">
        <v>22</v>
      </c>
      <c r="Y20" s="404"/>
      <c r="Z20" s="404"/>
      <c r="AA20" s="405"/>
      <c r="AB20" s="141"/>
      <c r="AC20" s="141"/>
      <c r="AD20" s="141"/>
      <c r="AK20" s="140"/>
      <c r="AL20" s="140"/>
    </row>
    <row r="21" spans="1:38" ht="18">
      <c r="A21" s="89" t="s">
        <v>16</v>
      </c>
      <c r="B21" s="93">
        <v>10.029999999999999</v>
      </c>
      <c r="C21" s="86">
        <f>B21/D21</f>
        <v>4.5590909090909086</v>
      </c>
      <c r="D21" s="86">
        <v>2.2000000000000002</v>
      </c>
      <c r="K21" s="134"/>
      <c r="O21" s="23"/>
      <c r="X21" s="16"/>
      <c r="Y21" s="17"/>
      <c r="Z21" s="18"/>
      <c r="AK21" s="140"/>
      <c r="AL21" s="140"/>
    </row>
    <row r="22" spans="1:38" ht="18">
      <c r="A22" s="84" t="s">
        <v>17</v>
      </c>
      <c r="B22" s="86">
        <f>SUM(B19:B21)</f>
        <v>105.83015</v>
      </c>
      <c r="C22" s="86">
        <f>SUM(C19:C21)</f>
        <v>100.5636932491924</v>
      </c>
      <c r="D22" s="86">
        <f>B22/C22</f>
        <v>1.0523693649333021</v>
      </c>
      <c r="K22" s="134"/>
      <c r="L22" s="36" t="s">
        <v>3</v>
      </c>
      <c r="M22" s="34">
        <v>0.2</v>
      </c>
      <c r="N22" s="15" t="s">
        <v>18</v>
      </c>
      <c r="O22" s="36" t="s">
        <v>49</v>
      </c>
      <c r="P22" s="73">
        <f>K28-M25-K43-Q41-N43</f>
        <v>67.009107999999998</v>
      </c>
      <c r="Q22" s="134" t="s">
        <v>18</v>
      </c>
      <c r="X22" s="105" t="s">
        <v>3</v>
      </c>
      <c r="Y22" s="106"/>
      <c r="Z22" s="73">
        <v>0.46678999999999998</v>
      </c>
      <c r="AA22" s="15" t="s">
        <v>18</v>
      </c>
      <c r="AB22" s="36" t="s">
        <v>49</v>
      </c>
      <c r="AC22" s="34">
        <v>64.73</v>
      </c>
      <c r="AD22" s="140" t="s">
        <v>18</v>
      </c>
      <c r="AK22" s="140"/>
      <c r="AL22" s="140"/>
    </row>
    <row r="23" spans="1:38" ht="18">
      <c r="B23" s="87"/>
      <c r="C23" s="87"/>
      <c r="D23" s="87"/>
      <c r="E23" s="87"/>
      <c r="K23" s="134"/>
      <c r="L23" s="36" t="s">
        <v>4</v>
      </c>
      <c r="M23" s="34">
        <v>0.21</v>
      </c>
      <c r="N23" s="15" t="s">
        <v>18</v>
      </c>
      <c r="O23" s="36" t="s">
        <v>27</v>
      </c>
      <c r="P23" s="34">
        <f>0.32/100</f>
        <v>3.2000000000000002E-3</v>
      </c>
      <c r="Q23" s="134" t="s">
        <v>33</v>
      </c>
      <c r="X23" s="105" t="s">
        <v>4</v>
      </c>
      <c r="Y23" s="106"/>
      <c r="Z23" s="34">
        <v>0.6</v>
      </c>
      <c r="AA23" s="15" t="s">
        <v>18</v>
      </c>
      <c r="AB23" s="36" t="s">
        <v>27</v>
      </c>
      <c r="AC23" s="34">
        <f>0.05/100</f>
        <v>5.0000000000000001E-4</v>
      </c>
      <c r="AD23" s="140" t="s">
        <v>33</v>
      </c>
      <c r="AK23" s="140"/>
      <c r="AL23" s="140"/>
    </row>
    <row r="24" spans="1:38">
      <c r="K24" s="134"/>
      <c r="L24" s="103" t="s">
        <v>17</v>
      </c>
      <c r="M24" s="34">
        <f>SUM(M22:M23)</f>
        <v>0.41000000000000003</v>
      </c>
      <c r="N24" s="15" t="s">
        <v>18</v>
      </c>
      <c r="O24" s="67" t="s">
        <v>30</v>
      </c>
      <c r="P24" s="37">
        <f>P23*P22</f>
        <v>0.21442914560000001</v>
      </c>
      <c r="Q24" s="134" t="s">
        <v>18</v>
      </c>
      <c r="X24" s="105" t="s">
        <v>17</v>
      </c>
      <c r="Y24" s="106"/>
      <c r="Z24" s="73">
        <f>SUM(Z22:Z23)</f>
        <v>1.0667899999999999</v>
      </c>
      <c r="AA24" s="15" t="s">
        <v>18</v>
      </c>
      <c r="AB24" s="67" t="s">
        <v>30</v>
      </c>
      <c r="AC24" s="37">
        <f>AC23*AC22</f>
        <v>3.2365000000000005E-2</v>
      </c>
      <c r="AD24" s="140" t="s">
        <v>18</v>
      </c>
      <c r="AK24" s="140"/>
      <c r="AL24" s="140"/>
    </row>
    <row r="25" spans="1:38">
      <c r="L25" s="67" t="s">
        <v>30</v>
      </c>
      <c r="M25" s="37">
        <f>P23*M24</f>
        <v>1.3120000000000002E-3</v>
      </c>
      <c r="N25" s="15" t="s">
        <v>18</v>
      </c>
      <c r="Q25" s="134"/>
      <c r="W25" s="140"/>
      <c r="X25" s="138" t="s">
        <v>30</v>
      </c>
      <c r="Y25" s="139"/>
      <c r="Z25" s="104">
        <f>AC23*Z24</f>
        <v>5.3339499999999998E-4</v>
      </c>
      <c r="AA25" s="15" t="s">
        <v>18</v>
      </c>
      <c r="AK25" s="140"/>
      <c r="AL25" s="140"/>
    </row>
    <row r="26" spans="1:38">
      <c r="A26" s="23"/>
      <c r="W26" s="140"/>
      <c r="X26" s="140"/>
      <c r="Y26" s="140"/>
      <c r="Z26" s="140"/>
      <c r="AA26" s="23"/>
      <c r="AL26" s="140"/>
    </row>
    <row r="27" spans="1:38">
      <c r="A27" s="23"/>
      <c r="AD27" s="31">
        <f>AC22+Z24</f>
        <v>65.796790000000001</v>
      </c>
      <c r="AE27" s="15">
        <f>AC24+Z25</f>
        <v>3.2898395000000004E-2</v>
      </c>
      <c r="AL27" s="140"/>
    </row>
    <row r="28" spans="1:38" ht="21">
      <c r="D28" s="143" t="s">
        <v>45</v>
      </c>
      <c r="E28" s="142">
        <f>B22-(C41+B44)</f>
        <v>102.76515000000001</v>
      </c>
      <c r="F28" s="15" t="s">
        <v>18</v>
      </c>
      <c r="J28" s="143" t="s">
        <v>96</v>
      </c>
      <c r="K28" s="142">
        <f>M24+K43+N43+Q41+Z24+AC22+Z45+AC43</f>
        <v>96.24042</v>
      </c>
      <c r="L28" s="15" t="s">
        <v>18</v>
      </c>
    </row>
    <row r="29" spans="1:38">
      <c r="AJ29" s="22"/>
    </row>
    <row r="30" spans="1:38" ht="21">
      <c r="I30" s="102"/>
      <c r="W30" s="142">
        <f>Z24+AC22+Z45+AC43</f>
        <v>66.60042</v>
      </c>
      <c r="X30" s="15" t="s">
        <v>18</v>
      </c>
    </row>
    <row r="34" spans="1:55"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</row>
    <row r="35" spans="1:55" ht="21">
      <c r="E35" s="143" t="s">
        <v>97</v>
      </c>
      <c r="F35" s="142">
        <f>E28-K28</f>
        <v>6.5247300000000052</v>
      </c>
      <c r="G35" s="15" t="s">
        <v>18</v>
      </c>
      <c r="H35" s="144">
        <f>F35/B22</f>
        <v>6.1652846565936129E-2</v>
      </c>
      <c r="U35" s="140"/>
      <c r="Z35" s="140"/>
    </row>
    <row r="36" spans="1:55">
      <c r="P36" s="137"/>
      <c r="Q36" s="137"/>
      <c r="R36" s="16"/>
      <c r="U36" s="140"/>
      <c r="Z36" s="140"/>
    </row>
    <row r="37" spans="1:55">
      <c r="E37" s="30"/>
      <c r="Z37" s="140"/>
    </row>
    <row r="38" spans="1:55" ht="21">
      <c r="M38" s="98" t="s">
        <v>93</v>
      </c>
      <c r="N38" s="48"/>
      <c r="Z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</row>
    <row r="39" spans="1:55" ht="21">
      <c r="A39" s="392" t="s">
        <v>6</v>
      </c>
      <c r="B39" s="392"/>
      <c r="C39" s="33">
        <v>1.0649999999999999</v>
      </c>
      <c r="D39" s="15" t="s">
        <v>18</v>
      </c>
      <c r="E39" s="134"/>
      <c r="F39" s="134"/>
      <c r="G39" s="134"/>
      <c r="M39" s="135" t="s">
        <v>20</v>
      </c>
      <c r="N39" s="136"/>
      <c r="Y39" s="101" t="s">
        <v>95</v>
      </c>
      <c r="Z39" s="101"/>
      <c r="AA39" s="101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</row>
    <row r="40" spans="1:55">
      <c r="A40" s="392" t="s">
        <v>5</v>
      </c>
      <c r="B40" s="392"/>
      <c r="C40" s="33">
        <v>0.6</v>
      </c>
      <c r="D40" s="15" t="s">
        <v>18</v>
      </c>
      <c r="E40" s="134"/>
      <c r="F40" s="134"/>
      <c r="G40" s="134"/>
      <c r="V40" s="140"/>
      <c r="X40" s="403" t="s">
        <v>23</v>
      </c>
      <c r="Y40" s="404"/>
      <c r="Z40" s="404"/>
      <c r="AA40" s="405"/>
      <c r="AB40" s="141"/>
      <c r="AK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</row>
    <row r="41" spans="1:55">
      <c r="A41" s="400" t="s">
        <v>17</v>
      </c>
      <c r="B41" s="401"/>
      <c r="C41" s="91">
        <f>SUM(C39:C40)</f>
        <v>1.665</v>
      </c>
      <c r="D41" s="23" t="s">
        <v>18</v>
      </c>
      <c r="E41" s="134"/>
      <c r="F41" s="134"/>
      <c r="G41" s="134"/>
      <c r="J41" s="67" t="s">
        <v>1</v>
      </c>
      <c r="K41" s="34">
        <v>2.14</v>
      </c>
      <c r="L41" s="15" t="s">
        <v>18</v>
      </c>
      <c r="M41" s="36" t="s">
        <v>3</v>
      </c>
      <c r="N41" s="73">
        <v>0.21</v>
      </c>
      <c r="O41" s="15" t="s">
        <v>18</v>
      </c>
      <c r="P41" s="36" t="s">
        <v>49</v>
      </c>
      <c r="Q41" s="34">
        <v>26.68</v>
      </c>
      <c r="R41" s="140" t="s">
        <v>18</v>
      </c>
      <c r="Z41" s="140"/>
      <c r="AK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</row>
    <row r="42" spans="1:55">
      <c r="C42" s="134"/>
      <c r="D42" s="134"/>
      <c r="E42" s="134"/>
      <c r="F42" s="134"/>
      <c r="G42" s="134"/>
      <c r="I42" s="26"/>
      <c r="J42" s="67" t="s">
        <v>9</v>
      </c>
      <c r="K42" s="64"/>
      <c r="L42" s="15" t="s">
        <v>18</v>
      </c>
      <c r="M42" s="36" t="s">
        <v>4</v>
      </c>
      <c r="N42" s="34">
        <v>0.2</v>
      </c>
      <c r="O42" s="15" t="s">
        <v>18</v>
      </c>
      <c r="P42" s="36" t="s">
        <v>27</v>
      </c>
      <c r="Q42" s="34">
        <f>34.29/100</f>
        <v>0.34289999999999998</v>
      </c>
      <c r="R42" s="140" t="s">
        <v>33</v>
      </c>
      <c r="S42" s="34">
        <f>6.47/100</f>
        <v>6.4699999999999994E-2</v>
      </c>
      <c r="AE42" s="140"/>
      <c r="AF42" s="140"/>
      <c r="AG42" s="140"/>
      <c r="AH42" s="140"/>
      <c r="AI42" s="140"/>
      <c r="AJ42" s="140"/>
      <c r="AK42" s="140"/>
      <c r="AL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</row>
    <row r="43" spans="1:55">
      <c r="A43" s="36" t="s">
        <v>44</v>
      </c>
      <c r="B43" s="33">
        <v>1.4</v>
      </c>
      <c r="C43" s="134" t="s">
        <v>18</v>
      </c>
      <c r="D43" s="134"/>
      <c r="E43" s="134"/>
      <c r="F43" s="134"/>
      <c r="G43" s="134"/>
      <c r="H43" s="133"/>
      <c r="J43" s="34" t="s">
        <v>17</v>
      </c>
      <c r="K43" s="91">
        <f>SUM(K41:K42)</f>
        <v>2.14</v>
      </c>
      <c r="L43" s="23" t="s">
        <v>18</v>
      </c>
      <c r="M43" s="103" t="s">
        <v>17</v>
      </c>
      <c r="N43" s="73">
        <f>SUM(N41:N42)</f>
        <v>0.41000000000000003</v>
      </c>
      <c r="O43" s="15" t="s">
        <v>18</v>
      </c>
      <c r="P43" s="67" t="s">
        <v>30</v>
      </c>
      <c r="Q43" s="37">
        <f>Q42*Q41</f>
        <v>9.1485719999999997</v>
      </c>
      <c r="R43" s="140" t="s">
        <v>18</v>
      </c>
      <c r="U43" s="35" t="s">
        <v>53</v>
      </c>
      <c r="V43" s="33"/>
      <c r="W43" s="140" t="s">
        <v>18</v>
      </c>
      <c r="X43" s="105" t="s">
        <v>3</v>
      </c>
      <c r="Y43" s="106"/>
      <c r="Z43" s="73">
        <v>0.14363000000000001</v>
      </c>
      <c r="AA43" s="15" t="s">
        <v>18</v>
      </c>
      <c r="AB43" s="36" t="s">
        <v>49</v>
      </c>
      <c r="AC43" s="34">
        <v>0.51</v>
      </c>
      <c r="AD43" s="140" t="s">
        <v>18</v>
      </c>
      <c r="AF43" s="140"/>
      <c r="AG43" s="140"/>
      <c r="AH43" s="140"/>
      <c r="AI43" s="140"/>
      <c r="AJ43" s="140"/>
      <c r="AK43" s="140"/>
      <c r="AL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</row>
    <row r="44" spans="1:55">
      <c r="A44" s="92" t="s">
        <v>17</v>
      </c>
      <c r="B44" s="90">
        <f>SUM(B43)</f>
        <v>1.4</v>
      </c>
      <c r="C44" s="134" t="s">
        <v>18</v>
      </c>
      <c r="D44" s="134">
        <f>C41+B44</f>
        <v>3.0649999999999999</v>
      </c>
      <c r="E44" s="134"/>
      <c r="M44" s="67" t="s">
        <v>30</v>
      </c>
      <c r="N44" s="37">
        <f>Q42*N43</f>
        <v>0.14058899999999999</v>
      </c>
      <c r="O44" s="15" t="s">
        <v>18</v>
      </c>
      <c r="U44" s="140"/>
      <c r="V44" s="140"/>
      <c r="W44" s="140"/>
      <c r="X44" s="105" t="s">
        <v>4</v>
      </c>
      <c r="Y44" s="106"/>
      <c r="Z44" s="34">
        <v>0.15</v>
      </c>
      <c r="AA44" s="15" t="s">
        <v>18</v>
      </c>
      <c r="AB44" s="36" t="s">
        <v>27</v>
      </c>
      <c r="AC44" s="34">
        <f>20.43/100</f>
        <v>0.20430000000000001</v>
      </c>
      <c r="AD44" s="140" t="s">
        <v>33</v>
      </c>
      <c r="AL44" s="140"/>
      <c r="AP44" s="140"/>
      <c r="AQ44" s="140"/>
      <c r="AR44" s="140"/>
      <c r="AS44" s="140"/>
      <c r="AT44" s="140"/>
      <c r="AU44" s="140"/>
      <c r="AV44" s="140"/>
      <c r="AW44" s="140"/>
      <c r="AX44" s="140"/>
      <c r="AY44" s="140"/>
      <c r="AZ44" s="140"/>
      <c r="BA44" s="140"/>
      <c r="BB44" s="140"/>
    </row>
    <row r="45" spans="1:55">
      <c r="C45" s="134"/>
      <c r="D45" s="134"/>
      <c r="E45" s="134"/>
      <c r="U45" s="140"/>
      <c r="V45" s="140"/>
      <c r="W45" s="140"/>
      <c r="X45" s="105" t="s">
        <v>17</v>
      </c>
      <c r="Y45" s="106"/>
      <c r="Z45" s="73">
        <f>SUM(Z43:Z44)</f>
        <v>0.29363</v>
      </c>
      <c r="AA45" s="15" t="s">
        <v>18</v>
      </c>
      <c r="AB45" s="67" t="s">
        <v>30</v>
      </c>
      <c r="AC45" s="37">
        <f>AC44*AC43</f>
        <v>0.10419300000000001</v>
      </c>
      <c r="AD45" s="140" t="s">
        <v>18</v>
      </c>
      <c r="AL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0"/>
      <c r="BB45" s="140"/>
      <c r="BC45" s="134"/>
    </row>
    <row r="46" spans="1:55">
      <c r="A46" s="15" t="s">
        <v>66</v>
      </c>
      <c r="B46" s="15">
        <f>B43/D22</f>
        <v>1.330331389957109</v>
      </c>
      <c r="C46" s="134" t="s">
        <v>62</v>
      </c>
      <c r="D46" s="134"/>
      <c r="E46" s="134"/>
      <c r="P46" s="31">
        <f>Q41+N43</f>
        <v>27.09</v>
      </c>
      <c r="Q46" s="15">
        <f>Q43+N44</f>
        <v>9.289161</v>
      </c>
      <c r="X46" s="138" t="s">
        <v>30</v>
      </c>
      <c r="Y46" s="139"/>
      <c r="Z46" s="104">
        <f>AC44*Z45</f>
        <v>5.9988609000000005E-2</v>
      </c>
      <c r="AA46" s="15" t="s">
        <v>18</v>
      </c>
      <c r="AF46" s="140"/>
      <c r="AP46" s="140"/>
      <c r="AQ46" s="140"/>
      <c r="AR46" s="140"/>
      <c r="AS46" s="140"/>
      <c r="AT46" s="140"/>
      <c r="AU46" s="140"/>
      <c r="AV46" s="140"/>
      <c r="AW46" s="140"/>
      <c r="AX46" s="140"/>
      <c r="AY46" s="140"/>
      <c r="AZ46" s="140"/>
      <c r="BA46" s="140"/>
      <c r="BB46" s="140"/>
      <c r="BC46" s="134"/>
    </row>
    <row r="47" spans="1:55">
      <c r="A47" s="15" t="s">
        <v>65</v>
      </c>
      <c r="B47" s="15">
        <f>C41/D22</f>
        <v>1.5821441173418476</v>
      </c>
      <c r="C47" s="15" t="s">
        <v>62</v>
      </c>
      <c r="AP47" s="140"/>
      <c r="AQ47" s="140"/>
      <c r="AR47" s="140"/>
      <c r="AS47" s="140"/>
      <c r="AT47" s="140"/>
      <c r="AU47" s="140"/>
      <c r="AV47" s="140"/>
      <c r="AW47" s="140"/>
      <c r="AX47" s="140"/>
      <c r="AY47" s="140"/>
      <c r="AZ47" s="140"/>
      <c r="BA47" s="140"/>
      <c r="BB47" s="140"/>
      <c r="BC47" s="134"/>
    </row>
    <row r="48" spans="1:55">
      <c r="A48" s="15" t="s">
        <v>67</v>
      </c>
      <c r="B48" s="15">
        <f>G19*(B46+B47)/1000</f>
        <v>0.29048385549864564</v>
      </c>
      <c r="C48" s="15" t="s">
        <v>18</v>
      </c>
      <c r="AP48" s="140"/>
      <c r="AQ48" s="140"/>
      <c r="AR48" s="140"/>
      <c r="AS48" s="140"/>
      <c r="AT48" s="140"/>
      <c r="AU48" s="140"/>
      <c r="AV48" s="140"/>
      <c r="AW48" s="140"/>
      <c r="AX48" s="140"/>
      <c r="AY48" s="140"/>
      <c r="AZ48" s="140"/>
      <c r="BA48" s="140"/>
      <c r="BB48" s="140"/>
    </row>
    <row r="49" spans="1:59">
      <c r="A49" s="15" t="s">
        <v>64</v>
      </c>
      <c r="B49" s="74">
        <f>B21-B48</f>
        <v>9.7395161445013532</v>
      </c>
      <c r="C49" s="15" t="s">
        <v>18</v>
      </c>
      <c r="AC49" s="31">
        <f>AC43+Z45</f>
        <v>0.80363000000000007</v>
      </c>
      <c r="AD49" s="15">
        <f>AC45+Z46</f>
        <v>0.16418160900000001</v>
      </c>
      <c r="AP49" s="140"/>
      <c r="AQ49" s="140"/>
      <c r="AR49" s="140"/>
      <c r="AS49" s="140"/>
      <c r="AT49" s="140"/>
      <c r="AU49" s="140"/>
      <c r="AV49" s="379"/>
      <c r="AW49" s="379"/>
      <c r="AX49" s="379"/>
      <c r="AY49" s="379"/>
      <c r="AZ49" s="379"/>
      <c r="BA49" s="140"/>
      <c r="BB49" s="140"/>
    </row>
    <row r="50" spans="1:59">
      <c r="R50" s="134"/>
      <c r="S50" s="15" t="s">
        <v>27</v>
      </c>
      <c r="U50" s="15" t="s">
        <v>40</v>
      </c>
      <c r="W50" s="15" t="s">
        <v>98</v>
      </c>
      <c r="X50" s="74">
        <f>B49</f>
        <v>9.7395161445013532</v>
      </c>
      <c r="Y50" s="15" t="s">
        <v>18</v>
      </c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</row>
    <row r="51" spans="1:59">
      <c r="Q51" s="134"/>
      <c r="R51" s="134"/>
      <c r="S51" s="15" t="s">
        <v>34</v>
      </c>
      <c r="T51" s="15">
        <f>Z25+AC24</f>
        <v>3.2898395000000004E-2</v>
      </c>
      <c r="U51" s="76">
        <f>T51/X50</f>
        <v>3.3778264250399624E-3</v>
      </c>
      <c r="AP51" s="140"/>
      <c r="AQ51" s="140"/>
      <c r="AR51" s="140"/>
      <c r="AS51" s="140"/>
      <c r="AT51" s="140"/>
      <c r="AU51" s="140"/>
      <c r="AV51" s="140"/>
      <c r="AW51" s="140"/>
      <c r="AX51" s="140"/>
      <c r="AY51" s="140"/>
      <c r="AZ51" s="140"/>
      <c r="BA51" s="140"/>
      <c r="BB51" s="140"/>
    </row>
    <row r="52" spans="1:59">
      <c r="S52" s="15" t="s">
        <v>35</v>
      </c>
      <c r="T52" s="15">
        <f>Z46+AC45</f>
        <v>0.16418160900000001</v>
      </c>
      <c r="U52" s="76">
        <f>T52/X50</f>
        <v>1.6857265449751541E-2</v>
      </c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</row>
    <row r="53" spans="1:59"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5" t="s">
        <v>36</v>
      </c>
      <c r="T53" s="140">
        <f>N44+Q43</f>
        <v>9.289161</v>
      </c>
      <c r="U53" s="147">
        <f>T53/X50</f>
        <v>0.95376000842140285</v>
      </c>
      <c r="V53" s="140"/>
      <c r="W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</row>
    <row r="54" spans="1:59">
      <c r="D54" s="379"/>
      <c r="E54" s="379"/>
      <c r="F54" s="379"/>
      <c r="G54" s="379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5" t="s">
        <v>17</v>
      </c>
      <c r="T54" s="140">
        <f>SUM(T51:T53)</f>
        <v>9.486241004</v>
      </c>
      <c r="U54" s="147"/>
      <c r="V54" s="140"/>
      <c r="W54" s="140"/>
      <c r="X54" s="140"/>
      <c r="Y54" s="140"/>
      <c r="Z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</row>
    <row r="55" spans="1:59"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5" t="s">
        <v>37</v>
      </c>
      <c r="T55" s="145">
        <f>X50-T54</f>
        <v>0.25327514050135314</v>
      </c>
      <c r="U55" s="147">
        <f>T55/X50</f>
        <v>2.6004899703805606E-2</v>
      </c>
      <c r="V55" s="140"/>
      <c r="W55" s="140"/>
      <c r="X55" s="140"/>
      <c r="Y55" s="140"/>
      <c r="Z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</row>
    <row r="56" spans="1:59"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T56" s="140"/>
      <c r="U56" s="171">
        <f>SUM(U51:U55)</f>
        <v>1</v>
      </c>
      <c r="V56" s="140"/>
      <c r="W56" s="140"/>
      <c r="X56" s="140"/>
      <c r="Y56" s="140"/>
      <c r="Z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</row>
    <row r="57" spans="1:59"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W57" s="140"/>
      <c r="X57" s="140"/>
      <c r="Y57" s="140"/>
      <c r="Z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</row>
    <row r="58" spans="1:59"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</row>
    <row r="59" spans="1:59"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  <c r="BG59" s="140"/>
    </row>
    <row r="60" spans="1:59"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  <c r="BG60" s="140"/>
    </row>
    <row r="61" spans="1:59"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0"/>
      <c r="BE61" s="140"/>
      <c r="BF61" s="140"/>
      <c r="BG61" s="140"/>
    </row>
    <row r="62" spans="1:59"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140"/>
    </row>
    <row r="63" spans="1:59"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  <c r="BB63" s="140"/>
      <c r="BC63" s="140"/>
      <c r="BD63" s="140"/>
      <c r="BE63" s="140"/>
      <c r="BF63" s="140"/>
      <c r="BG63" s="140"/>
    </row>
    <row r="64" spans="1:59"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</row>
    <row r="65" spans="4:59"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</row>
    <row r="66" spans="4:59"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</row>
    <row r="67" spans="4:59"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</row>
    <row r="68" spans="4:59"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</row>
    <row r="69" spans="4:59"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</row>
    <row r="70" spans="4:59"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</row>
    <row r="71" spans="4:59"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</row>
    <row r="72" spans="4:59"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379"/>
      <c r="AX72" s="379"/>
      <c r="AY72" s="140"/>
      <c r="AZ72" s="140"/>
      <c r="BA72" s="140"/>
      <c r="BB72" s="140"/>
      <c r="BC72" s="140"/>
      <c r="BD72" s="140"/>
      <c r="BE72" s="140"/>
      <c r="BF72" s="140"/>
      <c r="BG72" s="140"/>
    </row>
    <row r="73" spans="4:59"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</row>
    <row r="74" spans="4:59"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140"/>
    </row>
    <row r="75" spans="4:59"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  <c r="BG75" s="140"/>
    </row>
    <row r="76" spans="4:59"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140"/>
    </row>
    <row r="77" spans="4:59"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  <c r="BG77" s="140"/>
    </row>
    <row r="78" spans="4:59"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140"/>
    </row>
    <row r="79" spans="4:59"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40"/>
      <c r="BE79" s="140"/>
      <c r="BF79" s="140"/>
      <c r="BG79" s="140"/>
    </row>
    <row r="80" spans="4:59"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  <c r="BE80" s="140"/>
      <c r="BF80" s="140"/>
      <c r="BG80" s="140"/>
    </row>
    <row r="81" spans="4:59"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0"/>
      <c r="BC81" s="140"/>
      <c r="BD81" s="140"/>
      <c r="BE81" s="140"/>
      <c r="BF81" s="140"/>
      <c r="BG81" s="140"/>
    </row>
    <row r="82" spans="4:59"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  <c r="BG82" s="140"/>
    </row>
    <row r="83" spans="4:59"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0"/>
      <c r="BD83" s="140"/>
      <c r="BE83" s="140"/>
      <c r="BF83" s="140"/>
      <c r="BG83" s="140"/>
    </row>
    <row r="84" spans="4:59"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  <c r="BE84" s="140"/>
      <c r="BF84" s="140"/>
      <c r="BG84" s="140"/>
    </row>
    <row r="85" spans="4:59"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  <c r="BE85" s="140"/>
      <c r="BF85" s="140"/>
      <c r="BG85" s="140"/>
    </row>
    <row r="86" spans="4:59"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140"/>
    </row>
    <row r="87" spans="4:59"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  <c r="BG87" s="140"/>
    </row>
    <row r="88" spans="4:59"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</row>
    <row r="89" spans="4:59"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140"/>
    </row>
    <row r="90" spans="4:59"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  <c r="BG90" s="140"/>
    </row>
    <row r="91" spans="4:59"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</row>
    <row r="92" spans="4:59"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140"/>
    </row>
    <row r="93" spans="4:59"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  <c r="BG93" s="140"/>
    </row>
    <row r="94" spans="4:59"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  <c r="BG94" s="140"/>
    </row>
    <row r="95" spans="4:59"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140"/>
    </row>
    <row r="96" spans="4:59"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  <c r="BG96" s="140"/>
    </row>
    <row r="97" spans="4:59"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  <c r="BG97" s="140"/>
    </row>
    <row r="98" spans="4:59"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  <c r="BE98" s="140"/>
      <c r="BF98" s="140"/>
      <c r="BG98" s="140"/>
    </row>
    <row r="99" spans="4:59"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  <c r="BE99" s="140"/>
      <c r="BF99" s="140"/>
      <c r="BG99" s="140"/>
    </row>
    <row r="100" spans="4:59"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  <c r="BE100" s="140"/>
      <c r="BF100" s="140"/>
      <c r="BG100" s="140"/>
    </row>
    <row r="101" spans="4:59"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140"/>
    </row>
    <row r="102" spans="4:59"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0"/>
      <c r="BG102" s="140"/>
    </row>
    <row r="103" spans="4:59"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0"/>
      <c r="BG103" s="140"/>
    </row>
    <row r="104" spans="4:59"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0"/>
    </row>
    <row r="105" spans="4:59"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</row>
    <row r="106" spans="4:59"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</row>
    <row r="107" spans="4:59"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140"/>
    </row>
    <row r="108" spans="4:59"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  <c r="BE108" s="140"/>
      <c r="BF108" s="140"/>
      <c r="BG108" s="140"/>
    </row>
    <row r="109" spans="4:59"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  <c r="BE109" s="140"/>
      <c r="BF109" s="140"/>
      <c r="BG109" s="140"/>
    </row>
    <row r="110" spans="4:59"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140"/>
      <c r="AS110" s="140"/>
      <c r="AT110" s="140"/>
      <c r="AU110" s="140"/>
      <c r="AV110" s="140"/>
      <c r="AW110" s="140"/>
      <c r="AX110" s="140"/>
      <c r="AY110" s="140"/>
      <c r="AZ110" s="140"/>
      <c r="BA110" s="140"/>
      <c r="BB110" s="140"/>
      <c r="BC110" s="140"/>
      <c r="BD110" s="140"/>
      <c r="BE110" s="140"/>
      <c r="BF110" s="140"/>
      <c r="BG110" s="140"/>
    </row>
    <row r="111" spans="4:59"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  <c r="BG111" s="140"/>
    </row>
    <row r="112" spans="4:59"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  <c r="AS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E112" s="140"/>
      <c r="BF112" s="140"/>
      <c r="BG112" s="140"/>
    </row>
    <row r="113" spans="4:61"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</row>
    <row r="114" spans="4:61"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</row>
    <row r="115" spans="4:61"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  <c r="BG115" s="140"/>
      <c r="BH115" s="27"/>
      <c r="BI115" s="27"/>
    </row>
    <row r="116" spans="4:61"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  <c r="BG116" s="140"/>
      <c r="BI116" s="22"/>
    </row>
    <row r="117" spans="4:61"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140"/>
    </row>
    <row r="118" spans="4:61"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  <c r="BE118" s="140"/>
      <c r="BF118" s="140"/>
      <c r="BG118" s="140"/>
      <c r="BH118" s="56"/>
    </row>
    <row r="119" spans="4:61"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E119" s="140"/>
      <c r="BF119" s="140"/>
      <c r="BG119" s="140"/>
    </row>
    <row r="120" spans="4:61"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140"/>
    </row>
    <row r="121" spans="4:61"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  <c r="BE121" s="140"/>
      <c r="BF121" s="140"/>
      <c r="BG121" s="140"/>
    </row>
    <row r="122" spans="4:61"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379"/>
      <c r="AW122" s="379"/>
      <c r="AX122" s="140"/>
      <c r="AY122" s="140"/>
      <c r="AZ122" s="140"/>
      <c r="BA122" s="140"/>
      <c r="BB122" s="140"/>
      <c r="BC122" s="140"/>
      <c r="BD122" s="140"/>
      <c r="BE122" s="140"/>
      <c r="BF122" s="140"/>
      <c r="BG122" s="140"/>
    </row>
    <row r="123" spans="4:61"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  <c r="BE123" s="140"/>
      <c r="BF123" s="140"/>
      <c r="BG123" s="140"/>
    </row>
    <row r="124" spans="4:61"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140"/>
    </row>
    <row r="125" spans="4:61">
      <c r="AR125" s="134"/>
    </row>
    <row r="126" spans="4:61">
      <c r="AR126" s="134"/>
      <c r="AT126" s="134"/>
    </row>
    <row r="127" spans="4:61">
      <c r="AR127" s="134"/>
    </row>
    <row r="128" spans="4:61">
      <c r="AR128" s="134"/>
      <c r="AS128" s="134"/>
      <c r="AT128" s="134"/>
      <c r="AU128" s="134"/>
      <c r="AV128" s="134"/>
      <c r="AW128" s="134"/>
      <c r="AX128" s="134"/>
      <c r="AY128" s="134"/>
      <c r="AZ128" s="134"/>
      <c r="BA128" s="134"/>
      <c r="BB128" s="134"/>
      <c r="BC128" s="134"/>
    </row>
  </sheetData>
  <mergeCells count="9">
    <mergeCell ref="A39:B39"/>
    <mergeCell ref="X20:AA20"/>
    <mergeCell ref="X40:AA40"/>
    <mergeCell ref="AV122:AW122"/>
    <mergeCell ref="A40:B40"/>
    <mergeCell ref="A41:B41"/>
    <mergeCell ref="AV49:AZ49"/>
    <mergeCell ref="D54:G54"/>
    <mergeCell ref="AW72:AX7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A14" zoomScale="60" zoomScaleNormal="60" workbookViewId="0">
      <selection activeCell="A26" sqref="A26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0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7" width="12" style="15" customWidth="1"/>
    <col min="18" max="18" width="14.5703125" style="15" customWidth="1"/>
    <col min="19" max="19" width="16.140625" style="15" customWidth="1"/>
    <col min="20" max="20" width="10.85546875" style="15" customWidth="1"/>
    <col min="21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</row>
    <row r="2" spans="9:38">
      <c r="AK2" s="159"/>
      <c r="AL2" s="159"/>
    </row>
    <row r="3" spans="9:38">
      <c r="AK3" s="159"/>
      <c r="AL3" s="159"/>
    </row>
    <row r="4" spans="9:38">
      <c r="AK4" s="159"/>
      <c r="AL4" s="159"/>
    </row>
    <row r="5" spans="9:38" ht="21" customHeight="1">
      <c r="I5" s="152"/>
      <c r="AK5" s="159"/>
      <c r="AL5" s="159"/>
    </row>
    <row r="6" spans="9:38">
      <c r="I6" s="159"/>
      <c r="AK6" s="159"/>
      <c r="AL6" s="159"/>
    </row>
    <row r="7" spans="9:38" ht="15.75" customHeight="1">
      <c r="I7" s="159"/>
      <c r="AK7" s="159"/>
      <c r="AL7" s="159"/>
    </row>
    <row r="8" spans="9:38">
      <c r="I8" s="159"/>
      <c r="AK8" s="159"/>
      <c r="AL8" s="159"/>
    </row>
    <row r="9" spans="9:38">
      <c r="I9" s="159"/>
      <c r="AK9" s="159"/>
      <c r="AL9" s="159"/>
    </row>
    <row r="10" spans="9:38">
      <c r="I10" s="159"/>
      <c r="AK10" s="159"/>
      <c r="AL10" s="159"/>
    </row>
    <row r="11" spans="9:38">
      <c r="AK11" s="159"/>
      <c r="AL11" s="159"/>
    </row>
    <row r="12" spans="9:38">
      <c r="AK12" s="159"/>
      <c r="AL12" s="159"/>
    </row>
    <row r="13" spans="9:38">
      <c r="AK13" s="159"/>
      <c r="AL13" s="159"/>
    </row>
    <row r="14" spans="9:38">
      <c r="Q14" s="22"/>
      <c r="T14" s="159"/>
      <c r="U14" s="159"/>
      <c r="V14" s="159"/>
      <c r="W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</row>
    <row r="15" spans="9:38">
      <c r="T15" s="159"/>
      <c r="U15" s="159"/>
      <c r="V15" s="159"/>
      <c r="W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</row>
    <row r="16" spans="9:38" ht="21">
      <c r="AB16" s="102"/>
      <c r="AC16" s="159"/>
      <c r="AD16" s="159"/>
      <c r="AE16" s="159"/>
      <c r="AF16" s="159"/>
      <c r="AG16" s="159"/>
      <c r="AH16" s="159"/>
      <c r="AI16" s="159"/>
      <c r="AJ16" s="159"/>
      <c r="AK16" s="159"/>
    </row>
    <row r="17" spans="1:38">
      <c r="H17" s="152"/>
      <c r="Q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109</v>
      </c>
      <c r="N18" s="98"/>
      <c r="O18" s="98"/>
      <c r="Q18" s="159"/>
      <c r="W18" s="159"/>
      <c r="X18" s="159"/>
      <c r="Y18" s="101" t="s">
        <v>111</v>
      </c>
      <c r="Z18" s="101"/>
      <c r="AA18" s="101"/>
      <c r="AB18" s="159"/>
      <c r="AC18" s="159"/>
      <c r="AD18" s="159"/>
      <c r="AE18" s="159"/>
      <c r="AJ18" s="159"/>
      <c r="AK18" s="159"/>
      <c r="AL18" s="159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95.456607855851104</v>
      </c>
      <c r="H19" s="24" t="s">
        <v>100</v>
      </c>
      <c r="L19" s="47" t="s">
        <v>46</v>
      </c>
      <c r="M19" s="96"/>
      <c r="N19" s="96"/>
      <c r="O19" s="34"/>
      <c r="P19" s="34"/>
      <c r="Q19" s="159"/>
      <c r="AE19" s="159"/>
      <c r="AJ19" s="159"/>
      <c r="AK19" s="159"/>
      <c r="AL19" s="159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159"/>
      <c r="W20" s="159"/>
      <c r="X20" s="403" t="s">
        <v>22</v>
      </c>
      <c r="Y20" s="404"/>
      <c r="Z20" s="404"/>
      <c r="AA20" s="405"/>
      <c r="AB20" s="159"/>
      <c r="AC20" s="159"/>
      <c r="AD20" s="159"/>
      <c r="AK20" s="159"/>
      <c r="AL20" s="159"/>
    </row>
    <row r="21" spans="1:38" ht="18">
      <c r="A21" s="89" t="s">
        <v>16</v>
      </c>
      <c r="B21" s="93">
        <v>10.01</v>
      </c>
      <c r="C21" s="86">
        <f>B21/D21</f>
        <v>4.55</v>
      </c>
      <c r="D21" s="86">
        <v>2.2000000000000002</v>
      </c>
      <c r="K21" s="159"/>
      <c r="O21" s="23"/>
      <c r="X21" s="16"/>
      <c r="Y21" s="17"/>
      <c r="Z21" s="18"/>
      <c r="AK21" s="159"/>
      <c r="AL21" s="159"/>
    </row>
    <row r="22" spans="1:38" ht="18">
      <c r="A22" s="84" t="s">
        <v>17</v>
      </c>
      <c r="B22" s="86">
        <f>SUM(B19:B21)</f>
        <v>110.11049</v>
      </c>
      <c r="C22" s="86">
        <f>SUM(C19:C21)</f>
        <v>104.86440095499819</v>
      </c>
      <c r="D22" s="86">
        <f>B22/C22</f>
        <v>1.0500273591154459</v>
      </c>
      <c r="K22" s="159"/>
      <c r="L22" s="36" t="s">
        <v>3</v>
      </c>
      <c r="M22" s="34"/>
      <c r="N22" s="15" t="s">
        <v>18</v>
      </c>
      <c r="O22" s="36" t="s">
        <v>49</v>
      </c>
      <c r="P22" s="73">
        <f>E28-Q41</f>
        <v>76.380489999999995</v>
      </c>
      <c r="Q22" s="159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63.39</v>
      </c>
      <c r="AD22" s="159" t="s">
        <v>18</v>
      </c>
      <c r="AK22" s="159"/>
      <c r="AL22" s="159"/>
    </row>
    <row r="23" spans="1:38" ht="18">
      <c r="B23" s="87"/>
      <c r="C23" s="87"/>
      <c r="D23" s="87"/>
      <c r="E23" s="87"/>
      <c r="K23" s="159"/>
      <c r="L23" s="36" t="s">
        <v>4</v>
      </c>
      <c r="M23" s="34"/>
      <c r="N23" s="15" t="s">
        <v>18</v>
      </c>
      <c r="O23" s="36" t="s">
        <v>27</v>
      </c>
      <c r="P23" s="34">
        <f>0.62/100</f>
        <v>6.1999999999999998E-3</v>
      </c>
      <c r="Q23" s="159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0.05/100</f>
        <v>5.0000000000000001E-4</v>
      </c>
      <c r="AD23" s="159" t="s">
        <v>33</v>
      </c>
      <c r="AK23" s="159"/>
      <c r="AL23" s="159"/>
    </row>
    <row r="24" spans="1:38">
      <c r="K24" s="159"/>
      <c r="L24" s="103" t="s">
        <v>17</v>
      </c>
      <c r="M24" s="34"/>
      <c r="N24" s="15" t="s">
        <v>18</v>
      </c>
      <c r="O24" s="67" t="s">
        <v>30</v>
      </c>
      <c r="P24" s="37">
        <f>P23*P22</f>
        <v>0.47355903799999993</v>
      </c>
      <c r="Q24" s="159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3.1695000000000001E-2</v>
      </c>
      <c r="AD24" s="159" t="s">
        <v>18</v>
      </c>
      <c r="AK24" s="159"/>
      <c r="AL24" s="159"/>
    </row>
    <row r="25" spans="1:38">
      <c r="A25" s="15" t="s">
        <v>194</v>
      </c>
      <c r="L25" s="67" t="s">
        <v>30</v>
      </c>
      <c r="M25" s="37">
        <f>P23*M24</f>
        <v>0</v>
      </c>
      <c r="N25" s="15" t="s">
        <v>18</v>
      </c>
      <c r="Q25" s="159"/>
      <c r="W25" s="159"/>
      <c r="X25" s="157" t="s">
        <v>30</v>
      </c>
      <c r="Y25" s="158"/>
      <c r="Z25" s="104">
        <f>AC23*Z24</f>
        <v>0</v>
      </c>
      <c r="AA25" s="15" t="s">
        <v>18</v>
      </c>
      <c r="AK25" s="159"/>
      <c r="AL25" s="159"/>
    </row>
    <row r="26" spans="1:38">
      <c r="A26" s="23"/>
      <c r="W26" s="159"/>
      <c r="X26" s="159"/>
      <c r="Y26" s="159"/>
      <c r="Z26" s="159"/>
      <c r="AA26" s="23"/>
      <c r="AL26" s="159"/>
    </row>
    <row r="27" spans="1:38">
      <c r="A27" s="23"/>
      <c r="I27" s="180"/>
      <c r="J27" s="180"/>
      <c r="K27" s="180"/>
      <c r="L27" s="180"/>
      <c r="AD27" s="31">
        <f>AC22+Z24</f>
        <v>63.39</v>
      </c>
      <c r="AE27" s="15">
        <f>AC24+Z25</f>
        <v>3.1695000000000001E-2</v>
      </c>
      <c r="AL27" s="159"/>
    </row>
    <row r="28" spans="1:38" ht="21">
      <c r="D28" s="143" t="s">
        <v>45</v>
      </c>
      <c r="E28" s="142">
        <f>B22-(C41+B44)</f>
        <v>108.96048999999999</v>
      </c>
      <c r="F28" s="15" t="s">
        <v>18</v>
      </c>
      <c r="I28" s="180"/>
      <c r="J28" s="180"/>
      <c r="K28" s="180"/>
      <c r="L28" s="180"/>
      <c r="Q28" s="31">
        <f>P22+Q41</f>
        <v>108.96048999999999</v>
      </c>
    </row>
    <row r="29" spans="1:38">
      <c r="I29" s="180"/>
      <c r="J29" s="180"/>
      <c r="K29" s="180"/>
      <c r="L29" s="180"/>
      <c r="AJ29" s="22"/>
    </row>
    <row r="30" spans="1:38" ht="21">
      <c r="I30" s="102"/>
      <c r="W30" s="142">
        <f>Z24+AC22+Z45+AC43</f>
        <v>64.641999999999996</v>
      </c>
      <c r="X30" s="15" t="s">
        <v>18</v>
      </c>
    </row>
    <row r="32" spans="1:38">
      <c r="AC32" s="15">
        <f>AC24+AC45</f>
        <v>0.44172500000000003</v>
      </c>
    </row>
    <row r="33" spans="1:55">
      <c r="D33" s="180"/>
      <c r="E33" s="180"/>
      <c r="F33" s="180"/>
      <c r="G33" s="180"/>
      <c r="H33" s="180"/>
    </row>
    <row r="34" spans="1:55">
      <c r="D34" s="180"/>
      <c r="E34" s="180"/>
      <c r="F34" s="180"/>
      <c r="G34" s="180"/>
      <c r="H34" s="180"/>
      <c r="Z34" s="159"/>
      <c r="AA34" s="159"/>
      <c r="AB34" s="159"/>
      <c r="AC34" s="159">
        <f>P24-AC32</f>
        <v>3.1834037999999898E-2</v>
      </c>
      <c r="AD34" s="159"/>
      <c r="AE34" s="159"/>
      <c r="AF34" s="159"/>
      <c r="AG34" s="159"/>
      <c r="AH34" s="159"/>
      <c r="AI34" s="159"/>
      <c r="AJ34" s="159"/>
    </row>
    <row r="35" spans="1:55">
      <c r="D35" s="180"/>
      <c r="E35" s="180"/>
      <c r="F35" s="180"/>
      <c r="G35" s="180"/>
      <c r="H35" s="180"/>
      <c r="U35" s="159"/>
      <c r="Z35" s="159"/>
    </row>
    <row r="36" spans="1:55">
      <c r="D36" s="180"/>
      <c r="E36" s="180"/>
      <c r="F36" s="180"/>
      <c r="G36" s="180"/>
      <c r="H36" s="180"/>
      <c r="P36" s="156"/>
      <c r="Q36" s="156"/>
      <c r="R36" s="16"/>
      <c r="U36" s="159"/>
      <c r="Z36" s="159"/>
    </row>
    <row r="37" spans="1:55">
      <c r="E37" s="30"/>
      <c r="Z37" s="159"/>
    </row>
    <row r="38" spans="1:55" ht="21">
      <c r="M38" s="98" t="s">
        <v>110</v>
      </c>
      <c r="N38" s="48"/>
      <c r="Z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</row>
    <row r="39" spans="1:55" ht="21">
      <c r="A39" s="392" t="s">
        <v>6</v>
      </c>
      <c r="B39" s="392"/>
      <c r="C39" s="33">
        <v>0.15</v>
      </c>
      <c r="D39" s="15" t="s">
        <v>18</v>
      </c>
      <c r="E39" s="159"/>
      <c r="F39" s="159"/>
      <c r="G39" s="159"/>
      <c r="M39" s="153" t="s">
        <v>20</v>
      </c>
      <c r="N39" s="154"/>
      <c r="Y39" s="101" t="s">
        <v>112</v>
      </c>
      <c r="Z39" s="101"/>
      <c r="AA39" s="101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</row>
    <row r="40" spans="1:55">
      <c r="A40" s="392" t="s">
        <v>5</v>
      </c>
      <c r="B40" s="392"/>
      <c r="C40" s="33">
        <v>0.5</v>
      </c>
      <c r="D40" s="15" t="s">
        <v>18</v>
      </c>
      <c r="E40" s="159"/>
      <c r="F40" s="159"/>
      <c r="G40" s="159"/>
      <c r="V40" s="159"/>
      <c r="X40" s="403" t="s">
        <v>23</v>
      </c>
      <c r="Y40" s="404"/>
      <c r="Z40" s="404"/>
      <c r="AA40" s="405"/>
      <c r="AB40" s="159"/>
      <c r="AK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</row>
    <row r="41" spans="1:55">
      <c r="A41" s="400" t="s">
        <v>17</v>
      </c>
      <c r="B41" s="401"/>
      <c r="C41" s="91">
        <f>SUM(C39:C40)</f>
        <v>0.65</v>
      </c>
      <c r="D41" s="23" t="s">
        <v>18</v>
      </c>
      <c r="E41" s="159"/>
      <c r="F41" s="159"/>
      <c r="G41" s="159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32.58</v>
      </c>
      <c r="R41" s="159" t="s">
        <v>18</v>
      </c>
      <c r="Z41" s="159"/>
      <c r="AK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</row>
    <row r="42" spans="1:55">
      <c r="C42" s="159"/>
      <c r="D42" s="159"/>
      <c r="E42" s="159"/>
      <c r="F42" s="159"/>
      <c r="G42" s="159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27.51/100</f>
        <v>0.27510000000000001</v>
      </c>
      <c r="R42" s="159" t="s">
        <v>33</v>
      </c>
      <c r="S42" s="34">
        <f>6.47/100</f>
        <v>6.4699999999999994E-2</v>
      </c>
      <c r="AE42" s="159"/>
      <c r="AF42" s="159"/>
      <c r="AG42" s="159"/>
      <c r="AH42" s="159"/>
      <c r="AI42" s="159"/>
      <c r="AJ42" s="159"/>
      <c r="AK42" s="159"/>
      <c r="AL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</row>
    <row r="43" spans="1:55">
      <c r="A43" s="36" t="s">
        <v>44</v>
      </c>
      <c r="B43" s="33">
        <v>0.5</v>
      </c>
      <c r="C43" s="159" t="s">
        <v>18</v>
      </c>
      <c r="D43" s="159"/>
      <c r="E43" s="159"/>
      <c r="F43" s="159"/>
      <c r="G43" s="159"/>
      <c r="H43" s="155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8.9627579999999991</v>
      </c>
      <c r="R43" s="159" t="s">
        <v>18</v>
      </c>
      <c r="U43" s="35" t="s">
        <v>53</v>
      </c>
      <c r="V43" s="33"/>
      <c r="W43" s="159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34">
        <v>1.252</v>
      </c>
      <c r="AD43" s="159" t="s">
        <v>18</v>
      </c>
      <c r="AF43" s="159"/>
      <c r="AG43" s="159"/>
      <c r="AH43" s="159"/>
      <c r="AI43" s="159"/>
      <c r="AJ43" s="159"/>
      <c r="AK43" s="159"/>
      <c r="AL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</row>
    <row r="44" spans="1:55">
      <c r="A44" s="92" t="s">
        <v>17</v>
      </c>
      <c r="B44" s="90">
        <f>SUM(B43)</f>
        <v>0.5</v>
      </c>
      <c r="C44" s="159" t="s">
        <v>18</v>
      </c>
      <c r="D44" s="159">
        <f>C41+B44</f>
        <v>1.1499999999999999</v>
      </c>
      <c r="E44" s="159"/>
      <c r="M44" s="67" t="s">
        <v>30</v>
      </c>
      <c r="N44" s="37">
        <f>Q42*N43</f>
        <v>0</v>
      </c>
      <c r="O44" s="15" t="s">
        <v>18</v>
      </c>
      <c r="U44" s="159"/>
      <c r="V44" s="159"/>
      <c r="W44" s="159"/>
      <c r="X44" s="105" t="s">
        <v>4</v>
      </c>
      <c r="Y44" s="106"/>
      <c r="Z44" s="34"/>
      <c r="AA44" s="15" t="s">
        <v>18</v>
      </c>
      <c r="AB44" s="36" t="s">
        <v>27</v>
      </c>
      <c r="AC44" s="34">
        <f>32.75/100</f>
        <v>0.32750000000000001</v>
      </c>
      <c r="AD44" s="159" t="s">
        <v>33</v>
      </c>
      <c r="AL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</row>
    <row r="45" spans="1:55">
      <c r="C45" s="159"/>
      <c r="D45" s="159"/>
      <c r="E45" s="159"/>
      <c r="U45" s="159"/>
      <c r="V45" s="159"/>
      <c r="W45" s="159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0.41003000000000001</v>
      </c>
      <c r="AD45" s="159" t="s">
        <v>18</v>
      </c>
      <c r="AL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</row>
    <row r="46" spans="1:55">
      <c r="A46" s="15" t="s">
        <v>66</v>
      </c>
      <c r="B46" s="15">
        <f>B43/D22</f>
        <v>0.47617806875166119</v>
      </c>
      <c r="C46" s="159" t="s">
        <v>62</v>
      </c>
      <c r="D46" s="159"/>
      <c r="E46" s="159"/>
      <c r="P46" s="31">
        <f>Q41+N43</f>
        <v>32.58</v>
      </c>
      <c r="Q46" s="15">
        <f>Q43+N44</f>
        <v>8.9627579999999991</v>
      </c>
      <c r="X46" s="157" t="s">
        <v>30</v>
      </c>
      <c r="Y46" s="158"/>
      <c r="Z46" s="104">
        <f>AC44*Z45</f>
        <v>0</v>
      </c>
      <c r="AA46" s="15" t="s">
        <v>18</v>
      </c>
      <c r="AF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</row>
    <row r="47" spans="1:55">
      <c r="A47" s="15" t="s">
        <v>65</v>
      </c>
      <c r="B47" s="15">
        <f>C41/D22</f>
        <v>0.61903148937715957</v>
      </c>
      <c r="C47" s="15" t="s">
        <v>62</v>
      </c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</row>
    <row r="48" spans="1:55">
      <c r="A48" s="15" t="s">
        <v>67</v>
      </c>
      <c r="B48" s="15">
        <f>G19*(B46+B47)/1000</f>
        <v>0.10454498931028282</v>
      </c>
      <c r="C48" s="15" t="s">
        <v>18</v>
      </c>
      <c r="E48" s="160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</row>
    <row r="49" spans="1:59">
      <c r="A49" s="15" t="s">
        <v>64</v>
      </c>
      <c r="B49" s="74">
        <f>B21-B48</f>
        <v>9.9054550106897175</v>
      </c>
      <c r="C49" s="15" t="s">
        <v>18</v>
      </c>
      <c r="AC49" s="31">
        <f>AC43+Z45</f>
        <v>1.252</v>
      </c>
      <c r="AD49" s="15">
        <f>AC45+Z46</f>
        <v>0.41003000000000001</v>
      </c>
      <c r="AP49" s="159"/>
      <c r="AQ49" s="159"/>
      <c r="AR49" s="159"/>
      <c r="AS49" s="159"/>
      <c r="AT49" s="159"/>
      <c r="AU49" s="159"/>
      <c r="AV49" s="379"/>
      <c r="AW49" s="379"/>
      <c r="AX49" s="379"/>
      <c r="AY49" s="379"/>
      <c r="AZ49" s="379"/>
      <c r="BA49" s="159"/>
      <c r="BB49" s="159"/>
    </row>
    <row r="50" spans="1:59">
      <c r="R50" s="159"/>
      <c r="S50" s="15" t="s">
        <v>27</v>
      </c>
      <c r="U50" s="15" t="s">
        <v>40</v>
      </c>
      <c r="X50" s="15" t="s">
        <v>127</v>
      </c>
      <c r="Z50" s="15" t="s">
        <v>98</v>
      </c>
      <c r="AA50" s="74">
        <f>B49</f>
        <v>9.9054550106897175</v>
      </c>
      <c r="AB50" s="15" t="s">
        <v>18</v>
      </c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</row>
    <row r="51" spans="1:59">
      <c r="Q51" s="159"/>
      <c r="R51" s="159"/>
      <c r="S51" s="15" t="s">
        <v>34</v>
      </c>
      <c r="T51" s="15">
        <f>AC24</f>
        <v>3.1695000000000001E-2</v>
      </c>
      <c r="U51" s="76">
        <f>T51/AA50</f>
        <v>3.1997520523585799E-3</v>
      </c>
      <c r="W51" s="15">
        <f>T51+'[1]20210616Pa_a05'!$T$63</f>
        <v>4.1997900000000005E-2</v>
      </c>
      <c r="X51" s="76">
        <f>W51/AA50</f>
        <v>4.2398759021849003E-3</v>
      </c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</row>
    <row r="52" spans="1:59">
      <c r="S52" s="15" t="s">
        <v>35</v>
      </c>
      <c r="T52" s="15">
        <f>AC45</f>
        <v>0.41003000000000001</v>
      </c>
      <c r="U52" s="76">
        <f>T52/AA50</f>
        <v>4.139436296035931E-2</v>
      </c>
      <c r="W52" s="15">
        <f>T52+'[1]20210616Pa_a05'!$T$64</f>
        <v>0.52187960200000005</v>
      </c>
      <c r="X52" s="76">
        <f>W52/AA50</f>
        <v>5.2686080693597696E-2</v>
      </c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</row>
    <row r="53" spans="1:59"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" t="s">
        <v>36</v>
      </c>
      <c r="T53" s="159">
        <f>Q43</f>
        <v>8.9627579999999991</v>
      </c>
      <c r="U53" s="147">
        <f>T53/AA50</f>
        <v>0.90483051917631407</v>
      </c>
      <c r="V53" s="159"/>
      <c r="W53" s="159">
        <f>'[1]20210616Pa_a05'!$T$65</f>
        <v>8.8406054980000004</v>
      </c>
      <c r="X53" s="76">
        <f>W53/AA50</f>
        <v>0.89249867759324952</v>
      </c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</row>
    <row r="54" spans="1:59">
      <c r="D54" s="379"/>
      <c r="E54" s="379"/>
      <c r="F54" s="379"/>
      <c r="G54" s="37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" t="s">
        <v>17</v>
      </c>
      <c r="T54" s="159">
        <f>SUM(T51:T53)</f>
        <v>9.404482999999999</v>
      </c>
      <c r="U54" s="147"/>
      <c r="V54" s="159"/>
      <c r="W54" s="159">
        <f>SUM(W51:W53)</f>
        <v>9.4044830000000008</v>
      </c>
      <c r="X54" s="159"/>
      <c r="Y54" s="159"/>
      <c r="Z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</row>
    <row r="55" spans="1:59"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" t="s">
        <v>37</v>
      </c>
      <c r="T55" s="145">
        <f>B49-T54</f>
        <v>0.50097201068971842</v>
      </c>
      <c r="U55" s="147">
        <f>T55/AA50</f>
        <v>5.0575365810967998E-2</v>
      </c>
      <c r="V55" s="159"/>
      <c r="W55" s="145">
        <f>AA50-W54</f>
        <v>0.50097201068971664</v>
      </c>
      <c r="X55" s="199">
        <f>W55/AA50</f>
        <v>5.0575365810967825E-2</v>
      </c>
      <c r="Y55" s="159"/>
      <c r="Z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</row>
    <row r="56" spans="1:59"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T56" s="159"/>
      <c r="U56" s="171">
        <f>SUM(U51:U55)</f>
        <v>1</v>
      </c>
      <c r="V56" s="159"/>
      <c r="W56" s="159"/>
      <c r="X56" s="171">
        <f>SUM(X51:X55)</f>
        <v>0.99999999999999989</v>
      </c>
      <c r="Y56" s="159"/>
      <c r="Z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</row>
    <row r="57" spans="1:59"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W57" s="159"/>
      <c r="X57" s="159"/>
      <c r="Y57" s="159"/>
      <c r="Z57" s="159"/>
      <c r="AN57" s="159"/>
      <c r="AO57" s="159"/>
      <c r="AP57" s="159"/>
      <c r="AQ57" s="159"/>
      <c r="AR57" s="159"/>
      <c r="AS57" s="159"/>
      <c r="AT57" s="159"/>
      <c r="AU57" s="159"/>
      <c r="AV57" s="159"/>
      <c r="AW57" s="159"/>
      <c r="AX57" s="159"/>
      <c r="AY57" s="159"/>
      <c r="AZ57" s="159"/>
      <c r="BA57" s="159"/>
      <c r="BB57" s="159"/>
      <c r="BC57" s="159"/>
      <c r="BD57" s="159"/>
      <c r="BE57" s="159"/>
      <c r="BF57" s="159"/>
      <c r="BG57" s="159"/>
    </row>
    <row r="58" spans="1:59"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  <c r="AM58" s="159"/>
      <c r="AN58" s="159"/>
      <c r="AO58" s="159"/>
      <c r="AP58" s="159"/>
      <c r="AQ58" s="159"/>
      <c r="AR58" s="159"/>
      <c r="AS58" s="159"/>
      <c r="AT58" s="159"/>
      <c r="AU58" s="159"/>
      <c r="AV58" s="159"/>
      <c r="AW58" s="159"/>
      <c r="AX58" s="159"/>
      <c r="AY58" s="159"/>
      <c r="AZ58" s="159"/>
      <c r="BA58" s="159"/>
      <c r="BB58" s="159"/>
      <c r="BC58" s="159"/>
      <c r="BD58" s="159"/>
      <c r="BE58" s="159"/>
      <c r="BF58" s="159"/>
      <c r="BG58" s="159"/>
    </row>
    <row r="59" spans="1:59"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  <c r="AM59" s="159"/>
      <c r="AN59" s="159"/>
      <c r="AO59" s="159"/>
      <c r="AP59" s="159"/>
      <c r="AQ59" s="159"/>
      <c r="AR59" s="159"/>
      <c r="AS59" s="159"/>
      <c r="AT59" s="159"/>
      <c r="AU59" s="159"/>
      <c r="AV59" s="159"/>
      <c r="AW59" s="159"/>
      <c r="AX59" s="159"/>
      <c r="AY59" s="159"/>
      <c r="AZ59" s="159"/>
      <c r="BA59" s="159"/>
      <c r="BB59" s="159"/>
      <c r="BC59" s="159"/>
      <c r="BD59" s="159"/>
      <c r="BE59" s="159"/>
      <c r="BF59" s="159"/>
      <c r="BG59" s="159"/>
    </row>
    <row r="60" spans="1:59"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  <c r="AM60" s="159"/>
      <c r="AN60" s="159"/>
      <c r="AO60" s="159"/>
      <c r="AP60" s="159"/>
      <c r="AQ60" s="159"/>
      <c r="AR60" s="159"/>
      <c r="AS60" s="159"/>
      <c r="AT60" s="159"/>
      <c r="AU60" s="159"/>
      <c r="AV60" s="159"/>
      <c r="AW60" s="159"/>
      <c r="AX60" s="159"/>
      <c r="AY60" s="159"/>
      <c r="AZ60" s="159"/>
      <c r="BA60" s="159"/>
      <c r="BB60" s="159"/>
      <c r="BC60" s="159"/>
      <c r="BD60" s="159"/>
      <c r="BE60" s="159"/>
      <c r="BF60" s="159"/>
      <c r="BG60" s="159"/>
    </row>
    <row r="61" spans="1:59"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59"/>
      <c r="AU61" s="159"/>
      <c r="AV61" s="159"/>
      <c r="AW61" s="159"/>
      <c r="AX61" s="159"/>
      <c r="AY61" s="159"/>
      <c r="AZ61" s="159"/>
      <c r="BA61" s="159"/>
      <c r="BB61" s="159"/>
      <c r="BC61" s="159"/>
      <c r="BD61" s="159"/>
      <c r="BE61" s="159"/>
      <c r="BF61" s="159"/>
      <c r="BG61" s="159"/>
    </row>
    <row r="62" spans="1:59"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  <c r="AM62" s="159"/>
      <c r="AN62" s="159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59"/>
      <c r="BG62" s="159"/>
    </row>
    <row r="63" spans="1:59"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  <c r="AM63" s="159"/>
      <c r="AN63" s="159"/>
      <c r="AO63" s="159"/>
      <c r="AP63" s="159"/>
      <c r="AQ63" s="159"/>
      <c r="AR63" s="159"/>
      <c r="AS63" s="159"/>
      <c r="AT63" s="159"/>
      <c r="AU63" s="159"/>
      <c r="AV63" s="159"/>
      <c r="AW63" s="159"/>
      <c r="AX63" s="159"/>
      <c r="AY63" s="159"/>
      <c r="AZ63" s="159"/>
      <c r="BA63" s="159"/>
      <c r="BB63" s="159"/>
      <c r="BC63" s="159"/>
      <c r="BD63" s="159"/>
      <c r="BE63" s="159"/>
      <c r="BF63" s="159"/>
      <c r="BG63" s="159"/>
    </row>
    <row r="64" spans="1:59"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  <c r="AM64" s="159"/>
      <c r="AN64" s="159"/>
      <c r="AO64" s="159"/>
      <c r="AP64" s="159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59"/>
      <c r="BD64" s="159"/>
      <c r="BE64" s="159"/>
      <c r="BF64" s="159"/>
      <c r="BG64" s="159"/>
    </row>
    <row r="65" spans="4:59"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159"/>
      <c r="BG65" s="159"/>
    </row>
    <row r="66" spans="4:59"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59"/>
      <c r="BD66" s="159"/>
      <c r="BE66" s="159"/>
      <c r="BF66" s="159"/>
      <c r="BG66" s="159"/>
    </row>
    <row r="67" spans="4:59"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59"/>
      <c r="BD67" s="159"/>
      <c r="BE67" s="159"/>
      <c r="BF67" s="159"/>
      <c r="BG67" s="159"/>
    </row>
    <row r="68" spans="4:59"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59"/>
      <c r="BD68" s="159"/>
      <c r="BE68" s="159"/>
      <c r="BF68" s="159"/>
      <c r="BG68" s="159"/>
    </row>
    <row r="69" spans="4:59"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  <c r="AM69" s="159"/>
      <c r="AN69" s="159"/>
      <c r="AO69" s="159"/>
      <c r="AP69" s="159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59"/>
      <c r="BD69" s="159"/>
      <c r="BE69" s="159"/>
      <c r="BF69" s="159"/>
      <c r="BG69" s="159"/>
    </row>
    <row r="70" spans="4:59"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  <c r="AM70" s="159"/>
      <c r="AN70" s="159"/>
      <c r="AO70" s="159"/>
      <c r="AP70" s="159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59"/>
      <c r="BD70" s="159"/>
      <c r="BE70" s="159"/>
      <c r="BF70" s="159"/>
      <c r="BG70" s="159"/>
    </row>
    <row r="71" spans="4:59"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  <c r="AM71" s="159"/>
      <c r="AN71" s="159"/>
      <c r="AO71" s="159"/>
      <c r="AP71" s="159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59"/>
      <c r="BD71" s="159"/>
      <c r="BE71" s="159"/>
      <c r="BF71" s="159"/>
      <c r="BG71" s="159"/>
    </row>
    <row r="72" spans="4:59"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159"/>
      <c r="AT72" s="159"/>
      <c r="AU72" s="159"/>
      <c r="AV72" s="159"/>
      <c r="AW72" s="379"/>
      <c r="AX72" s="379"/>
      <c r="AY72" s="159"/>
      <c r="AZ72" s="159"/>
      <c r="BA72" s="159"/>
      <c r="BB72" s="159"/>
      <c r="BC72" s="159"/>
      <c r="BD72" s="159"/>
      <c r="BE72" s="159"/>
      <c r="BF72" s="159"/>
      <c r="BG72" s="159"/>
    </row>
    <row r="73" spans="4:59"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  <c r="AP73" s="159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59"/>
      <c r="BD73" s="159"/>
      <c r="BE73" s="159"/>
      <c r="BF73" s="159"/>
      <c r="BG73" s="159"/>
    </row>
    <row r="74" spans="4:59"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  <c r="AM74" s="159"/>
      <c r="AN74" s="159"/>
      <c r="AO74" s="159"/>
      <c r="AP74" s="159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59"/>
      <c r="BD74" s="159"/>
      <c r="BE74" s="159"/>
      <c r="BF74" s="159"/>
      <c r="BG74" s="159"/>
    </row>
    <row r="75" spans="4:59"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  <c r="AM75" s="159"/>
      <c r="AN75" s="159"/>
      <c r="AO75" s="159"/>
      <c r="AP75" s="159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59"/>
      <c r="BD75" s="159"/>
      <c r="BE75" s="159"/>
      <c r="BF75" s="159"/>
      <c r="BG75" s="159"/>
    </row>
    <row r="76" spans="4:59"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  <c r="AM76" s="159"/>
      <c r="AN76" s="159"/>
      <c r="AO76" s="159"/>
      <c r="AP76" s="159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59"/>
      <c r="BD76" s="159"/>
      <c r="BE76" s="159"/>
      <c r="BF76" s="159"/>
      <c r="BG76" s="159"/>
    </row>
    <row r="77" spans="4:59"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  <c r="AM77" s="159"/>
      <c r="AN77" s="159"/>
      <c r="AO77" s="159"/>
      <c r="AP77" s="159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59"/>
      <c r="BD77" s="159"/>
      <c r="BE77" s="159"/>
      <c r="BF77" s="159"/>
      <c r="BG77" s="159"/>
    </row>
    <row r="78" spans="4:59"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  <c r="AM78" s="159"/>
      <c r="AN78" s="159"/>
      <c r="AO78" s="159"/>
      <c r="AP78" s="159"/>
      <c r="AQ78" s="159"/>
      <c r="AR78" s="159"/>
      <c r="AS78" s="159"/>
      <c r="AT78" s="159"/>
      <c r="AU78" s="159"/>
      <c r="AV78" s="159"/>
      <c r="AW78" s="159"/>
      <c r="AX78" s="159"/>
      <c r="AY78" s="159"/>
      <c r="AZ78" s="159"/>
      <c r="BA78" s="159"/>
      <c r="BB78" s="159"/>
      <c r="BC78" s="159"/>
      <c r="BD78" s="159"/>
      <c r="BE78" s="159"/>
      <c r="BF78" s="159"/>
      <c r="BG78" s="159"/>
    </row>
    <row r="79" spans="4:59"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  <c r="AM79" s="159"/>
      <c r="AN79" s="159"/>
      <c r="AO79" s="159"/>
      <c r="AP79" s="159"/>
      <c r="AQ79" s="159"/>
      <c r="AR79" s="159"/>
      <c r="AS79" s="159"/>
      <c r="AT79" s="159"/>
      <c r="AU79" s="159"/>
      <c r="AV79" s="159"/>
      <c r="AW79" s="159"/>
      <c r="AX79" s="159"/>
      <c r="AY79" s="159"/>
      <c r="AZ79" s="159"/>
      <c r="BA79" s="159"/>
      <c r="BB79" s="159"/>
      <c r="BC79" s="159"/>
      <c r="BD79" s="159"/>
      <c r="BE79" s="159"/>
      <c r="BF79" s="159"/>
      <c r="BG79" s="159"/>
    </row>
    <row r="80" spans="4:59"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  <c r="AM80" s="159"/>
      <c r="AN80" s="159"/>
      <c r="AO80" s="159"/>
      <c r="AP80" s="159"/>
      <c r="AQ80" s="159"/>
      <c r="AR80" s="159"/>
      <c r="AS80" s="159"/>
      <c r="AT80" s="159"/>
      <c r="AU80" s="159"/>
      <c r="AV80" s="159"/>
      <c r="AW80" s="159"/>
      <c r="AX80" s="159"/>
      <c r="AY80" s="159"/>
      <c r="AZ80" s="159"/>
      <c r="BA80" s="159"/>
      <c r="BB80" s="159"/>
      <c r="BC80" s="159"/>
      <c r="BD80" s="159"/>
      <c r="BE80" s="159"/>
      <c r="BF80" s="159"/>
      <c r="BG80" s="159"/>
    </row>
    <row r="81" spans="4:59"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  <c r="AM81" s="159"/>
      <c r="AN81" s="159"/>
      <c r="AO81" s="159"/>
      <c r="AP81" s="159"/>
      <c r="AQ81" s="159"/>
      <c r="AR81" s="159"/>
      <c r="AS81" s="159"/>
      <c r="AT81" s="159"/>
      <c r="AU81" s="159"/>
      <c r="AV81" s="159"/>
      <c r="AW81" s="159"/>
      <c r="AX81" s="159"/>
      <c r="AY81" s="159"/>
      <c r="AZ81" s="159"/>
      <c r="BA81" s="159"/>
      <c r="BB81" s="159"/>
      <c r="BC81" s="159"/>
      <c r="BD81" s="159"/>
      <c r="BE81" s="159"/>
      <c r="BF81" s="159"/>
      <c r="BG81" s="159"/>
    </row>
    <row r="82" spans="4:59"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  <c r="AM82" s="159"/>
      <c r="AN82" s="159"/>
      <c r="AO82" s="159"/>
      <c r="AP82" s="159"/>
      <c r="AQ82" s="159"/>
      <c r="AR82" s="159"/>
      <c r="AS82" s="159"/>
      <c r="AT82" s="159"/>
      <c r="AU82" s="159"/>
      <c r="AV82" s="159"/>
      <c r="AW82" s="159"/>
      <c r="AX82" s="159"/>
      <c r="AY82" s="159"/>
      <c r="AZ82" s="159"/>
      <c r="BA82" s="159"/>
      <c r="BB82" s="159"/>
      <c r="BC82" s="159"/>
      <c r="BD82" s="159"/>
      <c r="BE82" s="159"/>
      <c r="BF82" s="159"/>
      <c r="BG82" s="159"/>
    </row>
    <row r="83" spans="4:59"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  <c r="AM83" s="159"/>
      <c r="AN83" s="159"/>
      <c r="AO83" s="159"/>
      <c r="AP83" s="159"/>
      <c r="AQ83" s="159"/>
      <c r="AR83" s="159"/>
      <c r="AS83" s="159"/>
      <c r="AT83" s="159"/>
      <c r="AU83" s="159"/>
      <c r="AV83" s="159"/>
      <c r="AW83" s="159"/>
      <c r="AX83" s="159"/>
      <c r="AY83" s="159"/>
      <c r="AZ83" s="159"/>
      <c r="BA83" s="159"/>
      <c r="BB83" s="159"/>
      <c r="BC83" s="159"/>
      <c r="BD83" s="159"/>
      <c r="BE83" s="159"/>
      <c r="BF83" s="159"/>
      <c r="BG83" s="159"/>
    </row>
    <row r="84" spans="4:59"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  <c r="AM84" s="159"/>
      <c r="AN84" s="159"/>
      <c r="AO84" s="159"/>
      <c r="AP84" s="159"/>
      <c r="AQ84" s="159"/>
      <c r="AR84" s="159"/>
      <c r="AS84" s="159"/>
      <c r="AT84" s="159"/>
      <c r="AU84" s="159"/>
      <c r="AV84" s="159"/>
      <c r="AW84" s="159"/>
      <c r="AX84" s="159"/>
      <c r="AY84" s="159"/>
      <c r="AZ84" s="159"/>
      <c r="BA84" s="159"/>
      <c r="BB84" s="159"/>
      <c r="BC84" s="159"/>
      <c r="BD84" s="159"/>
      <c r="BE84" s="159"/>
      <c r="BF84" s="159"/>
      <c r="BG84" s="159"/>
    </row>
    <row r="85" spans="4:59"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  <c r="AM85" s="159"/>
      <c r="AN85" s="159"/>
      <c r="AO85" s="159"/>
      <c r="AP85" s="159"/>
      <c r="AQ85" s="159"/>
      <c r="AR85" s="159"/>
      <c r="AS85" s="159"/>
      <c r="AT85" s="159"/>
      <c r="AU85" s="159"/>
      <c r="AV85" s="159"/>
      <c r="AW85" s="159"/>
      <c r="AX85" s="159"/>
      <c r="AY85" s="159"/>
      <c r="AZ85" s="159"/>
      <c r="BA85" s="159"/>
      <c r="BB85" s="159"/>
      <c r="BC85" s="159"/>
      <c r="BD85" s="159"/>
      <c r="BE85" s="159"/>
      <c r="BF85" s="159"/>
      <c r="BG85" s="159"/>
    </row>
    <row r="86" spans="4:59"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  <c r="AM86" s="159"/>
      <c r="AN86" s="159"/>
      <c r="AO86" s="159"/>
      <c r="AP86" s="159"/>
      <c r="AQ86" s="159"/>
      <c r="AR86" s="159"/>
      <c r="AS86" s="159"/>
      <c r="AT86" s="159"/>
      <c r="AU86" s="159"/>
      <c r="AV86" s="159"/>
      <c r="AW86" s="159"/>
      <c r="AX86" s="159"/>
      <c r="AY86" s="159"/>
      <c r="AZ86" s="159"/>
      <c r="BA86" s="159"/>
      <c r="BB86" s="159"/>
      <c r="BC86" s="159"/>
      <c r="BD86" s="159"/>
      <c r="BE86" s="159"/>
      <c r="BF86" s="159"/>
      <c r="BG86" s="159"/>
    </row>
    <row r="87" spans="4:59"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  <c r="AM87" s="159"/>
      <c r="AN87" s="159"/>
      <c r="AO87" s="159"/>
      <c r="AP87" s="159"/>
      <c r="AQ87" s="159"/>
      <c r="AR87" s="159"/>
      <c r="AS87" s="159"/>
      <c r="AT87" s="159"/>
      <c r="AU87" s="159"/>
      <c r="AV87" s="159"/>
      <c r="AW87" s="159"/>
      <c r="AX87" s="159"/>
      <c r="AY87" s="159"/>
      <c r="AZ87" s="159"/>
      <c r="BA87" s="159"/>
      <c r="BB87" s="159"/>
      <c r="BC87" s="159"/>
      <c r="BD87" s="159"/>
      <c r="BE87" s="159"/>
      <c r="BF87" s="159"/>
      <c r="BG87" s="159"/>
    </row>
    <row r="88" spans="4:59"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  <c r="AM88" s="159"/>
      <c r="AN88" s="159"/>
      <c r="AO88" s="159"/>
      <c r="AP88" s="159"/>
      <c r="AQ88" s="159"/>
      <c r="AR88" s="159"/>
      <c r="AS88" s="159"/>
      <c r="AT88" s="159"/>
      <c r="AU88" s="159"/>
      <c r="AV88" s="159"/>
      <c r="AW88" s="159"/>
      <c r="AX88" s="159"/>
      <c r="AY88" s="159"/>
      <c r="AZ88" s="159"/>
      <c r="BA88" s="159"/>
      <c r="BB88" s="159"/>
      <c r="BC88" s="159"/>
      <c r="BD88" s="159"/>
      <c r="BE88" s="159"/>
      <c r="BF88" s="159"/>
      <c r="BG88" s="159"/>
    </row>
    <row r="89" spans="4:59"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  <c r="AM89" s="159"/>
      <c r="AN89" s="159"/>
      <c r="AO89" s="159"/>
      <c r="AP89" s="159"/>
      <c r="AQ89" s="159"/>
      <c r="AR89" s="159"/>
      <c r="AS89" s="159"/>
      <c r="AT89" s="159"/>
      <c r="AU89" s="159"/>
      <c r="AV89" s="159"/>
      <c r="AW89" s="159"/>
      <c r="AX89" s="159"/>
      <c r="AY89" s="159"/>
      <c r="AZ89" s="159"/>
      <c r="BA89" s="159"/>
      <c r="BB89" s="159"/>
      <c r="BC89" s="159"/>
      <c r="BD89" s="159"/>
      <c r="BE89" s="159"/>
      <c r="BF89" s="159"/>
      <c r="BG89" s="159"/>
    </row>
    <row r="90" spans="4:59"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  <c r="AM90" s="159"/>
      <c r="AN90" s="159"/>
      <c r="AO90" s="159"/>
      <c r="AP90" s="159"/>
      <c r="AQ90" s="159"/>
      <c r="AR90" s="159"/>
      <c r="AS90" s="159"/>
      <c r="AT90" s="159"/>
      <c r="AU90" s="159"/>
      <c r="AV90" s="159"/>
      <c r="AW90" s="159"/>
      <c r="AX90" s="159"/>
      <c r="AY90" s="159"/>
      <c r="AZ90" s="159"/>
      <c r="BA90" s="159"/>
      <c r="BB90" s="159"/>
      <c r="BC90" s="159"/>
      <c r="BD90" s="159"/>
      <c r="BE90" s="159"/>
      <c r="BF90" s="159"/>
      <c r="BG90" s="159"/>
    </row>
    <row r="91" spans="4:59"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  <c r="AM91" s="159"/>
      <c r="AN91" s="159"/>
      <c r="AO91" s="159"/>
      <c r="AP91" s="159"/>
      <c r="AQ91" s="159"/>
      <c r="AR91" s="159"/>
      <c r="AS91" s="159"/>
      <c r="AT91" s="159"/>
      <c r="AU91" s="159"/>
      <c r="AV91" s="159"/>
      <c r="AW91" s="159"/>
      <c r="AX91" s="159"/>
      <c r="AY91" s="159"/>
      <c r="AZ91" s="159"/>
      <c r="BA91" s="159"/>
      <c r="BB91" s="159"/>
      <c r="BC91" s="159"/>
      <c r="BD91" s="159"/>
      <c r="BE91" s="159"/>
      <c r="BF91" s="159"/>
      <c r="BG91" s="159"/>
    </row>
    <row r="92" spans="4:59"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  <c r="AM92" s="159"/>
      <c r="AN92" s="159"/>
      <c r="AO92" s="159"/>
      <c r="AP92" s="159"/>
      <c r="AQ92" s="159"/>
      <c r="AR92" s="159"/>
      <c r="AS92" s="159"/>
      <c r="AT92" s="159"/>
      <c r="AU92" s="159"/>
      <c r="AV92" s="159"/>
      <c r="AW92" s="159"/>
      <c r="AX92" s="159"/>
      <c r="AY92" s="159"/>
      <c r="AZ92" s="159"/>
      <c r="BA92" s="159"/>
      <c r="BB92" s="159"/>
      <c r="BC92" s="159"/>
      <c r="BD92" s="159"/>
      <c r="BE92" s="159"/>
      <c r="BF92" s="159"/>
      <c r="BG92" s="159"/>
    </row>
    <row r="93" spans="4:59"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  <c r="AM93" s="159"/>
      <c r="AN93" s="159"/>
      <c r="AO93" s="159"/>
      <c r="AP93" s="159"/>
      <c r="AQ93" s="159"/>
      <c r="AR93" s="159"/>
      <c r="AS93" s="159"/>
      <c r="AT93" s="159"/>
      <c r="AU93" s="159"/>
      <c r="AV93" s="159"/>
      <c r="AW93" s="159"/>
      <c r="AX93" s="159"/>
      <c r="AY93" s="159"/>
      <c r="AZ93" s="159"/>
      <c r="BA93" s="159"/>
      <c r="BB93" s="159"/>
      <c r="BC93" s="159"/>
      <c r="BD93" s="159"/>
      <c r="BE93" s="159"/>
      <c r="BF93" s="159"/>
      <c r="BG93" s="159"/>
    </row>
    <row r="94" spans="4:59"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  <c r="AM94" s="159"/>
      <c r="AN94" s="159"/>
      <c r="AO94" s="159"/>
      <c r="AP94" s="159"/>
      <c r="AQ94" s="159"/>
      <c r="AR94" s="159"/>
      <c r="AS94" s="159"/>
      <c r="AT94" s="159"/>
      <c r="AU94" s="159"/>
      <c r="AV94" s="159"/>
      <c r="AW94" s="159"/>
      <c r="AX94" s="159"/>
      <c r="AY94" s="159"/>
      <c r="AZ94" s="159"/>
      <c r="BA94" s="159"/>
      <c r="BB94" s="159"/>
      <c r="BC94" s="159"/>
      <c r="BD94" s="159"/>
      <c r="BE94" s="159"/>
      <c r="BF94" s="159"/>
      <c r="BG94" s="159"/>
    </row>
    <row r="95" spans="4:59"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  <c r="AM95" s="159"/>
      <c r="AN95" s="159"/>
      <c r="AO95" s="159"/>
      <c r="AP95" s="159"/>
      <c r="AQ95" s="159"/>
      <c r="AR95" s="159"/>
      <c r="AS95" s="159"/>
      <c r="AT95" s="159"/>
      <c r="AU95" s="159"/>
      <c r="AV95" s="159"/>
      <c r="AW95" s="159"/>
      <c r="AX95" s="159"/>
      <c r="AY95" s="159"/>
      <c r="AZ95" s="159"/>
      <c r="BA95" s="159"/>
      <c r="BB95" s="159"/>
      <c r="BC95" s="159"/>
      <c r="BD95" s="159"/>
      <c r="BE95" s="159"/>
      <c r="BF95" s="159"/>
      <c r="BG95" s="159"/>
    </row>
    <row r="96" spans="4:59"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  <c r="AW96" s="159"/>
      <c r="AX96" s="159"/>
      <c r="AY96" s="159"/>
      <c r="AZ96" s="159"/>
      <c r="BA96" s="159"/>
      <c r="BB96" s="159"/>
      <c r="BC96" s="159"/>
      <c r="BD96" s="159"/>
      <c r="BE96" s="159"/>
      <c r="BF96" s="159"/>
      <c r="BG96" s="159"/>
    </row>
    <row r="97" spans="4:59"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  <c r="AV97" s="159"/>
      <c r="AW97" s="159"/>
      <c r="AX97" s="159"/>
      <c r="AY97" s="159"/>
      <c r="AZ97" s="159"/>
      <c r="BA97" s="159"/>
      <c r="BB97" s="159"/>
      <c r="BC97" s="159"/>
      <c r="BD97" s="159"/>
      <c r="BE97" s="159"/>
      <c r="BF97" s="159"/>
      <c r="BG97" s="159"/>
    </row>
    <row r="98" spans="4:59"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  <c r="AV98" s="159"/>
      <c r="AW98" s="159"/>
      <c r="AX98" s="159"/>
      <c r="AY98" s="159"/>
      <c r="AZ98" s="159"/>
      <c r="BA98" s="159"/>
      <c r="BB98" s="159"/>
      <c r="BC98" s="159"/>
      <c r="BD98" s="159"/>
      <c r="BE98" s="159"/>
      <c r="BF98" s="159"/>
      <c r="BG98" s="159"/>
    </row>
    <row r="99" spans="4:59"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  <c r="AM99" s="159"/>
      <c r="AN99" s="159"/>
      <c r="AO99" s="159"/>
      <c r="AP99" s="159"/>
      <c r="AQ99" s="159"/>
      <c r="AR99" s="159"/>
      <c r="AS99" s="159"/>
      <c r="AT99" s="159"/>
      <c r="AU99" s="159"/>
      <c r="AV99" s="159"/>
      <c r="AW99" s="159"/>
      <c r="AX99" s="159"/>
      <c r="AY99" s="159"/>
      <c r="AZ99" s="159"/>
      <c r="BA99" s="159"/>
      <c r="BB99" s="159"/>
      <c r="BC99" s="159"/>
      <c r="BD99" s="159"/>
      <c r="BE99" s="159"/>
      <c r="BF99" s="159"/>
      <c r="BG99" s="159"/>
    </row>
    <row r="100" spans="4:59"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  <c r="AM100" s="159"/>
      <c r="AN100" s="159"/>
      <c r="AO100" s="159"/>
      <c r="AP100" s="159"/>
      <c r="AQ100" s="159"/>
      <c r="AR100" s="159"/>
      <c r="AS100" s="159"/>
      <c r="AT100" s="159"/>
      <c r="AU100" s="159"/>
      <c r="AV100" s="159"/>
      <c r="AW100" s="159"/>
      <c r="AX100" s="159"/>
      <c r="AY100" s="159"/>
      <c r="AZ100" s="159"/>
      <c r="BA100" s="159"/>
      <c r="BB100" s="159"/>
      <c r="BC100" s="159"/>
      <c r="BD100" s="159"/>
      <c r="BE100" s="159"/>
      <c r="BF100" s="159"/>
      <c r="BG100" s="159"/>
    </row>
    <row r="101" spans="4:59"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  <c r="AM101" s="159"/>
      <c r="AN101" s="159"/>
      <c r="AO101" s="159"/>
      <c r="AP101" s="159"/>
      <c r="AQ101" s="159"/>
      <c r="AR101" s="159"/>
      <c r="AS101" s="159"/>
      <c r="AT101" s="159"/>
      <c r="AU101" s="159"/>
      <c r="AV101" s="159"/>
      <c r="AW101" s="159"/>
      <c r="AX101" s="159"/>
      <c r="AY101" s="159"/>
      <c r="AZ101" s="159"/>
      <c r="BA101" s="159"/>
      <c r="BB101" s="159"/>
      <c r="BC101" s="159"/>
      <c r="BD101" s="159"/>
      <c r="BE101" s="159"/>
      <c r="BF101" s="159"/>
      <c r="BG101" s="159"/>
    </row>
    <row r="102" spans="4:59"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  <c r="AM102" s="159"/>
      <c r="AN102" s="159"/>
      <c r="AO102" s="159"/>
      <c r="AP102" s="159"/>
      <c r="AQ102" s="159"/>
      <c r="AR102" s="159"/>
      <c r="AS102" s="159"/>
      <c r="AT102" s="159"/>
      <c r="AU102" s="159"/>
      <c r="AV102" s="159"/>
      <c r="AW102" s="159"/>
      <c r="AX102" s="159"/>
      <c r="AY102" s="159"/>
      <c r="AZ102" s="159"/>
      <c r="BA102" s="159"/>
      <c r="BB102" s="159"/>
      <c r="BC102" s="159"/>
      <c r="BD102" s="159"/>
      <c r="BE102" s="159"/>
      <c r="BF102" s="159"/>
      <c r="BG102" s="159"/>
    </row>
    <row r="103" spans="4:59"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  <c r="AM103" s="159"/>
      <c r="AN103" s="159"/>
      <c r="AO103" s="159"/>
      <c r="AP103" s="159"/>
      <c r="AQ103" s="159"/>
      <c r="AR103" s="159"/>
      <c r="AS103" s="159"/>
      <c r="AT103" s="159"/>
      <c r="AU103" s="159"/>
      <c r="AV103" s="159"/>
      <c r="AW103" s="159"/>
      <c r="AX103" s="159"/>
      <c r="AY103" s="159"/>
      <c r="AZ103" s="159"/>
      <c r="BA103" s="159"/>
      <c r="BB103" s="159"/>
      <c r="BC103" s="159"/>
      <c r="BD103" s="159"/>
      <c r="BE103" s="159"/>
      <c r="BF103" s="159"/>
      <c r="BG103" s="159"/>
    </row>
    <row r="104" spans="4:59"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  <c r="AM104" s="159"/>
      <c r="AN104" s="159"/>
      <c r="AO104" s="159"/>
      <c r="AP104" s="159"/>
      <c r="AQ104" s="159"/>
      <c r="AR104" s="159"/>
      <c r="AS104" s="159"/>
      <c r="AT104" s="159"/>
      <c r="AU104" s="159"/>
      <c r="AV104" s="159"/>
      <c r="AW104" s="159"/>
      <c r="AX104" s="159"/>
      <c r="AY104" s="159"/>
      <c r="AZ104" s="159"/>
      <c r="BA104" s="159"/>
      <c r="BB104" s="159"/>
      <c r="BC104" s="159"/>
      <c r="BD104" s="159"/>
      <c r="BE104" s="159"/>
      <c r="BF104" s="159"/>
      <c r="BG104" s="159"/>
    </row>
    <row r="105" spans="4:59"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  <c r="AM105" s="159"/>
      <c r="AN105" s="159"/>
      <c r="AO105" s="159"/>
      <c r="AP105" s="159"/>
      <c r="AQ105" s="159"/>
      <c r="AR105" s="159"/>
      <c r="AS105" s="159"/>
      <c r="AT105" s="159"/>
      <c r="AU105" s="159"/>
      <c r="AV105" s="159"/>
      <c r="AW105" s="159"/>
      <c r="AX105" s="159"/>
      <c r="AY105" s="159"/>
      <c r="AZ105" s="159"/>
      <c r="BA105" s="159"/>
      <c r="BB105" s="159"/>
      <c r="BC105" s="159"/>
      <c r="BD105" s="159"/>
      <c r="BE105" s="159"/>
      <c r="BF105" s="159"/>
      <c r="BG105" s="159"/>
    </row>
    <row r="106" spans="4:59"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  <c r="AV106" s="159"/>
      <c r="AW106" s="159"/>
      <c r="AX106" s="159"/>
      <c r="AY106" s="159"/>
      <c r="AZ106" s="159"/>
      <c r="BA106" s="159"/>
      <c r="BB106" s="159"/>
      <c r="BC106" s="159"/>
      <c r="BD106" s="159"/>
      <c r="BE106" s="159"/>
      <c r="BF106" s="159"/>
      <c r="BG106" s="159"/>
    </row>
    <row r="107" spans="4:59"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  <c r="AV107" s="159"/>
      <c r="AW107" s="159"/>
      <c r="AX107" s="159"/>
      <c r="AY107" s="159"/>
      <c r="AZ107" s="159"/>
      <c r="BA107" s="159"/>
      <c r="BB107" s="159"/>
      <c r="BC107" s="159"/>
      <c r="BD107" s="159"/>
      <c r="BE107" s="159"/>
      <c r="BF107" s="159"/>
      <c r="BG107" s="159"/>
    </row>
    <row r="108" spans="4:59"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  <c r="AV108" s="159"/>
      <c r="AW108" s="159"/>
      <c r="AX108" s="159"/>
      <c r="AY108" s="159"/>
      <c r="AZ108" s="159"/>
      <c r="BA108" s="159"/>
      <c r="BB108" s="159"/>
      <c r="BC108" s="159"/>
      <c r="BD108" s="159"/>
      <c r="BE108" s="159"/>
      <c r="BF108" s="159"/>
      <c r="BG108" s="159"/>
    </row>
    <row r="109" spans="4:59"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  <c r="AM109" s="159"/>
      <c r="AN109" s="159"/>
      <c r="AO109" s="159"/>
      <c r="AP109" s="159"/>
      <c r="AQ109" s="159"/>
      <c r="AR109" s="159"/>
      <c r="AS109" s="159"/>
      <c r="AT109" s="159"/>
      <c r="AU109" s="159"/>
      <c r="AV109" s="159"/>
      <c r="AW109" s="159"/>
      <c r="AX109" s="159"/>
      <c r="AY109" s="159"/>
      <c r="AZ109" s="159"/>
      <c r="BA109" s="159"/>
      <c r="BB109" s="159"/>
      <c r="BC109" s="159"/>
      <c r="BD109" s="159"/>
      <c r="BE109" s="159"/>
      <c r="BF109" s="159"/>
      <c r="BG109" s="159"/>
    </row>
    <row r="110" spans="4:59"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  <c r="AM110" s="159"/>
      <c r="AN110" s="159"/>
      <c r="AO110" s="159"/>
      <c r="AP110" s="159"/>
      <c r="AQ110" s="159"/>
      <c r="AR110" s="159"/>
      <c r="AS110" s="159"/>
      <c r="AT110" s="159"/>
      <c r="AU110" s="159"/>
      <c r="AV110" s="159"/>
      <c r="AW110" s="159"/>
      <c r="AX110" s="159"/>
      <c r="AY110" s="159"/>
      <c r="AZ110" s="159"/>
      <c r="BA110" s="159"/>
      <c r="BB110" s="159"/>
      <c r="BC110" s="159"/>
      <c r="BD110" s="159"/>
      <c r="BE110" s="159"/>
      <c r="BF110" s="159"/>
      <c r="BG110" s="159"/>
    </row>
    <row r="111" spans="4:59"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  <c r="AM111" s="159"/>
      <c r="AN111" s="159"/>
      <c r="AO111" s="159"/>
      <c r="AP111" s="159"/>
      <c r="AQ111" s="159"/>
      <c r="AR111" s="159"/>
      <c r="AS111" s="159"/>
      <c r="AT111" s="159"/>
      <c r="AU111" s="159"/>
      <c r="AV111" s="159"/>
      <c r="AW111" s="159"/>
      <c r="AX111" s="159"/>
      <c r="AY111" s="159"/>
      <c r="AZ111" s="159"/>
      <c r="BA111" s="159"/>
      <c r="BB111" s="159"/>
      <c r="BC111" s="159"/>
      <c r="BD111" s="159"/>
      <c r="BE111" s="159"/>
      <c r="BF111" s="159"/>
      <c r="BG111" s="159"/>
    </row>
    <row r="112" spans="4:59"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  <c r="AM112" s="159"/>
      <c r="AN112" s="159"/>
      <c r="AO112" s="159"/>
      <c r="AP112" s="159"/>
      <c r="AQ112" s="159"/>
      <c r="AR112" s="159"/>
      <c r="AS112" s="159"/>
      <c r="AT112" s="159"/>
      <c r="AU112" s="159"/>
      <c r="AV112" s="159"/>
      <c r="AW112" s="159"/>
      <c r="AX112" s="159"/>
      <c r="AY112" s="159"/>
      <c r="AZ112" s="159"/>
      <c r="BA112" s="159"/>
      <c r="BB112" s="159"/>
      <c r="BC112" s="159"/>
      <c r="BD112" s="159"/>
      <c r="BE112" s="159"/>
      <c r="BF112" s="159"/>
      <c r="BG112" s="159"/>
    </row>
    <row r="113" spans="4:61"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  <c r="AM113" s="159"/>
      <c r="AN113" s="159"/>
      <c r="AO113" s="159"/>
      <c r="AP113" s="159"/>
      <c r="AQ113" s="159"/>
      <c r="AR113" s="159"/>
      <c r="AS113" s="159"/>
      <c r="AT113" s="159"/>
      <c r="AU113" s="159"/>
      <c r="AV113" s="159"/>
      <c r="AW113" s="159"/>
      <c r="AX113" s="159"/>
      <c r="AY113" s="159"/>
      <c r="AZ113" s="159"/>
      <c r="BA113" s="159"/>
      <c r="BB113" s="159"/>
      <c r="BC113" s="159"/>
      <c r="BD113" s="159"/>
      <c r="BE113" s="159"/>
      <c r="BF113" s="159"/>
      <c r="BG113" s="159"/>
    </row>
    <row r="114" spans="4:61"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  <c r="AM114" s="159"/>
      <c r="AN114" s="159"/>
      <c r="AO114" s="159"/>
      <c r="AP114" s="159"/>
      <c r="AQ114" s="159"/>
      <c r="AR114" s="159"/>
      <c r="AS114" s="159"/>
      <c r="AT114" s="159"/>
      <c r="AU114" s="159"/>
      <c r="AV114" s="159"/>
      <c r="AW114" s="159"/>
      <c r="AX114" s="159"/>
      <c r="AY114" s="159"/>
      <c r="AZ114" s="159"/>
      <c r="BA114" s="159"/>
      <c r="BB114" s="159"/>
      <c r="BC114" s="159"/>
      <c r="BD114" s="159"/>
      <c r="BE114" s="159"/>
      <c r="BF114" s="159"/>
      <c r="BG114" s="159"/>
    </row>
    <row r="115" spans="4:61"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  <c r="AM115" s="159"/>
      <c r="AN115" s="159"/>
      <c r="AO115" s="159"/>
      <c r="AP115" s="159"/>
      <c r="AQ115" s="159"/>
      <c r="AR115" s="159"/>
      <c r="AS115" s="159"/>
      <c r="AT115" s="159"/>
      <c r="AU115" s="159"/>
      <c r="AV115" s="159"/>
      <c r="AW115" s="159"/>
      <c r="AX115" s="159"/>
      <c r="AY115" s="159"/>
      <c r="AZ115" s="159"/>
      <c r="BA115" s="159"/>
      <c r="BB115" s="159"/>
      <c r="BC115" s="159"/>
      <c r="BD115" s="159"/>
      <c r="BE115" s="159"/>
      <c r="BF115" s="159"/>
      <c r="BG115" s="159"/>
      <c r="BH115" s="27"/>
      <c r="BI115" s="27"/>
    </row>
    <row r="116" spans="4:61"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  <c r="AM116" s="159"/>
      <c r="AN116" s="159"/>
      <c r="AO116" s="159"/>
      <c r="AP116" s="159"/>
      <c r="AQ116" s="159"/>
      <c r="AR116" s="159"/>
      <c r="AS116" s="159"/>
      <c r="AT116" s="159"/>
      <c r="AU116" s="159"/>
      <c r="AV116" s="159"/>
      <c r="AW116" s="159"/>
      <c r="AX116" s="159"/>
      <c r="AY116" s="159"/>
      <c r="AZ116" s="159"/>
      <c r="BA116" s="159"/>
      <c r="BB116" s="159"/>
      <c r="BC116" s="159"/>
      <c r="BD116" s="159"/>
      <c r="BE116" s="159"/>
      <c r="BF116" s="159"/>
      <c r="BG116" s="159"/>
      <c r="BI116" s="22"/>
    </row>
    <row r="117" spans="4:61"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  <c r="AM117" s="159"/>
      <c r="AN117" s="159"/>
      <c r="AO117" s="159"/>
      <c r="AP117" s="159"/>
      <c r="AQ117" s="159"/>
      <c r="AR117" s="159"/>
      <c r="AS117" s="159"/>
      <c r="AT117" s="159"/>
      <c r="AU117" s="159"/>
      <c r="AV117" s="159"/>
      <c r="AW117" s="159"/>
      <c r="AX117" s="159"/>
      <c r="AY117" s="159"/>
      <c r="AZ117" s="159"/>
      <c r="BA117" s="159"/>
      <c r="BB117" s="159"/>
      <c r="BC117" s="159"/>
      <c r="BD117" s="159"/>
      <c r="BE117" s="159"/>
      <c r="BF117" s="159"/>
      <c r="BG117" s="159"/>
    </row>
    <row r="118" spans="4:61"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  <c r="AM118" s="159"/>
      <c r="AN118" s="159"/>
      <c r="AO118" s="159"/>
      <c r="AP118" s="159"/>
      <c r="AQ118" s="159"/>
      <c r="AR118" s="159"/>
      <c r="AS118" s="159"/>
      <c r="AT118" s="159"/>
      <c r="AU118" s="159"/>
      <c r="AV118" s="159"/>
      <c r="AW118" s="159"/>
      <c r="AX118" s="159"/>
      <c r="AY118" s="159"/>
      <c r="AZ118" s="159"/>
      <c r="BA118" s="159"/>
      <c r="BB118" s="159"/>
      <c r="BC118" s="159"/>
      <c r="BD118" s="159"/>
      <c r="BE118" s="159"/>
      <c r="BF118" s="159"/>
      <c r="BG118" s="159"/>
      <c r="BH118" s="56"/>
    </row>
    <row r="119" spans="4:61"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  <c r="AM119" s="159"/>
      <c r="AN119" s="159"/>
      <c r="AO119" s="159"/>
      <c r="AP119" s="159"/>
      <c r="AQ119" s="159"/>
      <c r="AR119" s="159"/>
      <c r="AS119" s="159"/>
      <c r="AT119" s="159"/>
      <c r="AU119" s="159"/>
      <c r="AV119" s="159"/>
      <c r="AW119" s="159"/>
      <c r="AX119" s="159"/>
      <c r="AY119" s="159"/>
      <c r="AZ119" s="159"/>
      <c r="BA119" s="159"/>
      <c r="BB119" s="159"/>
      <c r="BC119" s="159"/>
      <c r="BD119" s="159"/>
      <c r="BE119" s="159"/>
      <c r="BF119" s="159"/>
      <c r="BG119" s="159"/>
    </row>
    <row r="120" spans="4:61"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  <c r="AM120" s="159"/>
      <c r="AN120" s="159"/>
      <c r="AO120" s="159"/>
      <c r="AP120" s="159"/>
      <c r="AQ120" s="159"/>
      <c r="AR120" s="159"/>
      <c r="AS120" s="159"/>
      <c r="AT120" s="159"/>
      <c r="AU120" s="159"/>
      <c r="AV120" s="159"/>
      <c r="AW120" s="159"/>
      <c r="AX120" s="159"/>
      <c r="AY120" s="159"/>
      <c r="AZ120" s="159"/>
      <c r="BA120" s="159"/>
      <c r="BB120" s="159"/>
      <c r="BC120" s="159"/>
      <c r="BD120" s="159"/>
      <c r="BE120" s="159"/>
      <c r="BF120" s="159"/>
      <c r="BG120" s="159"/>
    </row>
    <row r="121" spans="4:61"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  <c r="AM121" s="159"/>
      <c r="AN121" s="159"/>
      <c r="AO121" s="159"/>
      <c r="AP121" s="159"/>
      <c r="AQ121" s="159"/>
      <c r="AR121" s="159"/>
      <c r="AS121" s="159"/>
      <c r="AT121" s="159"/>
      <c r="AU121" s="159"/>
      <c r="AV121" s="159"/>
      <c r="AW121" s="159"/>
      <c r="AX121" s="159"/>
      <c r="AY121" s="159"/>
      <c r="AZ121" s="159"/>
      <c r="BA121" s="159"/>
      <c r="BB121" s="159"/>
      <c r="BC121" s="159"/>
      <c r="BD121" s="159"/>
      <c r="BE121" s="159"/>
      <c r="BF121" s="159"/>
      <c r="BG121" s="159"/>
    </row>
    <row r="122" spans="4:61"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  <c r="AM122" s="159"/>
      <c r="AN122" s="159"/>
      <c r="AO122" s="159"/>
      <c r="AP122" s="159"/>
      <c r="AQ122" s="159"/>
      <c r="AR122" s="159"/>
      <c r="AS122" s="159"/>
      <c r="AT122" s="159"/>
      <c r="AU122" s="159"/>
      <c r="AV122" s="379"/>
      <c r="AW122" s="379"/>
      <c r="AX122" s="159"/>
      <c r="AY122" s="159"/>
      <c r="AZ122" s="159"/>
      <c r="BA122" s="159"/>
      <c r="BB122" s="159"/>
      <c r="BC122" s="159"/>
      <c r="BD122" s="159"/>
      <c r="BE122" s="159"/>
      <c r="BF122" s="159"/>
      <c r="BG122" s="159"/>
    </row>
    <row r="123" spans="4:61"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  <c r="AM123" s="159"/>
      <c r="AN123" s="159"/>
      <c r="AO123" s="159"/>
      <c r="AP123" s="159"/>
      <c r="AQ123" s="159"/>
      <c r="AR123" s="159"/>
      <c r="AS123" s="159"/>
      <c r="AT123" s="159"/>
      <c r="AU123" s="159"/>
      <c r="AV123" s="159"/>
      <c r="AW123" s="159"/>
      <c r="AX123" s="159"/>
      <c r="AY123" s="159"/>
      <c r="AZ123" s="159"/>
      <c r="BA123" s="159"/>
      <c r="BB123" s="159"/>
      <c r="BC123" s="159"/>
      <c r="BD123" s="159"/>
      <c r="BE123" s="159"/>
      <c r="BF123" s="159"/>
      <c r="BG123" s="159"/>
    </row>
    <row r="124" spans="4:61"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  <c r="AM124" s="159"/>
      <c r="AN124" s="159"/>
      <c r="AO124" s="159"/>
      <c r="AP124" s="159"/>
      <c r="AQ124" s="159"/>
      <c r="AR124" s="159"/>
      <c r="AS124" s="159"/>
      <c r="AT124" s="159"/>
      <c r="AU124" s="159"/>
      <c r="AV124" s="159"/>
      <c r="AW124" s="159"/>
      <c r="AX124" s="159"/>
      <c r="AY124" s="159"/>
      <c r="AZ124" s="159"/>
      <c r="BA124" s="159"/>
      <c r="BB124" s="159"/>
      <c r="BC124" s="159"/>
      <c r="BD124" s="159"/>
      <c r="BE124" s="159"/>
      <c r="BF124" s="159"/>
      <c r="BG124" s="159"/>
    </row>
    <row r="125" spans="4:61">
      <c r="AR125" s="159"/>
    </row>
    <row r="126" spans="4:61">
      <c r="AR126" s="159"/>
      <c r="AT126" s="159"/>
    </row>
    <row r="127" spans="4:61">
      <c r="AR127" s="159"/>
    </row>
    <row r="128" spans="4:61">
      <c r="AR128" s="159"/>
      <c r="AS128" s="159"/>
      <c r="AT128" s="159"/>
      <c r="AU128" s="159"/>
      <c r="AV128" s="159"/>
      <c r="AW128" s="159"/>
      <c r="AX128" s="159"/>
      <c r="AY128" s="159"/>
      <c r="AZ128" s="159"/>
      <c r="BA128" s="159"/>
      <c r="BB128" s="159"/>
      <c r="BC128" s="159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A20" zoomScale="70" zoomScaleNormal="70" workbookViewId="0">
      <selection activeCell="A26" sqref="A26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</row>
    <row r="2" spans="9:38">
      <c r="AK2" s="167"/>
      <c r="AL2" s="167"/>
    </row>
    <row r="3" spans="9:38">
      <c r="AK3" s="167"/>
      <c r="AL3" s="167"/>
    </row>
    <row r="4" spans="9:38">
      <c r="AK4" s="167"/>
      <c r="AL4" s="167"/>
    </row>
    <row r="5" spans="9:38" ht="21" customHeight="1">
      <c r="I5" s="164"/>
      <c r="AK5" s="167"/>
      <c r="AL5" s="167"/>
    </row>
    <row r="6" spans="9:38">
      <c r="I6" s="167"/>
      <c r="AK6" s="167"/>
      <c r="AL6" s="167"/>
    </row>
    <row r="7" spans="9:38" ht="15.75" customHeight="1">
      <c r="I7" s="167"/>
      <c r="AK7" s="167"/>
      <c r="AL7" s="167"/>
    </row>
    <row r="8" spans="9:38">
      <c r="I8" s="167"/>
      <c r="AK8" s="167"/>
      <c r="AL8" s="167"/>
    </row>
    <row r="9" spans="9:38">
      <c r="I9" s="167"/>
      <c r="AK9" s="167"/>
      <c r="AL9" s="167"/>
    </row>
    <row r="10" spans="9:38">
      <c r="I10" s="167"/>
      <c r="AK10" s="167"/>
      <c r="AL10" s="167"/>
    </row>
    <row r="11" spans="9:38">
      <c r="AK11" s="167"/>
      <c r="AL11" s="167"/>
    </row>
    <row r="12" spans="9:38">
      <c r="AK12" s="167"/>
      <c r="AL12" s="167"/>
    </row>
    <row r="13" spans="9:38">
      <c r="AK13" s="167"/>
      <c r="AL13" s="167"/>
    </row>
    <row r="14" spans="9:38">
      <c r="Q14" s="22"/>
      <c r="T14" s="167"/>
      <c r="U14" s="167"/>
      <c r="V14" s="167"/>
      <c r="W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</row>
    <row r="15" spans="9:38">
      <c r="T15" s="167"/>
      <c r="U15" s="167"/>
      <c r="V15" s="167"/>
      <c r="W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</row>
    <row r="16" spans="9:38" ht="21">
      <c r="AB16" s="102"/>
      <c r="AC16" s="167"/>
      <c r="AD16" s="167"/>
      <c r="AE16" s="167"/>
      <c r="AF16" s="167"/>
      <c r="AG16" s="167"/>
      <c r="AH16" s="167"/>
      <c r="AI16" s="167"/>
      <c r="AJ16" s="167"/>
      <c r="AK16" s="167"/>
    </row>
    <row r="17" spans="1:38">
      <c r="H17" s="164"/>
      <c r="Q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115</v>
      </c>
      <c r="N18" s="98"/>
      <c r="O18" s="98"/>
      <c r="Q18" s="167"/>
      <c r="W18" s="167"/>
      <c r="X18" s="167"/>
      <c r="Y18" s="101" t="s">
        <v>114</v>
      </c>
      <c r="Z18" s="101"/>
      <c r="AA18" s="101"/>
      <c r="AB18" s="167"/>
      <c r="AC18" s="167"/>
      <c r="AD18" s="167"/>
      <c r="AE18" s="167"/>
      <c r="AJ18" s="167"/>
      <c r="AK18" s="167"/>
      <c r="AL18" s="167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95.456607855851104</v>
      </c>
      <c r="H19" s="24" t="s">
        <v>100</v>
      </c>
      <c r="L19" s="47" t="s">
        <v>46</v>
      </c>
      <c r="M19" s="96"/>
      <c r="N19" s="96"/>
      <c r="O19" s="34"/>
      <c r="P19" s="34"/>
      <c r="Q19" s="167"/>
      <c r="AE19" s="167"/>
      <c r="AJ19" s="167"/>
      <c r="AK19" s="167"/>
      <c r="AL19" s="167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167"/>
      <c r="W20" s="167"/>
      <c r="X20" s="403" t="s">
        <v>22</v>
      </c>
      <c r="Y20" s="404"/>
      <c r="Z20" s="404"/>
      <c r="AA20" s="405"/>
      <c r="AB20" s="167"/>
      <c r="AC20" s="167"/>
      <c r="AD20" s="167"/>
      <c r="AK20" s="167"/>
      <c r="AL20" s="167"/>
    </row>
    <row r="21" spans="1:38" ht="18">
      <c r="A21" s="89" t="s">
        <v>16</v>
      </c>
      <c r="B21" s="93">
        <v>10.01</v>
      </c>
      <c r="C21" s="86">
        <f>B21/D21</f>
        <v>4.55</v>
      </c>
      <c r="D21" s="86">
        <v>2.2000000000000002</v>
      </c>
      <c r="K21" s="167"/>
      <c r="O21" s="23"/>
      <c r="X21" s="16"/>
      <c r="Y21" s="17"/>
      <c r="Z21" s="18"/>
      <c r="AK21" s="167"/>
      <c r="AL21" s="167"/>
    </row>
    <row r="22" spans="1:38" ht="18">
      <c r="A22" s="84" t="s">
        <v>17</v>
      </c>
      <c r="B22" s="86">
        <f>SUM(B19:B21)</f>
        <v>110.11049</v>
      </c>
      <c r="C22" s="86">
        <f>SUM(C19:C21)</f>
        <v>104.86440095499819</v>
      </c>
      <c r="D22" s="86">
        <f>B22/C22</f>
        <v>1.0500273591154459</v>
      </c>
      <c r="K22" s="167"/>
      <c r="L22" s="36" t="s">
        <v>3</v>
      </c>
      <c r="M22" s="34">
        <v>0.44</v>
      </c>
      <c r="N22" s="15" t="s">
        <v>18</v>
      </c>
      <c r="O22" s="36" t="s">
        <v>49</v>
      </c>
      <c r="P22" s="73">
        <f>E28-Q41</f>
        <v>81.930490000000006</v>
      </c>
      <c r="Q22" s="167" t="s">
        <v>18</v>
      </c>
      <c r="X22" s="105" t="s">
        <v>3</v>
      </c>
      <c r="Y22" s="106"/>
      <c r="Z22" s="73">
        <v>0.45</v>
      </c>
      <c r="AA22" s="15" t="s">
        <v>18</v>
      </c>
      <c r="AB22" s="36" t="s">
        <v>49</v>
      </c>
      <c r="AC22" s="34">
        <v>69.81</v>
      </c>
      <c r="AD22" s="167" t="s">
        <v>18</v>
      </c>
      <c r="AK22" s="167"/>
      <c r="AL22" s="167"/>
    </row>
    <row r="23" spans="1:38" ht="18">
      <c r="B23" s="87"/>
      <c r="C23" s="87"/>
      <c r="D23" s="87"/>
      <c r="E23" s="87"/>
      <c r="K23" s="167"/>
      <c r="L23" s="36" t="s">
        <v>4</v>
      </c>
      <c r="M23" s="34">
        <v>0.48</v>
      </c>
      <c r="N23" s="15" t="s">
        <v>18</v>
      </c>
      <c r="O23" s="36" t="s">
        <v>27</v>
      </c>
      <c r="P23" s="34">
        <f>0.257/100</f>
        <v>2.5700000000000002E-3</v>
      </c>
      <c r="Q23" s="167" t="s">
        <v>33</v>
      </c>
      <c r="X23" s="105" t="s">
        <v>4</v>
      </c>
      <c r="Y23" s="106"/>
      <c r="Z23" s="34">
        <v>0.46</v>
      </c>
      <c r="AA23" s="15" t="s">
        <v>18</v>
      </c>
      <c r="AB23" s="36" t="s">
        <v>27</v>
      </c>
      <c r="AC23" s="34">
        <f>0.042/100</f>
        <v>4.2000000000000002E-4</v>
      </c>
      <c r="AD23" s="167" t="s">
        <v>33</v>
      </c>
      <c r="AK23" s="167"/>
      <c r="AL23" s="167"/>
    </row>
    <row r="24" spans="1:38">
      <c r="K24" s="167"/>
      <c r="L24" s="103" t="s">
        <v>17</v>
      </c>
      <c r="M24" s="34">
        <f>SUM(M22:M23)</f>
        <v>0.91999999999999993</v>
      </c>
      <c r="N24" s="15" t="s">
        <v>18</v>
      </c>
      <c r="O24" s="67" t="s">
        <v>30</v>
      </c>
      <c r="P24" s="37">
        <f>P23*P22</f>
        <v>0.21056135930000003</v>
      </c>
      <c r="Q24" s="167" t="s">
        <v>18</v>
      </c>
      <c r="X24" s="105" t="s">
        <v>17</v>
      </c>
      <c r="Y24" s="106"/>
      <c r="Z24" s="73">
        <f>SUM(Z22:Z23)</f>
        <v>0.91</v>
      </c>
      <c r="AA24" s="15" t="s">
        <v>18</v>
      </c>
      <c r="AB24" s="67" t="s">
        <v>30</v>
      </c>
      <c r="AC24" s="37">
        <f>AC23*AC22</f>
        <v>2.9320200000000001E-2</v>
      </c>
      <c r="AD24" s="167" t="s">
        <v>18</v>
      </c>
      <c r="AK24" s="167"/>
      <c r="AL24" s="167"/>
    </row>
    <row r="25" spans="1:38">
      <c r="A25" s="15" t="s">
        <v>194</v>
      </c>
      <c r="L25" s="67" t="s">
        <v>30</v>
      </c>
      <c r="M25" s="37">
        <f>P23*M24</f>
        <v>2.3644E-3</v>
      </c>
      <c r="N25" s="15" t="s">
        <v>18</v>
      </c>
      <c r="Q25" s="167"/>
      <c r="W25" s="167"/>
      <c r="X25" s="168" t="s">
        <v>30</v>
      </c>
      <c r="Y25" s="169"/>
      <c r="Z25" s="104">
        <f>AC23*Z24</f>
        <v>3.8220000000000002E-4</v>
      </c>
      <c r="AA25" s="15" t="s">
        <v>18</v>
      </c>
      <c r="AK25" s="167"/>
      <c r="AL25" s="167"/>
    </row>
    <row r="26" spans="1:38">
      <c r="A26" s="23"/>
      <c r="W26" s="167"/>
      <c r="X26" s="167"/>
      <c r="Y26" s="167"/>
      <c r="Z26" s="167"/>
      <c r="AA26" s="23"/>
      <c r="AL26" s="167"/>
    </row>
    <row r="27" spans="1:38">
      <c r="A27" s="23"/>
      <c r="I27" s="180"/>
      <c r="J27" s="180"/>
      <c r="K27" s="180"/>
      <c r="L27" s="180"/>
      <c r="AD27" s="31">
        <f>AC22+Z24</f>
        <v>70.72</v>
      </c>
      <c r="AE27" s="15">
        <f>AC24+Z25</f>
        <v>2.97024E-2</v>
      </c>
      <c r="AL27" s="167"/>
    </row>
    <row r="28" spans="1:38" ht="21">
      <c r="D28" s="143" t="s">
        <v>45</v>
      </c>
      <c r="E28" s="142">
        <f>B22-(C41+B44)</f>
        <v>108.17049</v>
      </c>
      <c r="F28" s="15" t="s">
        <v>18</v>
      </c>
      <c r="I28" s="180"/>
      <c r="J28" s="180"/>
      <c r="K28" s="180"/>
      <c r="L28" s="180"/>
    </row>
    <row r="29" spans="1:38">
      <c r="I29" s="180"/>
      <c r="J29" s="180"/>
      <c r="K29" s="180"/>
      <c r="L29" s="180"/>
      <c r="Q29" s="31">
        <f>P22+Q41</f>
        <v>108.17049</v>
      </c>
      <c r="AJ29" s="22"/>
    </row>
    <row r="30" spans="1:38" ht="21">
      <c r="I30" s="102"/>
      <c r="W30" s="142">
        <f>Z24+AC22+Z45+AC43</f>
        <v>72.169999999999987</v>
      </c>
      <c r="X30" s="15" t="s">
        <v>18</v>
      </c>
    </row>
    <row r="34" spans="1:55">
      <c r="E34" s="180"/>
      <c r="F34" s="180"/>
      <c r="G34" s="180"/>
      <c r="H34" s="180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</row>
    <row r="35" spans="1:55">
      <c r="E35" s="180"/>
      <c r="F35" s="180"/>
      <c r="G35" s="180"/>
      <c r="H35" s="180"/>
      <c r="U35" s="167"/>
      <c r="Z35" s="167"/>
    </row>
    <row r="36" spans="1:55">
      <c r="E36" s="180"/>
      <c r="F36" s="180"/>
      <c r="G36" s="180"/>
      <c r="H36" s="180"/>
      <c r="P36" s="166"/>
      <c r="Q36" s="166"/>
      <c r="R36" s="16"/>
      <c r="U36" s="167"/>
      <c r="Z36" s="167"/>
    </row>
    <row r="37" spans="1:55">
      <c r="E37" s="180"/>
      <c r="F37" s="180"/>
      <c r="G37" s="180"/>
      <c r="H37" s="180"/>
      <c r="Z37" s="167"/>
    </row>
    <row r="38" spans="1:55" ht="21">
      <c r="M38" s="98" t="s">
        <v>116</v>
      </c>
      <c r="N38" s="48"/>
      <c r="Z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</row>
    <row r="39" spans="1:55" ht="21">
      <c r="A39" s="392" t="s">
        <v>6</v>
      </c>
      <c r="B39" s="392"/>
      <c r="C39" s="33">
        <v>0.15</v>
      </c>
      <c r="D39" s="15" t="s">
        <v>18</v>
      </c>
      <c r="E39" s="167"/>
      <c r="F39" s="167"/>
      <c r="G39" s="167"/>
      <c r="M39" s="162" t="s">
        <v>20</v>
      </c>
      <c r="N39" s="163"/>
      <c r="Y39" s="101" t="s">
        <v>113</v>
      </c>
      <c r="Z39" s="101"/>
      <c r="AA39" s="101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</row>
    <row r="40" spans="1:55">
      <c r="A40" s="392" t="s">
        <v>5</v>
      </c>
      <c r="B40" s="392"/>
      <c r="C40" s="33">
        <v>0.42</v>
      </c>
      <c r="D40" s="15" t="s">
        <v>18</v>
      </c>
      <c r="E40" s="167"/>
      <c r="F40" s="167"/>
      <c r="G40" s="167"/>
      <c r="V40" s="167"/>
      <c r="X40" s="403" t="s">
        <v>23</v>
      </c>
      <c r="Y40" s="404"/>
      <c r="Z40" s="404"/>
      <c r="AA40" s="405"/>
      <c r="AB40" s="167"/>
      <c r="AK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</row>
    <row r="41" spans="1:55">
      <c r="A41" s="400" t="s">
        <v>17</v>
      </c>
      <c r="B41" s="401"/>
      <c r="C41" s="91">
        <f>SUM(C39:C40)</f>
        <v>0.56999999999999995</v>
      </c>
      <c r="D41" s="23" t="s">
        <v>18</v>
      </c>
      <c r="E41" s="167"/>
      <c r="F41" s="167"/>
      <c r="G41" s="167"/>
      <c r="J41" s="67" t="s">
        <v>1</v>
      </c>
      <c r="K41" s="34"/>
      <c r="L41" s="15" t="s">
        <v>18</v>
      </c>
      <c r="M41" s="36" t="s">
        <v>3</v>
      </c>
      <c r="N41" s="73">
        <v>0.55000000000000004</v>
      </c>
      <c r="O41" s="15" t="s">
        <v>18</v>
      </c>
      <c r="P41" s="36" t="s">
        <v>49</v>
      </c>
      <c r="Q41" s="34">
        <v>26.24</v>
      </c>
      <c r="R41" s="167" t="s">
        <v>18</v>
      </c>
      <c r="Z41" s="167"/>
      <c r="AK41" s="167"/>
      <c r="AP41" s="167"/>
      <c r="AQ41" s="167"/>
      <c r="AR41" s="167"/>
      <c r="AS41" s="167"/>
      <c r="AT41" s="167"/>
      <c r="AU41" s="167"/>
      <c r="AV41" s="167"/>
      <c r="AW41" s="167"/>
      <c r="AX41" s="167"/>
      <c r="AY41" s="167"/>
      <c r="AZ41" s="167"/>
      <c r="BA41" s="167"/>
      <c r="BB41" s="167"/>
    </row>
    <row r="42" spans="1:55">
      <c r="C42" s="167"/>
      <c r="D42" s="167"/>
      <c r="E42" s="167"/>
      <c r="F42" s="167"/>
      <c r="G42" s="167"/>
      <c r="I42" s="26"/>
      <c r="J42" s="67" t="s">
        <v>9</v>
      </c>
      <c r="K42" s="64"/>
      <c r="L42" s="15" t="s">
        <v>18</v>
      </c>
      <c r="M42" s="36" t="s">
        <v>4</v>
      </c>
      <c r="N42" s="34">
        <v>0.59</v>
      </c>
      <c r="O42" s="15" t="s">
        <v>18</v>
      </c>
      <c r="P42" s="36" t="s">
        <v>27</v>
      </c>
      <c r="Q42" s="34">
        <f>37.37/100</f>
        <v>0.37369999999999998</v>
      </c>
      <c r="R42" s="167" t="s">
        <v>33</v>
      </c>
      <c r="S42" s="34">
        <f>6.47/100</f>
        <v>6.4699999999999994E-2</v>
      </c>
      <c r="AE42" s="167"/>
      <c r="AF42" s="167"/>
      <c r="AG42" s="167"/>
      <c r="AH42" s="167"/>
      <c r="AI42" s="167"/>
      <c r="AJ42" s="167"/>
      <c r="AK42" s="167"/>
      <c r="AL42" s="167"/>
      <c r="AP42" s="167"/>
      <c r="AQ42" s="167"/>
      <c r="AR42" s="167"/>
      <c r="AS42" s="167"/>
      <c r="AT42" s="167"/>
      <c r="AU42" s="167"/>
      <c r="AV42" s="167"/>
      <c r="AW42" s="167"/>
      <c r="AX42" s="167"/>
      <c r="AY42" s="167"/>
      <c r="AZ42" s="167"/>
      <c r="BA42" s="167"/>
      <c r="BB42" s="167"/>
    </row>
    <row r="43" spans="1:55">
      <c r="A43" s="36" t="s">
        <v>44</v>
      </c>
      <c r="B43" s="33">
        <v>1.37</v>
      </c>
      <c r="C43" s="167" t="s">
        <v>18</v>
      </c>
      <c r="D43" s="167"/>
      <c r="E43" s="167"/>
      <c r="F43" s="167"/>
      <c r="G43" s="167"/>
      <c r="H43" s="165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>
        <f>SUM(N41:N42)</f>
        <v>1.1400000000000001</v>
      </c>
      <c r="O43" s="15" t="s">
        <v>18</v>
      </c>
      <c r="P43" s="67" t="s">
        <v>30</v>
      </c>
      <c r="Q43" s="37">
        <f>Q42*Q41</f>
        <v>9.8058879999999995</v>
      </c>
      <c r="R43" s="167" t="s">
        <v>18</v>
      </c>
      <c r="U43" s="35" t="s">
        <v>53</v>
      </c>
      <c r="V43" s="33"/>
      <c r="W43" s="167" t="s">
        <v>18</v>
      </c>
      <c r="X43" s="105" t="s">
        <v>3</v>
      </c>
      <c r="Y43" s="106"/>
      <c r="Z43" s="73">
        <v>0.12</v>
      </c>
      <c r="AA43" s="15" t="s">
        <v>18</v>
      </c>
      <c r="AB43" s="36" t="s">
        <v>49</v>
      </c>
      <c r="AC43" s="34">
        <v>1.21</v>
      </c>
      <c r="AD43" s="167" t="s">
        <v>18</v>
      </c>
      <c r="AF43" s="167"/>
      <c r="AG43" s="167"/>
      <c r="AH43" s="167"/>
      <c r="AI43" s="167"/>
      <c r="AJ43" s="167"/>
      <c r="AK43" s="167"/>
      <c r="AL43" s="167"/>
      <c r="AP43" s="167"/>
      <c r="AQ43" s="167"/>
      <c r="AR43" s="167"/>
      <c r="AS43" s="167"/>
      <c r="AT43" s="167"/>
      <c r="AU43" s="167"/>
      <c r="AV43" s="167"/>
      <c r="AW43" s="167"/>
      <c r="AX43" s="167"/>
      <c r="AY43" s="167"/>
      <c r="AZ43" s="167"/>
      <c r="BA43" s="167"/>
      <c r="BB43" s="167"/>
    </row>
    <row r="44" spans="1:55">
      <c r="A44" s="92" t="s">
        <v>17</v>
      </c>
      <c r="B44" s="90">
        <f>SUM(B43)</f>
        <v>1.37</v>
      </c>
      <c r="C44" s="167" t="s">
        <v>18</v>
      </c>
      <c r="D44" s="167">
        <f>C41+B44</f>
        <v>1.94</v>
      </c>
      <c r="E44" s="167"/>
      <c r="M44" s="67" t="s">
        <v>30</v>
      </c>
      <c r="N44" s="37">
        <f>Q42*N43</f>
        <v>0.42601800000000001</v>
      </c>
      <c r="O44" s="15" t="s">
        <v>18</v>
      </c>
      <c r="U44" s="167"/>
      <c r="V44" s="167"/>
      <c r="W44" s="167"/>
      <c r="X44" s="105" t="s">
        <v>4</v>
      </c>
      <c r="Y44" s="106"/>
      <c r="Z44" s="34">
        <v>0.12</v>
      </c>
      <c r="AA44" s="15" t="s">
        <v>18</v>
      </c>
      <c r="AB44" s="36" t="s">
        <v>27</v>
      </c>
      <c r="AC44" s="34">
        <f>28.043/100</f>
        <v>0.28043000000000001</v>
      </c>
      <c r="AD44" s="167" t="s">
        <v>33</v>
      </c>
      <c r="AL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</row>
    <row r="45" spans="1:55">
      <c r="C45" s="167"/>
      <c r="D45" s="167"/>
      <c r="E45" s="167"/>
      <c r="U45" s="167"/>
      <c r="V45" s="167"/>
      <c r="W45" s="167"/>
      <c r="X45" s="105" t="s">
        <v>17</v>
      </c>
      <c r="Y45" s="106"/>
      <c r="Z45" s="73">
        <f>SUM(Z43:Z44)</f>
        <v>0.24</v>
      </c>
      <c r="AA45" s="15" t="s">
        <v>18</v>
      </c>
      <c r="AB45" s="67" t="s">
        <v>30</v>
      </c>
      <c r="AC45" s="37">
        <f>AC44*AC43</f>
        <v>0.33932030000000002</v>
      </c>
      <c r="AD45" s="167" t="s">
        <v>18</v>
      </c>
      <c r="AL45" s="167"/>
      <c r="AP45" s="167"/>
      <c r="AQ45" s="167"/>
      <c r="AR45" s="167"/>
      <c r="AS45" s="167"/>
      <c r="AT45" s="167"/>
      <c r="AU45" s="167"/>
      <c r="AV45" s="167"/>
      <c r="AW45" s="167"/>
      <c r="AX45" s="167"/>
      <c r="AY45" s="167"/>
      <c r="AZ45" s="167"/>
      <c r="BA45" s="167"/>
      <c r="BB45" s="167"/>
      <c r="BC45" s="167"/>
    </row>
    <row r="46" spans="1:55">
      <c r="A46" s="15" t="s">
        <v>66</v>
      </c>
      <c r="B46" s="15">
        <f>B43/D22</f>
        <v>1.3047279083795518</v>
      </c>
      <c r="C46" s="167" t="s">
        <v>62</v>
      </c>
      <c r="D46" s="167"/>
      <c r="E46" s="167"/>
      <c r="P46" s="31">
        <f>Q41+N43</f>
        <v>27.38</v>
      </c>
      <c r="Q46" s="15">
        <f>Q43+N44</f>
        <v>10.231905999999999</v>
      </c>
      <c r="X46" s="168" t="s">
        <v>30</v>
      </c>
      <c r="Y46" s="169"/>
      <c r="Z46" s="104">
        <f>AC44*Z45</f>
        <v>6.7303200000000007E-2</v>
      </c>
      <c r="AA46" s="15" t="s">
        <v>18</v>
      </c>
      <c r="AF46" s="167"/>
      <c r="AP46" s="167"/>
      <c r="AQ46" s="167"/>
      <c r="AR46" s="167"/>
      <c r="AS46" s="167"/>
      <c r="AT46" s="167"/>
      <c r="AU46" s="167"/>
      <c r="AV46" s="167"/>
      <c r="AW46" s="167"/>
      <c r="AX46" s="167"/>
      <c r="AY46" s="167"/>
      <c r="AZ46" s="167"/>
      <c r="BA46" s="167"/>
      <c r="BB46" s="167"/>
      <c r="BC46" s="167"/>
    </row>
    <row r="47" spans="1:55">
      <c r="A47" s="15" t="s">
        <v>65</v>
      </c>
      <c r="B47" s="15">
        <f>C41/D22</f>
        <v>0.54284299837689365</v>
      </c>
      <c r="C47" s="15" t="s">
        <v>62</v>
      </c>
      <c r="AP47" s="167"/>
      <c r="AQ47" s="167"/>
      <c r="AR47" s="167"/>
      <c r="AS47" s="167"/>
      <c r="AT47" s="167"/>
      <c r="AU47" s="167"/>
      <c r="AV47" s="167"/>
      <c r="AW47" s="167"/>
      <c r="AX47" s="167"/>
      <c r="AY47" s="167"/>
      <c r="AZ47" s="167"/>
      <c r="BA47" s="167"/>
      <c r="BB47" s="167"/>
      <c r="BC47" s="167"/>
    </row>
    <row r="48" spans="1:55">
      <c r="A48" s="15" t="s">
        <v>67</v>
      </c>
      <c r="B48" s="15">
        <f>G19*(B46+B47)/1000</f>
        <v>0.17636285153212924</v>
      </c>
      <c r="C48" s="15" t="s">
        <v>18</v>
      </c>
      <c r="E48" s="160"/>
      <c r="AP48" s="167"/>
      <c r="AQ48" s="167"/>
      <c r="AR48" s="167"/>
      <c r="AS48" s="167"/>
      <c r="AT48" s="167"/>
      <c r="AU48" s="167"/>
      <c r="AV48" s="167"/>
      <c r="AW48" s="167"/>
      <c r="AX48" s="167"/>
      <c r="AY48" s="167"/>
      <c r="AZ48" s="167"/>
      <c r="BA48" s="167"/>
      <c r="BB48" s="167"/>
    </row>
    <row r="49" spans="1:59">
      <c r="A49" s="15" t="s">
        <v>64</v>
      </c>
      <c r="B49" s="74">
        <f>B21-B48</f>
        <v>9.8336371484678704</v>
      </c>
      <c r="C49" s="15" t="s">
        <v>18</v>
      </c>
      <c r="AC49" s="31">
        <f>AC43+Z45</f>
        <v>1.45</v>
      </c>
      <c r="AD49" s="15">
        <f>AC45+Z46</f>
        <v>0.40662350000000003</v>
      </c>
      <c r="AP49" s="167"/>
      <c r="AQ49" s="167"/>
      <c r="AR49" s="167"/>
      <c r="AS49" s="167"/>
      <c r="AT49" s="167"/>
      <c r="AU49" s="167"/>
      <c r="AV49" s="379"/>
      <c r="AW49" s="379"/>
      <c r="AX49" s="379"/>
      <c r="AY49" s="379"/>
      <c r="AZ49" s="379"/>
      <c r="BA49" s="167"/>
      <c r="BB49" s="167"/>
    </row>
    <row r="50" spans="1:59">
      <c r="R50" s="167"/>
      <c r="S50" s="15" t="s">
        <v>27</v>
      </c>
      <c r="U50" s="15" t="s">
        <v>40</v>
      </c>
      <c r="W50" s="15" t="s">
        <v>98</v>
      </c>
      <c r="X50" s="74">
        <f>B49</f>
        <v>9.8336371484678704</v>
      </c>
      <c r="Y50" s="15" t="s">
        <v>18</v>
      </c>
      <c r="AP50" s="167"/>
      <c r="AQ50" s="167"/>
      <c r="AR50" s="167"/>
      <c r="AS50" s="167"/>
      <c r="AT50" s="167"/>
      <c r="AU50" s="167"/>
      <c r="AV50" s="167"/>
      <c r="AW50" s="167"/>
      <c r="AX50" s="167"/>
      <c r="AY50" s="167"/>
      <c r="AZ50" s="167"/>
      <c r="BA50" s="167"/>
      <c r="BB50" s="167"/>
    </row>
    <row r="51" spans="1:59">
      <c r="Q51" s="167"/>
      <c r="R51" s="167"/>
      <c r="S51" s="15" t="s">
        <v>34</v>
      </c>
      <c r="T51" s="15">
        <f>AC24+Z25</f>
        <v>2.97024E-2</v>
      </c>
      <c r="U51" s="76">
        <f>T51/X50</f>
        <v>3.0204897284244196E-3</v>
      </c>
      <c r="AP51" s="167"/>
      <c r="AQ51" s="167"/>
      <c r="AR51" s="167"/>
      <c r="AS51" s="167"/>
      <c r="AT51" s="167"/>
      <c r="AU51" s="167"/>
      <c r="AV51" s="167"/>
      <c r="AW51" s="167"/>
      <c r="AX51" s="167"/>
      <c r="AY51" s="167"/>
      <c r="AZ51" s="167"/>
      <c r="BA51" s="167"/>
      <c r="BB51" s="167"/>
    </row>
    <row r="52" spans="1:59">
      <c r="S52" s="15" t="s">
        <v>35</v>
      </c>
      <c r="T52" s="15">
        <f>AC45+Z46</f>
        <v>0.40662350000000003</v>
      </c>
      <c r="U52" s="76">
        <f>T52/X50</f>
        <v>4.1350264796312319E-2</v>
      </c>
      <c r="AP52" s="167"/>
      <c r="AQ52" s="167"/>
      <c r="AR52" s="167"/>
      <c r="AS52" s="167"/>
      <c r="AT52" s="167"/>
      <c r="AU52" s="167"/>
      <c r="AV52" s="167"/>
      <c r="AW52" s="167"/>
      <c r="AX52" s="167"/>
      <c r="AY52" s="167"/>
      <c r="AZ52" s="167"/>
      <c r="BA52" s="167"/>
      <c r="BB52" s="167"/>
    </row>
    <row r="53" spans="1:59"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5" t="s">
        <v>36</v>
      </c>
      <c r="T53" s="167">
        <f>Q43+N44</f>
        <v>10.231905999999999</v>
      </c>
      <c r="U53" s="170">
        <f>T53/X50</f>
        <v>1.0405006657779905</v>
      </c>
      <c r="V53" s="167"/>
      <c r="W53" s="167"/>
      <c r="AN53" s="167"/>
      <c r="AO53" s="167"/>
      <c r="AP53" s="167"/>
      <c r="AQ53" s="167"/>
      <c r="AR53" s="167"/>
      <c r="AS53" s="167"/>
      <c r="AT53" s="167"/>
      <c r="AU53" s="167"/>
      <c r="AV53" s="167"/>
      <c r="AW53" s="167"/>
      <c r="AX53" s="167"/>
      <c r="AY53" s="167"/>
      <c r="AZ53" s="167"/>
      <c r="BA53" s="167"/>
      <c r="BB53" s="167"/>
      <c r="BC53" s="167"/>
      <c r="BD53" s="167"/>
      <c r="BE53" s="167"/>
      <c r="BF53" s="167"/>
      <c r="BG53" s="167"/>
    </row>
    <row r="54" spans="1:59">
      <c r="D54" s="379"/>
      <c r="E54" s="379"/>
      <c r="F54" s="379"/>
      <c r="G54" s="379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5" t="s">
        <v>17</v>
      </c>
      <c r="T54" s="167">
        <f>SUM(T51:T53)</f>
        <v>10.668231899999999</v>
      </c>
      <c r="U54" s="170"/>
      <c r="V54" s="167"/>
      <c r="W54" s="167"/>
      <c r="X54" s="167"/>
      <c r="Y54" s="167"/>
      <c r="Z54" s="167"/>
      <c r="AN54" s="167"/>
      <c r="AO54" s="167"/>
      <c r="AP54" s="167"/>
      <c r="AQ54" s="167"/>
      <c r="AR54" s="167"/>
      <c r="AS54" s="167"/>
      <c r="AT54" s="167"/>
      <c r="AU54" s="167"/>
      <c r="AV54" s="167"/>
      <c r="AW54" s="167"/>
      <c r="AX54" s="167"/>
      <c r="AY54" s="167"/>
      <c r="AZ54" s="167"/>
      <c r="BA54" s="167"/>
      <c r="BB54" s="167"/>
      <c r="BC54" s="167"/>
      <c r="BD54" s="167"/>
      <c r="BE54" s="167"/>
      <c r="BF54" s="167"/>
      <c r="BG54" s="167"/>
    </row>
    <row r="55" spans="1:59"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5" t="s">
        <v>37</v>
      </c>
      <c r="T55" s="145">
        <f>B21-T54</f>
        <v>-0.65823189999999876</v>
      </c>
      <c r="U55" s="170">
        <f>T55/X50</f>
        <v>-6.6936769179301539E-2</v>
      </c>
      <c r="V55" s="167"/>
      <c r="W55" s="167"/>
      <c r="X55" s="167"/>
      <c r="Y55" s="167"/>
      <c r="Z55" s="167"/>
      <c r="AN55" s="167"/>
      <c r="AO55" s="167"/>
      <c r="AP55" s="167"/>
      <c r="AQ55" s="167"/>
      <c r="AR55" s="167"/>
      <c r="AS55" s="167"/>
      <c r="AT55" s="167"/>
      <c r="AU55" s="167"/>
      <c r="AV55" s="167"/>
      <c r="AW55" s="167"/>
      <c r="AX55" s="167"/>
      <c r="AY55" s="167"/>
      <c r="AZ55" s="167"/>
      <c r="BA55" s="167"/>
      <c r="BB55" s="167"/>
      <c r="BC55" s="167"/>
      <c r="BD55" s="167"/>
      <c r="BE55" s="167"/>
      <c r="BF55" s="167"/>
      <c r="BG55" s="167"/>
    </row>
    <row r="56" spans="1:59"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T56" s="167"/>
      <c r="U56" s="167"/>
      <c r="V56" s="167"/>
      <c r="W56" s="167"/>
      <c r="X56" s="167"/>
      <c r="Y56" s="167"/>
      <c r="Z56" s="167"/>
      <c r="AN56" s="167"/>
      <c r="AO56" s="167"/>
      <c r="AP56" s="167"/>
      <c r="AQ56" s="167"/>
      <c r="AR56" s="167"/>
      <c r="AS56" s="167"/>
      <c r="AT56" s="167"/>
      <c r="AU56" s="167"/>
      <c r="AV56" s="167"/>
      <c r="AW56" s="167"/>
      <c r="AX56" s="167"/>
      <c r="AY56" s="167"/>
      <c r="AZ56" s="167"/>
      <c r="BA56" s="167"/>
      <c r="BB56" s="167"/>
      <c r="BC56" s="167"/>
      <c r="BD56" s="167"/>
      <c r="BE56" s="167"/>
      <c r="BF56" s="167"/>
      <c r="BG56" s="167"/>
    </row>
    <row r="57" spans="1:59"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W57" s="167"/>
      <c r="X57" s="167"/>
      <c r="Y57" s="167"/>
      <c r="Z57" s="167"/>
      <c r="AN57" s="167"/>
      <c r="AO57" s="167"/>
      <c r="AP57" s="167"/>
      <c r="AQ57" s="167"/>
      <c r="AR57" s="167"/>
      <c r="AS57" s="167"/>
      <c r="AT57" s="167"/>
      <c r="AU57" s="167"/>
      <c r="AV57" s="167"/>
      <c r="AW57" s="167"/>
      <c r="AX57" s="167"/>
      <c r="AY57" s="167"/>
      <c r="AZ57" s="167"/>
      <c r="BA57" s="167"/>
      <c r="BB57" s="167"/>
      <c r="BC57" s="167"/>
      <c r="BD57" s="167"/>
      <c r="BE57" s="167"/>
      <c r="BF57" s="167"/>
      <c r="BG57" s="167"/>
    </row>
    <row r="58" spans="1:59"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</row>
    <row r="59" spans="1:59"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  <c r="BA59" s="167"/>
      <c r="BB59" s="167"/>
      <c r="BC59" s="167"/>
      <c r="BD59" s="167"/>
      <c r="BE59" s="167"/>
      <c r="BF59" s="167"/>
      <c r="BG59" s="167"/>
    </row>
    <row r="60" spans="1:59"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  <c r="AP60" s="167"/>
      <c r="AQ60" s="167"/>
      <c r="AR60" s="167"/>
      <c r="AS60" s="167"/>
      <c r="AT60" s="167"/>
      <c r="AU60" s="167"/>
      <c r="AV60" s="167"/>
      <c r="AW60" s="167"/>
      <c r="AX60" s="167"/>
      <c r="AY60" s="167"/>
      <c r="AZ60" s="167"/>
      <c r="BA60" s="167"/>
      <c r="BB60" s="167"/>
      <c r="BC60" s="167"/>
      <c r="BD60" s="167"/>
      <c r="BE60" s="167"/>
      <c r="BF60" s="167"/>
      <c r="BG60" s="167"/>
    </row>
    <row r="61" spans="1:59"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67"/>
      <c r="AF61" s="167"/>
      <c r="AG61" s="167"/>
      <c r="AH61" s="167"/>
      <c r="AI61" s="167"/>
      <c r="AJ61" s="167"/>
      <c r="AK61" s="167"/>
      <c r="AL61" s="167"/>
      <c r="AM61" s="167"/>
      <c r="AN61" s="167"/>
      <c r="AO61" s="167"/>
      <c r="AP61" s="167"/>
      <c r="AQ61" s="167"/>
      <c r="AR61" s="167"/>
      <c r="AS61" s="167"/>
      <c r="AT61" s="167"/>
      <c r="AU61" s="167"/>
      <c r="AV61" s="167"/>
      <c r="AW61" s="167"/>
      <c r="AX61" s="167"/>
      <c r="AY61" s="167"/>
      <c r="AZ61" s="167"/>
      <c r="BA61" s="167"/>
      <c r="BB61" s="167"/>
      <c r="BC61" s="167"/>
      <c r="BD61" s="167"/>
      <c r="BE61" s="167"/>
      <c r="BF61" s="167"/>
      <c r="BG61" s="167"/>
    </row>
    <row r="62" spans="1:59"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7"/>
      <c r="O62" s="167"/>
      <c r="P62" s="167"/>
      <c r="Q62" s="167"/>
      <c r="R62" s="167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67"/>
      <c r="AF62" s="167"/>
      <c r="AG62" s="167"/>
      <c r="AH62" s="167"/>
      <c r="AI62" s="167"/>
      <c r="AJ62" s="167"/>
      <c r="AK62" s="167"/>
      <c r="AL62" s="167"/>
      <c r="AM62" s="167"/>
      <c r="AN62" s="167"/>
      <c r="AO62" s="167"/>
      <c r="AP62" s="167"/>
      <c r="AQ62" s="167"/>
      <c r="AR62" s="167"/>
      <c r="AS62" s="167"/>
      <c r="AT62" s="167"/>
      <c r="AU62" s="167"/>
      <c r="AV62" s="167"/>
      <c r="AW62" s="167"/>
      <c r="AX62" s="167"/>
      <c r="AY62" s="167"/>
      <c r="AZ62" s="167"/>
      <c r="BA62" s="167"/>
      <c r="BB62" s="167"/>
      <c r="BC62" s="167"/>
      <c r="BD62" s="167"/>
      <c r="BE62" s="167"/>
      <c r="BF62" s="167"/>
      <c r="BG62" s="167"/>
    </row>
    <row r="63" spans="1:59">
      <c r="D63" s="167"/>
      <c r="E63" s="167"/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</row>
    <row r="64" spans="1:59">
      <c r="D64" s="167"/>
      <c r="E64" s="167"/>
      <c r="F64" s="167"/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67"/>
      <c r="AF64" s="167"/>
      <c r="AG64" s="167"/>
      <c r="AH64" s="167"/>
      <c r="AI64" s="167"/>
      <c r="AJ64" s="167"/>
      <c r="AK64" s="167"/>
      <c r="AL64" s="167"/>
      <c r="AM64" s="167"/>
      <c r="AN64" s="167"/>
      <c r="AO64" s="167"/>
      <c r="AP64" s="167"/>
      <c r="AQ64" s="167"/>
      <c r="AR64" s="167"/>
      <c r="AS64" s="167"/>
      <c r="AT64" s="167"/>
      <c r="AU64" s="167"/>
      <c r="AV64" s="167"/>
      <c r="AW64" s="167"/>
      <c r="AX64" s="167"/>
      <c r="AY64" s="167"/>
      <c r="AZ64" s="167"/>
      <c r="BA64" s="167"/>
      <c r="BB64" s="167"/>
      <c r="BC64" s="167"/>
      <c r="BD64" s="167"/>
      <c r="BE64" s="167"/>
      <c r="BF64" s="167"/>
      <c r="BG64" s="167"/>
    </row>
    <row r="65" spans="4:59">
      <c r="D65" s="167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67"/>
      <c r="AF65" s="167"/>
      <c r="AG65" s="167"/>
      <c r="AH65" s="167"/>
      <c r="AI65" s="167"/>
      <c r="AJ65" s="167"/>
      <c r="AK65" s="167"/>
      <c r="AL65" s="167"/>
      <c r="AM65" s="167"/>
      <c r="AN65" s="167"/>
      <c r="AO65" s="167"/>
      <c r="AP65" s="167"/>
      <c r="AQ65" s="167"/>
      <c r="AR65" s="167"/>
      <c r="AS65" s="167"/>
      <c r="AT65" s="167"/>
      <c r="AU65" s="167"/>
      <c r="AV65" s="167"/>
      <c r="AW65" s="167"/>
      <c r="AX65" s="167"/>
      <c r="AY65" s="167"/>
      <c r="AZ65" s="167"/>
      <c r="BA65" s="167"/>
      <c r="BB65" s="167"/>
      <c r="BC65" s="167"/>
      <c r="BD65" s="167"/>
      <c r="BE65" s="167"/>
      <c r="BF65" s="167"/>
      <c r="BG65" s="167"/>
    </row>
    <row r="66" spans="4:59"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67"/>
      <c r="AF66" s="167"/>
      <c r="AG66" s="167"/>
      <c r="AH66" s="167"/>
      <c r="AI66" s="167"/>
      <c r="AJ66" s="167"/>
      <c r="AK66" s="167"/>
      <c r="AL66" s="167"/>
      <c r="AM66" s="167"/>
      <c r="AN66" s="167"/>
      <c r="AO66" s="167"/>
      <c r="AP66" s="167"/>
      <c r="AQ66" s="167"/>
      <c r="AR66" s="167"/>
      <c r="AS66" s="167"/>
      <c r="AT66" s="167"/>
      <c r="AU66" s="167"/>
      <c r="AV66" s="167"/>
      <c r="AW66" s="167"/>
      <c r="AX66" s="167"/>
      <c r="AY66" s="167"/>
      <c r="AZ66" s="167"/>
      <c r="BA66" s="167"/>
      <c r="BB66" s="167"/>
      <c r="BC66" s="167"/>
      <c r="BD66" s="167"/>
      <c r="BE66" s="167"/>
      <c r="BF66" s="167"/>
      <c r="BG66" s="167"/>
    </row>
    <row r="67" spans="4:59"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67"/>
      <c r="AF67" s="167"/>
      <c r="AG67" s="167"/>
      <c r="AH67" s="167"/>
      <c r="AI67" s="167"/>
      <c r="AJ67" s="167"/>
      <c r="AK67" s="167"/>
      <c r="AL67" s="167"/>
      <c r="AM67" s="167"/>
      <c r="AN67" s="167"/>
      <c r="AO67" s="167"/>
      <c r="AP67" s="167"/>
      <c r="AQ67" s="167"/>
      <c r="AR67" s="167"/>
      <c r="AS67" s="167"/>
      <c r="AT67" s="167"/>
      <c r="AU67" s="167"/>
      <c r="AV67" s="167"/>
      <c r="AW67" s="167"/>
      <c r="AX67" s="167"/>
      <c r="AY67" s="167"/>
      <c r="AZ67" s="167"/>
      <c r="BA67" s="167"/>
      <c r="BB67" s="167"/>
      <c r="BC67" s="167"/>
      <c r="BD67" s="167"/>
      <c r="BE67" s="167"/>
      <c r="BF67" s="167"/>
      <c r="BG67" s="167"/>
    </row>
    <row r="68" spans="4:59"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67"/>
      <c r="AF68" s="167"/>
      <c r="AG68" s="167"/>
      <c r="AH68" s="167"/>
      <c r="AI68" s="167"/>
      <c r="AJ68" s="167"/>
      <c r="AK68" s="167"/>
      <c r="AL68" s="167"/>
      <c r="AM68" s="167"/>
      <c r="AN68" s="167"/>
      <c r="AO68" s="167"/>
      <c r="AP68" s="167"/>
      <c r="AQ68" s="167"/>
      <c r="AR68" s="167"/>
      <c r="AS68" s="167"/>
      <c r="AT68" s="167"/>
      <c r="AU68" s="167"/>
      <c r="AV68" s="167"/>
      <c r="AW68" s="167"/>
      <c r="AX68" s="167"/>
      <c r="AY68" s="167"/>
      <c r="AZ68" s="167"/>
      <c r="BA68" s="167"/>
      <c r="BB68" s="167"/>
      <c r="BC68" s="167"/>
      <c r="BD68" s="167"/>
      <c r="BE68" s="167"/>
      <c r="BF68" s="167"/>
      <c r="BG68" s="167"/>
    </row>
    <row r="69" spans="4:59"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7"/>
      <c r="AK69" s="167"/>
      <c r="AL69" s="167"/>
      <c r="AM69" s="167"/>
      <c r="AN69" s="167"/>
      <c r="AO69" s="167"/>
      <c r="AP69" s="167"/>
      <c r="AQ69" s="167"/>
      <c r="AR69" s="167"/>
      <c r="AS69" s="167"/>
      <c r="AT69" s="167"/>
      <c r="AU69" s="167"/>
      <c r="AV69" s="167"/>
      <c r="AW69" s="167"/>
      <c r="AX69" s="167"/>
      <c r="AY69" s="167"/>
      <c r="AZ69" s="167"/>
      <c r="BA69" s="167"/>
      <c r="BB69" s="167"/>
      <c r="BC69" s="167"/>
      <c r="BD69" s="167"/>
      <c r="BE69" s="167"/>
      <c r="BF69" s="167"/>
      <c r="BG69" s="167"/>
    </row>
    <row r="70" spans="4:59"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</row>
    <row r="71" spans="4:59"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</row>
    <row r="72" spans="4:59"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379"/>
      <c r="AX72" s="379"/>
      <c r="AY72" s="167"/>
      <c r="AZ72" s="167"/>
      <c r="BA72" s="167"/>
      <c r="BB72" s="167"/>
      <c r="BC72" s="167"/>
      <c r="BD72" s="167"/>
      <c r="BE72" s="167"/>
      <c r="BF72" s="167"/>
      <c r="BG72" s="167"/>
    </row>
    <row r="73" spans="4:59"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</row>
    <row r="74" spans="4:59"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</row>
    <row r="75" spans="4:59"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</row>
    <row r="76" spans="4:59"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7"/>
      <c r="AI76" s="167"/>
      <c r="AJ76" s="167"/>
      <c r="AK76" s="167"/>
      <c r="AL76" s="167"/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</row>
    <row r="77" spans="4:59"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67"/>
      <c r="AF77" s="167"/>
      <c r="AG77" s="167"/>
      <c r="AH77" s="167"/>
      <c r="AI77" s="167"/>
      <c r="AJ77" s="167"/>
      <c r="AK77" s="167"/>
      <c r="AL77" s="167"/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</row>
    <row r="78" spans="4:59"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67"/>
      <c r="AF78" s="167"/>
      <c r="AG78" s="167"/>
      <c r="AH78" s="167"/>
      <c r="AI78" s="167"/>
      <c r="AJ78" s="167"/>
      <c r="AK78" s="167"/>
      <c r="AL78" s="167"/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</row>
    <row r="79" spans="4:59"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67"/>
      <c r="AF79" s="167"/>
      <c r="AG79" s="167"/>
      <c r="AH79" s="167"/>
      <c r="AI79" s="167"/>
      <c r="AJ79" s="167"/>
      <c r="AK79" s="167"/>
      <c r="AL79" s="167"/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</row>
    <row r="80" spans="4:59">
      <c r="D80" s="167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7"/>
      <c r="AI80" s="167"/>
      <c r="AJ80" s="167"/>
      <c r="AK80" s="167"/>
      <c r="AL80" s="167"/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</row>
    <row r="81" spans="4:59">
      <c r="D81" s="167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67"/>
      <c r="AF81" s="167"/>
      <c r="AG81" s="167"/>
      <c r="AH81" s="167"/>
      <c r="AI81" s="167"/>
      <c r="AJ81" s="167"/>
      <c r="AK81" s="167"/>
      <c r="AL81" s="167"/>
      <c r="AM81" s="167"/>
      <c r="AN81" s="167"/>
      <c r="AO81" s="167"/>
      <c r="AP81" s="167"/>
      <c r="AQ81" s="167"/>
      <c r="AR81" s="167"/>
      <c r="AS81" s="167"/>
      <c r="AT81" s="167"/>
      <c r="AU81" s="167"/>
      <c r="AV81" s="167"/>
      <c r="AW81" s="167"/>
      <c r="AX81" s="167"/>
      <c r="AY81" s="167"/>
      <c r="AZ81" s="167"/>
      <c r="BA81" s="167"/>
      <c r="BB81" s="167"/>
      <c r="BC81" s="167"/>
      <c r="BD81" s="167"/>
      <c r="BE81" s="167"/>
      <c r="BF81" s="167"/>
      <c r="BG81" s="167"/>
    </row>
    <row r="82" spans="4:59"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/>
      <c r="AW82" s="167"/>
      <c r="AX82" s="167"/>
      <c r="AY82" s="167"/>
      <c r="AZ82" s="167"/>
      <c r="BA82" s="167"/>
      <c r="BB82" s="167"/>
      <c r="BC82" s="167"/>
      <c r="BD82" s="167"/>
      <c r="BE82" s="167"/>
      <c r="BF82" s="167"/>
      <c r="BG82" s="167"/>
    </row>
    <row r="83" spans="4:59"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7"/>
      <c r="AE83" s="167"/>
      <c r="AF83" s="167"/>
      <c r="AG83" s="167"/>
      <c r="AH83" s="167"/>
      <c r="AI83" s="167"/>
      <c r="AJ83" s="167"/>
      <c r="AK83" s="167"/>
      <c r="AL83" s="167"/>
      <c r="AM83" s="167"/>
      <c r="AN83" s="167"/>
      <c r="AO83" s="167"/>
      <c r="AP83" s="167"/>
      <c r="AQ83" s="167"/>
      <c r="AR83" s="167"/>
      <c r="AS83" s="167"/>
      <c r="AT83" s="167"/>
      <c r="AU83" s="167"/>
      <c r="AV83" s="167"/>
      <c r="AW83" s="167"/>
      <c r="AX83" s="167"/>
      <c r="AY83" s="167"/>
      <c r="AZ83" s="167"/>
      <c r="BA83" s="167"/>
      <c r="BB83" s="167"/>
      <c r="BC83" s="167"/>
      <c r="BD83" s="167"/>
      <c r="BE83" s="167"/>
      <c r="BF83" s="167"/>
      <c r="BG83" s="167"/>
    </row>
    <row r="84" spans="4:59"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67"/>
      <c r="AF84" s="167"/>
      <c r="AG84" s="167"/>
      <c r="AH84" s="167"/>
      <c r="AI84" s="167"/>
      <c r="AJ84" s="167"/>
      <c r="AK84" s="167"/>
      <c r="AL84" s="167"/>
      <c r="AM84" s="167"/>
      <c r="AN84" s="167"/>
      <c r="AO84" s="167"/>
      <c r="AP84" s="167"/>
      <c r="AQ84" s="167"/>
      <c r="AR84" s="167"/>
      <c r="AS84" s="167"/>
      <c r="AT84" s="167"/>
      <c r="AU84" s="167"/>
      <c r="AV84" s="167"/>
      <c r="AW84" s="167"/>
      <c r="AX84" s="167"/>
      <c r="AY84" s="167"/>
      <c r="AZ84" s="167"/>
      <c r="BA84" s="167"/>
      <c r="BB84" s="167"/>
      <c r="BC84" s="167"/>
      <c r="BD84" s="167"/>
      <c r="BE84" s="167"/>
      <c r="BF84" s="167"/>
      <c r="BG84" s="167"/>
    </row>
    <row r="85" spans="4:59"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67"/>
      <c r="AF85" s="167"/>
      <c r="AG85" s="167"/>
      <c r="AH85" s="167"/>
      <c r="AI85" s="167"/>
      <c r="AJ85" s="167"/>
      <c r="AK85" s="167"/>
      <c r="AL85" s="167"/>
      <c r="AM85" s="167"/>
      <c r="AN85" s="167"/>
      <c r="AO85" s="167"/>
      <c r="AP85" s="167"/>
      <c r="AQ85" s="167"/>
      <c r="AR85" s="167"/>
      <c r="AS85" s="167"/>
      <c r="AT85" s="167"/>
      <c r="AU85" s="167"/>
      <c r="AV85" s="167"/>
      <c r="AW85" s="167"/>
      <c r="AX85" s="167"/>
      <c r="AY85" s="167"/>
      <c r="AZ85" s="167"/>
      <c r="BA85" s="167"/>
      <c r="BB85" s="167"/>
      <c r="BC85" s="167"/>
      <c r="BD85" s="167"/>
      <c r="BE85" s="167"/>
      <c r="BF85" s="167"/>
      <c r="BG85" s="167"/>
    </row>
    <row r="86" spans="4:59"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7"/>
      <c r="AV86" s="167"/>
      <c r="AW86" s="167"/>
      <c r="AX86" s="167"/>
      <c r="AY86" s="167"/>
      <c r="AZ86" s="167"/>
      <c r="BA86" s="167"/>
      <c r="BB86" s="167"/>
      <c r="BC86" s="167"/>
      <c r="BD86" s="167"/>
      <c r="BE86" s="167"/>
      <c r="BF86" s="167"/>
      <c r="BG86" s="167"/>
    </row>
    <row r="87" spans="4:59"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7"/>
      <c r="AE87" s="167"/>
      <c r="AF87" s="167"/>
      <c r="AG87" s="167"/>
      <c r="AH87" s="167"/>
      <c r="AI87" s="167"/>
      <c r="AJ87" s="167"/>
      <c r="AK87" s="167"/>
      <c r="AL87" s="167"/>
      <c r="AM87" s="167"/>
      <c r="AN87" s="167"/>
      <c r="AO87" s="167"/>
      <c r="AP87" s="167"/>
      <c r="AQ87" s="167"/>
      <c r="AR87" s="167"/>
      <c r="AS87" s="167"/>
      <c r="AT87" s="167"/>
      <c r="AU87" s="167"/>
      <c r="AV87" s="167"/>
      <c r="AW87" s="167"/>
      <c r="AX87" s="167"/>
      <c r="AY87" s="167"/>
      <c r="AZ87" s="167"/>
      <c r="BA87" s="167"/>
      <c r="BB87" s="167"/>
      <c r="BC87" s="167"/>
      <c r="BD87" s="167"/>
      <c r="BE87" s="167"/>
      <c r="BF87" s="167"/>
      <c r="BG87" s="167"/>
    </row>
    <row r="88" spans="4:59"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7"/>
      <c r="AE88" s="167"/>
      <c r="AF88" s="167"/>
      <c r="AG88" s="167"/>
      <c r="AH88" s="167"/>
      <c r="AI88" s="167"/>
      <c r="AJ88" s="167"/>
      <c r="AK88" s="167"/>
      <c r="AL88" s="167"/>
      <c r="AM88" s="167"/>
      <c r="AN88" s="167"/>
      <c r="AO88" s="167"/>
      <c r="AP88" s="167"/>
      <c r="AQ88" s="167"/>
      <c r="AR88" s="167"/>
      <c r="AS88" s="167"/>
      <c r="AT88" s="167"/>
      <c r="AU88" s="167"/>
      <c r="AV88" s="167"/>
      <c r="AW88" s="167"/>
      <c r="AX88" s="167"/>
      <c r="AY88" s="167"/>
      <c r="AZ88" s="167"/>
      <c r="BA88" s="167"/>
      <c r="BB88" s="167"/>
      <c r="BC88" s="167"/>
      <c r="BD88" s="167"/>
      <c r="BE88" s="167"/>
      <c r="BF88" s="167"/>
      <c r="BG88" s="167"/>
    </row>
    <row r="89" spans="4:59"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67"/>
      <c r="AF89" s="167"/>
      <c r="AG89" s="167"/>
      <c r="AH89" s="167"/>
      <c r="AI89" s="167"/>
      <c r="AJ89" s="167"/>
      <c r="AK89" s="167"/>
      <c r="AL89" s="167"/>
      <c r="AM89" s="167"/>
      <c r="AN89" s="167"/>
      <c r="AO89" s="167"/>
      <c r="AP89" s="167"/>
      <c r="AQ89" s="167"/>
      <c r="AR89" s="167"/>
      <c r="AS89" s="167"/>
      <c r="AT89" s="167"/>
      <c r="AU89" s="167"/>
      <c r="AV89" s="167"/>
      <c r="AW89" s="167"/>
      <c r="AX89" s="167"/>
      <c r="AY89" s="167"/>
      <c r="AZ89" s="167"/>
      <c r="BA89" s="167"/>
      <c r="BB89" s="167"/>
      <c r="BC89" s="167"/>
      <c r="BD89" s="167"/>
      <c r="BE89" s="167"/>
      <c r="BF89" s="167"/>
      <c r="BG89" s="167"/>
    </row>
    <row r="90" spans="4:59"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7"/>
      <c r="Y90" s="167"/>
      <c r="Z90" s="167"/>
      <c r="AA90" s="167"/>
      <c r="AB90" s="167"/>
      <c r="AC90" s="167"/>
      <c r="AD90" s="167"/>
      <c r="AE90" s="167"/>
      <c r="AF90" s="167"/>
      <c r="AG90" s="167"/>
      <c r="AH90" s="167"/>
      <c r="AI90" s="167"/>
      <c r="AJ90" s="167"/>
      <c r="AK90" s="167"/>
      <c r="AL90" s="167"/>
      <c r="AM90" s="167"/>
      <c r="AN90" s="167"/>
      <c r="AO90" s="167"/>
      <c r="AP90" s="167"/>
      <c r="AQ90" s="167"/>
      <c r="AR90" s="167"/>
      <c r="AS90" s="167"/>
      <c r="AT90" s="167"/>
      <c r="AU90" s="167"/>
      <c r="AV90" s="167"/>
      <c r="AW90" s="167"/>
      <c r="AX90" s="167"/>
      <c r="AY90" s="167"/>
      <c r="AZ90" s="167"/>
      <c r="BA90" s="167"/>
      <c r="BB90" s="167"/>
      <c r="BC90" s="167"/>
      <c r="BD90" s="167"/>
      <c r="BE90" s="167"/>
      <c r="BF90" s="167"/>
      <c r="BG90" s="167"/>
    </row>
    <row r="91" spans="4:59"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7"/>
      <c r="Y91" s="167"/>
      <c r="Z91" s="167"/>
      <c r="AA91" s="167"/>
      <c r="AB91" s="167"/>
      <c r="AC91" s="167"/>
      <c r="AD91" s="167"/>
      <c r="AE91" s="167"/>
      <c r="AF91" s="167"/>
      <c r="AG91" s="167"/>
      <c r="AH91" s="167"/>
      <c r="AI91" s="167"/>
      <c r="AJ91" s="167"/>
      <c r="AK91" s="167"/>
      <c r="AL91" s="167"/>
      <c r="AM91" s="167"/>
      <c r="AN91" s="167"/>
      <c r="AO91" s="167"/>
      <c r="AP91" s="167"/>
      <c r="AQ91" s="167"/>
      <c r="AR91" s="167"/>
      <c r="AS91" s="167"/>
      <c r="AT91" s="167"/>
      <c r="AU91" s="167"/>
      <c r="AV91" s="167"/>
      <c r="AW91" s="167"/>
      <c r="AX91" s="167"/>
      <c r="AY91" s="167"/>
      <c r="AZ91" s="167"/>
      <c r="BA91" s="167"/>
      <c r="BB91" s="167"/>
      <c r="BC91" s="167"/>
      <c r="BD91" s="167"/>
      <c r="BE91" s="167"/>
      <c r="BF91" s="167"/>
      <c r="BG91" s="167"/>
    </row>
    <row r="92" spans="4:59"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167"/>
      <c r="AD92" s="167"/>
      <c r="AE92" s="167"/>
      <c r="AF92" s="167"/>
      <c r="AG92" s="167"/>
      <c r="AH92" s="167"/>
      <c r="AI92" s="167"/>
      <c r="AJ92" s="167"/>
      <c r="AK92" s="167"/>
      <c r="AL92" s="167"/>
      <c r="AM92" s="167"/>
      <c r="AN92" s="167"/>
      <c r="AO92" s="167"/>
      <c r="AP92" s="167"/>
      <c r="AQ92" s="167"/>
      <c r="AR92" s="167"/>
      <c r="AS92" s="167"/>
      <c r="AT92" s="167"/>
      <c r="AU92" s="167"/>
      <c r="AV92" s="167"/>
      <c r="AW92" s="167"/>
      <c r="AX92" s="167"/>
      <c r="AY92" s="167"/>
      <c r="AZ92" s="167"/>
      <c r="BA92" s="167"/>
      <c r="BB92" s="167"/>
      <c r="BC92" s="167"/>
      <c r="BD92" s="167"/>
      <c r="BE92" s="167"/>
      <c r="BF92" s="167"/>
      <c r="BG92" s="167"/>
    </row>
    <row r="93" spans="4:59"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  <c r="AK93" s="167"/>
      <c r="AL93" s="167"/>
      <c r="AM93" s="167"/>
      <c r="AN93" s="167"/>
      <c r="AO93" s="167"/>
      <c r="AP93" s="167"/>
      <c r="AQ93" s="167"/>
      <c r="AR93" s="167"/>
      <c r="AS93" s="167"/>
      <c r="AT93" s="167"/>
      <c r="AU93" s="167"/>
      <c r="AV93" s="167"/>
      <c r="AW93" s="167"/>
      <c r="AX93" s="167"/>
      <c r="AY93" s="167"/>
      <c r="AZ93" s="167"/>
      <c r="BA93" s="167"/>
      <c r="BB93" s="167"/>
      <c r="BC93" s="167"/>
      <c r="BD93" s="167"/>
      <c r="BE93" s="167"/>
      <c r="BF93" s="167"/>
      <c r="BG93" s="167"/>
    </row>
    <row r="94" spans="4:59"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7"/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/>
      <c r="AW94" s="167"/>
      <c r="AX94" s="167"/>
      <c r="AY94" s="167"/>
      <c r="AZ94" s="167"/>
      <c r="BA94" s="167"/>
      <c r="BB94" s="167"/>
      <c r="BC94" s="167"/>
      <c r="BD94" s="167"/>
      <c r="BE94" s="167"/>
      <c r="BF94" s="167"/>
      <c r="BG94" s="167"/>
    </row>
    <row r="95" spans="4:59"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7"/>
      <c r="S95" s="167"/>
      <c r="T95" s="167"/>
      <c r="U95" s="167"/>
      <c r="V95" s="167"/>
      <c r="W95" s="167"/>
      <c r="X95" s="167"/>
      <c r="Y95" s="167"/>
      <c r="Z95" s="167"/>
      <c r="AA95" s="167"/>
      <c r="AB95" s="167"/>
      <c r="AC95" s="167"/>
      <c r="AD95" s="167"/>
      <c r="AE95" s="167"/>
      <c r="AF95" s="167"/>
      <c r="AG95" s="167"/>
      <c r="AH95" s="167"/>
      <c r="AI95" s="167"/>
      <c r="AJ95" s="167"/>
      <c r="AK95" s="167"/>
      <c r="AL95" s="167"/>
      <c r="AM95" s="167"/>
      <c r="AN95" s="167"/>
      <c r="AO95" s="167"/>
      <c r="AP95" s="167"/>
      <c r="AQ95" s="167"/>
      <c r="AR95" s="167"/>
      <c r="AS95" s="167"/>
      <c r="AT95" s="167"/>
      <c r="AU95" s="167"/>
      <c r="AV95" s="167"/>
      <c r="AW95" s="167"/>
      <c r="AX95" s="167"/>
      <c r="AY95" s="167"/>
      <c r="AZ95" s="167"/>
      <c r="BA95" s="167"/>
      <c r="BB95" s="167"/>
      <c r="BC95" s="167"/>
      <c r="BD95" s="167"/>
      <c r="BE95" s="167"/>
      <c r="BF95" s="167"/>
      <c r="BG95" s="167"/>
    </row>
    <row r="96" spans="4:59">
      <c r="D96" s="167"/>
      <c r="E96" s="167"/>
      <c r="F96" s="167"/>
      <c r="G96" s="167"/>
      <c r="H96" s="167"/>
      <c r="I96" s="167"/>
      <c r="J96" s="167"/>
      <c r="K96" s="167"/>
      <c r="L96" s="167"/>
      <c r="M96" s="167"/>
      <c r="N96" s="167"/>
      <c r="O96" s="167"/>
      <c r="P96" s="167"/>
      <c r="Q96" s="167"/>
      <c r="R96" s="167"/>
      <c r="S96" s="167"/>
      <c r="T96" s="167"/>
      <c r="U96" s="167"/>
      <c r="V96" s="167"/>
      <c r="W96" s="167"/>
      <c r="X96" s="167"/>
      <c r="Y96" s="167"/>
      <c r="Z96" s="167"/>
      <c r="AA96" s="167"/>
      <c r="AB96" s="167"/>
      <c r="AC96" s="167"/>
      <c r="AD96" s="167"/>
      <c r="AE96" s="167"/>
      <c r="AF96" s="167"/>
      <c r="AG96" s="167"/>
      <c r="AH96" s="167"/>
      <c r="AI96" s="167"/>
      <c r="AJ96" s="167"/>
      <c r="AK96" s="167"/>
      <c r="AL96" s="167"/>
      <c r="AM96" s="167"/>
      <c r="AN96" s="167"/>
      <c r="AO96" s="167"/>
      <c r="AP96" s="167"/>
      <c r="AQ96" s="167"/>
      <c r="AR96" s="167"/>
      <c r="AS96" s="167"/>
      <c r="AT96" s="167"/>
      <c r="AU96" s="167"/>
      <c r="AV96" s="167"/>
      <c r="AW96" s="167"/>
      <c r="AX96" s="167"/>
      <c r="AY96" s="167"/>
      <c r="AZ96" s="167"/>
      <c r="BA96" s="167"/>
      <c r="BB96" s="167"/>
      <c r="BC96" s="167"/>
      <c r="BD96" s="167"/>
      <c r="BE96" s="167"/>
      <c r="BF96" s="167"/>
      <c r="BG96" s="167"/>
    </row>
    <row r="97" spans="4:59"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  <c r="T97" s="167"/>
      <c r="U97" s="167"/>
      <c r="V97" s="167"/>
      <c r="W97" s="167"/>
      <c r="X97" s="167"/>
      <c r="Y97" s="167"/>
      <c r="Z97" s="167"/>
      <c r="AA97" s="167"/>
      <c r="AB97" s="167"/>
      <c r="AC97" s="167"/>
      <c r="AD97" s="167"/>
      <c r="AE97" s="167"/>
      <c r="AF97" s="167"/>
      <c r="AG97" s="167"/>
      <c r="AH97" s="167"/>
      <c r="AI97" s="167"/>
      <c r="AJ97" s="167"/>
      <c r="AK97" s="167"/>
      <c r="AL97" s="167"/>
      <c r="AM97" s="167"/>
      <c r="AN97" s="167"/>
      <c r="AO97" s="167"/>
      <c r="AP97" s="167"/>
      <c r="AQ97" s="167"/>
      <c r="AR97" s="167"/>
      <c r="AS97" s="167"/>
      <c r="AT97" s="167"/>
      <c r="AU97" s="167"/>
      <c r="AV97" s="167"/>
      <c r="AW97" s="167"/>
      <c r="AX97" s="167"/>
      <c r="AY97" s="167"/>
      <c r="AZ97" s="167"/>
      <c r="BA97" s="167"/>
      <c r="BB97" s="167"/>
      <c r="BC97" s="167"/>
      <c r="BD97" s="167"/>
      <c r="BE97" s="167"/>
      <c r="BF97" s="167"/>
      <c r="BG97" s="167"/>
    </row>
    <row r="98" spans="4:59"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7"/>
      <c r="AD98" s="167"/>
      <c r="AE98" s="167"/>
      <c r="AF98" s="167"/>
      <c r="AG98" s="167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7"/>
      <c r="AU98" s="167"/>
      <c r="AV98" s="167"/>
      <c r="AW98" s="167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</row>
    <row r="99" spans="4:59"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7"/>
      <c r="AM99" s="167"/>
      <c r="AN99" s="167"/>
      <c r="AO99" s="167"/>
      <c r="AP99" s="167"/>
      <c r="AQ99" s="167"/>
      <c r="AR99" s="167"/>
      <c r="AS99" s="167"/>
      <c r="AT99" s="167"/>
      <c r="AU99" s="167"/>
      <c r="AV99" s="167"/>
      <c r="AW99" s="167"/>
      <c r="AX99" s="167"/>
      <c r="AY99" s="167"/>
      <c r="AZ99" s="167"/>
      <c r="BA99" s="167"/>
      <c r="BB99" s="167"/>
      <c r="BC99" s="167"/>
      <c r="BD99" s="167"/>
      <c r="BE99" s="167"/>
      <c r="BF99" s="167"/>
      <c r="BG99" s="167"/>
    </row>
    <row r="100" spans="4:59">
      <c r="D100" s="167"/>
      <c r="E100" s="167"/>
      <c r="F100" s="167"/>
      <c r="G100" s="167"/>
      <c r="H100" s="167"/>
      <c r="I100" s="167"/>
      <c r="J100" s="167"/>
      <c r="K100" s="167"/>
      <c r="L100" s="167"/>
      <c r="M100" s="167"/>
      <c r="N100" s="167"/>
      <c r="O100" s="167"/>
      <c r="P100" s="167"/>
      <c r="Q100" s="167"/>
      <c r="R100" s="167"/>
      <c r="S100" s="167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167"/>
      <c r="AD100" s="167"/>
      <c r="AE100" s="167"/>
      <c r="AF100" s="167"/>
      <c r="AG100" s="167"/>
      <c r="AH100" s="167"/>
      <c r="AI100" s="167"/>
      <c r="AJ100" s="167"/>
      <c r="AK100" s="167"/>
      <c r="AL100" s="167"/>
      <c r="AM100" s="167"/>
      <c r="AN100" s="167"/>
      <c r="AO100" s="167"/>
      <c r="AP100" s="167"/>
      <c r="AQ100" s="167"/>
      <c r="AR100" s="167"/>
      <c r="AS100" s="167"/>
      <c r="AT100" s="167"/>
      <c r="AU100" s="167"/>
      <c r="AV100" s="167"/>
      <c r="AW100" s="167"/>
      <c r="AX100" s="167"/>
      <c r="AY100" s="167"/>
      <c r="AZ100" s="167"/>
      <c r="BA100" s="167"/>
      <c r="BB100" s="167"/>
      <c r="BC100" s="167"/>
      <c r="BD100" s="167"/>
      <c r="BE100" s="167"/>
      <c r="BF100" s="167"/>
      <c r="BG100" s="167"/>
    </row>
    <row r="101" spans="4:59">
      <c r="D101" s="167"/>
      <c r="E101" s="167"/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67"/>
      <c r="Q101" s="167"/>
      <c r="R101" s="167"/>
      <c r="S101" s="167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167"/>
      <c r="AD101" s="167"/>
      <c r="AE101" s="167"/>
      <c r="AF101" s="167"/>
      <c r="AG101" s="167"/>
      <c r="AH101" s="167"/>
      <c r="AI101" s="167"/>
      <c r="AJ101" s="167"/>
      <c r="AK101" s="167"/>
      <c r="AL101" s="167"/>
      <c r="AM101" s="167"/>
      <c r="AN101" s="167"/>
      <c r="AO101" s="167"/>
      <c r="AP101" s="167"/>
      <c r="AQ101" s="167"/>
      <c r="AR101" s="167"/>
      <c r="AS101" s="167"/>
      <c r="AT101" s="167"/>
      <c r="AU101" s="167"/>
      <c r="AV101" s="167"/>
      <c r="AW101" s="167"/>
      <c r="AX101" s="167"/>
      <c r="AY101" s="167"/>
      <c r="AZ101" s="167"/>
      <c r="BA101" s="167"/>
      <c r="BB101" s="167"/>
      <c r="BC101" s="167"/>
      <c r="BD101" s="167"/>
      <c r="BE101" s="167"/>
      <c r="BF101" s="167"/>
      <c r="BG101" s="167"/>
    </row>
    <row r="102" spans="4:59">
      <c r="D102" s="167"/>
      <c r="E102" s="167"/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67"/>
      <c r="Q102" s="167"/>
      <c r="R102" s="167"/>
      <c r="S102" s="167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167"/>
      <c r="AD102" s="167"/>
      <c r="AE102" s="167"/>
      <c r="AF102" s="167"/>
      <c r="AG102" s="167"/>
      <c r="AH102" s="167"/>
      <c r="AI102" s="167"/>
      <c r="AJ102" s="167"/>
      <c r="AK102" s="167"/>
      <c r="AL102" s="167"/>
      <c r="AM102" s="167"/>
      <c r="AN102" s="167"/>
      <c r="AO102" s="167"/>
      <c r="AP102" s="167"/>
      <c r="AQ102" s="167"/>
      <c r="AR102" s="167"/>
      <c r="AS102" s="167"/>
      <c r="AT102" s="167"/>
      <c r="AU102" s="167"/>
      <c r="AV102" s="167"/>
      <c r="AW102" s="167"/>
      <c r="AX102" s="167"/>
      <c r="AY102" s="167"/>
      <c r="AZ102" s="167"/>
      <c r="BA102" s="167"/>
      <c r="BB102" s="167"/>
      <c r="BC102" s="167"/>
      <c r="BD102" s="167"/>
      <c r="BE102" s="167"/>
      <c r="BF102" s="167"/>
      <c r="BG102" s="167"/>
    </row>
    <row r="103" spans="4:59"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67"/>
      <c r="AD103" s="167"/>
      <c r="AE103" s="167"/>
      <c r="AF103" s="167"/>
      <c r="AG103" s="167"/>
      <c r="AH103" s="167"/>
      <c r="AI103" s="167"/>
      <c r="AJ103" s="167"/>
      <c r="AK103" s="167"/>
      <c r="AL103" s="167"/>
      <c r="AM103" s="167"/>
      <c r="AN103" s="167"/>
      <c r="AO103" s="167"/>
      <c r="AP103" s="167"/>
      <c r="AQ103" s="167"/>
      <c r="AR103" s="167"/>
      <c r="AS103" s="167"/>
      <c r="AT103" s="167"/>
      <c r="AU103" s="167"/>
      <c r="AV103" s="167"/>
      <c r="AW103" s="167"/>
      <c r="AX103" s="167"/>
      <c r="AY103" s="167"/>
      <c r="AZ103" s="167"/>
      <c r="BA103" s="167"/>
      <c r="BB103" s="167"/>
      <c r="BC103" s="167"/>
      <c r="BD103" s="167"/>
      <c r="BE103" s="167"/>
      <c r="BF103" s="167"/>
      <c r="BG103" s="167"/>
    </row>
    <row r="104" spans="4:59"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67"/>
      <c r="AD104" s="167"/>
      <c r="AE104" s="167"/>
      <c r="AF104" s="167"/>
      <c r="AG104" s="167"/>
      <c r="AH104" s="167"/>
      <c r="AI104" s="167"/>
      <c r="AJ104" s="167"/>
      <c r="AK104" s="167"/>
      <c r="AL104" s="167"/>
      <c r="AM104" s="167"/>
      <c r="AN104" s="167"/>
      <c r="AO104" s="167"/>
      <c r="AP104" s="167"/>
      <c r="AQ104" s="167"/>
      <c r="AR104" s="167"/>
      <c r="AS104" s="167"/>
      <c r="AT104" s="167"/>
      <c r="AU104" s="167"/>
      <c r="AV104" s="167"/>
      <c r="AW104" s="167"/>
      <c r="AX104" s="167"/>
      <c r="AY104" s="167"/>
      <c r="AZ104" s="167"/>
      <c r="BA104" s="167"/>
      <c r="BB104" s="167"/>
      <c r="BC104" s="167"/>
      <c r="BD104" s="167"/>
      <c r="BE104" s="167"/>
      <c r="BF104" s="167"/>
      <c r="BG104" s="167"/>
    </row>
    <row r="105" spans="4:59"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67"/>
      <c r="R105" s="167"/>
      <c r="S105" s="167"/>
      <c r="T105" s="167"/>
      <c r="U105" s="167"/>
      <c r="V105" s="167"/>
      <c r="W105" s="167"/>
      <c r="X105" s="167"/>
      <c r="Y105" s="167"/>
      <c r="Z105" s="167"/>
      <c r="AA105" s="167"/>
      <c r="AB105" s="167"/>
      <c r="AC105" s="167"/>
      <c r="AD105" s="167"/>
      <c r="AE105" s="167"/>
      <c r="AF105" s="167"/>
      <c r="AG105" s="167"/>
      <c r="AH105" s="167"/>
      <c r="AI105" s="167"/>
      <c r="AJ105" s="167"/>
      <c r="AK105" s="167"/>
      <c r="AL105" s="167"/>
      <c r="AM105" s="167"/>
      <c r="AN105" s="167"/>
      <c r="AO105" s="167"/>
      <c r="AP105" s="167"/>
      <c r="AQ105" s="167"/>
      <c r="AR105" s="167"/>
      <c r="AS105" s="167"/>
      <c r="AT105" s="167"/>
      <c r="AU105" s="167"/>
      <c r="AV105" s="167"/>
      <c r="AW105" s="167"/>
      <c r="AX105" s="167"/>
      <c r="AY105" s="167"/>
      <c r="AZ105" s="167"/>
      <c r="BA105" s="167"/>
      <c r="BB105" s="167"/>
      <c r="BC105" s="167"/>
      <c r="BD105" s="167"/>
      <c r="BE105" s="167"/>
      <c r="BF105" s="167"/>
      <c r="BG105" s="167"/>
    </row>
    <row r="106" spans="4:59"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67"/>
      <c r="Q106" s="167"/>
      <c r="R106" s="167"/>
      <c r="S106" s="167"/>
      <c r="T106" s="167"/>
      <c r="U106" s="167"/>
      <c r="V106" s="167"/>
      <c r="W106" s="167"/>
      <c r="X106" s="167"/>
      <c r="Y106" s="167"/>
      <c r="Z106" s="167"/>
      <c r="AA106" s="167"/>
      <c r="AB106" s="167"/>
      <c r="AC106" s="167"/>
      <c r="AD106" s="167"/>
      <c r="AE106" s="167"/>
      <c r="AF106" s="167"/>
      <c r="AG106" s="167"/>
      <c r="AH106" s="167"/>
      <c r="AI106" s="167"/>
      <c r="AJ106" s="167"/>
      <c r="AK106" s="167"/>
      <c r="AL106" s="167"/>
      <c r="AM106" s="167"/>
      <c r="AN106" s="167"/>
      <c r="AO106" s="167"/>
      <c r="AP106" s="167"/>
      <c r="AQ106" s="167"/>
      <c r="AR106" s="167"/>
      <c r="AS106" s="167"/>
      <c r="AT106" s="167"/>
      <c r="AU106" s="167"/>
      <c r="AV106" s="167"/>
      <c r="AW106" s="167"/>
      <c r="AX106" s="167"/>
      <c r="AY106" s="167"/>
      <c r="AZ106" s="167"/>
      <c r="BA106" s="167"/>
      <c r="BB106" s="167"/>
      <c r="BC106" s="167"/>
      <c r="BD106" s="167"/>
      <c r="BE106" s="167"/>
      <c r="BF106" s="167"/>
      <c r="BG106" s="167"/>
    </row>
    <row r="107" spans="4:59"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7"/>
      <c r="S107" s="167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167"/>
      <c r="AD107" s="167"/>
      <c r="AE107" s="167"/>
      <c r="AF107" s="167"/>
      <c r="AG107" s="167"/>
      <c r="AH107" s="167"/>
      <c r="AI107" s="167"/>
      <c r="AJ107" s="167"/>
      <c r="AK107" s="167"/>
      <c r="AL107" s="167"/>
      <c r="AM107" s="167"/>
      <c r="AN107" s="167"/>
      <c r="AO107" s="167"/>
      <c r="AP107" s="167"/>
      <c r="AQ107" s="167"/>
      <c r="AR107" s="167"/>
      <c r="AS107" s="167"/>
      <c r="AT107" s="167"/>
      <c r="AU107" s="167"/>
      <c r="AV107" s="167"/>
      <c r="AW107" s="167"/>
      <c r="AX107" s="167"/>
      <c r="AY107" s="167"/>
      <c r="AZ107" s="167"/>
      <c r="BA107" s="167"/>
      <c r="BB107" s="167"/>
      <c r="BC107" s="167"/>
      <c r="BD107" s="167"/>
      <c r="BE107" s="167"/>
      <c r="BF107" s="167"/>
      <c r="BG107" s="167"/>
    </row>
    <row r="108" spans="4:59">
      <c r="D108" s="167"/>
      <c r="E108" s="167"/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167"/>
      <c r="Q108" s="167"/>
      <c r="R108" s="167"/>
      <c r="S108" s="167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167"/>
      <c r="AD108" s="167"/>
      <c r="AE108" s="167"/>
      <c r="AF108" s="167"/>
      <c r="AG108" s="167"/>
      <c r="AH108" s="167"/>
      <c r="AI108" s="167"/>
      <c r="AJ108" s="167"/>
      <c r="AK108" s="167"/>
      <c r="AL108" s="167"/>
      <c r="AM108" s="167"/>
      <c r="AN108" s="167"/>
      <c r="AO108" s="167"/>
      <c r="AP108" s="167"/>
      <c r="AQ108" s="167"/>
      <c r="AR108" s="167"/>
      <c r="AS108" s="167"/>
      <c r="AT108" s="167"/>
      <c r="AU108" s="167"/>
      <c r="AV108" s="167"/>
      <c r="AW108" s="167"/>
      <c r="AX108" s="167"/>
      <c r="AY108" s="167"/>
      <c r="AZ108" s="167"/>
      <c r="BA108" s="167"/>
      <c r="BB108" s="167"/>
      <c r="BC108" s="167"/>
      <c r="BD108" s="167"/>
      <c r="BE108" s="167"/>
      <c r="BF108" s="167"/>
      <c r="BG108" s="167"/>
    </row>
    <row r="109" spans="4:59">
      <c r="D109" s="167"/>
      <c r="E109" s="167"/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167"/>
      <c r="Q109" s="167"/>
      <c r="R109" s="167"/>
      <c r="S109" s="167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167"/>
      <c r="AD109" s="167"/>
      <c r="AE109" s="167"/>
      <c r="AF109" s="167"/>
      <c r="AG109" s="167"/>
      <c r="AH109" s="167"/>
      <c r="AI109" s="167"/>
      <c r="AJ109" s="167"/>
      <c r="AK109" s="167"/>
      <c r="AL109" s="167"/>
      <c r="AM109" s="167"/>
      <c r="AN109" s="167"/>
      <c r="AO109" s="167"/>
      <c r="AP109" s="167"/>
      <c r="AQ109" s="167"/>
      <c r="AR109" s="167"/>
      <c r="AS109" s="167"/>
      <c r="AT109" s="167"/>
      <c r="AU109" s="167"/>
      <c r="AV109" s="167"/>
      <c r="AW109" s="167"/>
      <c r="AX109" s="167"/>
      <c r="AY109" s="167"/>
      <c r="AZ109" s="167"/>
      <c r="BA109" s="167"/>
      <c r="BB109" s="167"/>
      <c r="BC109" s="167"/>
      <c r="BD109" s="167"/>
      <c r="BE109" s="167"/>
      <c r="BF109" s="167"/>
      <c r="BG109" s="167"/>
    </row>
    <row r="110" spans="4:59">
      <c r="D110" s="167"/>
      <c r="E110" s="167"/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167"/>
      <c r="Q110" s="167"/>
      <c r="R110" s="167"/>
      <c r="S110" s="167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167"/>
      <c r="AD110" s="167"/>
      <c r="AE110" s="167"/>
      <c r="AF110" s="167"/>
      <c r="AG110" s="167"/>
      <c r="AH110" s="167"/>
      <c r="AI110" s="167"/>
      <c r="AJ110" s="167"/>
      <c r="AK110" s="167"/>
      <c r="AL110" s="167"/>
      <c r="AM110" s="167"/>
      <c r="AN110" s="167"/>
      <c r="AO110" s="167"/>
      <c r="AP110" s="167"/>
      <c r="AQ110" s="167"/>
      <c r="AR110" s="167"/>
      <c r="AS110" s="167"/>
      <c r="AT110" s="167"/>
      <c r="AU110" s="167"/>
      <c r="AV110" s="167"/>
      <c r="AW110" s="167"/>
      <c r="AX110" s="167"/>
      <c r="AY110" s="167"/>
      <c r="AZ110" s="167"/>
      <c r="BA110" s="167"/>
      <c r="BB110" s="167"/>
      <c r="BC110" s="167"/>
      <c r="BD110" s="167"/>
      <c r="BE110" s="167"/>
      <c r="BF110" s="167"/>
      <c r="BG110" s="167"/>
    </row>
    <row r="111" spans="4:59">
      <c r="D111" s="167"/>
      <c r="E111" s="167"/>
      <c r="F111" s="167"/>
      <c r="G111" s="167"/>
      <c r="H111" s="167"/>
      <c r="I111" s="167"/>
      <c r="J111" s="167"/>
      <c r="K111" s="167"/>
      <c r="L111" s="167"/>
      <c r="M111" s="167"/>
      <c r="N111" s="167"/>
      <c r="O111" s="167"/>
      <c r="P111" s="167"/>
      <c r="Q111" s="167"/>
      <c r="R111" s="167"/>
      <c r="S111" s="167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67"/>
      <c r="AD111" s="167"/>
      <c r="AE111" s="167"/>
      <c r="AF111" s="167"/>
      <c r="AG111" s="167"/>
      <c r="AH111" s="167"/>
      <c r="AI111" s="167"/>
      <c r="AJ111" s="167"/>
      <c r="AK111" s="167"/>
      <c r="AL111" s="167"/>
      <c r="AM111" s="167"/>
      <c r="AN111" s="167"/>
      <c r="AO111" s="167"/>
      <c r="AP111" s="167"/>
      <c r="AQ111" s="167"/>
      <c r="AR111" s="167"/>
      <c r="AS111" s="167"/>
      <c r="AT111" s="167"/>
      <c r="AU111" s="167"/>
      <c r="AV111" s="167"/>
      <c r="AW111" s="167"/>
      <c r="AX111" s="167"/>
      <c r="AY111" s="167"/>
      <c r="AZ111" s="167"/>
      <c r="BA111" s="167"/>
      <c r="BB111" s="167"/>
      <c r="BC111" s="167"/>
      <c r="BD111" s="167"/>
      <c r="BE111" s="167"/>
      <c r="BF111" s="167"/>
      <c r="BG111" s="167"/>
    </row>
    <row r="112" spans="4:59">
      <c r="D112" s="167"/>
      <c r="E112" s="167"/>
      <c r="F112" s="167"/>
      <c r="G112" s="167"/>
      <c r="H112" s="167"/>
      <c r="I112" s="167"/>
      <c r="J112" s="167"/>
      <c r="K112" s="167"/>
      <c r="L112" s="167"/>
      <c r="M112" s="167"/>
      <c r="N112" s="167"/>
      <c r="O112" s="167"/>
      <c r="P112" s="167"/>
      <c r="Q112" s="167"/>
      <c r="R112" s="167"/>
      <c r="S112" s="167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67"/>
      <c r="AD112" s="167"/>
      <c r="AE112" s="167"/>
      <c r="AF112" s="167"/>
      <c r="AG112" s="167"/>
      <c r="AH112" s="167"/>
      <c r="AI112" s="167"/>
      <c r="AJ112" s="167"/>
      <c r="AK112" s="167"/>
      <c r="AL112" s="167"/>
      <c r="AM112" s="167"/>
      <c r="AN112" s="167"/>
      <c r="AO112" s="167"/>
      <c r="AP112" s="167"/>
      <c r="AQ112" s="167"/>
      <c r="AR112" s="167"/>
      <c r="AS112" s="167"/>
      <c r="AT112" s="167"/>
      <c r="AU112" s="167"/>
      <c r="AV112" s="167"/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67"/>
      <c r="BG112" s="167"/>
    </row>
    <row r="113" spans="4:61">
      <c r="D113" s="167"/>
      <c r="E113" s="167"/>
      <c r="F113" s="167"/>
      <c r="G113" s="167"/>
      <c r="H113" s="167"/>
      <c r="I113" s="167"/>
      <c r="J113" s="167"/>
      <c r="K113" s="167"/>
      <c r="L113" s="167"/>
      <c r="M113" s="167"/>
      <c r="N113" s="167"/>
      <c r="O113" s="167"/>
      <c r="P113" s="167"/>
      <c r="Q113" s="167"/>
      <c r="R113" s="167"/>
      <c r="S113" s="167"/>
      <c r="T113" s="167"/>
      <c r="U113" s="167"/>
      <c r="V113" s="167"/>
      <c r="W113" s="167"/>
      <c r="X113" s="167"/>
      <c r="Y113" s="167"/>
      <c r="Z113" s="167"/>
      <c r="AA113" s="167"/>
      <c r="AB113" s="167"/>
      <c r="AC113" s="167"/>
      <c r="AD113" s="167"/>
      <c r="AE113" s="167"/>
      <c r="AF113" s="167"/>
      <c r="AG113" s="167"/>
      <c r="AH113" s="167"/>
      <c r="AI113" s="167"/>
      <c r="AJ113" s="167"/>
      <c r="AK113" s="167"/>
      <c r="AL113" s="167"/>
      <c r="AM113" s="167"/>
      <c r="AN113" s="167"/>
      <c r="AO113" s="167"/>
      <c r="AP113" s="167"/>
      <c r="AQ113" s="167"/>
      <c r="AR113" s="167"/>
      <c r="AS113" s="167"/>
      <c r="AT113" s="167"/>
      <c r="AU113" s="167"/>
      <c r="AV113" s="167"/>
      <c r="AW113" s="167"/>
      <c r="AX113" s="167"/>
      <c r="AY113" s="167"/>
      <c r="AZ113" s="167"/>
      <c r="BA113" s="167"/>
      <c r="BB113" s="167"/>
      <c r="BC113" s="167"/>
      <c r="BD113" s="167"/>
      <c r="BE113" s="167"/>
      <c r="BF113" s="167"/>
      <c r="BG113" s="167"/>
    </row>
    <row r="114" spans="4:61"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  <c r="V114" s="167"/>
      <c r="W114" s="167"/>
      <c r="X114" s="167"/>
      <c r="Y114" s="167"/>
      <c r="Z114" s="167"/>
      <c r="AA114" s="167"/>
      <c r="AB114" s="167"/>
      <c r="AC114" s="167"/>
      <c r="AD114" s="167"/>
      <c r="AE114" s="167"/>
      <c r="AF114" s="167"/>
      <c r="AG114" s="167"/>
      <c r="AH114" s="167"/>
      <c r="AI114" s="167"/>
      <c r="AJ114" s="167"/>
      <c r="AK114" s="167"/>
      <c r="AL114" s="167"/>
      <c r="AM114" s="167"/>
      <c r="AN114" s="167"/>
      <c r="AO114" s="167"/>
      <c r="AP114" s="167"/>
      <c r="AQ114" s="167"/>
      <c r="AR114" s="167"/>
      <c r="AS114" s="167"/>
      <c r="AT114" s="167"/>
      <c r="AU114" s="167"/>
      <c r="AV114" s="167"/>
      <c r="AW114" s="167"/>
      <c r="AX114" s="167"/>
      <c r="AY114" s="167"/>
      <c r="AZ114" s="167"/>
      <c r="BA114" s="167"/>
      <c r="BB114" s="167"/>
      <c r="BC114" s="167"/>
      <c r="BD114" s="167"/>
      <c r="BE114" s="167"/>
      <c r="BF114" s="167"/>
      <c r="BG114" s="167"/>
    </row>
    <row r="115" spans="4:61"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67"/>
      <c r="R115" s="167"/>
      <c r="S115" s="167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167"/>
      <c r="AD115" s="167"/>
      <c r="AE115" s="167"/>
      <c r="AF115" s="167"/>
      <c r="AG115" s="167"/>
      <c r="AH115" s="167"/>
      <c r="AI115" s="167"/>
      <c r="AJ115" s="167"/>
      <c r="AK115" s="167"/>
      <c r="AL115" s="167"/>
      <c r="AM115" s="167"/>
      <c r="AN115" s="167"/>
      <c r="AO115" s="167"/>
      <c r="AP115" s="167"/>
      <c r="AQ115" s="167"/>
      <c r="AR115" s="167"/>
      <c r="AS115" s="167"/>
      <c r="AT115" s="167"/>
      <c r="AU115" s="167"/>
      <c r="AV115" s="167"/>
      <c r="AW115" s="167"/>
      <c r="AX115" s="167"/>
      <c r="AY115" s="167"/>
      <c r="AZ115" s="167"/>
      <c r="BA115" s="167"/>
      <c r="BB115" s="167"/>
      <c r="BC115" s="167"/>
      <c r="BD115" s="167"/>
      <c r="BE115" s="167"/>
      <c r="BF115" s="167"/>
      <c r="BG115" s="167"/>
      <c r="BH115" s="27"/>
      <c r="BI115" s="27"/>
    </row>
    <row r="116" spans="4:61">
      <c r="D116" s="167"/>
      <c r="E116" s="167"/>
      <c r="F116" s="167"/>
      <c r="G116" s="167"/>
      <c r="H116" s="167"/>
      <c r="I116" s="167"/>
      <c r="J116" s="167"/>
      <c r="K116" s="167"/>
      <c r="L116" s="167"/>
      <c r="M116" s="167"/>
      <c r="N116" s="167"/>
      <c r="O116" s="167"/>
      <c r="P116" s="167"/>
      <c r="Q116" s="167"/>
      <c r="R116" s="167"/>
      <c r="S116" s="167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167"/>
      <c r="AD116" s="167"/>
      <c r="AE116" s="167"/>
      <c r="AF116" s="167"/>
      <c r="AG116" s="167"/>
      <c r="AH116" s="167"/>
      <c r="AI116" s="167"/>
      <c r="AJ116" s="167"/>
      <c r="AK116" s="167"/>
      <c r="AL116" s="167"/>
      <c r="AM116" s="167"/>
      <c r="AN116" s="167"/>
      <c r="AO116" s="167"/>
      <c r="AP116" s="167"/>
      <c r="AQ116" s="167"/>
      <c r="AR116" s="167"/>
      <c r="AS116" s="167"/>
      <c r="AT116" s="167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I116" s="22"/>
    </row>
    <row r="117" spans="4:61">
      <c r="D117" s="167"/>
      <c r="E117" s="167"/>
      <c r="F117" s="167"/>
      <c r="G117" s="167"/>
      <c r="H117" s="167"/>
      <c r="I117" s="167"/>
      <c r="J117" s="167"/>
      <c r="K117" s="167"/>
      <c r="L117" s="167"/>
      <c r="M117" s="167"/>
      <c r="N117" s="167"/>
      <c r="O117" s="167"/>
      <c r="P117" s="167"/>
      <c r="Q117" s="167"/>
      <c r="R117" s="167"/>
      <c r="S117" s="167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167"/>
      <c r="AD117" s="167"/>
      <c r="AE117" s="167"/>
      <c r="AF117" s="167"/>
      <c r="AG117" s="167"/>
      <c r="AH117" s="167"/>
      <c r="AI117" s="167"/>
      <c r="AJ117" s="167"/>
      <c r="AK117" s="167"/>
      <c r="AL117" s="167"/>
      <c r="AM117" s="167"/>
      <c r="AN117" s="167"/>
      <c r="AO117" s="167"/>
      <c r="AP117" s="167"/>
      <c r="AQ117" s="167"/>
      <c r="AR117" s="167"/>
      <c r="AS117" s="167"/>
      <c r="AT117" s="167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  <c r="BG117" s="167"/>
    </row>
    <row r="118" spans="4:61"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167"/>
      <c r="AD118" s="167"/>
      <c r="AE118" s="167"/>
      <c r="AF118" s="167"/>
      <c r="AG118" s="167"/>
      <c r="AH118" s="167"/>
      <c r="AI118" s="167"/>
      <c r="AJ118" s="167"/>
      <c r="AK118" s="167"/>
      <c r="AL118" s="167"/>
      <c r="AM118" s="167"/>
      <c r="AN118" s="167"/>
      <c r="AO118" s="167"/>
      <c r="AP118" s="167"/>
      <c r="AQ118" s="167"/>
      <c r="AR118" s="167"/>
      <c r="AS118" s="167"/>
      <c r="AT118" s="167"/>
      <c r="AU118" s="167"/>
      <c r="AV118" s="167"/>
      <c r="AW118" s="167"/>
      <c r="AX118" s="167"/>
      <c r="AY118" s="167"/>
      <c r="AZ118" s="167"/>
      <c r="BA118" s="167"/>
      <c r="BB118" s="167"/>
      <c r="BC118" s="167"/>
      <c r="BD118" s="167"/>
      <c r="BE118" s="167"/>
      <c r="BF118" s="167"/>
      <c r="BG118" s="167"/>
      <c r="BH118" s="56"/>
    </row>
    <row r="119" spans="4:61"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  <c r="Q119" s="167"/>
      <c r="R119" s="167"/>
      <c r="S119" s="167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67"/>
      <c r="AD119" s="167"/>
      <c r="AE119" s="167"/>
      <c r="AF119" s="167"/>
      <c r="AG119" s="167"/>
      <c r="AH119" s="167"/>
      <c r="AI119" s="167"/>
      <c r="AJ119" s="167"/>
      <c r="AK119" s="167"/>
      <c r="AL119" s="167"/>
      <c r="AM119" s="167"/>
      <c r="AN119" s="167"/>
      <c r="AO119" s="167"/>
      <c r="AP119" s="167"/>
      <c r="AQ119" s="167"/>
      <c r="AR119" s="167"/>
      <c r="AS119" s="167"/>
      <c r="AT119" s="167"/>
      <c r="AU119" s="167"/>
      <c r="AV119" s="167"/>
      <c r="AW119" s="167"/>
      <c r="AX119" s="167"/>
      <c r="AY119" s="167"/>
      <c r="AZ119" s="167"/>
      <c r="BA119" s="167"/>
      <c r="BB119" s="167"/>
      <c r="BC119" s="167"/>
      <c r="BD119" s="167"/>
      <c r="BE119" s="167"/>
      <c r="BF119" s="167"/>
      <c r="BG119" s="167"/>
    </row>
    <row r="120" spans="4:61"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7"/>
      <c r="Q120" s="167"/>
      <c r="R120" s="167"/>
      <c r="S120" s="167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67"/>
      <c r="AD120" s="167"/>
      <c r="AE120" s="167"/>
      <c r="AF120" s="167"/>
      <c r="AG120" s="167"/>
      <c r="AH120" s="167"/>
      <c r="AI120" s="167"/>
      <c r="AJ120" s="167"/>
      <c r="AK120" s="167"/>
      <c r="AL120" s="167"/>
      <c r="AM120" s="167"/>
      <c r="AN120" s="167"/>
      <c r="AO120" s="167"/>
      <c r="AP120" s="167"/>
      <c r="AQ120" s="167"/>
      <c r="AR120" s="167"/>
      <c r="AS120" s="167"/>
      <c r="AT120" s="167"/>
      <c r="AU120" s="167"/>
      <c r="AV120" s="167"/>
      <c r="AW120" s="167"/>
      <c r="AX120" s="167"/>
      <c r="AY120" s="167"/>
      <c r="AZ120" s="167"/>
      <c r="BA120" s="167"/>
      <c r="BB120" s="167"/>
      <c r="BC120" s="167"/>
      <c r="BD120" s="167"/>
      <c r="BE120" s="167"/>
      <c r="BF120" s="167"/>
      <c r="BG120" s="167"/>
    </row>
    <row r="121" spans="4:61"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7"/>
      <c r="Q121" s="167"/>
      <c r="R121" s="167"/>
      <c r="S121" s="167"/>
      <c r="T121" s="167"/>
      <c r="U121" s="167"/>
      <c r="V121" s="167"/>
      <c r="W121" s="167"/>
      <c r="X121" s="167"/>
      <c r="Y121" s="167"/>
      <c r="Z121" s="167"/>
      <c r="AA121" s="167"/>
      <c r="AB121" s="167"/>
      <c r="AC121" s="167"/>
      <c r="AD121" s="167"/>
      <c r="AE121" s="167"/>
      <c r="AF121" s="167"/>
      <c r="AG121" s="167"/>
      <c r="AH121" s="167"/>
      <c r="AI121" s="167"/>
      <c r="AJ121" s="167"/>
      <c r="AK121" s="167"/>
      <c r="AL121" s="167"/>
      <c r="AM121" s="167"/>
      <c r="AN121" s="167"/>
      <c r="AO121" s="167"/>
      <c r="AP121" s="167"/>
      <c r="AQ121" s="167"/>
      <c r="AR121" s="167"/>
      <c r="AS121" s="167"/>
      <c r="AT121" s="167"/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  <c r="BG121" s="167"/>
    </row>
    <row r="122" spans="4:61"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7"/>
      <c r="S122" s="167"/>
      <c r="T122" s="167"/>
      <c r="U122" s="167"/>
      <c r="V122" s="167"/>
      <c r="W122" s="167"/>
      <c r="X122" s="167"/>
      <c r="Y122" s="167"/>
      <c r="Z122" s="167"/>
      <c r="AA122" s="167"/>
      <c r="AB122" s="167"/>
      <c r="AC122" s="167"/>
      <c r="AD122" s="167"/>
      <c r="AE122" s="167"/>
      <c r="AF122" s="167"/>
      <c r="AG122" s="167"/>
      <c r="AH122" s="167"/>
      <c r="AI122" s="167"/>
      <c r="AJ122" s="167"/>
      <c r="AK122" s="167"/>
      <c r="AL122" s="167"/>
      <c r="AM122" s="167"/>
      <c r="AN122" s="167"/>
      <c r="AO122" s="167"/>
      <c r="AP122" s="167"/>
      <c r="AQ122" s="167"/>
      <c r="AR122" s="167"/>
      <c r="AS122" s="167"/>
      <c r="AT122" s="167"/>
      <c r="AU122" s="167"/>
      <c r="AV122" s="379"/>
      <c r="AW122" s="379"/>
      <c r="AX122" s="167"/>
      <c r="AY122" s="167"/>
      <c r="AZ122" s="167"/>
      <c r="BA122" s="167"/>
      <c r="BB122" s="167"/>
      <c r="BC122" s="167"/>
      <c r="BD122" s="167"/>
      <c r="BE122" s="167"/>
      <c r="BF122" s="167"/>
      <c r="BG122" s="167"/>
    </row>
    <row r="123" spans="4:61">
      <c r="D123" s="167"/>
      <c r="E123" s="167"/>
      <c r="F123" s="167"/>
      <c r="G123" s="167"/>
      <c r="H123" s="167"/>
      <c r="I123" s="167"/>
      <c r="J123" s="167"/>
      <c r="K123" s="167"/>
      <c r="L123" s="167"/>
      <c r="M123" s="167"/>
      <c r="N123" s="167"/>
      <c r="O123" s="167"/>
      <c r="P123" s="167"/>
      <c r="Q123" s="167"/>
      <c r="R123" s="167"/>
      <c r="S123" s="167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167"/>
      <c r="AD123" s="167"/>
      <c r="AE123" s="167"/>
      <c r="AF123" s="167"/>
      <c r="AG123" s="167"/>
      <c r="AH123" s="167"/>
      <c r="AI123" s="167"/>
      <c r="AJ123" s="167"/>
      <c r="AK123" s="167"/>
      <c r="AL123" s="167"/>
      <c r="AM123" s="167"/>
      <c r="AN123" s="167"/>
      <c r="AO123" s="167"/>
      <c r="AP123" s="167"/>
      <c r="AQ123" s="167"/>
      <c r="AR123" s="167"/>
      <c r="AS123" s="167"/>
      <c r="AT123" s="167"/>
      <c r="AU123" s="167"/>
      <c r="AV123" s="167"/>
      <c r="AW123" s="167"/>
      <c r="AX123" s="167"/>
      <c r="AY123" s="167"/>
      <c r="AZ123" s="167"/>
      <c r="BA123" s="167"/>
      <c r="BB123" s="167"/>
      <c r="BC123" s="167"/>
      <c r="BD123" s="167"/>
      <c r="BE123" s="167"/>
      <c r="BF123" s="167"/>
      <c r="BG123" s="167"/>
    </row>
    <row r="124" spans="4:61">
      <c r="D124" s="167"/>
      <c r="E124" s="167"/>
      <c r="F124" s="167"/>
      <c r="G124" s="167"/>
      <c r="H124" s="167"/>
      <c r="I124" s="167"/>
      <c r="J124" s="167"/>
      <c r="K124" s="167"/>
      <c r="L124" s="167"/>
      <c r="M124" s="167"/>
      <c r="N124" s="167"/>
      <c r="O124" s="167"/>
      <c r="P124" s="167"/>
      <c r="Q124" s="167"/>
      <c r="R124" s="167"/>
      <c r="S124" s="167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167"/>
      <c r="AD124" s="167"/>
      <c r="AE124" s="167"/>
      <c r="AF124" s="167"/>
      <c r="AG124" s="167"/>
      <c r="AH124" s="167"/>
      <c r="AI124" s="167"/>
      <c r="AJ124" s="167"/>
      <c r="AK124" s="167"/>
      <c r="AL124" s="167"/>
      <c r="AM124" s="167"/>
      <c r="AN124" s="167"/>
      <c r="AO124" s="167"/>
      <c r="AP124" s="167"/>
      <c r="AQ124" s="167"/>
      <c r="AR124" s="167"/>
      <c r="AS124" s="167"/>
      <c r="AT124" s="167"/>
      <c r="AU124" s="167"/>
      <c r="AV124" s="167"/>
      <c r="AW124" s="167"/>
      <c r="AX124" s="167"/>
      <c r="AY124" s="167"/>
      <c r="AZ124" s="167"/>
      <c r="BA124" s="167"/>
      <c r="BB124" s="167"/>
      <c r="BC124" s="167"/>
      <c r="BD124" s="167"/>
      <c r="BE124" s="167"/>
      <c r="BF124" s="167"/>
      <c r="BG124" s="167"/>
    </row>
    <row r="125" spans="4:61">
      <c r="AR125" s="167"/>
    </row>
    <row r="126" spans="4:61">
      <c r="AR126" s="167"/>
      <c r="AT126" s="167"/>
    </row>
    <row r="127" spans="4:61">
      <c r="AR127" s="167"/>
    </row>
    <row r="128" spans="4:61">
      <c r="AR128" s="167"/>
      <c r="AS128" s="167"/>
      <c r="AT128" s="167"/>
      <c r="AU128" s="167"/>
      <c r="AV128" s="167"/>
      <c r="AW128" s="167"/>
      <c r="AX128" s="167"/>
      <c r="AY128" s="167"/>
      <c r="AZ128" s="167"/>
      <c r="BA128" s="167"/>
      <c r="BB128" s="167"/>
      <c r="BC128" s="167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0000"/>
  </sheetPr>
  <dimension ref="A1:BI128"/>
  <sheetViews>
    <sheetView showGridLines="0" topLeftCell="A29" zoomScale="70" zoomScaleNormal="70" workbookViewId="0">
      <selection activeCell="I50" sqref="I50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</row>
    <row r="2" spans="9:38">
      <c r="AK2" s="178"/>
      <c r="AL2" s="178"/>
    </row>
    <row r="3" spans="9:38">
      <c r="AK3" s="178"/>
      <c r="AL3" s="178"/>
    </row>
    <row r="4" spans="9:38">
      <c r="AK4" s="178"/>
      <c r="AL4" s="178"/>
    </row>
    <row r="5" spans="9:38" ht="21" customHeight="1">
      <c r="I5" s="175"/>
      <c r="AK5" s="178"/>
      <c r="AL5" s="178"/>
    </row>
    <row r="6" spans="9:38">
      <c r="I6" s="178"/>
      <c r="AK6" s="178"/>
      <c r="AL6" s="178"/>
    </row>
    <row r="7" spans="9:38" ht="15.75" customHeight="1">
      <c r="I7" s="178"/>
      <c r="AK7" s="178"/>
      <c r="AL7" s="178"/>
    </row>
    <row r="8" spans="9:38">
      <c r="I8" s="178"/>
      <c r="AK8" s="178"/>
      <c r="AL8" s="178"/>
    </row>
    <row r="9" spans="9:38">
      <c r="I9" s="178"/>
      <c r="AK9" s="178"/>
      <c r="AL9" s="178"/>
    </row>
    <row r="10" spans="9:38">
      <c r="I10" s="178"/>
      <c r="AK10" s="178"/>
      <c r="AL10" s="178"/>
    </row>
    <row r="11" spans="9:38">
      <c r="AK11" s="178"/>
      <c r="AL11" s="178"/>
    </row>
    <row r="12" spans="9:38">
      <c r="AK12" s="178"/>
      <c r="AL12" s="178"/>
    </row>
    <row r="13" spans="9:38">
      <c r="AK13" s="178"/>
      <c r="AL13" s="178"/>
    </row>
    <row r="14" spans="9:38">
      <c r="Q14" s="22"/>
      <c r="T14" s="178"/>
      <c r="U14" s="178"/>
      <c r="V14" s="178"/>
      <c r="W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</row>
    <row r="15" spans="9:38">
      <c r="T15" s="178"/>
      <c r="U15" s="178"/>
      <c r="V15" s="178"/>
      <c r="W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</row>
    <row r="16" spans="9:38" ht="21">
      <c r="AB16" s="102"/>
      <c r="AC16" s="178"/>
      <c r="AD16" s="178"/>
      <c r="AE16" s="178"/>
      <c r="AF16" s="178"/>
      <c r="AG16" s="178"/>
      <c r="AH16" s="178"/>
      <c r="AI16" s="178"/>
      <c r="AJ16" s="178"/>
      <c r="AK16" s="178"/>
    </row>
    <row r="17" spans="1:38">
      <c r="H17" s="175"/>
      <c r="Q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117</v>
      </c>
      <c r="N18" s="98"/>
      <c r="O18" s="98"/>
      <c r="Q18" s="178"/>
      <c r="W18" s="178"/>
      <c r="X18" s="178"/>
      <c r="Y18" s="101" t="s">
        <v>119</v>
      </c>
      <c r="Z18" s="101"/>
      <c r="AA18" s="101"/>
      <c r="AB18" s="178"/>
      <c r="AC18" s="178"/>
      <c r="AD18" s="178"/>
      <c r="AE18" s="178"/>
      <c r="AJ18" s="178"/>
      <c r="AK18" s="178"/>
      <c r="AL18" s="178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95.456607855851104</v>
      </c>
      <c r="H19" s="24" t="s">
        <v>100</v>
      </c>
      <c r="L19" s="47" t="s">
        <v>46</v>
      </c>
      <c r="M19" s="96"/>
      <c r="N19" s="96"/>
      <c r="O19" s="34"/>
      <c r="P19" s="34"/>
      <c r="Q19" s="178"/>
      <c r="AE19" s="178"/>
      <c r="AJ19" s="178"/>
      <c r="AK19" s="178"/>
      <c r="AL19" s="178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178"/>
      <c r="W20" s="178"/>
      <c r="X20" s="403" t="s">
        <v>22</v>
      </c>
      <c r="Y20" s="404"/>
      <c r="Z20" s="404"/>
      <c r="AA20" s="405"/>
      <c r="AB20" s="178"/>
      <c r="AC20" s="178"/>
      <c r="AD20" s="178"/>
      <c r="AK20" s="178"/>
      <c r="AL20" s="178"/>
    </row>
    <row r="21" spans="1:38" ht="18">
      <c r="A21" s="89" t="s">
        <v>16</v>
      </c>
      <c r="B21" s="93">
        <v>10.01</v>
      </c>
      <c r="C21" s="86">
        <f>B21/D21</f>
        <v>4.55</v>
      </c>
      <c r="D21" s="86">
        <v>2.2000000000000002</v>
      </c>
      <c r="K21" s="178"/>
      <c r="O21" s="23"/>
      <c r="X21" s="16"/>
      <c r="Y21" s="17"/>
      <c r="Z21" s="18"/>
      <c r="AK21" s="178"/>
      <c r="AL21" s="178"/>
    </row>
    <row r="22" spans="1:38" ht="18">
      <c r="A22" s="84" t="s">
        <v>17</v>
      </c>
      <c r="B22" s="86">
        <f>SUM(B19:B21)</f>
        <v>110.11049</v>
      </c>
      <c r="C22" s="86">
        <f>SUM(C19:C21)</f>
        <v>104.86440095499819</v>
      </c>
      <c r="D22" s="86">
        <f>B22/C22</f>
        <v>1.0500273591154459</v>
      </c>
      <c r="K22" s="178"/>
      <c r="L22" s="36" t="s">
        <v>3</v>
      </c>
      <c r="M22" s="34"/>
      <c r="N22" s="15" t="s">
        <v>18</v>
      </c>
      <c r="O22" s="36" t="s">
        <v>49</v>
      </c>
      <c r="P22" s="73"/>
      <c r="Q22" s="178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/>
      <c r="AD22" s="178" t="s">
        <v>18</v>
      </c>
      <c r="AK22" s="178"/>
      <c r="AL22" s="178"/>
    </row>
    <row r="23" spans="1:38" ht="18">
      <c r="B23" s="87"/>
      <c r="C23" s="87"/>
      <c r="D23" s="87"/>
      <c r="E23" s="87"/>
      <c r="K23" s="178"/>
      <c r="L23" s="36" t="s">
        <v>4</v>
      </c>
      <c r="M23" s="34"/>
      <c r="N23" s="15" t="s">
        <v>18</v>
      </c>
      <c r="O23" s="36" t="s">
        <v>27</v>
      </c>
      <c r="P23" s="34"/>
      <c r="Q23" s="178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/>
      <c r="AD23" s="178" t="s">
        <v>33</v>
      </c>
      <c r="AK23" s="178"/>
      <c r="AL23" s="178"/>
    </row>
    <row r="24" spans="1:38">
      <c r="K24" s="178"/>
      <c r="L24" s="103" t="s">
        <v>17</v>
      </c>
      <c r="M24" s="34">
        <f>SUM(M22:M23)</f>
        <v>0</v>
      </c>
      <c r="N24" s="15" t="s">
        <v>18</v>
      </c>
      <c r="O24" s="67" t="s">
        <v>30</v>
      </c>
      <c r="P24" s="37">
        <f>P23*P22</f>
        <v>0</v>
      </c>
      <c r="Q24" s="178" t="s">
        <v>18</v>
      </c>
      <c r="X24" s="105" t="s">
        <v>17</v>
      </c>
      <c r="Y24" s="106"/>
      <c r="Z24" s="73">
        <f>SUM(Z22:Z23)</f>
        <v>0</v>
      </c>
      <c r="AA24" s="15" t="s">
        <v>18</v>
      </c>
      <c r="AB24" s="67" t="s">
        <v>30</v>
      </c>
      <c r="AC24" s="37">
        <f>AC23*AC22</f>
        <v>0</v>
      </c>
      <c r="AD24" s="178" t="s">
        <v>18</v>
      </c>
      <c r="AK24" s="178"/>
      <c r="AL24" s="178"/>
    </row>
    <row r="25" spans="1:38">
      <c r="L25" s="67" t="s">
        <v>30</v>
      </c>
      <c r="M25" s="37">
        <f>P23*M24</f>
        <v>0</v>
      </c>
      <c r="N25" s="15" t="s">
        <v>18</v>
      </c>
      <c r="Q25" s="178"/>
      <c r="W25" s="178"/>
      <c r="X25" s="176" t="s">
        <v>30</v>
      </c>
      <c r="Y25" s="177"/>
      <c r="Z25" s="104">
        <f>AC23*Z24</f>
        <v>0</v>
      </c>
      <c r="AA25" s="15" t="s">
        <v>18</v>
      </c>
      <c r="AK25" s="178"/>
      <c r="AL25" s="178"/>
    </row>
    <row r="26" spans="1:38">
      <c r="A26" s="23"/>
      <c r="W26" s="178"/>
      <c r="X26" s="178"/>
      <c r="Y26" s="178"/>
      <c r="Z26" s="178"/>
      <c r="AA26" s="23"/>
      <c r="AL26" s="178"/>
    </row>
    <row r="27" spans="1:38">
      <c r="A27" s="23"/>
      <c r="I27" s="180"/>
      <c r="J27" s="180"/>
      <c r="K27" s="180"/>
      <c r="L27" s="180"/>
      <c r="AD27" s="31">
        <f>AC22+Z24</f>
        <v>0</v>
      </c>
      <c r="AE27" s="15">
        <f>AC24+Z25</f>
        <v>0</v>
      </c>
      <c r="AL27" s="178"/>
    </row>
    <row r="28" spans="1:38" ht="21">
      <c r="D28" s="143" t="s">
        <v>45</v>
      </c>
      <c r="E28" s="142">
        <f>B22-(C41+B44)</f>
        <v>105.24048999999999</v>
      </c>
      <c r="F28" s="15" t="s">
        <v>18</v>
      </c>
      <c r="I28" s="180"/>
      <c r="J28" s="180"/>
      <c r="K28" s="180"/>
      <c r="L28" s="180"/>
    </row>
    <row r="29" spans="1:38">
      <c r="I29" s="180"/>
      <c r="J29" s="180"/>
      <c r="K29" s="180"/>
      <c r="L29" s="180"/>
      <c r="AJ29" s="22"/>
    </row>
    <row r="30" spans="1:38" ht="21">
      <c r="I30" s="102"/>
      <c r="W30" s="142">
        <f>Z24+AC22+Z45+AC43</f>
        <v>0</v>
      </c>
      <c r="X30" s="15" t="s">
        <v>18</v>
      </c>
    </row>
    <row r="34" spans="1:55">
      <c r="D34" s="180"/>
      <c r="E34" s="180"/>
      <c r="F34" s="180"/>
      <c r="G34" s="180"/>
      <c r="H34" s="180"/>
      <c r="Z34" s="178"/>
      <c r="AA34" s="178"/>
      <c r="AB34" s="178"/>
      <c r="AC34" s="178"/>
      <c r="AD34" s="178"/>
      <c r="AE34" s="178"/>
      <c r="AF34" s="178"/>
      <c r="AG34" s="178"/>
      <c r="AH34" s="178"/>
      <c r="AI34" s="178"/>
      <c r="AJ34" s="178"/>
    </row>
    <row r="35" spans="1:55">
      <c r="D35" s="180"/>
      <c r="E35" s="180"/>
      <c r="F35" s="180"/>
      <c r="G35" s="180"/>
      <c r="H35" s="180"/>
      <c r="U35" s="178"/>
      <c r="Z35" s="178"/>
    </row>
    <row r="36" spans="1:55">
      <c r="D36" s="180"/>
      <c r="E36" s="180"/>
      <c r="F36" s="180"/>
      <c r="G36" s="180"/>
      <c r="H36" s="180"/>
      <c r="P36" s="172"/>
      <c r="Q36" s="172"/>
      <c r="R36" s="16"/>
      <c r="U36" s="178"/>
      <c r="Z36" s="178"/>
    </row>
    <row r="37" spans="1:55">
      <c r="E37" s="30"/>
      <c r="Z37" s="178"/>
    </row>
    <row r="38" spans="1:55" ht="21">
      <c r="M38" s="98" t="s">
        <v>118</v>
      </c>
      <c r="N38" s="48"/>
      <c r="Z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</row>
    <row r="39" spans="1:55" ht="21">
      <c r="A39" s="392" t="s">
        <v>6</v>
      </c>
      <c r="B39" s="392"/>
      <c r="C39" s="33">
        <v>2.4700000000000002</v>
      </c>
      <c r="D39" s="15" t="s">
        <v>18</v>
      </c>
      <c r="E39" s="178"/>
      <c r="F39" s="178"/>
      <c r="G39" s="178"/>
      <c r="M39" s="173" t="s">
        <v>20</v>
      </c>
      <c r="N39" s="174"/>
      <c r="Y39" s="101" t="s">
        <v>120</v>
      </c>
      <c r="Z39" s="101"/>
      <c r="AA39" s="101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</row>
    <row r="40" spans="1:55">
      <c r="A40" s="392" t="s">
        <v>5</v>
      </c>
      <c r="B40" s="392"/>
      <c r="C40" s="33">
        <v>0.91</v>
      </c>
      <c r="D40" s="15" t="s">
        <v>18</v>
      </c>
      <c r="E40" s="178"/>
      <c r="F40" s="178"/>
      <c r="G40" s="178"/>
      <c r="S40" s="180"/>
      <c r="V40" s="178"/>
      <c r="X40" s="403" t="s">
        <v>23</v>
      </c>
      <c r="Y40" s="404"/>
      <c r="Z40" s="404"/>
      <c r="AA40" s="405"/>
      <c r="AB40" s="178"/>
      <c r="AD40" s="15">
        <v>8</v>
      </c>
      <c r="AK40" s="178"/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</row>
    <row r="41" spans="1:55">
      <c r="A41" s="400" t="s">
        <v>17</v>
      </c>
      <c r="B41" s="401"/>
      <c r="C41" s="91">
        <f>SUM(C39:C40)</f>
        <v>3.3800000000000003</v>
      </c>
      <c r="D41" s="23" t="s">
        <v>18</v>
      </c>
      <c r="E41" s="178"/>
      <c r="F41" s="178"/>
      <c r="G41" s="178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/>
      <c r="R41" s="178" t="s">
        <v>18</v>
      </c>
      <c r="S41" s="180"/>
      <c r="Z41" s="178"/>
      <c r="AK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</row>
    <row r="42" spans="1:55">
      <c r="C42" s="178"/>
      <c r="D42" s="178"/>
      <c r="E42" s="178"/>
      <c r="F42" s="178"/>
      <c r="G42" s="178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/>
      <c r="R42" s="178" t="s">
        <v>33</v>
      </c>
      <c r="S42" s="180"/>
      <c r="AE42" s="178"/>
      <c r="AF42" s="178"/>
      <c r="AG42" s="178"/>
      <c r="AH42" s="178"/>
      <c r="AI42" s="178"/>
      <c r="AJ42" s="178"/>
      <c r="AK42" s="178"/>
      <c r="AL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</row>
    <row r="43" spans="1:55">
      <c r="A43" s="36" t="s">
        <v>44</v>
      </c>
      <c r="B43" s="33">
        <v>1.49</v>
      </c>
      <c r="C43" s="178" t="s">
        <v>18</v>
      </c>
      <c r="D43" s="178"/>
      <c r="E43" s="178"/>
      <c r="F43" s="178"/>
      <c r="G43" s="178"/>
      <c r="H43" s="165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>
        <f>SUM(N41:N42)</f>
        <v>0</v>
      </c>
      <c r="O43" s="15" t="s">
        <v>18</v>
      </c>
      <c r="P43" s="67" t="s">
        <v>30</v>
      </c>
      <c r="Q43" s="37">
        <f>Q42*Q41</f>
        <v>0</v>
      </c>
      <c r="R43" s="178" t="s">
        <v>18</v>
      </c>
      <c r="S43" s="180"/>
      <c r="U43" s="35" t="s">
        <v>53</v>
      </c>
      <c r="V43" s="33"/>
      <c r="W43" s="178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34"/>
      <c r="AD43" s="178" t="s">
        <v>18</v>
      </c>
      <c r="AF43" s="178"/>
      <c r="AG43" s="178"/>
      <c r="AH43" s="178"/>
      <c r="AI43" s="178"/>
      <c r="AJ43" s="178"/>
      <c r="AK43" s="178"/>
      <c r="AL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</row>
    <row r="44" spans="1:55">
      <c r="A44" s="92" t="s">
        <v>17</v>
      </c>
      <c r="B44" s="90">
        <f>SUM(B43)</f>
        <v>1.49</v>
      </c>
      <c r="C44" s="178" t="s">
        <v>18</v>
      </c>
      <c r="D44" s="178">
        <f>C41+B44</f>
        <v>4.87</v>
      </c>
      <c r="E44" s="178"/>
      <c r="M44" s="67" t="s">
        <v>30</v>
      </c>
      <c r="N44" s="37">
        <f>Q42*N43</f>
        <v>0</v>
      </c>
      <c r="O44" s="15" t="s">
        <v>18</v>
      </c>
      <c r="U44" s="178"/>
      <c r="V44" s="178"/>
      <c r="W44" s="178"/>
      <c r="X44" s="105" t="s">
        <v>4</v>
      </c>
      <c r="Y44" s="106"/>
      <c r="Z44" s="34"/>
      <c r="AA44" s="15" t="s">
        <v>18</v>
      </c>
      <c r="AB44" s="36" t="s">
        <v>27</v>
      </c>
      <c r="AC44" s="34"/>
      <c r="AD44" s="178" t="s">
        <v>33</v>
      </c>
      <c r="AL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</row>
    <row r="45" spans="1:55">
      <c r="C45" s="178"/>
      <c r="D45" s="178"/>
      <c r="E45" s="178"/>
      <c r="U45" s="178"/>
      <c r="V45" s="178"/>
      <c r="W45" s="178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</v>
      </c>
      <c r="AD45" s="178" t="s">
        <v>18</v>
      </c>
      <c r="AL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</row>
    <row r="46" spans="1:55">
      <c r="A46" s="15" t="s">
        <v>66</v>
      </c>
      <c r="B46" s="15">
        <f>B43/D22</f>
        <v>1.4190106448799502</v>
      </c>
      <c r="C46" s="178" t="s">
        <v>62</v>
      </c>
      <c r="D46" s="178"/>
      <c r="E46" s="178"/>
      <c r="P46" s="31">
        <f>Q41+N43</f>
        <v>0</v>
      </c>
      <c r="Q46" s="15">
        <f>Q43+N44</f>
        <v>0</v>
      </c>
      <c r="X46" s="176" t="s">
        <v>30</v>
      </c>
      <c r="Y46" s="177"/>
      <c r="Z46" s="104">
        <f>AC44*Z45</f>
        <v>0</v>
      </c>
      <c r="AA46" s="15" t="s">
        <v>18</v>
      </c>
      <c r="AF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8"/>
    </row>
    <row r="47" spans="1:55">
      <c r="A47" s="15" t="s">
        <v>65</v>
      </c>
      <c r="B47" s="15">
        <f>C41/D22</f>
        <v>3.21896374476123</v>
      </c>
      <c r="C47" s="15" t="s">
        <v>62</v>
      </c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8"/>
    </row>
    <row r="48" spans="1:55">
      <c r="A48" s="15" t="s">
        <v>67</v>
      </c>
      <c r="B48" s="15">
        <f>G19*(B46+B47)/1000</f>
        <v>0.44272530255745851</v>
      </c>
      <c r="C48" s="15" t="s">
        <v>18</v>
      </c>
      <c r="E48" s="160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</row>
    <row r="49" spans="1:59">
      <c r="A49" s="15" t="s">
        <v>64</v>
      </c>
      <c r="B49" s="74">
        <f>B21-B48</f>
        <v>9.5672746974425404</v>
      </c>
      <c r="C49" s="15" t="s">
        <v>18</v>
      </c>
      <c r="AC49" s="31">
        <f>AC43+Z45</f>
        <v>0</v>
      </c>
      <c r="AD49" s="15">
        <f>AC45+Z46</f>
        <v>0</v>
      </c>
      <c r="AP49" s="178"/>
      <c r="AQ49" s="178"/>
      <c r="AR49" s="178"/>
      <c r="AS49" s="178"/>
      <c r="AT49" s="178"/>
      <c r="AU49" s="178"/>
      <c r="AV49" s="379"/>
      <c r="AW49" s="379"/>
      <c r="AX49" s="379"/>
      <c r="AY49" s="379"/>
      <c r="AZ49" s="379"/>
      <c r="BA49" s="178"/>
      <c r="BB49" s="178"/>
    </row>
    <row r="50" spans="1:59">
      <c r="R50" s="178"/>
      <c r="S50" s="15" t="s">
        <v>27</v>
      </c>
      <c r="U50" s="15" t="s">
        <v>40</v>
      </c>
      <c r="W50" s="15" t="s">
        <v>98</v>
      </c>
      <c r="X50" s="74">
        <f>B49</f>
        <v>9.5672746974425404</v>
      </c>
      <c r="Y50" s="15" t="s">
        <v>18</v>
      </c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</row>
    <row r="51" spans="1:59">
      <c r="Q51" s="178"/>
      <c r="R51" s="178"/>
      <c r="S51" s="15" t="s">
        <v>34</v>
      </c>
      <c r="T51" s="15">
        <f>AC24+Z25</f>
        <v>0</v>
      </c>
      <c r="U51" s="76">
        <f>T51/X50</f>
        <v>0</v>
      </c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</row>
    <row r="52" spans="1:59">
      <c r="S52" s="15" t="s">
        <v>35</v>
      </c>
      <c r="T52" s="15">
        <f>AC45+Z46</f>
        <v>0</v>
      </c>
      <c r="U52" s="76">
        <f>T52/X50</f>
        <v>0</v>
      </c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</row>
    <row r="53" spans="1:59"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5" t="s">
        <v>36</v>
      </c>
      <c r="T53" s="178">
        <f>Q43+N44</f>
        <v>0</v>
      </c>
      <c r="U53" s="179">
        <f>T53/X50</f>
        <v>0</v>
      </c>
      <c r="V53" s="178"/>
      <c r="W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</row>
    <row r="54" spans="1:59">
      <c r="D54" s="379"/>
      <c r="E54" s="379"/>
      <c r="F54" s="379"/>
      <c r="G54" s="379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5" t="s">
        <v>17</v>
      </c>
      <c r="T54" s="178">
        <f>SUM(T51:T53)</f>
        <v>0</v>
      </c>
      <c r="U54" s="179"/>
      <c r="V54" s="178"/>
      <c r="W54" s="178"/>
      <c r="X54" s="178"/>
      <c r="Y54" s="178"/>
      <c r="Z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8"/>
      <c r="BD54" s="178"/>
      <c r="BE54" s="178"/>
      <c r="BF54" s="178"/>
      <c r="BG54" s="178"/>
    </row>
    <row r="55" spans="1:59">
      <c r="D55" s="178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5" t="s">
        <v>37</v>
      </c>
      <c r="T55" s="145">
        <f>B21-T54</f>
        <v>10.01</v>
      </c>
      <c r="U55" s="179">
        <f>T55/X50</f>
        <v>1.0462749650823557</v>
      </c>
      <c r="V55" s="178"/>
      <c r="W55" s="178"/>
      <c r="X55" s="178"/>
      <c r="Y55" s="178"/>
      <c r="Z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8"/>
      <c r="BD55" s="178"/>
      <c r="BE55" s="178"/>
      <c r="BF55" s="178"/>
      <c r="BG55" s="178"/>
    </row>
    <row r="56" spans="1:59"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T56" s="178"/>
      <c r="U56" s="178"/>
      <c r="V56" s="178"/>
      <c r="W56" s="178"/>
      <c r="X56" s="178"/>
      <c r="Y56" s="178"/>
      <c r="Z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</row>
    <row r="57" spans="1:59"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W57" s="178"/>
      <c r="X57" s="178"/>
      <c r="Y57" s="178"/>
      <c r="Z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</row>
    <row r="58" spans="1:59"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8"/>
      <c r="BD58" s="178"/>
      <c r="BE58" s="178"/>
      <c r="BF58" s="178"/>
      <c r="BG58" s="178"/>
    </row>
    <row r="59" spans="1:59"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</row>
    <row r="60" spans="1:59"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</row>
    <row r="61" spans="1:59"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8"/>
      <c r="AI61" s="178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78"/>
      <c r="BA61" s="178"/>
      <c r="BB61" s="178"/>
      <c r="BC61" s="178"/>
      <c r="BD61" s="178"/>
      <c r="BE61" s="178"/>
      <c r="BF61" s="178"/>
      <c r="BG61" s="178"/>
    </row>
    <row r="62" spans="1:59">
      <c r="D62" s="178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8"/>
      <c r="AI62" s="178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8"/>
      <c r="BD62" s="178"/>
      <c r="BE62" s="178"/>
      <c r="BF62" s="178"/>
      <c r="BG62" s="178"/>
    </row>
    <row r="63" spans="1:59"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  <c r="BB63" s="178"/>
      <c r="BC63" s="178"/>
      <c r="BD63" s="178"/>
      <c r="BE63" s="178"/>
      <c r="BF63" s="178"/>
      <c r="BG63" s="178"/>
    </row>
    <row r="64" spans="1:59"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8"/>
      <c r="BD64" s="178"/>
      <c r="BE64" s="178"/>
      <c r="BF64" s="178"/>
      <c r="BG64" s="178"/>
    </row>
    <row r="65" spans="4:59"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8"/>
      <c r="BD65" s="178"/>
      <c r="BE65" s="178"/>
      <c r="BF65" s="178"/>
      <c r="BG65" s="178"/>
    </row>
    <row r="66" spans="4:59"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8"/>
      <c r="BD66" s="178"/>
      <c r="BE66" s="178"/>
      <c r="BF66" s="178"/>
      <c r="BG66" s="178"/>
    </row>
    <row r="67" spans="4:59"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8"/>
      <c r="BD67" s="178"/>
      <c r="BE67" s="178"/>
      <c r="BF67" s="178"/>
      <c r="BG67" s="178"/>
    </row>
    <row r="68" spans="4:59"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78"/>
      <c r="AI68" s="178"/>
      <c r="AJ68" s="178"/>
      <c r="AK68" s="178"/>
      <c r="AL68" s="178"/>
      <c r="AM68" s="178"/>
      <c r="AN68" s="178"/>
      <c r="AO68" s="178"/>
      <c r="AP68" s="178"/>
      <c r="AQ68" s="178"/>
      <c r="AR68" s="178"/>
      <c r="AS68" s="178"/>
      <c r="AT68" s="178"/>
      <c r="AU68" s="178"/>
      <c r="AV68" s="178"/>
      <c r="AW68" s="178"/>
      <c r="AX68" s="178"/>
      <c r="AY68" s="178"/>
      <c r="AZ68" s="178"/>
      <c r="BA68" s="178"/>
      <c r="BB68" s="178"/>
      <c r="BC68" s="178"/>
      <c r="BD68" s="178"/>
      <c r="BE68" s="178"/>
      <c r="BF68" s="178"/>
      <c r="BG68" s="178"/>
    </row>
    <row r="69" spans="4:59"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8"/>
      <c r="AS69" s="178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</row>
    <row r="70" spans="4:59"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  <c r="BB70" s="178"/>
      <c r="BC70" s="178"/>
      <c r="BD70" s="178"/>
      <c r="BE70" s="178"/>
      <c r="BF70" s="178"/>
      <c r="BG70" s="178"/>
    </row>
    <row r="71" spans="4:59"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</row>
    <row r="72" spans="4:59"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379"/>
      <c r="AX72" s="379"/>
      <c r="AY72" s="178"/>
      <c r="AZ72" s="178"/>
      <c r="BA72" s="178"/>
      <c r="BB72" s="178"/>
      <c r="BC72" s="178"/>
      <c r="BD72" s="178"/>
      <c r="BE72" s="178"/>
      <c r="BF72" s="178"/>
      <c r="BG72" s="178"/>
    </row>
    <row r="73" spans="4:59"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  <c r="BB73" s="178"/>
      <c r="BC73" s="178"/>
      <c r="BD73" s="178"/>
      <c r="BE73" s="178"/>
      <c r="BF73" s="178"/>
      <c r="BG73" s="178"/>
    </row>
    <row r="74" spans="4:59"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8"/>
      <c r="AX74" s="178"/>
      <c r="AY74" s="178"/>
      <c r="AZ74" s="178"/>
      <c r="BA74" s="178"/>
      <c r="BB74" s="178"/>
      <c r="BC74" s="178"/>
      <c r="BD74" s="178"/>
      <c r="BE74" s="178"/>
      <c r="BF74" s="178"/>
      <c r="BG74" s="178"/>
    </row>
    <row r="75" spans="4:59"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78"/>
      <c r="AO75" s="178"/>
      <c r="AP75" s="178"/>
      <c r="AQ75" s="178"/>
      <c r="AR75" s="178"/>
      <c r="AS75" s="178"/>
      <c r="AT75" s="178"/>
      <c r="AU75" s="178"/>
      <c r="AV75" s="178"/>
      <c r="AW75" s="178"/>
      <c r="AX75" s="178"/>
      <c r="AY75" s="178"/>
      <c r="AZ75" s="178"/>
      <c r="BA75" s="178"/>
      <c r="BB75" s="178"/>
      <c r="BC75" s="178"/>
      <c r="BD75" s="178"/>
      <c r="BE75" s="178"/>
      <c r="BF75" s="178"/>
      <c r="BG75" s="178"/>
    </row>
    <row r="76" spans="4:59"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78"/>
      <c r="AI76" s="178"/>
      <c r="AJ76" s="178"/>
      <c r="AK76" s="178"/>
      <c r="AL76" s="178"/>
      <c r="AM76" s="178"/>
      <c r="AN76" s="178"/>
      <c r="AO76" s="178"/>
      <c r="AP76" s="178"/>
      <c r="AQ76" s="178"/>
      <c r="AR76" s="178"/>
      <c r="AS76" s="178"/>
      <c r="AT76" s="178"/>
      <c r="AU76" s="178"/>
      <c r="AV76" s="178"/>
      <c r="AW76" s="178"/>
      <c r="AX76" s="178"/>
      <c r="AY76" s="178"/>
      <c r="AZ76" s="178"/>
      <c r="BA76" s="178"/>
      <c r="BB76" s="178"/>
      <c r="BC76" s="178"/>
      <c r="BD76" s="178"/>
      <c r="BE76" s="178"/>
      <c r="BF76" s="178"/>
      <c r="BG76" s="178"/>
    </row>
    <row r="77" spans="4:59"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/>
      <c r="BE77" s="178"/>
      <c r="BF77" s="178"/>
      <c r="BG77" s="178"/>
    </row>
    <row r="78" spans="4:59"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D78" s="178"/>
      <c r="BE78" s="178"/>
      <c r="BF78" s="178"/>
      <c r="BG78" s="178"/>
    </row>
    <row r="79" spans="4:59"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</row>
    <row r="80" spans="4:59"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</row>
    <row r="81" spans="4:59"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D81" s="178"/>
      <c r="BE81" s="178"/>
      <c r="BF81" s="178"/>
      <c r="BG81" s="178"/>
    </row>
    <row r="82" spans="4:59">
      <c r="D82" s="178"/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78"/>
      <c r="AI82" s="178"/>
      <c r="AJ82" s="178"/>
      <c r="AK82" s="178"/>
      <c r="AL82" s="178"/>
      <c r="AM82" s="178"/>
      <c r="AN82" s="178"/>
      <c r="AO82" s="178"/>
      <c r="AP82" s="178"/>
      <c r="AQ82" s="178"/>
      <c r="AR82" s="178"/>
      <c r="AS82" s="178"/>
      <c r="AT82" s="178"/>
      <c r="AU82" s="178"/>
      <c r="AV82" s="178"/>
      <c r="AW82" s="178"/>
      <c r="AX82" s="178"/>
      <c r="AY82" s="178"/>
      <c r="AZ82" s="178"/>
      <c r="BA82" s="178"/>
      <c r="BB82" s="178"/>
      <c r="BC82" s="178"/>
      <c r="BD82" s="178"/>
      <c r="BE82" s="178"/>
      <c r="BF82" s="178"/>
      <c r="BG82" s="178"/>
    </row>
    <row r="83" spans="4:59"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78"/>
      <c r="AI83" s="178"/>
      <c r="AJ83" s="178"/>
      <c r="AK83" s="178"/>
      <c r="AL83" s="178"/>
      <c r="AM83" s="178"/>
      <c r="AN83" s="178"/>
      <c r="AO83" s="178"/>
      <c r="AP83" s="178"/>
      <c r="AQ83" s="178"/>
      <c r="AR83" s="178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</row>
    <row r="84" spans="4:59"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</row>
    <row r="85" spans="4:59"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8"/>
      <c r="BF85" s="178"/>
      <c r="BG85" s="178"/>
    </row>
    <row r="86" spans="4:59"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8"/>
      <c r="AX86" s="178"/>
      <c r="AY86" s="178"/>
      <c r="AZ86" s="178"/>
      <c r="BA86" s="178"/>
      <c r="BB86" s="178"/>
      <c r="BC86" s="178"/>
      <c r="BD86" s="178"/>
      <c r="BE86" s="178"/>
      <c r="BF86" s="178"/>
      <c r="BG86" s="178"/>
    </row>
    <row r="87" spans="4:59"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178"/>
    </row>
    <row r="88" spans="4:59"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78"/>
      <c r="BA88" s="178"/>
      <c r="BB88" s="178"/>
      <c r="BC88" s="178"/>
      <c r="BD88" s="178"/>
      <c r="BE88" s="178"/>
      <c r="BF88" s="178"/>
      <c r="BG88" s="178"/>
    </row>
    <row r="89" spans="4:59">
      <c r="D89" s="178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78"/>
      <c r="AI89" s="178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</row>
    <row r="90" spans="4:59"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78"/>
      <c r="AI90" s="178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78"/>
      <c r="AU90" s="178"/>
      <c r="AV90" s="178"/>
      <c r="AW90" s="178"/>
      <c r="AX90" s="178"/>
      <c r="AY90" s="178"/>
      <c r="AZ90" s="178"/>
      <c r="BA90" s="178"/>
      <c r="BB90" s="178"/>
      <c r="BC90" s="178"/>
      <c r="BD90" s="178"/>
      <c r="BE90" s="178"/>
      <c r="BF90" s="178"/>
      <c r="BG90" s="178"/>
    </row>
    <row r="91" spans="4:59"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78"/>
      <c r="AI91" s="178"/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78"/>
      <c r="AU91" s="178"/>
      <c r="AV91" s="178"/>
      <c r="AW91" s="178"/>
      <c r="AX91" s="178"/>
      <c r="AY91" s="178"/>
      <c r="AZ91" s="178"/>
      <c r="BA91" s="178"/>
      <c r="BB91" s="178"/>
      <c r="BC91" s="178"/>
      <c r="BD91" s="178"/>
      <c r="BE91" s="178"/>
      <c r="BF91" s="178"/>
      <c r="BG91" s="178"/>
    </row>
    <row r="92" spans="4:59"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78"/>
      <c r="AI92" s="178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8"/>
      <c r="AX92" s="178"/>
      <c r="AY92" s="178"/>
      <c r="AZ92" s="178"/>
      <c r="BA92" s="178"/>
      <c r="BB92" s="178"/>
      <c r="BC92" s="178"/>
      <c r="BD92" s="178"/>
      <c r="BE92" s="178"/>
      <c r="BF92" s="178"/>
      <c r="BG92" s="178"/>
    </row>
    <row r="93" spans="4:59">
      <c r="D93" s="178"/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178"/>
      <c r="BD93" s="178"/>
      <c r="BE93" s="178"/>
      <c r="BF93" s="178"/>
      <c r="BG93" s="178"/>
    </row>
    <row r="94" spans="4:59">
      <c r="D94" s="178"/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8"/>
      <c r="AX94" s="178"/>
      <c r="AY94" s="178"/>
      <c r="AZ94" s="178"/>
      <c r="BA94" s="178"/>
      <c r="BB94" s="178"/>
      <c r="BC94" s="178"/>
      <c r="BD94" s="178"/>
      <c r="BE94" s="178"/>
      <c r="BF94" s="178"/>
      <c r="BG94" s="178"/>
    </row>
    <row r="95" spans="4:59"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</row>
    <row r="96" spans="4:59"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78"/>
      <c r="AI96" s="178"/>
      <c r="AJ96" s="178"/>
      <c r="AK96" s="178"/>
      <c r="AL96" s="178"/>
      <c r="AM96" s="178"/>
      <c r="AN96" s="178"/>
      <c r="AO96" s="178"/>
      <c r="AP96" s="178"/>
      <c r="AQ96" s="178"/>
      <c r="AR96" s="178"/>
      <c r="AS96" s="178"/>
      <c r="AT96" s="178"/>
      <c r="AU96" s="178"/>
      <c r="AV96" s="178"/>
      <c r="AW96" s="178"/>
      <c r="AX96" s="178"/>
      <c r="AY96" s="178"/>
      <c r="AZ96" s="178"/>
      <c r="BA96" s="178"/>
      <c r="BB96" s="178"/>
      <c r="BC96" s="178"/>
      <c r="BD96" s="178"/>
      <c r="BE96" s="178"/>
      <c r="BF96" s="178"/>
      <c r="BG96" s="178"/>
    </row>
    <row r="97" spans="4:59"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78"/>
      <c r="AI97" s="178"/>
      <c r="AJ97" s="178"/>
      <c r="AK97" s="178"/>
      <c r="AL97" s="178"/>
      <c r="AM97" s="178"/>
      <c r="AN97" s="178"/>
      <c r="AO97" s="178"/>
      <c r="AP97" s="178"/>
      <c r="AQ97" s="178"/>
      <c r="AR97" s="178"/>
      <c r="AS97" s="178"/>
      <c r="AT97" s="178"/>
      <c r="AU97" s="178"/>
      <c r="AV97" s="178"/>
      <c r="AW97" s="178"/>
      <c r="AX97" s="178"/>
      <c r="AY97" s="178"/>
      <c r="AZ97" s="178"/>
      <c r="BA97" s="178"/>
      <c r="BB97" s="178"/>
      <c r="BC97" s="178"/>
      <c r="BD97" s="178"/>
      <c r="BE97" s="178"/>
      <c r="BF97" s="178"/>
      <c r="BG97" s="178"/>
    </row>
    <row r="98" spans="4:59"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8"/>
      <c r="AR98" s="178"/>
      <c r="AS98" s="178"/>
      <c r="AT98" s="178"/>
      <c r="AU98" s="178"/>
      <c r="AV98" s="178"/>
      <c r="AW98" s="178"/>
      <c r="AX98" s="178"/>
      <c r="AY98" s="178"/>
      <c r="AZ98" s="178"/>
      <c r="BA98" s="178"/>
      <c r="BB98" s="178"/>
      <c r="BC98" s="178"/>
      <c r="BD98" s="178"/>
      <c r="BE98" s="178"/>
      <c r="BF98" s="178"/>
      <c r="BG98" s="178"/>
    </row>
    <row r="99" spans="4:59"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78"/>
      <c r="AI99" s="178"/>
      <c r="AJ99" s="178"/>
      <c r="AK99" s="178"/>
      <c r="AL99" s="178"/>
      <c r="AM99" s="178"/>
      <c r="AN99" s="178"/>
      <c r="AO99" s="178"/>
      <c r="AP99" s="178"/>
      <c r="AQ99" s="178"/>
      <c r="AR99" s="178"/>
      <c r="AS99" s="178"/>
      <c r="AT99" s="178"/>
      <c r="AU99" s="178"/>
      <c r="AV99" s="178"/>
      <c r="AW99" s="178"/>
      <c r="AX99" s="178"/>
      <c r="AY99" s="178"/>
      <c r="AZ99" s="178"/>
      <c r="BA99" s="178"/>
      <c r="BB99" s="178"/>
      <c r="BC99" s="178"/>
      <c r="BD99" s="178"/>
      <c r="BE99" s="178"/>
      <c r="BF99" s="178"/>
      <c r="BG99" s="178"/>
    </row>
    <row r="100" spans="4:59"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78"/>
      <c r="AI100" s="178"/>
      <c r="AJ100" s="178"/>
      <c r="AK100" s="178"/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178"/>
      <c r="BB100" s="178"/>
      <c r="BC100" s="178"/>
      <c r="BD100" s="178"/>
      <c r="BE100" s="178"/>
      <c r="BF100" s="178"/>
      <c r="BG100" s="178"/>
    </row>
    <row r="101" spans="4:59"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178"/>
      <c r="BD101" s="178"/>
      <c r="BE101" s="178"/>
      <c r="BF101" s="178"/>
      <c r="BG101" s="178"/>
    </row>
    <row r="102" spans="4:59"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78"/>
      <c r="AI102" s="178"/>
      <c r="AJ102" s="178"/>
      <c r="AK102" s="178"/>
      <c r="AL102" s="178"/>
      <c r="AM102" s="178"/>
      <c r="AN102" s="178"/>
      <c r="AO102" s="178"/>
      <c r="AP102" s="178"/>
      <c r="AQ102" s="178"/>
      <c r="AR102" s="178"/>
      <c r="AS102" s="178"/>
      <c r="AT102" s="178"/>
      <c r="AU102" s="178"/>
      <c r="AV102" s="178"/>
      <c r="AW102" s="178"/>
      <c r="AX102" s="178"/>
      <c r="AY102" s="178"/>
      <c r="AZ102" s="178"/>
      <c r="BA102" s="178"/>
      <c r="BB102" s="178"/>
      <c r="BC102" s="178"/>
      <c r="BD102" s="178"/>
      <c r="BE102" s="178"/>
      <c r="BF102" s="178"/>
      <c r="BG102" s="178"/>
    </row>
    <row r="103" spans="4:59"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78"/>
      <c r="AI103" s="178"/>
      <c r="AJ103" s="178"/>
      <c r="AK103" s="178"/>
      <c r="AL103" s="178"/>
      <c r="AM103" s="178"/>
      <c r="AN103" s="178"/>
      <c r="AO103" s="178"/>
      <c r="AP103" s="178"/>
      <c r="AQ103" s="178"/>
      <c r="AR103" s="178"/>
      <c r="AS103" s="178"/>
      <c r="AT103" s="178"/>
      <c r="AU103" s="178"/>
      <c r="AV103" s="178"/>
      <c r="AW103" s="178"/>
      <c r="AX103" s="178"/>
      <c r="AY103" s="178"/>
      <c r="AZ103" s="178"/>
      <c r="BA103" s="178"/>
      <c r="BB103" s="178"/>
      <c r="BC103" s="178"/>
      <c r="BD103" s="178"/>
      <c r="BE103" s="178"/>
      <c r="BF103" s="178"/>
      <c r="BG103" s="178"/>
    </row>
    <row r="104" spans="4:59"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78"/>
      <c r="AI104" s="178"/>
      <c r="AJ104" s="178"/>
      <c r="AK104" s="178"/>
      <c r="AL104" s="178"/>
      <c r="AM104" s="178"/>
      <c r="AN104" s="178"/>
      <c r="AO104" s="178"/>
      <c r="AP104" s="178"/>
      <c r="AQ104" s="178"/>
      <c r="AR104" s="178"/>
      <c r="AS104" s="178"/>
      <c r="AT104" s="178"/>
      <c r="AU104" s="178"/>
      <c r="AV104" s="178"/>
      <c r="AW104" s="178"/>
      <c r="AX104" s="178"/>
      <c r="AY104" s="178"/>
      <c r="AZ104" s="178"/>
      <c r="BA104" s="178"/>
      <c r="BB104" s="178"/>
      <c r="BC104" s="178"/>
      <c r="BD104" s="178"/>
      <c r="BE104" s="178"/>
      <c r="BF104" s="178"/>
      <c r="BG104" s="178"/>
    </row>
    <row r="105" spans="4:59"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78"/>
      <c r="AI105" s="178"/>
      <c r="AJ105" s="178"/>
      <c r="AK105" s="178"/>
      <c r="AL105" s="178"/>
      <c r="AM105" s="178"/>
      <c r="AN105" s="178"/>
      <c r="AO105" s="178"/>
      <c r="AP105" s="178"/>
      <c r="AQ105" s="178"/>
      <c r="AR105" s="178"/>
      <c r="AS105" s="178"/>
      <c r="AT105" s="178"/>
      <c r="AU105" s="178"/>
      <c r="AV105" s="178"/>
      <c r="AW105" s="178"/>
      <c r="AX105" s="178"/>
      <c r="AY105" s="178"/>
      <c r="AZ105" s="178"/>
      <c r="BA105" s="178"/>
      <c r="BB105" s="178"/>
      <c r="BC105" s="178"/>
      <c r="BD105" s="178"/>
      <c r="BE105" s="178"/>
      <c r="BF105" s="178"/>
      <c r="BG105" s="178"/>
    </row>
    <row r="106" spans="4:59"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78"/>
      <c r="AI106" s="178"/>
      <c r="AJ106" s="178"/>
      <c r="AK106" s="178"/>
      <c r="AL106" s="178"/>
      <c r="AM106" s="178"/>
      <c r="AN106" s="178"/>
      <c r="AO106" s="178"/>
      <c r="AP106" s="178"/>
      <c r="AQ106" s="178"/>
      <c r="AR106" s="178"/>
      <c r="AS106" s="178"/>
      <c r="AT106" s="178"/>
      <c r="AU106" s="178"/>
      <c r="AV106" s="178"/>
      <c r="AW106" s="178"/>
      <c r="AX106" s="178"/>
      <c r="AY106" s="178"/>
      <c r="AZ106" s="178"/>
      <c r="BA106" s="178"/>
      <c r="BB106" s="178"/>
      <c r="BC106" s="178"/>
      <c r="BD106" s="178"/>
      <c r="BE106" s="178"/>
      <c r="BF106" s="178"/>
      <c r="BG106" s="178"/>
    </row>
    <row r="107" spans="4:59"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178"/>
      <c r="AS107" s="178"/>
      <c r="AT107" s="178"/>
      <c r="AU107" s="178"/>
      <c r="AV107" s="178"/>
      <c r="AW107" s="178"/>
      <c r="AX107" s="178"/>
      <c r="AY107" s="178"/>
      <c r="AZ107" s="178"/>
      <c r="BA107" s="178"/>
      <c r="BB107" s="178"/>
      <c r="BC107" s="178"/>
      <c r="BD107" s="178"/>
      <c r="BE107" s="178"/>
      <c r="BF107" s="178"/>
      <c r="BG107" s="178"/>
    </row>
    <row r="108" spans="4:59"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8"/>
      <c r="AR108" s="178"/>
      <c r="AS108" s="178"/>
      <c r="AT108" s="178"/>
      <c r="AU108" s="178"/>
      <c r="AV108" s="178"/>
      <c r="AW108" s="178"/>
      <c r="AX108" s="178"/>
      <c r="AY108" s="178"/>
      <c r="AZ108" s="178"/>
      <c r="BA108" s="178"/>
      <c r="BB108" s="178"/>
      <c r="BC108" s="178"/>
      <c r="BD108" s="178"/>
      <c r="BE108" s="178"/>
      <c r="BF108" s="178"/>
      <c r="BG108" s="178"/>
    </row>
    <row r="109" spans="4:59"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78"/>
      <c r="AI109" s="178"/>
      <c r="AJ109" s="178"/>
      <c r="AK109" s="178"/>
      <c r="AL109" s="178"/>
      <c r="AM109" s="178"/>
      <c r="AN109" s="178"/>
      <c r="AO109" s="178"/>
      <c r="AP109" s="178"/>
      <c r="AQ109" s="178"/>
      <c r="AR109" s="178"/>
      <c r="AS109" s="178"/>
      <c r="AT109" s="178"/>
      <c r="AU109" s="178"/>
      <c r="AV109" s="178"/>
      <c r="AW109" s="178"/>
      <c r="AX109" s="178"/>
      <c r="AY109" s="178"/>
      <c r="AZ109" s="178"/>
      <c r="BA109" s="178"/>
      <c r="BB109" s="178"/>
      <c r="BC109" s="178"/>
      <c r="BD109" s="178"/>
      <c r="BE109" s="178"/>
      <c r="BF109" s="178"/>
      <c r="BG109" s="178"/>
    </row>
    <row r="110" spans="4:59"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78"/>
      <c r="AI110" s="178"/>
      <c r="AJ110" s="178"/>
      <c r="AK110" s="178"/>
      <c r="AL110" s="178"/>
      <c r="AM110" s="178"/>
      <c r="AN110" s="178"/>
      <c r="AO110" s="178"/>
      <c r="AP110" s="178"/>
      <c r="AQ110" s="178"/>
      <c r="AR110" s="178"/>
      <c r="AS110" s="178"/>
      <c r="AT110" s="178"/>
      <c r="AU110" s="178"/>
      <c r="AV110" s="178"/>
      <c r="AW110" s="178"/>
      <c r="AX110" s="178"/>
      <c r="AY110" s="178"/>
      <c r="AZ110" s="178"/>
      <c r="BA110" s="178"/>
      <c r="BB110" s="178"/>
      <c r="BC110" s="178"/>
      <c r="BD110" s="178"/>
      <c r="BE110" s="178"/>
      <c r="BF110" s="178"/>
      <c r="BG110" s="178"/>
    </row>
    <row r="111" spans="4:59"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78"/>
      <c r="AI111" s="178"/>
      <c r="AJ111" s="178"/>
      <c r="AK111" s="178"/>
      <c r="AL111" s="178"/>
      <c r="AM111" s="178"/>
      <c r="AN111" s="178"/>
      <c r="AO111" s="178"/>
      <c r="AP111" s="178"/>
      <c r="AQ111" s="178"/>
      <c r="AR111" s="178"/>
      <c r="AS111" s="178"/>
      <c r="AT111" s="178"/>
      <c r="AU111" s="178"/>
      <c r="AV111" s="178"/>
      <c r="AW111" s="178"/>
      <c r="AX111" s="178"/>
      <c r="AY111" s="178"/>
      <c r="AZ111" s="178"/>
      <c r="BA111" s="178"/>
      <c r="BB111" s="178"/>
      <c r="BC111" s="178"/>
      <c r="BD111" s="178"/>
      <c r="BE111" s="178"/>
      <c r="BF111" s="178"/>
      <c r="BG111" s="178"/>
    </row>
    <row r="112" spans="4:59"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78"/>
      <c r="AI112" s="178"/>
      <c r="AJ112" s="178"/>
      <c r="AK112" s="178"/>
      <c r="AL112" s="178"/>
      <c r="AM112" s="178"/>
      <c r="AN112" s="178"/>
      <c r="AO112" s="178"/>
      <c r="AP112" s="178"/>
      <c r="AQ112" s="178"/>
      <c r="AR112" s="178"/>
      <c r="AS112" s="178"/>
      <c r="AT112" s="178"/>
      <c r="AU112" s="178"/>
      <c r="AV112" s="178"/>
      <c r="AW112" s="178"/>
      <c r="AX112" s="178"/>
      <c r="AY112" s="178"/>
      <c r="AZ112" s="178"/>
      <c r="BA112" s="178"/>
      <c r="BB112" s="178"/>
      <c r="BC112" s="178"/>
      <c r="BD112" s="178"/>
      <c r="BE112" s="178"/>
      <c r="BF112" s="178"/>
      <c r="BG112" s="178"/>
    </row>
    <row r="113" spans="4:61"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</row>
    <row r="114" spans="4:61"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78"/>
      <c r="AI114" s="178"/>
      <c r="AJ114" s="178"/>
      <c r="AK114" s="178"/>
      <c r="AL114" s="178"/>
      <c r="AM114" s="178"/>
      <c r="AN114" s="178"/>
      <c r="AO114" s="178"/>
      <c r="AP114" s="178"/>
      <c r="AQ114" s="178"/>
      <c r="AR114" s="178"/>
      <c r="AS114" s="178"/>
      <c r="AT114" s="178"/>
      <c r="AU114" s="178"/>
      <c r="AV114" s="178"/>
      <c r="AW114" s="178"/>
      <c r="AX114" s="178"/>
      <c r="AY114" s="178"/>
      <c r="AZ114" s="178"/>
      <c r="BA114" s="178"/>
      <c r="BB114" s="178"/>
      <c r="BC114" s="178"/>
      <c r="BD114" s="178"/>
      <c r="BE114" s="178"/>
      <c r="BF114" s="178"/>
      <c r="BG114" s="178"/>
    </row>
    <row r="115" spans="4:61"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178"/>
      <c r="BD115" s="178"/>
      <c r="BE115" s="178"/>
      <c r="BF115" s="178"/>
      <c r="BG115" s="178"/>
      <c r="BH115" s="27"/>
      <c r="BI115" s="27"/>
    </row>
    <row r="116" spans="4:61"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  <c r="AR116" s="178"/>
      <c r="AS116" s="178"/>
      <c r="AT116" s="178"/>
      <c r="AU116" s="178"/>
      <c r="AV116" s="178"/>
      <c r="AW116" s="178"/>
      <c r="AX116" s="178"/>
      <c r="AY116" s="178"/>
      <c r="AZ116" s="178"/>
      <c r="BA116" s="178"/>
      <c r="BB116" s="178"/>
      <c r="BC116" s="178"/>
      <c r="BD116" s="178"/>
      <c r="BE116" s="178"/>
      <c r="BF116" s="178"/>
      <c r="BG116" s="178"/>
      <c r="BI116" s="22"/>
    </row>
    <row r="117" spans="4:61"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  <c r="AR117" s="178"/>
      <c r="AS117" s="178"/>
      <c r="AT117" s="178"/>
      <c r="AU117" s="178"/>
      <c r="AV117" s="178"/>
      <c r="AW117" s="178"/>
      <c r="AX117" s="178"/>
      <c r="AY117" s="178"/>
      <c r="AZ117" s="178"/>
      <c r="BA117" s="178"/>
      <c r="BB117" s="178"/>
      <c r="BC117" s="178"/>
      <c r="BD117" s="178"/>
      <c r="BE117" s="178"/>
      <c r="BF117" s="178"/>
      <c r="BG117" s="178"/>
    </row>
    <row r="118" spans="4:61"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  <c r="AM118" s="178"/>
      <c r="AN118" s="178"/>
      <c r="AO118" s="178"/>
      <c r="AP118" s="178"/>
      <c r="AQ118" s="178"/>
      <c r="AR118" s="178"/>
      <c r="AS118" s="178"/>
      <c r="AT118" s="178"/>
      <c r="AU118" s="178"/>
      <c r="AV118" s="178"/>
      <c r="AW118" s="178"/>
      <c r="AX118" s="178"/>
      <c r="AY118" s="178"/>
      <c r="AZ118" s="178"/>
      <c r="BA118" s="178"/>
      <c r="BB118" s="178"/>
      <c r="BC118" s="178"/>
      <c r="BD118" s="178"/>
      <c r="BE118" s="178"/>
      <c r="BF118" s="178"/>
      <c r="BG118" s="178"/>
      <c r="BH118" s="56"/>
    </row>
    <row r="119" spans="4:61"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  <c r="AR119" s="178"/>
      <c r="AS119" s="178"/>
      <c r="AT119" s="178"/>
      <c r="AU119" s="178"/>
      <c r="AV119" s="178"/>
      <c r="AW119" s="178"/>
      <c r="AX119" s="178"/>
      <c r="AY119" s="178"/>
      <c r="AZ119" s="178"/>
      <c r="BA119" s="178"/>
      <c r="BB119" s="178"/>
      <c r="BC119" s="178"/>
      <c r="BD119" s="178"/>
      <c r="BE119" s="178"/>
      <c r="BF119" s="178"/>
      <c r="BG119" s="178"/>
    </row>
    <row r="120" spans="4:61"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  <c r="AR120" s="178"/>
      <c r="AS120" s="178"/>
      <c r="AT120" s="178"/>
      <c r="AU120" s="178"/>
      <c r="AV120" s="178"/>
      <c r="AW120" s="178"/>
      <c r="AX120" s="178"/>
      <c r="AY120" s="178"/>
      <c r="AZ120" s="178"/>
      <c r="BA120" s="178"/>
      <c r="BB120" s="178"/>
      <c r="BC120" s="178"/>
      <c r="BD120" s="178"/>
      <c r="BE120" s="178"/>
      <c r="BF120" s="178"/>
      <c r="BG120" s="178"/>
    </row>
    <row r="121" spans="4:61"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  <c r="AR121" s="178"/>
      <c r="AS121" s="178"/>
      <c r="AT121" s="178"/>
      <c r="AU121" s="178"/>
      <c r="AV121" s="178"/>
      <c r="AW121" s="178"/>
      <c r="AX121" s="178"/>
      <c r="AY121" s="178"/>
      <c r="AZ121" s="178"/>
      <c r="BA121" s="178"/>
      <c r="BB121" s="178"/>
      <c r="BC121" s="178"/>
      <c r="BD121" s="178"/>
      <c r="BE121" s="178"/>
      <c r="BF121" s="178"/>
      <c r="BG121" s="178"/>
    </row>
    <row r="122" spans="4:61"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  <c r="AM122" s="178"/>
      <c r="AN122" s="178"/>
      <c r="AO122" s="178"/>
      <c r="AP122" s="178"/>
      <c r="AQ122" s="178"/>
      <c r="AR122" s="178"/>
      <c r="AS122" s="178"/>
      <c r="AT122" s="178"/>
      <c r="AU122" s="178"/>
      <c r="AV122" s="379"/>
      <c r="AW122" s="379"/>
      <c r="AX122" s="178"/>
      <c r="AY122" s="178"/>
      <c r="AZ122" s="178"/>
      <c r="BA122" s="178"/>
      <c r="BB122" s="178"/>
      <c r="BC122" s="178"/>
      <c r="BD122" s="178"/>
      <c r="BE122" s="178"/>
      <c r="BF122" s="178"/>
      <c r="BG122" s="178"/>
    </row>
    <row r="123" spans="4:61"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  <c r="AM123" s="178"/>
      <c r="AN123" s="178"/>
      <c r="AO123" s="178"/>
      <c r="AP123" s="178"/>
      <c r="AQ123" s="178"/>
      <c r="AR123" s="178"/>
      <c r="AS123" s="178"/>
      <c r="AT123" s="178"/>
      <c r="AU123" s="178"/>
      <c r="AV123" s="178"/>
      <c r="AW123" s="178"/>
      <c r="AX123" s="178"/>
      <c r="AY123" s="178"/>
      <c r="AZ123" s="178"/>
      <c r="BA123" s="178"/>
      <c r="BB123" s="178"/>
      <c r="BC123" s="178"/>
      <c r="BD123" s="178"/>
      <c r="BE123" s="178"/>
      <c r="BF123" s="178"/>
      <c r="BG123" s="178"/>
    </row>
    <row r="124" spans="4:61"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  <c r="AM124" s="178"/>
      <c r="AN124" s="178"/>
      <c r="AO124" s="178"/>
      <c r="AP124" s="178"/>
      <c r="AQ124" s="178"/>
      <c r="AR124" s="178"/>
      <c r="AS124" s="178"/>
      <c r="AT124" s="178"/>
      <c r="AU124" s="178"/>
      <c r="AV124" s="178"/>
      <c r="AW124" s="178"/>
      <c r="AX124" s="178"/>
      <c r="AY124" s="178"/>
      <c r="AZ124" s="178"/>
      <c r="BA124" s="178"/>
      <c r="BB124" s="178"/>
      <c r="BC124" s="178"/>
      <c r="BD124" s="178"/>
      <c r="BE124" s="178"/>
      <c r="BF124" s="178"/>
      <c r="BG124" s="178"/>
    </row>
    <row r="125" spans="4:61">
      <c r="AR125" s="178"/>
    </row>
    <row r="126" spans="4:61">
      <c r="AR126" s="178"/>
      <c r="AT126" s="178"/>
    </row>
    <row r="127" spans="4:61">
      <c r="AR127" s="178"/>
    </row>
    <row r="128" spans="4:61">
      <c r="AR128" s="178"/>
      <c r="AS128" s="178"/>
      <c r="AT128" s="178"/>
      <c r="AU128" s="178"/>
      <c r="AV128" s="178"/>
      <c r="AW128" s="178"/>
      <c r="AX128" s="178"/>
      <c r="AY128" s="178"/>
      <c r="AZ128" s="178"/>
      <c r="BA128" s="178"/>
      <c r="BB128" s="178"/>
      <c r="BC128" s="178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</sheetPr>
  <dimension ref="A1:BI128"/>
  <sheetViews>
    <sheetView showGridLines="0" topLeftCell="A29" zoomScale="70" zoomScaleNormal="70" workbookViewId="0">
      <selection activeCell="H46" sqref="H46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9:38">
      <c r="AK2" s="185"/>
      <c r="AL2" s="185"/>
    </row>
    <row r="3" spans="9:38">
      <c r="AK3" s="185"/>
      <c r="AL3" s="185"/>
    </row>
    <row r="4" spans="9:38">
      <c r="AK4" s="185"/>
      <c r="AL4" s="185"/>
    </row>
    <row r="5" spans="9:38" ht="21" customHeight="1">
      <c r="I5" s="183"/>
      <c r="AK5" s="185"/>
      <c r="AL5" s="185"/>
    </row>
    <row r="6" spans="9:38">
      <c r="I6" s="185"/>
      <c r="AK6" s="185"/>
      <c r="AL6" s="185"/>
    </row>
    <row r="7" spans="9:38" ht="15.75" customHeight="1">
      <c r="I7" s="185"/>
      <c r="AK7" s="185"/>
      <c r="AL7" s="185"/>
    </row>
    <row r="8" spans="9:38">
      <c r="I8" s="185"/>
      <c r="AK8" s="185"/>
      <c r="AL8" s="185"/>
    </row>
    <row r="9" spans="9:38">
      <c r="I9" s="185"/>
      <c r="AK9" s="185"/>
      <c r="AL9" s="185"/>
    </row>
    <row r="10" spans="9:38">
      <c r="I10" s="185"/>
      <c r="AK10" s="185"/>
      <c r="AL10" s="185"/>
    </row>
    <row r="11" spans="9:38">
      <c r="AK11" s="185"/>
      <c r="AL11" s="185"/>
    </row>
    <row r="12" spans="9:38">
      <c r="AK12" s="185"/>
      <c r="AL12" s="185"/>
    </row>
    <row r="13" spans="9:38">
      <c r="AK13" s="185"/>
      <c r="AL13" s="185"/>
    </row>
    <row r="14" spans="9:38">
      <c r="Q14" s="22"/>
      <c r="T14" s="185"/>
      <c r="U14" s="185"/>
      <c r="V14" s="185"/>
      <c r="W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</row>
    <row r="15" spans="9:38">
      <c r="T15" s="185"/>
      <c r="U15" s="185"/>
      <c r="V15" s="185"/>
      <c r="W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  <c r="AK15" s="185"/>
    </row>
    <row r="16" spans="9:38" ht="21">
      <c r="AB16" s="102"/>
      <c r="AC16" s="185"/>
      <c r="AD16" s="185"/>
      <c r="AE16" s="185"/>
      <c r="AF16" s="185"/>
      <c r="AG16" s="185"/>
      <c r="AH16" s="185"/>
      <c r="AI16" s="185"/>
      <c r="AJ16" s="185"/>
      <c r="AK16" s="185"/>
    </row>
    <row r="17" spans="1:38">
      <c r="H17" s="183"/>
      <c r="Q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117</v>
      </c>
      <c r="N18" s="98"/>
      <c r="O18" s="98"/>
      <c r="Q18" s="185"/>
      <c r="W18" s="185"/>
      <c r="X18" s="185"/>
      <c r="Y18" s="101" t="s">
        <v>119</v>
      </c>
      <c r="Z18" s="101"/>
      <c r="AA18" s="101"/>
      <c r="AB18" s="185"/>
      <c r="AC18" s="185"/>
      <c r="AD18" s="185"/>
      <c r="AE18" s="185"/>
      <c r="AJ18" s="185"/>
      <c r="AK18" s="185"/>
      <c r="AL18" s="185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95.456607855851104</v>
      </c>
      <c r="H19" s="24" t="s">
        <v>100</v>
      </c>
      <c r="L19" s="47" t="s">
        <v>46</v>
      </c>
      <c r="M19" s="96"/>
      <c r="N19" s="96"/>
      <c r="O19" s="34"/>
      <c r="P19" s="34"/>
      <c r="Q19" s="185"/>
      <c r="AE19" s="185"/>
      <c r="AJ19" s="185"/>
      <c r="AK19" s="185"/>
      <c r="AL19" s="185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185"/>
      <c r="W20" s="185"/>
      <c r="X20" s="403" t="s">
        <v>22</v>
      </c>
      <c r="Y20" s="404"/>
      <c r="Z20" s="404"/>
      <c r="AA20" s="405"/>
      <c r="AB20" s="185"/>
      <c r="AC20" s="185"/>
      <c r="AD20" s="185"/>
      <c r="AK20" s="185"/>
      <c r="AL20" s="185"/>
    </row>
    <row r="21" spans="1:38" ht="18">
      <c r="A21" s="89" t="s">
        <v>16</v>
      </c>
      <c r="B21" s="93">
        <v>10.01</v>
      </c>
      <c r="C21" s="86">
        <f>B21/D21</f>
        <v>4.55</v>
      </c>
      <c r="D21" s="86">
        <v>2.2000000000000002</v>
      </c>
      <c r="K21" s="185"/>
      <c r="O21" s="23"/>
      <c r="X21" s="16"/>
      <c r="Y21" s="17"/>
      <c r="Z21" s="18"/>
      <c r="AK21" s="185"/>
      <c r="AL21" s="185"/>
    </row>
    <row r="22" spans="1:38" ht="18">
      <c r="A22" s="84" t="s">
        <v>17</v>
      </c>
      <c r="B22" s="86">
        <f>SUM(B19:B21)</f>
        <v>110.11049</v>
      </c>
      <c r="C22" s="86">
        <f>SUM(C19:C21)</f>
        <v>104.86440095499819</v>
      </c>
      <c r="D22" s="86">
        <f>B22/C22</f>
        <v>1.0500273591154459</v>
      </c>
      <c r="K22" s="185"/>
      <c r="L22" s="36" t="s">
        <v>3</v>
      </c>
      <c r="M22" s="34"/>
      <c r="N22" s="15" t="s">
        <v>18</v>
      </c>
      <c r="O22" s="36" t="s">
        <v>49</v>
      </c>
      <c r="P22" s="73"/>
      <c r="Q22" s="185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/>
      <c r="AD22" s="185" t="s">
        <v>18</v>
      </c>
      <c r="AK22" s="185"/>
      <c r="AL22" s="185"/>
    </row>
    <row r="23" spans="1:38" ht="18">
      <c r="B23" s="87"/>
      <c r="C23" s="87"/>
      <c r="D23" s="87"/>
      <c r="E23" s="87"/>
      <c r="K23" s="185"/>
      <c r="L23" s="36" t="s">
        <v>4</v>
      </c>
      <c r="M23" s="34"/>
      <c r="N23" s="15" t="s">
        <v>18</v>
      </c>
      <c r="O23" s="36" t="s">
        <v>27</v>
      </c>
      <c r="P23" s="34"/>
      <c r="Q23" s="185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/>
      <c r="AD23" s="185" t="s">
        <v>33</v>
      </c>
      <c r="AK23" s="185"/>
      <c r="AL23" s="185"/>
    </row>
    <row r="24" spans="1:38">
      <c r="K24" s="185"/>
      <c r="L24" s="103" t="s">
        <v>17</v>
      </c>
      <c r="M24" s="34">
        <f>SUM(M22:M23)</f>
        <v>0</v>
      </c>
      <c r="N24" s="15" t="s">
        <v>18</v>
      </c>
      <c r="O24" s="67" t="s">
        <v>30</v>
      </c>
      <c r="P24" s="37">
        <f>P23*P22</f>
        <v>0</v>
      </c>
      <c r="Q24" s="185" t="s">
        <v>18</v>
      </c>
      <c r="X24" s="105" t="s">
        <v>17</v>
      </c>
      <c r="Y24" s="106"/>
      <c r="Z24" s="73">
        <f>SUM(Z22:Z23)</f>
        <v>0</v>
      </c>
      <c r="AA24" s="15" t="s">
        <v>18</v>
      </c>
      <c r="AB24" s="67" t="s">
        <v>30</v>
      </c>
      <c r="AC24" s="37">
        <f>AC23*AC22</f>
        <v>0</v>
      </c>
      <c r="AD24" s="185" t="s">
        <v>18</v>
      </c>
      <c r="AK24" s="185"/>
      <c r="AL24" s="185"/>
    </row>
    <row r="25" spans="1:38">
      <c r="L25" s="67" t="s">
        <v>30</v>
      </c>
      <c r="M25" s="37">
        <f>P23*M24</f>
        <v>0</v>
      </c>
      <c r="N25" s="15" t="s">
        <v>18</v>
      </c>
      <c r="Q25" s="185"/>
      <c r="W25" s="185"/>
      <c r="X25" s="186" t="s">
        <v>30</v>
      </c>
      <c r="Y25" s="187"/>
      <c r="Z25" s="104">
        <f>AC23*Z24</f>
        <v>0</v>
      </c>
      <c r="AA25" s="15" t="s">
        <v>18</v>
      </c>
      <c r="AK25" s="185"/>
      <c r="AL25" s="185"/>
    </row>
    <row r="26" spans="1:38">
      <c r="A26" s="23"/>
      <c r="W26" s="185"/>
      <c r="X26" s="185"/>
      <c r="Y26" s="185"/>
      <c r="Z26" s="185"/>
      <c r="AA26" s="23"/>
      <c r="AL26" s="185"/>
    </row>
    <row r="27" spans="1:38">
      <c r="A27" s="23"/>
      <c r="I27" s="185"/>
      <c r="J27" s="185"/>
      <c r="K27" s="185"/>
      <c r="L27" s="185"/>
      <c r="AD27" s="31">
        <f>AC22+Z24</f>
        <v>0</v>
      </c>
      <c r="AE27" s="15">
        <f>AC24+Z25</f>
        <v>0</v>
      </c>
      <c r="AL27" s="185"/>
    </row>
    <row r="28" spans="1:38" ht="21">
      <c r="D28" s="143" t="s">
        <v>45</v>
      </c>
      <c r="E28" s="142">
        <f>B22-(C41+B44)</f>
        <v>105.85048999999999</v>
      </c>
      <c r="F28" s="15" t="s">
        <v>18</v>
      </c>
      <c r="I28" s="185"/>
      <c r="J28" s="185"/>
      <c r="K28" s="185"/>
      <c r="L28" s="185"/>
    </row>
    <row r="29" spans="1:38">
      <c r="I29" s="185"/>
      <c r="J29" s="185"/>
      <c r="K29" s="185"/>
      <c r="L29" s="185"/>
      <c r="AJ29" s="22"/>
    </row>
    <row r="30" spans="1:38" ht="21">
      <c r="I30" s="102"/>
      <c r="W30" s="142">
        <f>Z24+AC22+Z45+AC43</f>
        <v>0</v>
      </c>
      <c r="X30" s="15" t="s">
        <v>18</v>
      </c>
    </row>
    <row r="34" spans="1:55">
      <c r="D34" s="185"/>
      <c r="E34" s="185"/>
      <c r="F34" s="185"/>
      <c r="G34" s="185"/>
      <c r="H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</row>
    <row r="35" spans="1:55">
      <c r="D35" s="185"/>
      <c r="E35" s="185"/>
      <c r="F35" s="185"/>
      <c r="G35" s="185"/>
      <c r="H35" s="185"/>
      <c r="U35" s="185"/>
      <c r="Z35" s="185"/>
    </row>
    <row r="36" spans="1:55">
      <c r="D36" s="185"/>
      <c r="E36" s="185"/>
      <c r="F36" s="185"/>
      <c r="G36" s="185"/>
      <c r="H36" s="185"/>
      <c r="P36" s="184"/>
      <c r="Q36" s="184"/>
      <c r="R36" s="16"/>
      <c r="U36" s="185"/>
      <c r="Z36" s="185"/>
    </row>
    <row r="37" spans="1:55">
      <c r="E37" s="30"/>
      <c r="Z37" s="185"/>
    </row>
    <row r="38" spans="1:55" ht="21">
      <c r="M38" s="98" t="s">
        <v>118</v>
      </c>
      <c r="N38" s="48"/>
      <c r="Z38" s="185"/>
      <c r="AP38" s="185"/>
      <c r="AQ38" s="185"/>
      <c r="AR38" s="185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</row>
    <row r="39" spans="1:55" ht="21">
      <c r="A39" s="392" t="s">
        <v>6</v>
      </c>
      <c r="B39" s="392"/>
      <c r="C39" s="33">
        <v>2.4700000000000002</v>
      </c>
      <c r="D39" s="15" t="s">
        <v>18</v>
      </c>
      <c r="E39" s="185"/>
      <c r="F39" s="185"/>
      <c r="G39" s="185"/>
      <c r="M39" s="181" t="s">
        <v>20</v>
      </c>
      <c r="N39" s="182"/>
      <c r="Y39" s="101" t="s">
        <v>120</v>
      </c>
      <c r="Z39" s="101"/>
      <c r="AA39" s="101"/>
      <c r="AP39" s="185"/>
      <c r="AQ39" s="185"/>
      <c r="AR39" s="185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</row>
    <row r="40" spans="1:55">
      <c r="A40" s="392" t="s">
        <v>5</v>
      </c>
      <c r="B40" s="392"/>
      <c r="C40" s="33">
        <v>0.42</v>
      </c>
      <c r="D40" s="15" t="s">
        <v>18</v>
      </c>
      <c r="E40" s="185"/>
      <c r="F40" s="185"/>
      <c r="G40" s="185"/>
      <c r="S40" s="185"/>
      <c r="V40" s="185"/>
      <c r="X40" s="403" t="s">
        <v>23</v>
      </c>
      <c r="Y40" s="404"/>
      <c r="Z40" s="404"/>
      <c r="AA40" s="405"/>
      <c r="AB40" s="185"/>
      <c r="AK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</row>
    <row r="41" spans="1:55">
      <c r="A41" s="400" t="s">
        <v>17</v>
      </c>
      <c r="B41" s="401"/>
      <c r="C41" s="91">
        <f>SUM(C39:C40)</f>
        <v>2.89</v>
      </c>
      <c r="D41" s="23" t="s">
        <v>18</v>
      </c>
      <c r="E41" s="185"/>
      <c r="F41" s="185"/>
      <c r="G41" s="185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/>
      <c r="R41" s="185" t="s">
        <v>18</v>
      </c>
      <c r="S41" s="185"/>
      <c r="Z41" s="185"/>
      <c r="AK41" s="185"/>
      <c r="AP41" s="185"/>
      <c r="AQ41" s="185"/>
      <c r="AR41" s="185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</row>
    <row r="42" spans="1:55">
      <c r="C42" s="185"/>
      <c r="D42" s="185"/>
      <c r="E42" s="185"/>
      <c r="F42" s="185"/>
      <c r="G42" s="185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/>
      <c r="R42" s="185" t="s">
        <v>33</v>
      </c>
      <c r="S42" s="185"/>
      <c r="AE42" s="185"/>
      <c r="AF42" s="185"/>
      <c r="AG42" s="185"/>
      <c r="AH42" s="185"/>
      <c r="AI42" s="185"/>
      <c r="AJ42" s="185"/>
      <c r="AK42" s="185"/>
      <c r="AL42" s="185"/>
      <c r="AP42" s="185"/>
      <c r="AQ42" s="185"/>
      <c r="AR42" s="185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</row>
    <row r="43" spans="1:55">
      <c r="A43" s="36" t="s">
        <v>44</v>
      </c>
      <c r="B43" s="33">
        <v>1.37</v>
      </c>
      <c r="C43" s="185" t="s">
        <v>18</v>
      </c>
      <c r="D43" s="185"/>
      <c r="E43" s="185"/>
      <c r="F43" s="185"/>
      <c r="G43" s="185"/>
      <c r="H43" s="165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>
        <f>SUM(N41:N42)</f>
        <v>0</v>
      </c>
      <c r="O43" s="15" t="s">
        <v>18</v>
      </c>
      <c r="P43" s="67" t="s">
        <v>30</v>
      </c>
      <c r="Q43" s="37">
        <f>Q42*Q41</f>
        <v>0</v>
      </c>
      <c r="R43" s="185" t="s">
        <v>18</v>
      </c>
      <c r="S43" s="185"/>
      <c r="U43" s="35" t="s">
        <v>53</v>
      </c>
      <c r="V43" s="33"/>
      <c r="W43" s="185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34"/>
      <c r="AD43" s="185" t="s">
        <v>18</v>
      </c>
      <c r="AF43" s="185"/>
      <c r="AG43" s="185"/>
      <c r="AH43" s="185"/>
      <c r="AI43" s="185"/>
      <c r="AJ43" s="185"/>
      <c r="AK43" s="185"/>
      <c r="AL43" s="185"/>
      <c r="AP43" s="185"/>
      <c r="AQ43" s="185"/>
      <c r="AR43" s="185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</row>
    <row r="44" spans="1:55">
      <c r="A44" s="92" t="s">
        <v>17</v>
      </c>
      <c r="B44" s="90">
        <f>SUM(B43)</f>
        <v>1.37</v>
      </c>
      <c r="C44" s="185" t="s">
        <v>18</v>
      </c>
      <c r="D44" s="185">
        <f>C41+B44</f>
        <v>4.26</v>
      </c>
      <c r="E44" s="185"/>
      <c r="M44" s="67" t="s">
        <v>30</v>
      </c>
      <c r="N44" s="37">
        <f>Q42*N43</f>
        <v>0</v>
      </c>
      <c r="O44" s="15" t="s">
        <v>18</v>
      </c>
      <c r="U44" s="185"/>
      <c r="V44" s="185"/>
      <c r="W44" s="185"/>
      <c r="X44" s="105" t="s">
        <v>4</v>
      </c>
      <c r="Y44" s="106"/>
      <c r="Z44" s="34"/>
      <c r="AA44" s="15" t="s">
        <v>18</v>
      </c>
      <c r="AB44" s="36" t="s">
        <v>27</v>
      </c>
      <c r="AC44" s="34"/>
      <c r="AD44" s="185" t="s">
        <v>33</v>
      </c>
      <c r="AL44" s="185"/>
      <c r="AP44" s="185"/>
      <c r="AQ44" s="185"/>
      <c r="AR44" s="185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</row>
    <row r="45" spans="1:55">
      <c r="C45" s="185"/>
      <c r="D45" s="185"/>
      <c r="E45" s="185"/>
      <c r="U45" s="185"/>
      <c r="V45" s="185"/>
      <c r="W45" s="185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</v>
      </c>
      <c r="AD45" s="185" t="s">
        <v>18</v>
      </c>
      <c r="AL45" s="185"/>
      <c r="AP45" s="185"/>
      <c r="AQ45" s="185"/>
      <c r="AR45" s="185"/>
      <c r="AS45" s="185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</row>
    <row r="46" spans="1:55">
      <c r="A46" s="15" t="s">
        <v>66</v>
      </c>
      <c r="B46" s="15">
        <f>B43/D22</f>
        <v>1.3047279083795518</v>
      </c>
      <c r="C46" s="185" t="s">
        <v>62</v>
      </c>
      <c r="D46" s="185"/>
      <c r="E46" s="185"/>
      <c r="P46" s="31">
        <f>Q41+N43</f>
        <v>0</v>
      </c>
      <c r="Q46" s="15">
        <f>Q43+N44</f>
        <v>0</v>
      </c>
      <c r="X46" s="186" t="s">
        <v>30</v>
      </c>
      <c r="Y46" s="187"/>
      <c r="Z46" s="104">
        <f>AC44*Z45</f>
        <v>0</v>
      </c>
      <c r="AA46" s="15" t="s">
        <v>18</v>
      </c>
      <c r="AF46" s="185"/>
      <c r="AP46" s="185"/>
      <c r="AQ46" s="185"/>
      <c r="AR46" s="185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</row>
    <row r="47" spans="1:55">
      <c r="A47" s="15" t="s">
        <v>65</v>
      </c>
      <c r="B47" s="15">
        <f>C41/D22</f>
        <v>2.7523092373846016</v>
      </c>
      <c r="C47" s="15" t="s">
        <v>62</v>
      </c>
      <c r="AP47" s="185"/>
      <c r="AQ47" s="185"/>
      <c r="AR47" s="185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</row>
    <row r="48" spans="1:55">
      <c r="A48" s="15" t="s">
        <v>67</v>
      </c>
      <c r="B48" s="15">
        <f>G19*(B46+B47)/1000</f>
        <v>0.38727100387983027</v>
      </c>
      <c r="C48" s="15" t="s">
        <v>18</v>
      </c>
      <c r="E48" s="160"/>
      <c r="AP48" s="185"/>
      <c r="AQ48" s="185"/>
      <c r="AR48" s="185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</row>
    <row r="49" spans="1:59">
      <c r="A49" s="15" t="s">
        <v>64</v>
      </c>
      <c r="B49" s="74">
        <f>B21-B48</f>
        <v>9.6227289961201699</v>
      </c>
      <c r="C49" s="15" t="s">
        <v>18</v>
      </c>
      <c r="AC49" s="31">
        <f>AC43+Z45</f>
        <v>0</v>
      </c>
      <c r="AD49" s="15">
        <f>AC45+Z46</f>
        <v>0</v>
      </c>
      <c r="AP49" s="185"/>
      <c r="AQ49" s="185"/>
      <c r="AR49" s="185"/>
      <c r="AS49" s="185"/>
      <c r="AT49" s="185"/>
      <c r="AU49" s="185"/>
      <c r="AV49" s="379"/>
      <c r="AW49" s="379"/>
      <c r="AX49" s="379"/>
      <c r="AY49" s="379"/>
      <c r="AZ49" s="379"/>
      <c r="BA49" s="185"/>
      <c r="BB49" s="185"/>
    </row>
    <row r="50" spans="1:59">
      <c r="R50" s="185"/>
      <c r="S50" s="15" t="s">
        <v>27</v>
      </c>
      <c r="U50" s="15" t="s">
        <v>40</v>
      </c>
      <c r="W50" s="15" t="s">
        <v>98</v>
      </c>
      <c r="X50" s="74">
        <f>B49</f>
        <v>9.6227289961201699</v>
      </c>
      <c r="Y50" s="15" t="s">
        <v>18</v>
      </c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</row>
    <row r="51" spans="1:59">
      <c r="Q51" s="185"/>
      <c r="R51" s="185"/>
      <c r="S51" s="15" t="s">
        <v>34</v>
      </c>
      <c r="T51" s="15">
        <f>AC24+Z25</f>
        <v>0</v>
      </c>
      <c r="U51" s="76">
        <f>T51/X50</f>
        <v>0</v>
      </c>
      <c r="AP51" s="185"/>
      <c r="AQ51" s="185"/>
      <c r="AR51" s="185"/>
      <c r="AS51" s="185"/>
      <c r="AT51" s="185"/>
      <c r="AU51" s="185"/>
      <c r="AV51" s="185"/>
      <c r="AW51" s="185"/>
      <c r="AX51" s="185"/>
      <c r="AY51" s="185"/>
      <c r="AZ51" s="185"/>
      <c r="BA51" s="185"/>
      <c r="BB51" s="185"/>
    </row>
    <row r="52" spans="1:59">
      <c r="S52" s="15" t="s">
        <v>35</v>
      </c>
      <c r="T52" s="15">
        <f>AC45+Z46</f>
        <v>0</v>
      </c>
      <c r="U52" s="76">
        <f>T52/X50</f>
        <v>0</v>
      </c>
      <c r="AP52" s="185"/>
      <c r="AQ52" s="185"/>
      <c r="AR52" s="185"/>
      <c r="AS52" s="185"/>
      <c r="AT52" s="185"/>
      <c r="AU52" s="185"/>
      <c r="AV52" s="185"/>
      <c r="AW52" s="185"/>
      <c r="AX52" s="185"/>
      <c r="AY52" s="185"/>
      <c r="AZ52" s="185"/>
      <c r="BA52" s="185"/>
      <c r="BB52" s="185"/>
    </row>
    <row r="53" spans="1:59"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5" t="s">
        <v>36</v>
      </c>
      <c r="T53" s="185">
        <f>Q43+N44</f>
        <v>0</v>
      </c>
      <c r="U53" s="188">
        <f>T53/X50</f>
        <v>0</v>
      </c>
      <c r="V53" s="185"/>
      <c r="W53" s="185"/>
      <c r="AN53" s="185"/>
      <c r="AO53" s="185"/>
      <c r="AP53" s="185"/>
      <c r="AQ53" s="185"/>
      <c r="AR53" s="185"/>
      <c r="AS53" s="185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</row>
    <row r="54" spans="1:59">
      <c r="D54" s="379"/>
      <c r="E54" s="379"/>
      <c r="F54" s="379"/>
      <c r="G54" s="379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5" t="s">
        <v>17</v>
      </c>
      <c r="T54" s="185">
        <f>SUM(T51:T53)</f>
        <v>0</v>
      </c>
      <c r="U54" s="188"/>
      <c r="V54" s="185"/>
      <c r="W54" s="185"/>
      <c r="X54" s="185"/>
      <c r="Y54" s="185"/>
      <c r="Z54" s="185"/>
      <c r="AN54" s="185"/>
      <c r="AO54" s="185"/>
      <c r="AP54" s="185"/>
      <c r="AQ54" s="185"/>
      <c r="AR54" s="185"/>
      <c r="AS54" s="185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</row>
    <row r="55" spans="1:59"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5" t="s">
        <v>37</v>
      </c>
      <c r="T55" s="145">
        <f>B21-T54</f>
        <v>10.01</v>
      </c>
      <c r="U55" s="188">
        <f>T55/X50</f>
        <v>1.0402454443054538</v>
      </c>
      <c r="V55" s="185"/>
      <c r="W55" s="185"/>
      <c r="X55" s="185"/>
      <c r="Y55" s="185"/>
      <c r="Z55" s="185"/>
      <c r="AN55" s="185"/>
      <c r="AO55" s="185"/>
      <c r="AP55" s="185"/>
      <c r="AQ55" s="185"/>
      <c r="AR55" s="185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</row>
    <row r="56" spans="1:59"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T56" s="185"/>
      <c r="U56" s="185"/>
      <c r="V56" s="185"/>
      <c r="W56" s="185"/>
      <c r="X56" s="185"/>
      <c r="Y56" s="185"/>
      <c r="Z56" s="185"/>
      <c r="AN56" s="185"/>
      <c r="AO56" s="185"/>
      <c r="AP56" s="185"/>
      <c r="AQ56" s="185"/>
      <c r="AR56" s="185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85"/>
      <c r="BG56" s="185"/>
    </row>
    <row r="57" spans="1:59"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W57" s="185"/>
      <c r="X57" s="185"/>
      <c r="Y57" s="185"/>
      <c r="Z57" s="185"/>
      <c r="AN57" s="185"/>
      <c r="AO57" s="185"/>
      <c r="AP57" s="185"/>
      <c r="AQ57" s="185"/>
      <c r="AR57" s="185"/>
      <c r="AS57" s="185"/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85"/>
      <c r="BG57" s="185"/>
    </row>
    <row r="58" spans="1:59"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5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85"/>
      <c r="BG58" s="185"/>
    </row>
    <row r="59" spans="1:59"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5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/>
      <c r="BD59" s="185"/>
      <c r="BE59" s="185"/>
      <c r="BF59" s="185"/>
      <c r="BG59" s="185"/>
    </row>
    <row r="60" spans="1:59"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5"/>
      <c r="AS60" s="185"/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85"/>
      <c r="BG60" s="185"/>
    </row>
    <row r="61" spans="1:59"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/>
      <c r="AD61" s="185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/>
      <c r="BD61" s="185"/>
      <c r="BE61" s="185"/>
      <c r="BF61" s="185"/>
      <c r="BG61" s="185"/>
    </row>
    <row r="62" spans="1:59"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5"/>
      <c r="BG62" s="185"/>
    </row>
    <row r="63" spans="1:59"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/>
      <c r="AD63" s="185"/>
      <c r="AE63" s="185"/>
      <c r="AF63" s="185"/>
      <c r="AG63" s="185"/>
      <c r="AH63" s="185"/>
      <c r="AI63" s="185"/>
      <c r="AJ63" s="185"/>
      <c r="AK63" s="185"/>
      <c r="AL63" s="185"/>
      <c r="AM63" s="185"/>
      <c r="AN63" s="185"/>
      <c r="AO63" s="185"/>
      <c r="AP63" s="185"/>
      <c r="AQ63" s="185"/>
      <c r="AR63" s="185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/>
      <c r="BD63" s="185"/>
      <c r="BE63" s="185"/>
      <c r="BF63" s="185"/>
      <c r="BG63" s="185"/>
    </row>
    <row r="64" spans="1:59"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/>
      <c r="AD64" s="185"/>
      <c r="AE64" s="185"/>
      <c r="AF64" s="185"/>
      <c r="AG64" s="185"/>
      <c r="AH64" s="185"/>
      <c r="AI64" s="185"/>
      <c r="AJ64" s="185"/>
      <c r="AK64" s="185"/>
      <c r="AL64" s="185"/>
      <c r="AM64" s="185"/>
      <c r="AN64" s="185"/>
      <c r="AO64" s="185"/>
      <c r="AP64" s="185"/>
      <c r="AQ64" s="185"/>
      <c r="AR64" s="185"/>
      <c r="AS64" s="185"/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85"/>
      <c r="BG64" s="185"/>
    </row>
    <row r="65" spans="4:59"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/>
      <c r="AD65" s="185"/>
      <c r="AE65" s="185"/>
      <c r="AF65" s="185"/>
      <c r="AG65" s="185"/>
      <c r="AH65" s="185"/>
      <c r="AI65" s="185"/>
      <c r="AJ65" s="185"/>
      <c r="AK65" s="185"/>
      <c r="AL65" s="185"/>
      <c r="AM65" s="185"/>
      <c r="AN65" s="185"/>
      <c r="AO65" s="185"/>
      <c r="AP65" s="185"/>
      <c r="AQ65" s="185"/>
      <c r="AR65" s="185"/>
      <c r="AS65" s="185"/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85"/>
      <c r="BG65" s="185"/>
    </row>
    <row r="66" spans="4:59"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</row>
    <row r="67" spans="4:59"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185"/>
      <c r="AJ67" s="185"/>
      <c r="AK67" s="185"/>
      <c r="AL67" s="185"/>
      <c r="AM67" s="185"/>
      <c r="AN67" s="185"/>
      <c r="AO67" s="185"/>
      <c r="AP67" s="185"/>
      <c r="AQ67" s="185"/>
      <c r="AR67" s="185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/>
      <c r="BD67" s="185"/>
      <c r="BE67" s="185"/>
      <c r="BF67" s="185"/>
      <c r="BG67" s="185"/>
    </row>
    <row r="68" spans="4:59"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/>
      <c r="AD68" s="185"/>
      <c r="AE68" s="185"/>
      <c r="AF68" s="185"/>
      <c r="AG68" s="185"/>
      <c r="AH68" s="185"/>
      <c r="AI68" s="185"/>
      <c r="AJ68" s="185"/>
      <c r="AK68" s="185"/>
      <c r="AL68" s="185"/>
      <c r="AM68" s="185"/>
      <c r="AN68" s="185"/>
      <c r="AO68" s="185"/>
      <c r="AP68" s="185"/>
      <c r="AQ68" s="185"/>
      <c r="AR68" s="185"/>
      <c r="AS68" s="185"/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85"/>
      <c r="BG68" s="185"/>
    </row>
    <row r="69" spans="4:59"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185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185"/>
      <c r="AX69" s="185"/>
      <c r="AY69" s="185"/>
      <c r="AZ69" s="185"/>
      <c r="BA69" s="185"/>
      <c r="BB69" s="185"/>
      <c r="BC69" s="185"/>
      <c r="BD69" s="185"/>
      <c r="BE69" s="185"/>
      <c r="BF69" s="185"/>
      <c r="BG69" s="185"/>
    </row>
    <row r="70" spans="4:59"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185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</row>
    <row r="71" spans="4:59"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185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</row>
    <row r="72" spans="4:59"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185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379"/>
      <c r="AX72" s="379"/>
      <c r="AY72" s="185"/>
      <c r="AZ72" s="185"/>
      <c r="BA72" s="185"/>
      <c r="BB72" s="185"/>
      <c r="BC72" s="185"/>
      <c r="BD72" s="185"/>
      <c r="BE72" s="185"/>
      <c r="BF72" s="185"/>
      <c r="BG72" s="185"/>
    </row>
    <row r="73" spans="4:59"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185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</row>
    <row r="74" spans="4:59"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5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</row>
    <row r="75" spans="4:59"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185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</row>
    <row r="76" spans="4:59"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</row>
    <row r="77" spans="4:59"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</row>
    <row r="78" spans="4:59"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</row>
    <row r="79" spans="4:59"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</row>
    <row r="80" spans="4:59"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</row>
    <row r="81" spans="4:59"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</row>
    <row r="82" spans="4:59"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</row>
    <row r="83" spans="4:59"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</row>
    <row r="84" spans="4:59"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</row>
    <row r="85" spans="4:59"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</row>
    <row r="86" spans="4:59"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185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</row>
    <row r="87" spans="4:59"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</row>
    <row r="88" spans="4:59"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</row>
    <row r="89" spans="4:59"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</row>
    <row r="90" spans="4:59"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185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</row>
    <row r="91" spans="4:59"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5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</row>
    <row r="92" spans="4:59"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</row>
    <row r="93" spans="4:59"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</row>
    <row r="94" spans="4:59"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</row>
    <row r="95" spans="4:59"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</row>
    <row r="96" spans="4:59"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</row>
    <row r="97" spans="4:59"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</row>
    <row r="98" spans="4:59"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185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</row>
    <row r="99" spans="4:59"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185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</row>
    <row r="100" spans="4:59"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185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</row>
    <row r="101" spans="4:59"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185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</row>
    <row r="102" spans="4:59"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185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</row>
    <row r="103" spans="4:59"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</row>
    <row r="104" spans="4:59"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185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</row>
    <row r="105" spans="4:59"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</row>
    <row r="106" spans="4:59"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185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</row>
    <row r="107" spans="4:59"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185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</row>
    <row r="108" spans="4:59"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185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</row>
    <row r="109" spans="4:59"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185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</row>
    <row r="110" spans="4:59"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185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</row>
    <row r="111" spans="4:59"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185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</row>
    <row r="112" spans="4:59"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185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</row>
    <row r="113" spans="4:61"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185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</row>
    <row r="114" spans="4:61"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185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</row>
    <row r="115" spans="4:61"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185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27"/>
      <c r="BI115" s="27"/>
    </row>
    <row r="116" spans="4:61"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185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I116" s="22"/>
    </row>
    <row r="117" spans="4:61"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185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</row>
    <row r="118" spans="4:61"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185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56"/>
    </row>
    <row r="119" spans="4:61"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</row>
    <row r="120" spans="4:61"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</row>
    <row r="121" spans="4:61"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</row>
    <row r="122" spans="4:61"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185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379"/>
      <c r="AW122" s="379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</row>
    <row r="123" spans="4:61"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</row>
    <row r="124" spans="4:61"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185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</row>
    <row r="125" spans="4:61">
      <c r="AR125" s="185"/>
    </row>
    <row r="126" spans="4:61">
      <c r="AR126" s="185"/>
      <c r="AT126" s="185"/>
    </row>
    <row r="127" spans="4:61">
      <c r="AR127" s="185"/>
    </row>
    <row r="128" spans="4:61"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A13" zoomScale="70" zoomScaleNormal="70" workbookViewId="0">
      <selection activeCell="I25" sqref="I25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</row>
    <row r="2" spans="9:38">
      <c r="AK2" s="193"/>
      <c r="AL2" s="193"/>
    </row>
    <row r="3" spans="9:38">
      <c r="AK3" s="193"/>
      <c r="AL3" s="193"/>
    </row>
    <row r="4" spans="9:38">
      <c r="AK4" s="193"/>
      <c r="AL4" s="193"/>
    </row>
    <row r="5" spans="9:38" ht="21" customHeight="1">
      <c r="I5" s="191"/>
      <c r="AK5" s="193"/>
      <c r="AL5" s="193"/>
    </row>
    <row r="6" spans="9:38">
      <c r="I6" s="193"/>
      <c r="AK6" s="193"/>
      <c r="AL6" s="193"/>
    </row>
    <row r="7" spans="9:38" ht="15.75" customHeight="1">
      <c r="I7" s="193"/>
      <c r="AK7" s="193"/>
      <c r="AL7" s="193"/>
    </row>
    <row r="8" spans="9:38">
      <c r="I8" s="193"/>
      <c r="AK8" s="193"/>
      <c r="AL8" s="193"/>
    </row>
    <row r="9" spans="9:38">
      <c r="I9" s="193"/>
      <c r="AK9" s="193"/>
      <c r="AL9" s="193"/>
    </row>
    <row r="10" spans="9:38">
      <c r="I10" s="193"/>
      <c r="AK10" s="193"/>
      <c r="AL10" s="193"/>
    </row>
    <row r="11" spans="9:38">
      <c r="AK11" s="193"/>
      <c r="AL11" s="193"/>
    </row>
    <row r="12" spans="9:38">
      <c r="AK12" s="193"/>
      <c r="AL12" s="193"/>
    </row>
    <row r="13" spans="9:38">
      <c r="AK13" s="193"/>
      <c r="AL13" s="193"/>
    </row>
    <row r="14" spans="9:38">
      <c r="Q14" s="22"/>
      <c r="T14" s="193"/>
      <c r="U14" s="193"/>
      <c r="V14" s="193"/>
      <c r="W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</row>
    <row r="15" spans="9:38">
      <c r="T15" s="193"/>
      <c r="U15" s="193"/>
      <c r="V15" s="193"/>
      <c r="W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</row>
    <row r="16" spans="9:38" ht="21">
      <c r="AB16" s="102"/>
      <c r="AC16" s="193"/>
      <c r="AD16" s="193"/>
      <c r="AE16" s="193"/>
      <c r="AF16" s="193"/>
      <c r="AG16" s="193"/>
      <c r="AH16" s="193"/>
      <c r="AI16" s="193"/>
      <c r="AJ16" s="193"/>
      <c r="AK16" s="193"/>
    </row>
    <row r="17" spans="1:38">
      <c r="H17" s="191"/>
      <c r="Q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121</v>
      </c>
      <c r="N18" s="98"/>
      <c r="O18" s="98"/>
      <c r="Q18" s="193"/>
      <c r="W18" s="193"/>
      <c r="X18" s="193"/>
      <c r="Y18" s="101" t="s">
        <v>123</v>
      </c>
      <c r="Z18" s="101"/>
      <c r="AA18" s="101"/>
      <c r="AB18" s="193"/>
      <c r="AC18" s="193"/>
      <c r="AD18" s="193"/>
      <c r="AE18" s="193"/>
      <c r="AJ18" s="193"/>
      <c r="AK18" s="193"/>
      <c r="AL18" s="193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95.502218658559087</v>
      </c>
      <c r="H19" s="24" t="s">
        <v>100</v>
      </c>
      <c r="L19" s="47" t="s">
        <v>46</v>
      </c>
      <c r="M19" s="96"/>
      <c r="N19" s="96"/>
      <c r="O19" s="34"/>
      <c r="P19" s="34"/>
      <c r="Q19" s="193"/>
      <c r="AE19" s="193"/>
      <c r="AJ19" s="193"/>
      <c r="AK19" s="193"/>
      <c r="AL19" s="193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193"/>
      <c r="W20" s="193"/>
      <c r="X20" s="403" t="s">
        <v>22</v>
      </c>
      <c r="Y20" s="404"/>
      <c r="Z20" s="404"/>
      <c r="AA20" s="405"/>
      <c r="AB20" s="193"/>
      <c r="AC20" s="193"/>
      <c r="AD20" s="193"/>
      <c r="AK20" s="193"/>
      <c r="AL20" s="193"/>
    </row>
    <row r="21" spans="1:38" ht="18">
      <c r="A21" s="89" t="s">
        <v>16</v>
      </c>
      <c r="B21" s="198">
        <v>10.015000000000001</v>
      </c>
      <c r="C21" s="86">
        <f>B21/D21</f>
        <v>4.5522727272727268</v>
      </c>
      <c r="D21" s="86">
        <v>2.2000000000000002</v>
      </c>
      <c r="K21" s="193"/>
      <c r="O21" s="23"/>
      <c r="X21" s="16"/>
      <c r="Y21" s="17"/>
      <c r="Z21" s="18"/>
      <c r="AK21" s="193"/>
      <c r="AL21" s="193"/>
    </row>
    <row r="22" spans="1:38" ht="18">
      <c r="A22" s="84" t="s">
        <v>17</v>
      </c>
      <c r="B22" s="86">
        <f>SUM(B19:B21)</f>
        <v>110.11548999999999</v>
      </c>
      <c r="C22" s="86">
        <f>SUM(C19:C21)</f>
        <v>104.86667368227091</v>
      </c>
      <c r="D22" s="86">
        <f>B22/C22</f>
        <v>1.0500522819445208</v>
      </c>
      <c r="K22" s="193"/>
      <c r="L22" s="36" t="s">
        <v>3</v>
      </c>
      <c r="M22" s="34">
        <v>0.74</v>
      </c>
      <c r="N22" s="15" t="s">
        <v>18</v>
      </c>
      <c r="O22" s="36" t="s">
        <v>49</v>
      </c>
      <c r="P22" s="73">
        <f>E28-Q41-N43</f>
        <v>82.665489999999991</v>
      </c>
      <c r="Q22" s="193" t="s">
        <v>18</v>
      </c>
      <c r="X22" s="105" t="s">
        <v>3</v>
      </c>
      <c r="Y22" s="106"/>
      <c r="Z22" s="73">
        <v>0.91</v>
      </c>
      <c r="AA22" s="15" t="s">
        <v>18</v>
      </c>
      <c r="AB22" s="36" t="s">
        <v>49</v>
      </c>
      <c r="AC22" s="34">
        <v>66.459999999999994</v>
      </c>
      <c r="AD22" s="193" t="s">
        <v>18</v>
      </c>
      <c r="AK22" s="193"/>
      <c r="AL22" s="193"/>
    </row>
    <row r="23" spans="1:38" ht="18">
      <c r="B23" s="87"/>
      <c r="C23" s="87"/>
      <c r="D23" s="87"/>
      <c r="E23" s="87"/>
      <c r="K23" s="193"/>
      <c r="L23" s="36" t="s">
        <v>4</v>
      </c>
      <c r="M23" s="34">
        <v>0.68</v>
      </c>
      <c r="N23" s="15" t="s">
        <v>18</v>
      </c>
      <c r="O23" s="36" t="s">
        <v>27</v>
      </c>
      <c r="P23" s="34">
        <f>0.348/100</f>
        <v>3.4799999999999996E-3</v>
      </c>
      <c r="Q23" s="193" t="s">
        <v>33</v>
      </c>
      <c r="X23" s="105" t="s">
        <v>4</v>
      </c>
      <c r="Y23" s="106"/>
      <c r="Z23" s="34">
        <v>0.95</v>
      </c>
      <c r="AA23" s="15" t="s">
        <v>18</v>
      </c>
      <c r="AB23" s="36" t="s">
        <v>27</v>
      </c>
      <c r="AC23" s="34">
        <f>0.075/100</f>
        <v>7.5000000000000002E-4</v>
      </c>
      <c r="AD23" s="193" t="s">
        <v>33</v>
      </c>
      <c r="AK23" s="193"/>
      <c r="AL23" s="193"/>
    </row>
    <row r="24" spans="1:38">
      <c r="K24" s="193"/>
      <c r="L24" s="103" t="s">
        <v>17</v>
      </c>
      <c r="M24" s="34">
        <f>SUM(M22:M23)</f>
        <v>1.42</v>
      </c>
      <c r="N24" s="15" t="s">
        <v>18</v>
      </c>
      <c r="O24" s="67" t="s">
        <v>30</v>
      </c>
      <c r="P24" s="37">
        <f>P23*P22</f>
        <v>0.28767590519999992</v>
      </c>
      <c r="Q24" s="193" t="s">
        <v>18</v>
      </c>
      <c r="X24" s="105" t="s">
        <v>17</v>
      </c>
      <c r="Y24" s="106"/>
      <c r="Z24" s="73">
        <f>SUM(Z22:Z23)</f>
        <v>1.8599999999999999</v>
      </c>
      <c r="AA24" s="15" t="s">
        <v>18</v>
      </c>
      <c r="AB24" s="67" t="s">
        <v>30</v>
      </c>
      <c r="AC24" s="37">
        <f>AC23*AC22</f>
        <v>4.9844999999999993E-2</v>
      </c>
      <c r="AD24" s="193" t="s">
        <v>18</v>
      </c>
      <c r="AK24" s="193"/>
      <c r="AL24" s="193"/>
    </row>
    <row r="25" spans="1:38">
      <c r="A25" s="15" t="s">
        <v>193</v>
      </c>
      <c r="L25" s="67" t="s">
        <v>30</v>
      </c>
      <c r="M25" s="37">
        <f>P23*M24</f>
        <v>4.9415999999999991E-3</v>
      </c>
      <c r="N25" s="15" t="s">
        <v>18</v>
      </c>
      <c r="Q25" s="193"/>
      <c r="W25" s="193"/>
      <c r="X25" s="194" t="s">
        <v>30</v>
      </c>
      <c r="Y25" s="195"/>
      <c r="Z25" s="104">
        <f>AC23*Z24</f>
        <v>1.395E-3</v>
      </c>
      <c r="AA25" s="15" t="s">
        <v>18</v>
      </c>
      <c r="AK25" s="193"/>
      <c r="AL25" s="193"/>
    </row>
    <row r="26" spans="1:38">
      <c r="A26" s="23"/>
      <c r="W26" s="193"/>
      <c r="X26" s="193"/>
      <c r="Y26" s="193"/>
      <c r="Z26" s="193"/>
      <c r="AA26" s="23"/>
      <c r="AL26" s="193"/>
    </row>
    <row r="27" spans="1:38">
      <c r="A27" s="23"/>
      <c r="I27" s="193"/>
      <c r="J27" s="193"/>
      <c r="K27" s="193"/>
      <c r="L27" s="193"/>
      <c r="AD27" s="31">
        <f>AC22+Z24</f>
        <v>68.319999999999993</v>
      </c>
      <c r="AE27" s="15">
        <f>AC24+Z25</f>
        <v>5.1239999999999994E-2</v>
      </c>
      <c r="AL27" s="193"/>
    </row>
    <row r="28" spans="1:38" ht="21">
      <c r="D28" s="143" t="s">
        <v>45</v>
      </c>
      <c r="E28" s="142">
        <f>B22-(C41+B44)</f>
        <v>108.81549</v>
      </c>
      <c r="F28" s="15" t="s">
        <v>18</v>
      </c>
      <c r="I28" s="193"/>
      <c r="J28" s="193"/>
      <c r="K28" s="193"/>
      <c r="L28" s="193"/>
    </row>
    <row r="29" spans="1:38">
      <c r="I29" s="193"/>
      <c r="J29" s="193"/>
      <c r="K29" s="193"/>
      <c r="L29" s="193"/>
      <c r="V29" s="197"/>
      <c r="W29" s="197"/>
      <c r="X29" s="197"/>
      <c r="AJ29" s="22"/>
    </row>
    <row r="30" spans="1:38" ht="21">
      <c r="I30" s="102"/>
      <c r="V30" s="197"/>
      <c r="W30" s="200">
        <f>AC22+Z24+AC43+V43</f>
        <v>71.92</v>
      </c>
      <c r="X30" s="197"/>
    </row>
    <row r="31" spans="1:38">
      <c r="V31" s="197"/>
      <c r="W31" s="197"/>
      <c r="X31" s="197"/>
    </row>
    <row r="33" spans="1:55">
      <c r="S33" s="15" t="s">
        <v>101</v>
      </c>
      <c r="T33" s="31">
        <f>P22-W30</f>
        <v>10.74548999999999</v>
      </c>
      <c r="U33" s="15" t="s">
        <v>18</v>
      </c>
    </row>
    <row r="34" spans="1:55">
      <c r="D34" s="193"/>
      <c r="E34" s="193"/>
      <c r="F34" s="193"/>
      <c r="G34" s="193"/>
      <c r="H34" s="193"/>
      <c r="S34" s="15" t="s">
        <v>125</v>
      </c>
      <c r="T34" s="76">
        <f>T33/E28</f>
        <v>9.8749635736603211E-2</v>
      </c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</row>
    <row r="35" spans="1:55">
      <c r="D35" s="193"/>
      <c r="E35" s="193"/>
      <c r="F35" s="193"/>
      <c r="G35" s="193"/>
      <c r="H35" s="193"/>
      <c r="S35" s="15" t="s">
        <v>126</v>
      </c>
      <c r="T35" s="81">
        <f>T34*B49</f>
        <v>0.97730194316893926</v>
      </c>
      <c r="U35" s="197" t="s">
        <v>18</v>
      </c>
      <c r="Z35" s="193"/>
    </row>
    <row r="36" spans="1:55">
      <c r="D36" s="193"/>
      <c r="E36" s="193"/>
      <c r="F36" s="193"/>
      <c r="G36" s="193"/>
      <c r="H36" s="200"/>
      <c r="P36" s="192"/>
      <c r="Q36" s="192"/>
      <c r="R36" s="16"/>
      <c r="U36" s="193"/>
      <c r="Z36" s="193"/>
    </row>
    <row r="37" spans="1:55">
      <c r="E37" s="30"/>
      <c r="Z37" s="193"/>
    </row>
    <row r="38" spans="1:55" ht="21">
      <c r="M38" s="98" t="s">
        <v>122</v>
      </c>
      <c r="N38" s="48"/>
      <c r="Z38" s="193"/>
      <c r="AP38" s="193"/>
      <c r="AQ38" s="193"/>
      <c r="AR38" s="193"/>
      <c r="AS38" s="193"/>
      <c r="AT38" s="193"/>
      <c r="AU38" s="193"/>
      <c r="AV38" s="193"/>
      <c r="AW38" s="193"/>
      <c r="AX38" s="193"/>
      <c r="AY38" s="193"/>
      <c r="AZ38" s="193"/>
      <c r="BA38" s="193"/>
      <c r="BB38" s="193"/>
    </row>
    <row r="39" spans="1:55" ht="21">
      <c r="A39" s="392" t="s">
        <v>6</v>
      </c>
      <c r="B39" s="392"/>
      <c r="C39" s="33">
        <v>0.4</v>
      </c>
      <c r="D39" s="15" t="s">
        <v>18</v>
      </c>
      <c r="E39" s="193"/>
      <c r="F39" s="193"/>
      <c r="G39" s="193"/>
      <c r="M39" s="189" t="s">
        <v>20</v>
      </c>
      <c r="N39" s="190"/>
      <c r="Y39" s="101" t="s">
        <v>124</v>
      </c>
      <c r="Z39" s="101"/>
      <c r="AA39" s="101"/>
      <c r="AP39" s="193"/>
      <c r="AQ39" s="193"/>
      <c r="AR39" s="193"/>
      <c r="AS39" s="193"/>
      <c r="AT39" s="193"/>
      <c r="AU39" s="193"/>
      <c r="AV39" s="193"/>
      <c r="AW39" s="193"/>
      <c r="AX39" s="193"/>
      <c r="AY39" s="193"/>
      <c r="AZ39" s="193"/>
      <c r="BA39" s="193"/>
      <c r="BB39" s="193"/>
    </row>
    <row r="40" spans="1:55">
      <c r="A40" s="392" t="s">
        <v>5</v>
      </c>
      <c r="B40" s="392"/>
      <c r="C40" s="33">
        <v>0.5</v>
      </c>
      <c r="D40" s="15" t="s">
        <v>18</v>
      </c>
      <c r="E40" s="193"/>
      <c r="F40" s="193"/>
      <c r="G40" s="193"/>
      <c r="S40" s="193"/>
      <c r="V40" s="193"/>
      <c r="X40" s="403" t="s">
        <v>23</v>
      </c>
      <c r="Y40" s="404"/>
      <c r="Z40" s="404"/>
      <c r="AA40" s="405"/>
      <c r="AB40" s="193"/>
      <c r="AK40" s="193"/>
      <c r="AP40" s="193"/>
      <c r="AQ40" s="193"/>
      <c r="AR40" s="193"/>
      <c r="AS40" s="193"/>
      <c r="AT40" s="193"/>
      <c r="AU40" s="193"/>
      <c r="AV40" s="193"/>
      <c r="AW40" s="193"/>
      <c r="AX40" s="193"/>
      <c r="AY40" s="193"/>
      <c r="AZ40" s="193"/>
      <c r="BA40" s="193"/>
      <c r="BB40" s="193"/>
    </row>
    <row r="41" spans="1:55">
      <c r="A41" s="400" t="s">
        <v>17</v>
      </c>
      <c r="B41" s="401"/>
      <c r="C41" s="91">
        <f>SUM(C39:C40)</f>
        <v>0.9</v>
      </c>
      <c r="D41" s="23" t="s">
        <v>18</v>
      </c>
      <c r="E41" s="193"/>
      <c r="F41" s="193"/>
      <c r="G41" s="193"/>
      <c r="J41" s="67" t="s">
        <v>1</v>
      </c>
      <c r="K41" s="34"/>
      <c r="L41" s="15" t="s">
        <v>18</v>
      </c>
      <c r="M41" s="36" t="s">
        <v>3</v>
      </c>
      <c r="N41" s="73">
        <v>0.21</v>
      </c>
      <c r="O41" s="15" t="s">
        <v>18</v>
      </c>
      <c r="P41" s="36" t="s">
        <v>49</v>
      </c>
      <c r="Q41" s="34">
        <v>25.75</v>
      </c>
      <c r="R41" s="193" t="s">
        <v>18</v>
      </c>
      <c r="S41" s="193"/>
      <c r="Z41" s="193"/>
      <c r="AK41" s="193"/>
      <c r="AP41" s="193"/>
      <c r="AQ41" s="193"/>
      <c r="AR41" s="193"/>
      <c r="AS41" s="193"/>
      <c r="AT41" s="193"/>
      <c r="AU41" s="193"/>
      <c r="AV41" s="193"/>
      <c r="AW41" s="193"/>
      <c r="AX41" s="193"/>
      <c r="AY41" s="193"/>
      <c r="AZ41" s="193"/>
      <c r="BA41" s="193"/>
      <c r="BB41" s="193"/>
    </row>
    <row r="42" spans="1:55">
      <c r="C42" s="193"/>
      <c r="D42" s="193"/>
      <c r="E42" s="193"/>
      <c r="F42" s="193"/>
      <c r="G42" s="193"/>
      <c r="I42" s="26"/>
      <c r="J42" s="67" t="s">
        <v>9</v>
      </c>
      <c r="K42" s="64"/>
      <c r="L42" s="15" t="s">
        <v>18</v>
      </c>
      <c r="M42" s="36" t="s">
        <v>4</v>
      </c>
      <c r="N42" s="34">
        <v>0.19</v>
      </c>
      <c r="O42" s="15" t="s">
        <v>18</v>
      </c>
      <c r="P42" s="36" t="s">
        <v>27</v>
      </c>
      <c r="Q42" s="34">
        <f>35.46/100</f>
        <v>0.35460000000000003</v>
      </c>
      <c r="R42" s="193" t="s">
        <v>33</v>
      </c>
      <c r="S42" s="193"/>
      <c r="AE42" s="193"/>
      <c r="AF42" s="193"/>
      <c r="AG42" s="193"/>
      <c r="AH42" s="193"/>
      <c r="AI42" s="193"/>
      <c r="AJ42" s="193"/>
      <c r="AK42" s="193"/>
      <c r="AL42" s="193"/>
      <c r="AP42" s="193"/>
      <c r="AQ42" s="193"/>
      <c r="AR42" s="193"/>
      <c r="AS42" s="193"/>
      <c r="AT42" s="193"/>
      <c r="AU42" s="193"/>
      <c r="AV42" s="193"/>
      <c r="AW42" s="193"/>
      <c r="AX42" s="193"/>
      <c r="AY42" s="193"/>
      <c r="AZ42" s="193"/>
      <c r="BA42" s="193"/>
      <c r="BB42" s="193"/>
    </row>
    <row r="43" spans="1:55">
      <c r="A43" s="36" t="s">
        <v>44</v>
      </c>
      <c r="B43" s="33">
        <v>0.4</v>
      </c>
      <c r="C43" s="193" t="s">
        <v>18</v>
      </c>
      <c r="D43" s="193"/>
      <c r="E43" s="193"/>
      <c r="F43" s="193"/>
      <c r="G43" s="193"/>
      <c r="H43" s="165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>
        <f>SUM(N41:N42)</f>
        <v>0.4</v>
      </c>
      <c r="O43" s="15" t="s">
        <v>18</v>
      </c>
      <c r="P43" s="67" t="s">
        <v>30</v>
      </c>
      <c r="Q43" s="37">
        <f>Q42*Q41</f>
        <v>9.1309500000000003</v>
      </c>
      <c r="R43" s="193" t="s">
        <v>18</v>
      </c>
      <c r="S43" s="193"/>
      <c r="U43" s="35" t="s">
        <v>53</v>
      </c>
      <c r="V43" s="33">
        <v>2.23</v>
      </c>
      <c r="W43" s="193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34">
        <v>1.37</v>
      </c>
      <c r="AD43" s="193" t="s">
        <v>18</v>
      </c>
      <c r="AF43" s="193"/>
      <c r="AG43" s="193"/>
      <c r="AH43" s="193"/>
      <c r="AI43" s="193"/>
      <c r="AJ43" s="193"/>
      <c r="AK43" s="193"/>
      <c r="AL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</row>
    <row r="44" spans="1:55">
      <c r="A44" s="92" t="s">
        <v>17</v>
      </c>
      <c r="B44" s="90">
        <f>SUM(B43)</f>
        <v>0.4</v>
      </c>
      <c r="C44" s="193" t="s">
        <v>18</v>
      </c>
      <c r="D44" s="193"/>
      <c r="E44" s="193"/>
      <c r="M44" s="67" t="s">
        <v>30</v>
      </c>
      <c r="N44" s="37">
        <f>Q42*N43</f>
        <v>0.14184000000000002</v>
      </c>
      <c r="O44" s="15" t="s">
        <v>18</v>
      </c>
      <c r="U44" s="193"/>
      <c r="V44" s="193"/>
      <c r="W44" s="193"/>
      <c r="X44" s="105" t="s">
        <v>4</v>
      </c>
      <c r="Y44" s="106"/>
      <c r="Z44" s="34"/>
      <c r="AA44" s="15" t="s">
        <v>18</v>
      </c>
      <c r="AB44" s="36" t="s">
        <v>27</v>
      </c>
      <c r="AC44" s="34">
        <f>35.073/100</f>
        <v>0.35072999999999999</v>
      </c>
      <c r="AD44" s="193" t="s">
        <v>33</v>
      </c>
      <c r="AL44" s="193"/>
      <c r="AP44" s="193"/>
      <c r="AQ44" s="193"/>
      <c r="AR44" s="193"/>
      <c r="AS44" s="193"/>
      <c r="AT44" s="193"/>
      <c r="AU44" s="193"/>
      <c r="AV44" s="193"/>
      <c r="AW44" s="193"/>
      <c r="AX44" s="193"/>
      <c r="AY44" s="193"/>
      <c r="AZ44" s="193"/>
      <c r="BA44" s="193"/>
      <c r="BB44" s="193"/>
    </row>
    <row r="45" spans="1:55">
      <c r="C45" s="193"/>
      <c r="D45" s="193"/>
      <c r="E45" s="193"/>
      <c r="U45" s="193"/>
      <c r="V45" s="193"/>
      <c r="W45" s="193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0.48050010000000004</v>
      </c>
      <c r="AD45" s="193" t="s">
        <v>18</v>
      </c>
      <c r="AL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</row>
    <row r="46" spans="1:55">
      <c r="A46" s="15" t="s">
        <v>66</v>
      </c>
      <c r="B46" s="15">
        <f>B43/D22</f>
        <v>0.38093341339087144</v>
      </c>
      <c r="C46" s="193" t="s">
        <v>62</v>
      </c>
      <c r="D46" s="193"/>
      <c r="E46" s="193"/>
      <c r="P46" s="31">
        <f>Q41+N43</f>
        <v>26.15</v>
      </c>
      <c r="Q46" s="15">
        <f>Q43+N44</f>
        <v>9.2727900000000005</v>
      </c>
      <c r="X46" s="194" t="s">
        <v>30</v>
      </c>
      <c r="Y46" s="195"/>
      <c r="Z46" s="104">
        <f>AC44*Z45</f>
        <v>0</v>
      </c>
      <c r="AA46" s="15" t="s">
        <v>18</v>
      </c>
      <c r="AF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</row>
    <row r="47" spans="1:55">
      <c r="A47" s="15" t="s">
        <v>65</v>
      </c>
      <c r="B47" s="15">
        <f>C41/D22</f>
        <v>0.85710018012946065</v>
      </c>
      <c r="C47" s="15" t="s">
        <v>62</v>
      </c>
      <c r="AP47" s="193"/>
      <c r="AQ47" s="193"/>
      <c r="AR47" s="193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</row>
    <row r="48" spans="1:55">
      <c r="A48" s="15" t="s">
        <v>67</v>
      </c>
      <c r="B48" s="15">
        <f>G19*(B46+B47)/1000</f>
        <v>0.11823495495502043</v>
      </c>
      <c r="C48" s="15" t="s">
        <v>18</v>
      </c>
      <c r="E48" s="160"/>
      <c r="AP48" s="193"/>
      <c r="AQ48" s="193"/>
      <c r="AR48" s="193"/>
      <c r="AS48" s="193"/>
      <c r="AT48" s="193"/>
      <c r="AU48" s="193"/>
      <c r="AV48" s="193"/>
      <c r="AW48" s="193"/>
      <c r="AX48" s="193"/>
      <c r="AY48" s="193"/>
      <c r="AZ48" s="193"/>
      <c r="BA48" s="193"/>
      <c r="BB48" s="193"/>
    </row>
    <row r="49" spans="1:59">
      <c r="A49" s="15" t="s">
        <v>64</v>
      </c>
      <c r="B49" s="74">
        <f>B21-B48</f>
        <v>9.8967650450449796</v>
      </c>
      <c r="C49" s="15" t="s">
        <v>18</v>
      </c>
      <c r="AC49" s="31">
        <f>AC43+Z45</f>
        <v>1.37</v>
      </c>
      <c r="AD49" s="15">
        <f>AC45+Z46</f>
        <v>0.48050010000000004</v>
      </c>
      <c r="AP49" s="193"/>
      <c r="AQ49" s="193"/>
      <c r="AR49" s="193"/>
      <c r="AS49" s="193"/>
      <c r="AT49" s="193"/>
      <c r="AU49" s="193"/>
      <c r="AV49" s="379"/>
      <c r="AW49" s="379"/>
      <c r="AX49" s="379"/>
      <c r="AY49" s="379"/>
      <c r="AZ49" s="379"/>
      <c r="BA49" s="193"/>
      <c r="BB49" s="193"/>
    </row>
    <row r="50" spans="1:59">
      <c r="R50" s="193"/>
      <c r="S50" s="15" t="s">
        <v>27</v>
      </c>
      <c r="U50" s="15" t="s">
        <v>40</v>
      </c>
      <c r="W50" s="15" t="s">
        <v>98</v>
      </c>
      <c r="X50" s="74">
        <v>9.9</v>
      </c>
      <c r="Y50" s="15" t="s">
        <v>18</v>
      </c>
      <c r="AP50" s="193"/>
      <c r="AQ50" s="193"/>
      <c r="AR50" s="193"/>
      <c r="AS50" s="193"/>
      <c r="AT50" s="193"/>
      <c r="AU50" s="193"/>
      <c r="AV50" s="193"/>
      <c r="AW50" s="193"/>
      <c r="AX50" s="193"/>
      <c r="AY50" s="193"/>
      <c r="AZ50" s="193"/>
      <c r="BA50" s="193"/>
      <c r="BB50" s="193"/>
    </row>
    <row r="51" spans="1:59">
      <c r="Q51" s="193"/>
      <c r="R51" s="193"/>
      <c r="S51" s="15" t="s">
        <v>34</v>
      </c>
      <c r="T51" s="15">
        <f>AC24+Z25</f>
        <v>5.1239999999999994E-2</v>
      </c>
      <c r="U51" s="76">
        <f>T51/X50</f>
        <v>5.1757575757575749E-3</v>
      </c>
      <c r="AP51" s="193"/>
      <c r="AQ51" s="193"/>
      <c r="AR51" s="193"/>
      <c r="AS51" s="193"/>
      <c r="AT51" s="193"/>
      <c r="AU51" s="193"/>
      <c r="AV51" s="193"/>
      <c r="AW51" s="193"/>
      <c r="AX51" s="193"/>
      <c r="AY51" s="193"/>
      <c r="AZ51" s="193"/>
      <c r="BA51" s="193"/>
      <c r="BB51" s="193"/>
    </row>
    <row r="52" spans="1:59">
      <c r="S52" s="15" t="s">
        <v>35</v>
      </c>
      <c r="T52" s="15">
        <f>AC45+Z46</f>
        <v>0.48050010000000004</v>
      </c>
      <c r="U52" s="76">
        <f>T52/X50</f>
        <v>4.853536363636364E-2</v>
      </c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/>
    </row>
    <row r="53" spans="1:59"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5" t="s">
        <v>36</v>
      </c>
      <c r="T53" s="193">
        <f>Q43+N44</f>
        <v>9.2727900000000005</v>
      </c>
      <c r="U53" s="196">
        <f>T53/X50</f>
        <v>0.93664545454545456</v>
      </c>
      <c r="V53" s="193"/>
      <c r="W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193"/>
      <c r="AY53" s="193"/>
      <c r="AZ53" s="193"/>
      <c r="BA53" s="193"/>
      <c r="BB53" s="193"/>
      <c r="BC53" s="193"/>
      <c r="BD53" s="193"/>
      <c r="BE53" s="193"/>
      <c r="BF53" s="193"/>
      <c r="BG53" s="193"/>
    </row>
    <row r="54" spans="1:59">
      <c r="D54" s="379"/>
      <c r="E54" s="379"/>
      <c r="F54" s="379"/>
      <c r="G54" s="379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5" t="s">
        <v>17</v>
      </c>
      <c r="T54" s="193">
        <f>SUM(T51:T53)</f>
        <v>9.8045301000000009</v>
      </c>
      <c r="U54" s="196">
        <f>SUM(U51:U53)</f>
        <v>0.99035657575757574</v>
      </c>
      <c r="V54" s="193"/>
      <c r="W54" s="193"/>
      <c r="X54" s="193"/>
      <c r="Y54" s="193"/>
      <c r="Z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</row>
    <row r="55" spans="1:59"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5" t="s">
        <v>37</v>
      </c>
      <c r="T55" s="145">
        <f>X50-T54</f>
        <v>9.5469899999999441E-2</v>
      </c>
      <c r="U55" s="196">
        <f>T55/X50</f>
        <v>9.643424242424186E-3</v>
      </c>
      <c r="V55" s="193"/>
      <c r="W55" s="193"/>
      <c r="X55" s="193"/>
      <c r="Y55" s="193"/>
      <c r="Z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193"/>
      <c r="AY55" s="193"/>
      <c r="AZ55" s="193"/>
      <c r="BA55" s="193"/>
      <c r="BB55" s="193"/>
      <c r="BC55" s="193"/>
      <c r="BD55" s="193"/>
      <c r="BE55" s="193"/>
      <c r="BF55" s="193"/>
      <c r="BG55" s="193"/>
    </row>
    <row r="56" spans="1:59"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T56" s="193"/>
      <c r="U56" s="193"/>
      <c r="V56" s="193"/>
      <c r="W56" s="193"/>
      <c r="X56" s="193"/>
      <c r="Y56" s="193"/>
      <c r="Z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193"/>
      <c r="AY56" s="193"/>
      <c r="AZ56" s="193"/>
      <c r="BA56" s="193"/>
      <c r="BB56" s="193"/>
      <c r="BC56" s="193"/>
      <c r="BD56" s="193"/>
      <c r="BE56" s="193"/>
      <c r="BF56" s="193"/>
      <c r="BG56" s="193"/>
    </row>
    <row r="57" spans="1:59"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W57" s="193"/>
      <c r="X57" s="193"/>
      <c r="Y57" s="193"/>
      <c r="Z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193"/>
      <c r="AY57" s="193"/>
      <c r="AZ57" s="193"/>
      <c r="BA57" s="193"/>
      <c r="BB57" s="193"/>
      <c r="BC57" s="193"/>
      <c r="BD57" s="193"/>
      <c r="BE57" s="193"/>
      <c r="BF57" s="193"/>
      <c r="BG57" s="193"/>
    </row>
    <row r="58" spans="1:59"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193"/>
      <c r="AY58" s="193"/>
      <c r="AZ58" s="193"/>
      <c r="BA58" s="193"/>
      <c r="BB58" s="193"/>
      <c r="BC58" s="193"/>
      <c r="BD58" s="193"/>
      <c r="BE58" s="193"/>
      <c r="BF58" s="193"/>
      <c r="BG58" s="193"/>
    </row>
    <row r="59" spans="1:59"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193"/>
      <c r="AY59" s="193"/>
      <c r="AZ59" s="193"/>
      <c r="BA59" s="193"/>
      <c r="BB59" s="193"/>
      <c r="BC59" s="193"/>
      <c r="BD59" s="193"/>
      <c r="BE59" s="193"/>
      <c r="BF59" s="193"/>
      <c r="BG59" s="193"/>
    </row>
    <row r="60" spans="1:59"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193"/>
      <c r="AY60" s="193"/>
      <c r="AZ60" s="193"/>
      <c r="BA60" s="193"/>
      <c r="BB60" s="193"/>
      <c r="BC60" s="193"/>
      <c r="BD60" s="193"/>
      <c r="BE60" s="193"/>
      <c r="BF60" s="193"/>
      <c r="BG60" s="193"/>
    </row>
    <row r="61" spans="1:59"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193"/>
      <c r="AY61" s="193"/>
      <c r="AZ61" s="193"/>
      <c r="BA61" s="193"/>
      <c r="BB61" s="193"/>
      <c r="BC61" s="193"/>
      <c r="BD61" s="193"/>
      <c r="BE61" s="193"/>
      <c r="BF61" s="193"/>
      <c r="BG61" s="193"/>
    </row>
    <row r="62" spans="1:59"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193"/>
      <c r="AY62" s="193"/>
      <c r="AZ62" s="193"/>
      <c r="BA62" s="193"/>
      <c r="BB62" s="193"/>
      <c r="BC62" s="193"/>
      <c r="BD62" s="193"/>
      <c r="BE62" s="193"/>
      <c r="BF62" s="193"/>
      <c r="BG62" s="193"/>
    </row>
    <row r="63" spans="1:59"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193"/>
      <c r="AY63" s="193"/>
      <c r="AZ63" s="193"/>
      <c r="BA63" s="193"/>
      <c r="BB63" s="193"/>
      <c r="BC63" s="193"/>
      <c r="BD63" s="193"/>
      <c r="BE63" s="193"/>
      <c r="BF63" s="193"/>
      <c r="BG63" s="193"/>
    </row>
    <row r="64" spans="1:59"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193"/>
      <c r="AY64" s="193"/>
      <c r="AZ64" s="193"/>
      <c r="BA64" s="193"/>
      <c r="BB64" s="193"/>
      <c r="BC64" s="193"/>
      <c r="BD64" s="193"/>
      <c r="BE64" s="193"/>
      <c r="BF64" s="193"/>
      <c r="BG64" s="193"/>
    </row>
    <row r="65" spans="4:59"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193"/>
      <c r="AY65" s="193"/>
      <c r="AZ65" s="193"/>
      <c r="BA65" s="193"/>
      <c r="BB65" s="193"/>
      <c r="BC65" s="193"/>
      <c r="BD65" s="193"/>
      <c r="BE65" s="193"/>
      <c r="BF65" s="193"/>
      <c r="BG65" s="193"/>
    </row>
    <row r="66" spans="4:59"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193"/>
      <c r="AY66" s="193"/>
      <c r="AZ66" s="193"/>
      <c r="BA66" s="193"/>
      <c r="BB66" s="193"/>
      <c r="BC66" s="193"/>
      <c r="BD66" s="193"/>
      <c r="BE66" s="193"/>
      <c r="BF66" s="193"/>
      <c r="BG66" s="193"/>
    </row>
    <row r="67" spans="4:59"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193"/>
      <c r="AY67" s="193"/>
      <c r="AZ67" s="193"/>
      <c r="BA67" s="193"/>
      <c r="BB67" s="193"/>
      <c r="BC67" s="193"/>
      <c r="BD67" s="193"/>
      <c r="BE67" s="193"/>
      <c r="BF67" s="193"/>
      <c r="BG67" s="193"/>
    </row>
    <row r="68" spans="4:59"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193"/>
      <c r="AY68" s="193"/>
      <c r="AZ68" s="193"/>
      <c r="BA68" s="193"/>
      <c r="BB68" s="193"/>
      <c r="BC68" s="193"/>
      <c r="BD68" s="193"/>
      <c r="BE68" s="193"/>
      <c r="BF68" s="193"/>
      <c r="BG68" s="193"/>
    </row>
    <row r="69" spans="4:59"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193"/>
      <c r="AY69" s="193"/>
      <c r="AZ69" s="193"/>
      <c r="BA69" s="193"/>
      <c r="BB69" s="193"/>
      <c r="BC69" s="193"/>
      <c r="BD69" s="193"/>
      <c r="BE69" s="193"/>
      <c r="BF69" s="193"/>
      <c r="BG69" s="193"/>
    </row>
    <row r="70" spans="4:59"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193"/>
      <c r="AY70" s="193"/>
      <c r="AZ70" s="193"/>
      <c r="BA70" s="193"/>
      <c r="BB70" s="193"/>
      <c r="BC70" s="193"/>
      <c r="BD70" s="193"/>
      <c r="BE70" s="193"/>
      <c r="BF70" s="193"/>
      <c r="BG70" s="193"/>
    </row>
    <row r="71" spans="4:59"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193"/>
      <c r="AY71" s="193"/>
      <c r="AZ71" s="193"/>
      <c r="BA71" s="193"/>
      <c r="BB71" s="193"/>
      <c r="BC71" s="193"/>
      <c r="BD71" s="193"/>
      <c r="BE71" s="193"/>
      <c r="BF71" s="193"/>
      <c r="BG71" s="193"/>
    </row>
    <row r="72" spans="4:59"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379"/>
      <c r="AX72" s="379"/>
      <c r="AY72" s="193"/>
      <c r="AZ72" s="193"/>
      <c r="BA72" s="193"/>
      <c r="BB72" s="193"/>
      <c r="BC72" s="193"/>
      <c r="BD72" s="193"/>
      <c r="BE72" s="193"/>
      <c r="BF72" s="193"/>
      <c r="BG72" s="193"/>
    </row>
    <row r="73" spans="4:59"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193"/>
      <c r="AY73" s="193"/>
      <c r="AZ73" s="193"/>
      <c r="BA73" s="193"/>
      <c r="BB73" s="193"/>
      <c r="BC73" s="193"/>
      <c r="BD73" s="193"/>
      <c r="BE73" s="193"/>
      <c r="BF73" s="193"/>
      <c r="BG73" s="193"/>
    </row>
    <row r="74" spans="4:59"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193"/>
      <c r="AY74" s="193"/>
      <c r="AZ74" s="193"/>
      <c r="BA74" s="193"/>
      <c r="BB74" s="193"/>
      <c r="BC74" s="193"/>
      <c r="BD74" s="193"/>
      <c r="BE74" s="193"/>
      <c r="BF74" s="193"/>
      <c r="BG74" s="193"/>
    </row>
    <row r="75" spans="4:59"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193"/>
      <c r="AY75" s="193"/>
      <c r="AZ75" s="193"/>
      <c r="BA75" s="193"/>
      <c r="BB75" s="193"/>
      <c r="BC75" s="193"/>
      <c r="BD75" s="193"/>
      <c r="BE75" s="193"/>
      <c r="BF75" s="193"/>
      <c r="BG75" s="193"/>
    </row>
    <row r="76" spans="4:59"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193"/>
      <c r="AY76" s="193"/>
      <c r="AZ76" s="193"/>
      <c r="BA76" s="193"/>
      <c r="BB76" s="193"/>
      <c r="BC76" s="193"/>
      <c r="BD76" s="193"/>
      <c r="BE76" s="193"/>
      <c r="BF76" s="193"/>
      <c r="BG76" s="193"/>
    </row>
    <row r="77" spans="4:59"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193"/>
      <c r="AY77" s="193"/>
      <c r="AZ77" s="193"/>
      <c r="BA77" s="193"/>
      <c r="BB77" s="193"/>
      <c r="BC77" s="193"/>
      <c r="BD77" s="193"/>
      <c r="BE77" s="193"/>
      <c r="BF77" s="193"/>
      <c r="BG77" s="193"/>
    </row>
    <row r="78" spans="4:59"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</row>
    <row r="79" spans="4:59"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193"/>
      <c r="AY79" s="193"/>
      <c r="AZ79" s="193"/>
      <c r="BA79" s="193"/>
      <c r="BB79" s="193"/>
      <c r="BC79" s="193"/>
      <c r="BD79" s="193"/>
      <c r="BE79" s="193"/>
      <c r="BF79" s="193"/>
      <c r="BG79" s="193"/>
    </row>
    <row r="80" spans="4:59"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193"/>
      <c r="AY80" s="193"/>
      <c r="AZ80" s="193"/>
      <c r="BA80" s="193"/>
      <c r="BB80" s="193"/>
      <c r="BC80" s="193"/>
      <c r="BD80" s="193"/>
      <c r="BE80" s="193"/>
      <c r="BF80" s="193"/>
      <c r="BG80" s="193"/>
    </row>
    <row r="81" spans="4:59"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193"/>
      <c r="AY81" s="193"/>
      <c r="AZ81" s="193"/>
      <c r="BA81" s="193"/>
      <c r="BB81" s="193"/>
      <c r="BC81" s="193"/>
      <c r="BD81" s="193"/>
      <c r="BE81" s="193"/>
      <c r="BF81" s="193"/>
      <c r="BG81" s="193"/>
    </row>
    <row r="82" spans="4:59"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3"/>
    </row>
    <row r="83" spans="4:59"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  <c r="BD83" s="193"/>
      <c r="BE83" s="193"/>
      <c r="BF83" s="193"/>
      <c r="BG83" s="193"/>
    </row>
    <row r="84" spans="4:59"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193"/>
      <c r="AY84" s="193"/>
      <c r="AZ84" s="193"/>
      <c r="BA84" s="193"/>
      <c r="BB84" s="193"/>
      <c r="BC84" s="193"/>
      <c r="BD84" s="193"/>
      <c r="BE84" s="193"/>
      <c r="BF84" s="193"/>
      <c r="BG84" s="193"/>
    </row>
    <row r="85" spans="4:59"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193"/>
      <c r="AY85" s="193"/>
      <c r="AZ85" s="193"/>
      <c r="BA85" s="193"/>
      <c r="BB85" s="193"/>
      <c r="BC85" s="193"/>
      <c r="BD85" s="193"/>
      <c r="BE85" s="193"/>
      <c r="BF85" s="193"/>
      <c r="BG85" s="193"/>
    </row>
    <row r="86" spans="4:59"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193"/>
      <c r="AY86" s="193"/>
      <c r="AZ86" s="193"/>
      <c r="BA86" s="193"/>
      <c r="BB86" s="193"/>
      <c r="BC86" s="193"/>
      <c r="BD86" s="193"/>
      <c r="BE86" s="193"/>
      <c r="BF86" s="193"/>
      <c r="BG86" s="193"/>
    </row>
    <row r="87" spans="4:59"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193"/>
      <c r="AY87" s="193"/>
      <c r="AZ87" s="193"/>
      <c r="BA87" s="193"/>
      <c r="BB87" s="193"/>
      <c r="BC87" s="193"/>
      <c r="BD87" s="193"/>
      <c r="BE87" s="193"/>
      <c r="BF87" s="193"/>
      <c r="BG87" s="193"/>
    </row>
    <row r="88" spans="4:59"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193"/>
      <c r="AY88" s="193"/>
      <c r="AZ88" s="193"/>
      <c r="BA88" s="193"/>
      <c r="BB88" s="193"/>
      <c r="BC88" s="193"/>
      <c r="BD88" s="193"/>
      <c r="BE88" s="193"/>
      <c r="BF88" s="193"/>
      <c r="BG88" s="193"/>
    </row>
    <row r="89" spans="4:59"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193"/>
      <c r="AY89" s="193"/>
      <c r="AZ89" s="193"/>
      <c r="BA89" s="193"/>
      <c r="BB89" s="193"/>
      <c r="BC89" s="193"/>
      <c r="BD89" s="193"/>
      <c r="BE89" s="193"/>
      <c r="BF89" s="193"/>
      <c r="BG89" s="193"/>
    </row>
    <row r="90" spans="4:59"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193"/>
      <c r="AY90" s="193"/>
      <c r="AZ90" s="193"/>
      <c r="BA90" s="193"/>
      <c r="BB90" s="193"/>
      <c r="BC90" s="193"/>
      <c r="BD90" s="193"/>
      <c r="BE90" s="193"/>
      <c r="BF90" s="193"/>
      <c r="BG90" s="193"/>
    </row>
    <row r="91" spans="4:59"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193"/>
      <c r="AY91" s="193"/>
      <c r="AZ91" s="193"/>
      <c r="BA91" s="193"/>
      <c r="BB91" s="193"/>
      <c r="BC91" s="193"/>
      <c r="BD91" s="193"/>
      <c r="BE91" s="193"/>
      <c r="BF91" s="193"/>
      <c r="BG91" s="193"/>
    </row>
    <row r="92" spans="4:59"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3"/>
      <c r="AP92" s="193"/>
      <c r="AQ92" s="193"/>
      <c r="AR92" s="193"/>
      <c r="AS92" s="193"/>
      <c r="AT92" s="193"/>
      <c r="AU92" s="193"/>
      <c r="AV92" s="193"/>
      <c r="AW92" s="193"/>
      <c r="AX92" s="193"/>
      <c r="AY92" s="193"/>
      <c r="AZ92" s="193"/>
      <c r="BA92" s="193"/>
      <c r="BB92" s="193"/>
      <c r="BC92" s="193"/>
      <c r="BD92" s="193"/>
      <c r="BE92" s="193"/>
      <c r="BF92" s="193"/>
      <c r="BG92" s="193"/>
    </row>
    <row r="93" spans="4:59"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3"/>
      <c r="AP93" s="193"/>
      <c r="AQ93" s="193"/>
      <c r="AR93" s="193"/>
      <c r="AS93" s="193"/>
      <c r="AT93" s="193"/>
      <c r="AU93" s="193"/>
      <c r="AV93" s="193"/>
      <c r="AW93" s="193"/>
      <c r="AX93" s="193"/>
      <c r="AY93" s="193"/>
      <c r="AZ93" s="193"/>
      <c r="BA93" s="193"/>
      <c r="BB93" s="193"/>
      <c r="BC93" s="193"/>
      <c r="BD93" s="193"/>
      <c r="BE93" s="193"/>
      <c r="BF93" s="193"/>
      <c r="BG93" s="193"/>
    </row>
    <row r="94" spans="4:59"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3"/>
      <c r="AP94" s="193"/>
      <c r="AQ94" s="193"/>
      <c r="AR94" s="193"/>
      <c r="AS94" s="193"/>
      <c r="AT94" s="193"/>
      <c r="AU94" s="193"/>
      <c r="AV94" s="193"/>
      <c r="AW94" s="193"/>
      <c r="AX94" s="193"/>
      <c r="AY94" s="193"/>
      <c r="AZ94" s="193"/>
      <c r="BA94" s="193"/>
      <c r="BB94" s="193"/>
      <c r="BC94" s="193"/>
      <c r="BD94" s="193"/>
      <c r="BE94" s="193"/>
      <c r="BF94" s="193"/>
      <c r="BG94" s="193"/>
    </row>
    <row r="95" spans="4:59"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3"/>
      <c r="AP95" s="193"/>
      <c r="AQ95" s="193"/>
      <c r="AR95" s="193"/>
      <c r="AS95" s="193"/>
      <c r="AT95" s="193"/>
      <c r="AU95" s="193"/>
      <c r="AV95" s="193"/>
      <c r="AW95" s="193"/>
      <c r="AX95" s="193"/>
      <c r="AY95" s="193"/>
      <c r="AZ95" s="193"/>
      <c r="BA95" s="193"/>
      <c r="BB95" s="193"/>
      <c r="BC95" s="193"/>
      <c r="BD95" s="193"/>
      <c r="BE95" s="193"/>
      <c r="BF95" s="193"/>
      <c r="BG95" s="193"/>
    </row>
    <row r="96" spans="4:59"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193"/>
      <c r="AQ96" s="193"/>
      <c r="AR96" s="193"/>
      <c r="AS96" s="193"/>
      <c r="AT96" s="193"/>
      <c r="AU96" s="193"/>
      <c r="AV96" s="193"/>
      <c r="AW96" s="193"/>
      <c r="AX96" s="193"/>
      <c r="AY96" s="193"/>
      <c r="AZ96" s="193"/>
      <c r="BA96" s="193"/>
      <c r="BB96" s="193"/>
      <c r="BC96" s="193"/>
      <c r="BD96" s="193"/>
      <c r="BE96" s="193"/>
      <c r="BF96" s="193"/>
      <c r="BG96" s="193"/>
    </row>
    <row r="97" spans="4:59"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193"/>
      <c r="AS97" s="193"/>
      <c r="AT97" s="193"/>
      <c r="AU97" s="193"/>
      <c r="AV97" s="193"/>
      <c r="AW97" s="193"/>
      <c r="AX97" s="193"/>
      <c r="AY97" s="193"/>
      <c r="AZ97" s="193"/>
      <c r="BA97" s="193"/>
      <c r="BB97" s="193"/>
      <c r="BC97" s="193"/>
      <c r="BD97" s="193"/>
      <c r="BE97" s="193"/>
      <c r="BF97" s="193"/>
      <c r="BG97" s="193"/>
    </row>
    <row r="98" spans="4:59"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  <c r="AQ98" s="193"/>
      <c r="AR98" s="193"/>
      <c r="AS98" s="193"/>
      <c r="AT98" s="193"/>
      <c r="AU98" s="193"/>
      <c r="AV98" s="193"/>
      <c r="AW98" s="193"/>
      <c r="AX98" s="193"/>
      <c r="AY98" s="193"/>
      <c r="AZ98" s="193"/>
      <c r="BA98" s="193"/>
      <c r="BB98" s="193"/>
      <c r="BC98" s="193"/>
      <c r="BD98" s="193"/>
      <c r="BE98" s="193"/>
      <c r="BF98" s="193"/>
      <c r="BG98" s="193"/>
    </row>
    <row r="99" spans="4:59"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193"/>
      <c r="AY99" s="193"/>
      <c r="AZ99" s="193"/>
      <c r="BA99" s="193"/>
      <c r="BB99" s="193"/>
      <c r="BC99" s="193"/>
      <c r="BD99" s="193"/>
      <c r="BE99" s="193"/>
      <c r="BF99" s="193"/>
      <c r="BG99" s="193"/>
    </row>
    <row r="100" spans="4:59"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3"/>
      <c r="AW100" s="193"/>
      <c r="AX100" s="193"/>
      <c r="AY100" s="193"/>
      <c r="AZ100" s="193"/>
      <c r="BA100" s="193"/>
      <c r="BB100" s="193"/>
      <c r="BC100" s="193"/>
      <c r="BD100" s="193"/>
      <c r="BE100" s="193"/>
      <c r="BF100" s="193"/>
      <c r="BG100" s="193"/>
    </row>
    <row r="101" spans="4:59"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3"/>
      <c r="AW101" s="193"/>
      <c r="AX101" s="193"/>
      <c r="AY101" s="193"/>
      <c r="AZ101" s="193"/>
      <c r="BA101" s="193"/>
      <c r="BB101" s="193"/>
      <c r="BC101" s="193"/>
      <c r="BD101" s="193"/>
      <c r="BE101" s="193"/>
      <c r="BF101" s="193"/>
      <c r="BG101" s="193"/>
    </row>
    <row r="102" spans="4:59"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193"/>
      <c r="AY102" s="193"/>
      <c r="AZ102" s="193"/>
      <c r="BA102" s="193"/>
      <c r="BB102" s="193"/>
      <c r="BC102" s="193"/>
      <c r="BD102" s="193"/>
      <c r="BE102" s="193"/>
      <c r="BF102" s="193"/>
      <c r="BG102" s="193"/>
    </row>
    <row r="103" spans="4:59"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193"/>
      <c r="AS103" s="193"/>
      <c r="AT103" s="193"/>
      <c r="AU103" s="193"/>
      <c r="AV103" s="193"/>
      <c r="AW103" s="193"/>
      <c r="AX103" s="193"/>
      <c r="AY103" s="193"/>
      <c r="AZ103" s="193"/>
      <c r="BA103" s="193"/>
      <c r="BB103" s="193"/>
      <c r="BC103" s="193"/>
      <c r="BD103" s="193"/>
      <c r="BE103" s="193"/>
      <c r="BF103" s="193"/>
      <c r="BG103" s="193"/>
    </row>
    <row r="104" spans="4:59"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  <c r="AM104" s="193"/>
      <c r="AN104" s="193"/>
      <c r="AO104" s="193"/>
      <c r="AP104" s="193"/>
      <c r="AQ104" s="193"/>
      <c r="AR104" s="193"/>
      <c r="AS104" s="193"/>
      <c r="AT104" s="193"/>
      <c r="AU104" s="193"/>
      <c r="AV104" s="193"/>
      <c r="AW104" s="193"/>
      <c r="AX104" s="193"/>
      <c r="AY104" s="193"/>
      <c r="AZ104" s="193"/>
      <c r="BA104" s="193"/>
      <c r="BB104" s="193"/>
      <c r="BC104" s="193"/>
      <c r="BD104" s="193"/>
      <c r="BE104" s="193"/>
      <c r="BF104" s="193"/>
      <c r="BG104" s="193"/>
    </row>
    <row r="105" spans="4:59"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3"/>
      <c r="AN105" s="193"/>
      <c r="AO105" s="193"/>
      <c r="AP105" s="193"/>
      <c r="AQ105" s="193"/>
      <c r="AR105" s="193"/>
      <c r="AS105" s="193"/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3"/>
    </row>
    <row r="106" spans="4:59"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3"/>
    </row>
    <row r="107" spans="4:59"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  <c r="AW107" s="193"/>
      <c r="AX107" s="193"/>
      <c r="AY107" s="193"/>
      <c r="AZ107" s="193"/>
      <c r="BA107" s="193"/>
      <c r="BB107" s="193"/>
      <c r="BC107" s="193"/>
      <c r="BD107" s="193"/>
      <c r="BE107" s="193"/>
      <c r="BF107" s="193"/>
      <c r="BG107" s="193"/>
    </row>
    <row r="108" spans="4:59"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3"/>
      <c r="AZ108" s="193"/>
      <c r="BA108" s="193"/>
      <c r="BB108" s="193"/>
      <c r="BC108" s="193"/>
      <c r="BD108" s="193"/>
      <c r="BE108" s="193"/>
      <c r="BF108" s="193"/>
      <c r="BG108" s="193"/>
    </row>
    <row r="109" spans="4:59"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  <c r="AW109" s="193"/>
      <c r="AX109" s="193"/>
      <c r="AY109" s="193"/>
      <c r="AZ109" s="193"/>
      <c r="BA109" s="193"/>
      <c r="BB109" s="193"/>
      <c r="BC109" s="193"/>
      <c r="BD109" s="193"/>
      <c r="BE109" s="193"/>
      <c r="BF109" s="193"/>
      <c r="BG109" s="193"/>
    </row>
    <row r="110" spans="4:59"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  <c r="AE110" s="193"/>
      <c r="AF110" s="193"/>
      <c r="AG110" s="193"/>
      <c r="AH110" s="193"/>
      <c r="AI110" s="193"/>
      <c r="AJ110" s="193"/>
      <c r="AK110" s="193"/>
      <c r="AL110" s="193"/>
      <c r="AM110" s="193"/>
      <c r="AN110" s="193"/>
      <c r="AO110" s="193"/>
      <c r="AP110" s="193"/>
      <c r="AQ110" s="193"/>
      <c r="AR110" s="193"/>
      <c r="AS110" s="193"/>
      <c r="AT110" s="193"/>
      <c r="AU110" s="193"/>
      <c r="AV110" s="193"/>
      <c r="AW110" s="193"/>
      <c r="AX110" s="193"/>
      <c r="AY110" s="193"/>
      <c r="AZ110" s="193"/>
      <c r="BA110" s="193"/>
      <c r="BB110" s="193"/>
      <c r="BC110" s="193"/>
      <c r="BD110" s="193"/>
      <c r="BE110" s="193"/>
      <c r="BF110" s="193"/>
      <c r="BG110" s="193"/>
    </row>
    <row r="111" spans="4:59"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  <c r="AE111" s="193"/>
      <c r="AF111" s="193"/>
      <c r="AG111" s="193"/>
      <c r="AH111" s="193"/>
      <c r="AI111" s="193"/>
      <c r="AJ111" s="193"/>
      <c r="AK111" s="193"/>
      <c r="AL111" s="193"/>
      <c r="AM111" s="193"/>
      <c r="AN111" s="193"/>
      <c r="AO111" s="193"/>
      <c r="AP111" s="193"/>
      <c r="AQ111" s="193"/>
      <c r="AR111" s="193"/>
      <c r="AS111" s="193"/>
      <c r="AT111" s="193"/>
      <c r="AU111" s="193"/>
      <c r="AV111" s="193"/>
      <c r="AW111" s="193"/>
      <c r="AX111" s="193"/>
      <c r="AY111" s="193"/>
      <c r="AZ111" s="193"/>
      <c r="BA111" s="193"/>
      <c r="BB111" s="193"/>
      <c r="BC111" s="193"/>
      <c r="BD111" s="193"/>
      <c r="BE111" s="193"/>
      <c r="BF111" s="193"/>
      <c r="BG111" s="193"/>
    </row>
    <row r="112" spans="4:59"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  <c r="AE112" s="193"/>
      <c r="AF112" s="193"/>
      <c r="AG112" s="193"/>
      <c r="AH112" s="193"/>
      <c r="AI112" s="193"/>
      <c r="AJ112" s="193"/>
      <c r="AK112" s="193"/>
      <c r="AL112" s="193"/>
      <c r="AM112" s="193"/>
      <c r="AN112" s="193"/>
      <c r="AO112" s="193"/>
      <c r="AP112" s="193"/>
      <c r="AQ112" s="193"/>
      <c r="AR112" s="193"/>
      <c r="AS112" s="193"/>
      <c r="AT112" s="193"/>
      <c r="AU112" s="193"/>
      <c r="AV112" s="193"/>
      <c r="AW112" s="193"/>
      <c r="AX112" s="193"/>
      <c r="AY112" s="193"/>
      <c r="AZ112" s="193"/>
      <c r="BA112" s="193"/>
      <c r="BB112" s="193"/>
      <c r="BC112" s="193"/>
      <c r="BD112" s="193"/>
      <c r="BE112" s="193"/>
      <c r="BF112" s="193"/>
      <c r="BG112" s="193"/>
    </row>
    <row r="113" spans="4:61"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  <c r="AE113" s="193"/>
      <c r="AF113" s="193"/>
      <c r="AG113" s="193"/>
      <c r="AH113" s="193"/>
      <c r="AI113" s="193"/>
      <c r="AJ113" s="193"/>
      <c r="AK113" s="193"/>
      <c r="AL113" s="193"/>
      <c r="AM113" s="193"/>
      <c r="AN113" s="193"/>
      <c r="AO113" s="193"/>
      <c r="AP113" s="193"/>
      <c r="AQ113" s="193"/>
      <c r="AR113" s="193"/>
      <c r="AS113" s="193"/>
      <c r="AT113" s="193"/>
      <c r="AU113" s="193"/>
      <c r="AV113" s="193"/>
      <c r="AW113" s="193"/>
      <c r="AX113" s="193"/>
      <c r="AY113" s="193"/>
      <c r="AZ113" s="193"/>
      <c r="BA113" s="193"/>
      <c r="BB113" s="193"/>
      <c r="BC113" s="193"/>
      <c r="BD113" s="193"/>
      <c r="BE113" s="193"/>
      <c r="BF113" s="193"/>
      <c r="BG113" s="193"/>
    </row>
    <row r="114" spans="4:61"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  <c r="AL114" s="193"/>
      <c r="AM114" s="193"/>
      <c r="AN114" s="193"/>
      <c r="AO114" s="193"/>
      <c r="AP114" s="193"/>
      <c r="AQ114" s="193"/>
      <c r="AR114" s="193"/>
      <c r="AS114" s="193"/>
      <c r="AT114" s="193"/>
      <c r="AU114" s="193"/>
      <c r="AV114" s="193"/>
      <c r="AW114" s="193"/>
      <c r="AX114" s="193"/>
      <c r="AY114" s="193"/>
      <c r="AZ114" s="193"/>
      <c r="BA114" s="193"/>
      <c r="BB114" s="193"/>
      <c r="BC114" s="193"/>
      <c r="BD114" s="193"/>
      <c r="BE114" s="193"/>
      <c r="BF114" s="193"/>
      <c r="BG114" s="193"/>
    </row>
    <row r="115" spans="4:61"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  <c r="AE115" s="193"/>
      <c r="AF115" s="193"/>
      <c r="AG115" s="193"/>
      <c r="AH115" s="193"/>
      <c r="AI115" s="193"/>
      <c r="AJ115" s="193"/>
      <c r="AK115" s="193"/>
      <c r="AL115" s="193"/>
      <c r="AM115" s="193"/>
      <c r="AN115" s="193"/>
      <c r="AO115" s="193"/>
      <c r="AP115" s="193"/>
      <c r="AQ115" s="193"/>
      <c r="AR115" s="193"/>
      <c r="AS115" s="193"/>
      <c r="AT115" s="193"/>
      <c r="AU115" s="193"/>
      <c r="AV115" s="193"/>
      <c r="AW115" s="193"/>
      <c r="AX115" s="193"/>
      <c r="AY115" s="193"/>
      <c r="AZ115" s="193"/>
      <c r="BA115" s="193"/>
      <c r="BB115" s="193"/>
      <c r="BC115" s="193"/>
      <c r="BD115" s="193"/>
      <c r="BE115" s="193"/>
      <c r="BF115" s="193"/>
      <c r="BG115" s="193"/>
      <c r="BH115" s="27"/>
      <c r="BI115" s="27"/>
    </row>
    <row r="116" spans="4:61"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  <c r="AW116" s="193"/>
      <c r="AX116" s="193"/>
      <c r="AY116" s="193"/>
      <c r="AZ116" s="193"/>
      <c r="BA116" s="193"/>
      <c r="BB116" s="193"/>
      <c r="BC116" s="193"/>
      <c r="BD116" s="193"/>
      <c r="BE116" s="193"/>
      <c r="BF116" s="193"/>
      <c r="BG116" s="193"/>
      <c r="BI116" s="22"/>
    </row>
    <row r="117" spans="4:61"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/>
      <c r="AX117" s="193"/>
      <c r="AY117" s="193"/>
      <c r="AZ117" s="193"/>
      <c r="BA117" s="193"/>
      <c r="BB117" s="193"/>
      <c r="BC117" s="193"/>
      <c r="BD117" s="193"/>
      <c r="BE117" s="193"/>
      <c r="BF117" s="193"/>
      <c r="BG117" s="193"/>
    </row>
    <row r="118" spans="4:61"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  <c r="AE118" s="193"/>
      <c r="AF118" s="193"/>
      <c r="AG118" s="193"/>
      <c r="AH118" s="193"/>
      <c r="AI118" s="193"/>
      <c r="AJ118" s="193"/>
      <c r="AK118" s="193"/>
      <c r="AL118" s="193"/>
      <c r="AM118" s="193"/>
      <c r="AN118" s="193"/>
      <c r="AO118" s="193"/>
      <c r="AP118" s="193"/>
      <c r="AQ118" s="193"/>
      <c r="AR118" s="193"/>
      <c r="AS118" s="193"/>
      <c r="AT118" s="193"/>
      <c r="AU118" s="193"/>
      <c r="AV118" s="193"/>
      <c r="AW118" s="193"/>
      <c r="AX118" s="193"/>
      <c r="AY118" s="193"/>
      <c r="AZ118" s="193"/>
      <c r="BA118" s="193"/>
      <c r="BB118" s="193"/>
      <c r="BC118" s="193"/>
      <c r="BD118" s="193"/>
      <c r="BE118" s="193"/>
      <c r="BF118" s="193"/>
      <c r="BG118" s="193"/>
      <c r="BH118" s="56"/>
    </row>
    <row r="119" spans="4:61"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  <c r="AE119" s="193"/>
      <c r="AF119" s="193"/>
      <c r="AG119" s="193"/>
      <c r="AH119" s="193"/>
      <c r="AI119" s="193"/>
      <c r="AJ119" s="193"/>
      <c r="AK119" s="193"/>
      <c r="AL119" s="193"/>
      <c r="AM119" s="193"/>
      <c r="AN119" s="193"/>
      <c r="AO119" s="193"/>
      <c r="AP119" s="193"/>
      <c r="AQ119" s="193"/>
      <c r="AR119" s="193"/>
      <c r="AS119" s="193"/>
      <c r="AT119" s="193"/>
      <c r="AU119" s="193"/>
      <c r="AV119" s="193"/>
      <c r="AW119" s="193"/>
      <c r="AX119" s="193"/>
      <c r="AY119" s="193"/>
      <c r="AZ119" s="193"/>
      <c r="BA119" s="193"/>
      <c r="BB119" s="193"/>
      <c r="BC119" s="193"/>
      <c r="BD119" s="193"/>
      <c r="BE119" s="193"/>
      <c r="BF119" s="193"/>
      <c r="BG119" s="193"/>
    </row>
    <row r="120" spans="4:61"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  <c r="AE120" s="193"/>
      <c r="AF120" s="193"/>
      <c r="AG120" s="193"/>
      <c r="AH120" s="193"/>
      <c r="AI120" s="193"/>
      <c r="AJ120" s="193"/>
      <c r="AK120" s="193"/>
      <c r="AL120" s="193"/>
      <c r="AM120" s="193"/>
      <c r="AN120" s="193"/>
      <c r="AO120" s="193"/>
      <c r="AP120" s="193"/>
      <c r="AQ120" s="193"/>
      <c r="AR120" s="193"/>
      <c r="AS120" s="193"/>
      <c r="AT120" s="193"/>
      <c r="AU120" s="193"/>
      <c r="AV120" s="193"/>
      <c r="AW120" s="193"/>
      <c r="AX120" s="193"/>
      <c r="AY120" s="193"/>
      <c r="AZ120" s="193"/>
      <c r="BA120" s="193"/>
      <c r="BB120" s="193"/>
      <c r="BC120" s="193"/>
      <c r="BD120" s="193"/>
      <c r="BE120" s="193"/>
      <c r="BF120" s="193"/>
      <c r="BG120" s="193"/>
    </row>
    <row r="121" spans="4:61"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  <c r="AE121" s="193"/>
      <c r="AF121" s="193"/>
      <c r="AG121" s="193"/>
      <c r="AH121" s="193"/>
      <c r="AI121" s="193"/>
      <c r="AJ121" s="193"/>
      <c r="AK121" s="193"/>
      <c r="AL121" s="193"/>
      <c r="AM121" s="193"/>
      <c r="AN121" s="193"/>
      <c r="AO121" s="193"/>
      <c r="AP121" s="193"/>
      <c r="AQ121" s="193"/>
      <c r="AR121" s="193"/>
      <c r="AS121" s="193"/>
      <c r="AT121" s="193"/>
      <c r="AU121" s="193"/>
      <c r="AV121" s="193"/>
      <c r="AW121" s="193"/>
      <c r="AX121" s="193"/>
      <c r="AY121" s="193"/>
      <c r="AZ121" s="193"/>
      <c r="BA121" s="193"/>
      <c r="BB121" s="193"/>
      <c r="BC121" s="193"/>
      <c r="BD121" s="193"/>
      <c r="BE121" s="193"/>
      <c r="BF121" s="193"/>
      <c r="BG121" s="193"/>
    </row>
    <row r="122" spans="4:61"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  <c r="AE122" s="193"/>
      <c r="AF122" s="193"/>
      <c r="AG122" s="193"/>
      <c r="AH122" s="193"/>
      <c r="AI122" s="193"/>
      <c r="AJ122" s="193"/>
      <c r="AK122" s="193"/>
      <c r="AL122" s="193"/>
      <c r="AM122" s="193"/>
      <c r="AN122" s="193"/>
      <c r="AO122" s="193"/>
      <c r="AP122" s="193"/>
      <c r="AQ122" s="193"/>
      <c r="AR122" s="193"/>
      <c r="AS122" s="193"/>
      <c r="AT122" s="193"/>
      <c r="AU122" s="193"/>
      <c r="AV122" s="379"/>
      <c r="AW122" s="379"/>
      <c r="AX122" s="193"/>
      <c r="AY122" s="193"/>
      <c r="AZ122" s="193"/>
      <c r="BA122" s="193"/>
      <c r="BB122" s="193"/>
      <c r="BC122" s="193"/>
      <c r="BD122" s="193"/>
      <c r="BE122" s="193"/>
      <c r="BF122" s="193"/>
      <c r="BG122" s="193"/>
    </row>
    <row r="123" spans="4:61"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  <c r="AA123" s="193"/>
      <c r="AB123" s="193"/>
      <c r="AC123" s="193"/>
      <c r="AD123" s="193"/>
      <c r="AE123" s="193"/>
      <c r="AF123" s="193"/>
      <c r="AG123" s="193"/>
      <c r="AH123" s="193"/>
      <c r="AI123" s="193"/>
      <c r="AJ123" s="193"/>
      <c r="AK123" s="193"/>
      <c r="AL123" s="193"/>
      <c r="AM123" s="193"/>
      <c r="AN123" s="193"/>
      <c r="AO123" s="193"/>
      <c r="AP123" s="193"/>
      <c r="AQ123" s="193"/>
      <c r="AR123" s="193"/>
      <c r="AS123" s="193"/>
      <c r="AT123" s="193"/>
      <c r="AU123" s="193"/>
      <c r="AV123" s="193"/>
      <c r="AW123" s="193"/>
      <c r="AX123" s="193"/>
      <c r="AY123" s="193"/>
      <c r="AZ123" s="193"/>
      <c r="BA123" s="193"/>
      <c r="BB123" s="193"/>
      <c r="BC123" s="193"/>
      <c r="BD123" s="193"/>
      <c r="BE123" s="193"/>
      <c r="BF123" s="193"/>
      <c r="BG123" s="193"/>
    </row>
    <row r="124" spans="4:61"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  <c r="AA124" s="193"/>
      <c r="AB124" s="193"/>
      <c r="AC124" s="193"/>
      <c r="AD124" s="193"/>
      <c r="AE124" s="193"/>
      <c r="AF124" s="193"/>
      <c r="AG124" s="193"/>
      <c r="AH124" s="193"/>
      <c r="AI124" s="193"/>
      <c r="AJ124" s="193"/>
      <c r="AK124" s="193"/>
      <c r="AL124" s="193"/>
      <c r="AM124" s="193"/>
      <c r="AN124" s="193"/>
      <c r="AO124" s="193"/>
      <c r="AP124" s="193"/>
      <c r="AQ124" s="193"/>
      <c r="AR124" s="193"/>
      <c r="AS124" s="193"/>
      <c r="AT124" s="193"/>
      <c r="AU124" s="193"/>
      <c r="AV124" s="193"/>
      <c r="AW124" s="193"/>
      <c r="AX124" s="193"/>
      <c r="AY124" s="193"/>
      <c r="AZ124" s="193"/>
      <c r="BA124" s="193"/>
      <c r="BB124" s="193"/>
      <c r="BC124" s="193"/>
      <c r="BD124" s="193"/>
      <c r="BE124" s="193"/>
      <c r="BF124" s="193"/>
      <c r="BG124" s="193"/>
    </row>
    <row r="125" spans="4:61">
      <c r="AR125" s="193"/>
    </row>
    <row r="126" spans="4:61">
      <c r="AR126" s="193"/>
      <c r="AT126" s="193"/>
    </row>
    <row r="127" spans="4:61">
      <c r="AR127" s="193"/>
    </row>
    <row r="128" spans="4:61">
      <c r="AR128" s="193"/>
      <c r="AS128" s="193"/>
      <c r="AT128" s="193"/>
      <c r="AU128" s="193"/>
      <c r="AV128" s="193"/>
      <c r="AW128" s="193"/>
      <c r="AX128" s="193"/>
      <c r="AY128" s="193"/>
      <c r="AZ128" s="193"/>
      <c r="BA128" s="193"/>
      <c r="BB128" s="193"/>
      <c r="BC128" s="193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I30" zoomScale="80" zoomScaleNormal="80" workbookViewId="0">
      <selection activeCell="S45" sqref="S45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</row>
    <row r="2" spans="9:38">
      <c r="AK2" s="215"/>
      <c r="AL2" s="215"/>
    </row>
    <row r="3" spans="9:38">
      <c r="AK3" s="215"/>
      <c r="AL3" s="215"/>
    </row>
    <row r="4" spans="9:38">
      <c r="AK4" s="215"/>
      <c r="AL4" s="215"/>
    </row>
    <row r="5" spans="9:38" ht="21" customHeight="1">
      <c r="I5" s="218"/>
      <c r="AK5" s="215"/>
      <c r="AL5" s="215"/>
    </row>
    <row r="6" spans="9:38">
      <c r="I6" s="215"/>
      <c r="AK6" s="215"/>
      <c r="AL6" s="215"/>
    </row>
    <row r="7" spans="9:38" ht="15.75" customHeight="1">
      <c r="I7" s="215"/>
      <c r="AK7" s="215"/>
      <c r="AL7" s="215"/>
    </row>
    <row r="8" spans="9:38">
      <c r="I8" s="215"/>
      <c r="AK8" s="215"/>
      <c r="AL8" s="215"/>
    </row>
    <row r="9" spans="9:38">
      <c r="I9" s="215"/>
      <c r="AK9" s="215"/>
      <c r="AL9" s="215"/>
    </row>
    <row r="10" spans="9:38">
      <c r="I10" s="215"/>
      <c r="AK10" s="215"/>
      <c r="AL10" s="215"/>
    </row>
    <row r="11" spans="9:38">
      <c r="AK11" s="215"/>
      <c r="AL11" s="215"/>
    </row>
    <row r="12" spans="9:38">
      <c r="AK12" s="215"/>
      <c r="AL12" s="215"/>
    </row>
    <row r="13" spans="9:38">
      <c r="AK13" s="215"/>
      <c r="AL13" s="215"/>
    </row>
    <row r="14" spans="9:38">
      <c r="Q14" s="22"/>
      <c r="T14" s="215"/>
      <c r="U14" s="215"/>
      <c r="V14" s="215"/>
      <c r="W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</row>
    <row r="15" spans="9:38">
      <c r="T15" s="215"/>
      <c r="U15" s="215"/>
      <c r="V15" s="215"/>
      <c r="W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</row>
    <row r="16" spans="9:38" ht="21">
      <c r="AB16" s="102"/>
      <c r="AC16" s="215"/>
      <c r="AD16" s="215"/>
      <c r="AE16" s="215"/>
      <c r="AF16" s="215"/>
      <c r="AG16" s="215"/>
      <c r="AH16" s="215"/>
      <c r="AI16" s="215"/>
      <c r="AJ16" s="215"/>
      <c r="AK16" s="215"/>
    </row>
    <row r="17" spans="1:38">
      <c r="H17" s="218"/>
      <c r="Q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140</v>
      </c>
      <c r="N18" s="98"/>
      <c r="O18" s="98"/>
      <c r="Q18" s="215"/>
      <c r="W18" s="215"/>
      <c r="X18" s="215"/>
      <c r="Y18" s="101" t="s">
        <v>143</v>
      </c>
      <c r="Z18" s="101"/>
      <c r="AA18" s="101"/>
      <c r="AB18" s="215"/>
      <c r="AC18" s="215"/>
      <c r="AD18" s="215"/>
      <c r="AE18" s="215"/>
      <c r="AJ18" s="215"/>
      <c r="AK18" s="215"/>
      <c r="AL18" s="215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95.456607855851104</v>
      </c>
      <c r="H19" s="24" t="s">
        <v>100</v>
      </c>
      <c r="L19" s="47" t="s">
        <v>46</v>
      </c>
      <c r="M19" s="96"/>
      <c r="N19" s="96"/>
      <c r="O19" s="34"/>
      <c r="P19" s="34"/>
      <c r="Q19" s="215"/>
      <c r="AE19" s="215"/>
      <c r="AJ19" s="215"/>
      <c r="AK19" s="215"/>
      <c r="AL19" s="215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15"/>
      <c r="W20" s="215"/>
      <c r="X20" s="403" t="s">
        <v>22</v>
      </c>
      <c r="Y20" s="404"/>
      <c r="Z20" s="404"/>
      <c r="AA20" s="405"/>
      <c r="AB20" s="215"/>
      <c r="AC20" s="215"/>
      <c r="AD20" s="215"/>
      <c r="AK20" s="215"/>
      <c r="AL20" s="215"/>
    </row>
    <row r="21" spans="1:38" ht="18">
      <c r="A21" s="89" t="s">
        <v>16</v>
      </c>
      <c r="B21" s="198">
        <v>10.01</v>
      </c>
      <c r="C21" s="86">
        <f>B21/D21</f>
        <v>4.55</v>
      </c>
      <c r="D21" s="86">
        <v>2.2000000000000002</v>
      </c>
      <c r="K21" s="215"/>
      <c r="O21" s="23"/>
      <c r="X21" s="16"/>
      <c r="Y21" s="17"/>
      <c r="Z21" s="18"/>
      <c r="AK21" s="215"/>
      <c r="AL21" s="215"/>
    </row>
    <row r="22" spans="1:38" ht="18">
      <c r="A22" s="84" t="s">
        <v>17</v>
      </c>
      <c r="B22" s="86">
        <f>SUM(B19:B21)</f>
        <v>110.11049</v>
      </c>
      <c r="C22" s="86">
        <f>SUM(C19:C21)</f>
        <v>104.86440095499819</v>
      </c>
      <c r="D22" s="86">
        <f>B22/C22</f>
        <v>1.0500273591154459</v>
      </c>
      <c r="K22" s="215"/>
      <c r="L22" s="36" t="s">
        <v>3</v>
      </c>
      <c r="M22" s="34">
        <v>0.2</v>
      </c>
      <c r="N22" s="15" t="s">
        <v>18</v>
      </c>
      <c r="O22" s="36" t="s">
        <v>49</v>
      </c>
      <c r="P22" s="73">
        <f>E28-Q41-N42-N41</f>
        <v>90.990490000000008</v>
      </c>
      <c r="Q22" s="215" t="s">
        <v>18</v>
      </c>
      <c r="X22" s="105" t="s">
        <v>3</v>
      </c>
      <c r="Y22" s="106"/>
      <c r="Z22" s="73">
        <v>0.68</v>
      </c>
      <c r="AA22" s="15" t="s">
        <v>18</v>
      </c>
      <c r="AB22" s="36" t="s">
        <v>49</v>
      </c>
      <c r="AC22" s="34">
        <v>73.349999999999994</v>
      </c>
      <c r="AD22" s="215" t="s">
        <v>18</v>
      </c>
      <c r="AK22" s="215"/>
      <c r="AL22" s="215"/>
    </row>
    <row r="23" spans="1:38" ht="18">
      <c r="B23" s="87"/>
      <c r="C23" s="87"/>
      <c r="D23" s="87"/>
      <c r="E23" s="87"/>
      <c r="K23" s="215"/>
      <c r="L23" s="36" t="s">
        <v>4</v>
      </c>
      <c r="M23" s="34">
        <v>0.2</v>
      </c>
      <c r="N23" s="15" t="s">
        <v>18</v>
      </c>
      <c r="O23" s="36" t="s">
        <v>27</v>
      </c>
      <c r="P23" s="34">
        <f>0.76/100</f>
        <v>7.6E-3</v>
      </c>
      <c r="Q23" s="215" t="s">
        <v>33</v>
      </c>
      <c r="X23" s="105" t="s">
        <v>4</v>
      </c>
      <c r="Y23" s="106"/>
      <c r="Z23" s="34">
        <v>0.63</v>
      </c>
      <c r="AA23" s="15" t="s">
        <v>18</v>
      </c>
      <c r="AB23" s="36" t="s">
        <v>27</v>
      </c>
      <c r="AC23" s="34">
        <f>0.07/100</f>
        <v>7.000000000000001E-4</v>
      </c>
      <c r="AD23" s="215" t="s">
        <v>33</v>
      </c>
      <c r="AK23" s="215"/>
      <c r="AL23" s="215"/>
    </row>
    <row r="24" spans="1:38">
      <c r="K24" s="215"/>
      <c r="L24" s="103" t="s">
        <v>17</v>
      </c>
      <c r="M24" s="34"/>
      <c r="N24" s="15" t="s">
        <v>18</v>
      </c>
      <c r="O24" s="67" t="s">
        <v>30</v>
      </c>
      <c r="P24" s="37">
        <f>P23*P22</f>
        <v>0.69152772400000007</v>
      </c>
      <c r="Q24" s="215" t="s">
        <v>18</v>
      </c>
      <c r="X24" s="105" t="s">
        <v>17</v>
      </c>
      <c r="Y24" s="106"/>
      <c r="Z24" s="73">
        <f>SUM(Z22:Z23)</f>
        <v>1.31</v>
      </c>
      <c r="AA24" s="15" t="s">
        <v>18</v>
      </c>
      <c r="AB24" s="67" t="s">
        <v>30</v>
      </c>
      <c r="AC24" s="37">
        <f>AC23*AC22</f>
        <v>5.1345000000000002E-2</v>
      </c>
      <c r="AD24" s="215" t="s">
        <v>18</v>
      </c>
      <c r="AK24" s="215"/>
      <c r="AL24" s="215"/>
    </row>
    <row r="25" spans="1:38">
      <c r="L25" s="67" t="s">
        <v>30</v>
      </c>
      <c r="M25" s="37">
        <f>P23*M24</f>
        <v>0</v>
      </c>
      <c r="N25" s="15" t="s">
        <v>18</v>
      </c>
      <c r="Q25" s="215"/>
      <c r="W25" s="215"/>
      <c r="X25" s="221" t="s">
        <v>30</v>
      </c>
      <c r="Y25" s="222"/>
      <c r="Z25" s="104">
        <f>AC23*Z24</f>
        <v>9.1700000000000017E-4</v>
      </c>
      <c r="AA25" s="15" t="s">
        <v>18</v>
      </c>
      <c r="AK25" s="215"/>
      <c r="AL25" s="215"/>
    </row>
    <row r="26" spans="1:38">
      <c r="A26" s="23"/>
      <c r="W26" s="215"/>
      <c r="X26" s="215"/>
      <c r="Y26" s="215"/>
      <c r="Z26" s="215"/>
      <c r="AA26" s="23"/>
      <c r="AL26" s="215"/>
    </row>
    <row r="27" spans="1:38">
      <c r="A27" s="23"/>
      <c r="I27" s="215"/>
      <c r="J27" s="215"/>
      <c r="K27" s="215"/>
      <c r="L27" s="215"/>
      <c r="AD27" s="31">
        <f>AC22+Z24</f>
        <v>74.66</v>
      </c>
      <c r="AE27" s="15">
        <f>AC24+Z25</f>
        <v>5.2262000000000003E-2</v>
      </c>
      <c r="AL27" s="215"/>
    </row>
    <row r="28" spans="1:38" ht="21">
      <c r="D28" s="143" t="s">
        <v>45</v>
      </c>
      <c r="E28" s="142">
        <f>B22-(C41+B44)</f>
        <v>106.89049</v>
      </c>
      <c r="F28" s="15" t="s">
        <v>18</v>
      </c>
      <c r="I28" s="215"/>
      <c r="J28" s="215"/>
      <c r="K28" s="215"/>
      <c r="L28" s="215"/>
    </row>
    <row r="29" spans="1:38">
      <c r="I29" s="215"/>
      <c r="J29" s="215"/>
      <c r="K29" s="215"/>
      <c r="L29" s="215"/>
      <c r="V29" s="215"/>
      <c r="W29" s="215"/>
      <c r="X29" s="215"/>
      <c r="AJ29" s="22"/>
    </row>
    <row r="30" spans="1:38" ht="21">
      <c r="I30" s="102"/>
      <c r="V30" s="215"/>
      <c r="W30" s="200">
        <f>AC22+Z24+AC43+V43</f>
        <v>76.13</v>
      </c>
      <c r="X30" s="215"/>
    </row>
    <row r="31" spans="1:38">
      <c r="V31" s="215"/>
      <c r="W31" s="215"/>
      <c r="X31" s="215"/>
    </row>
    <row r="33" spans="1:55">
      <c r="S33" s="15" t="s">
        <v>101</v>
      </c>
      <c r="T33" s="31">
        <f>P22-W30</f>
        <v>14.860490000000013</v>
      </c>
      <c r="U33" s="15" t="s">
        <v>18</v>
      </c>
    </row>
    <row r="34" spans="1:55">
      <c r="D34" s="215"/>
      <c r="E34" s="215"/>
      <c r="F34" s="215"/>
      <c r="G34" s="215"/>
      <c r="H34" s="215"/>
      <c r="S34" s="15" t="s">
        <v>125</v>
      </c>
      <c r="T34" s="76">
        <f>T33/E28</f>
        <v>0.1390253707322327</v>
      </c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</row>
    <row r="35" spans="1:55">
      <c r="D35" s="215"/>
      <c r="E35" s="215"/>
      <c r="F35" s="215"/>
      <c r="G35" s="215"/>
      <c r="H35" s="215"/>
      <c r="S35" s="15" t="s">
        <v>126</v>
      </c>
      <c r="T35" s="81">
        <f>T34*B49</f>
        <v>1.3509476245178831</v>
      </c>
      <c r="U35" s="215" t="s">
        <v>18</v>
      </c>
      <c r="Z35" s="215"/>
    </row>
    <row r="36" spans="1:55">
      <c r="D36" s="215"/>
      <c r="E36" s="215"/>
      <c r="F36" s="215"/>
      <c r="G36" s="215"/>
      <c r="H36" s="200"/>
      <c r="P36" s="216"/>
      <c r="Q36" s="216"/>
      <c r="R36" s="16"/>
      <c r="U36" s="215"/>
      <c r="Z36" s="215"/>
    </row>
    <row r="37" spans="1:55">
      <c r="E37" s="30"/>
      <c r="Z37" s="215"/>
    </row>
    <row r="38" spans="1:55" ht="21">
      <c r="M38" s="98" t="s">
        <v>141</v>
      </c>
      <c r="N38" s="48"/>
      <c r="Z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</row>
    <row r="39" spans="1:55" ht="21">
      <c r="A39" s="392" t="s">
        <v>6</v>
      </c>
      <c r="B39" s="392"/>
      <c r="C39" s="33">
        <v>1.43</v>
      </c>
      <c r="D39" s="15" t="s">
        <v>18</v>
      </c>
      <c r="E39" s="215"/>
      <c r="F39" s="215"/>
      <c r="G39" s="215"/>
      <c r="M39" s="219" t="s">
        <v>20</v>
      </c>
      <c r="N39" s="220"/>
      <c r="Y39" s="101" t="s">
        <v>142</v>
      </c>
      <c r="Z39" s="101"/>
      <c r="AA39" s="101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</row>
    <row r="40" spans="1:55">
      <c r="A40" s="392" t="s">
        <v>5</v>
      </c>
      <c r="B40" s="392"/>
      <c r="C40" s="33">
        <v>0.55000000000000004</v>
      </c>
      <c r="D40" s="15" t="s">
        <v>18</v>
      </c>
      <c r="E40" s="215"/>
      <c r="F40" s="215"/>
      <c r="G40" s="215"/>
      <c r="S40" s="215"/>
      <c r="V40" s="215"/>
      <c r="X40" s="403" t="s">
        <v>23</v>
      </c>
      <c r="Y40" s="404"/>
      <c r="Z40" s="404"/>
      <c r="AA40" s="405"/>
      <c r="AB40" s="215"/>
      <c r="AK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</row>
    <row r="41" spans="1:55">
      <c r="A41" s="400" t="s">
        <v>17</v>
      </c>
      <c r="B41" s="401"/>
      <c r="C41" s="91">
        <f>SUM(C39:C40)</f>
        <v>1.98</v>
      </c>
      <c r="D41" s="23" t="s">
        <v>18</v>
      </c>
      <c r="E41" s="215"/>
      <c r="F41" s="215"/>
      <c r="G41" s="215"/>
      <c r="J41" s="67" t="s">
        <v>1</v>
      </c>
      <c r="K41" s="34"/>
      <c r="L41" s="15" t="s">
        <v>18</v>
      </c>
      <c r="M41" s="36" t="s">
        <v>3</v>
      </c>
      <c r="N41" s="73">
        <v>0.16</v>
      </c>
      <c r="O41" s="15" t="s">
        <v>18</v>
      </c>
      <c r="P41" s="36" t="s">
        <v>49</v>
      </c>
      <c r="Q41" s="34">
        <v>15.6</v>
      </c>
      <c r="R41" s="215" t="s">
        <v>18</v>
      </c>
      <c r="S41" s="215"/>
      <c r="Z41" s="215"/>
      <c r="AK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</row>
    <row r="42" spans="1:55">
      <c r="C42" s="215"/>
      <c r="D42" s="215"/>
      <c r="E42" s="215"/>
      <c r="F42" s="215"/>
      <c r="G42" s="215"/>
      <c r="I42" s="26"/>
      <c r="J42" s="67" t="s">
        <v>9</v>
      </c>
      <c r="K42" s="64"/>
      <c r="L42" s="15" t="s">
        <v>18</v>
      </c>
      <c r="M42" s="36" t="s">
        <v>4</v>
      </c>
      <c r="N42" s="34">
        <v>0.14000000000000001</v>
      </c>
      <c r="O42" s="15" t="s">
        <v>18</v>
      </c>
      <c r="P42" s="36" t="s">
        <v>27</v>
      </c>
      <c r="Q42" s="34">
        <f>48.48/100</f>
        <v>0.48479999999999995</v>
      </c>
      <c r="R42" s="215" t="s">
        <v>33</v>
      </c>
      <c r="S42" s="215"/>
      <c r="AE42" s="215"/>
      <c r="AF42" s="215"/>
      <c r="AG42" s="215"/>
      <c r="AH42" s="215"/>
      <c r="AI42" s="215"/>
      <c r="AJ42" s="215"/>
      <c r="AK42" s="215"/>
      <c r="AL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</row>
    <row r="43" spans="1:55">
      <c r="A43" s="36" t="s">
        <v>44</v>
      </c>
      <c r="B43" s="33">
        <v>1.24</v>
      </c>
      <c r="C43" s="215" t="s">
        <v>18</v>
      </c>
      <c r="D43" s="215"/>
      <c r="E43" s="215"/>
      <c r="F43" s="215"/>
      <c r="G43" s="215"/>
      <c r="H43" s="217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>
        <f>SUM(N41:N42)</f>
        <v>0.30000000000000004</v>
      </c>
      <c r="O43" s="15" t="s">
        <v>18</v>
      </c>
      <c r="P43" s="67" t="s">
        <v>30</v>
      </c>
      <c r="Q43" s="37">
        <f>Q42*Q41</f>
        <v>7.5628799999999989</v>
      </c>
      <c r="R43" s="215" t="s">
        <v>18</v>
      </c>
      <c r="S43" s="215"/>
      <c r="U43" s="35" t="s">
        <v>53</v>
      </c>
      <c r="V43" s="33"/>
      <c r="W43" s="215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1.47</v>
      </c>
      <c r="AD43" s="215" t="s">
        <v>18</v>
      </c>
      <c r="AF43" s="215"/>
      <c r="AG43" s="215"/>
      <c r="AH43" s="215"/>
      <c r="AI43" s="215"/>
      <c r="AJ43" s="215"/>
      <c r="AK43" s="215"/>
      <c r="AL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</row>
    <row r="44" spans="1:55">
      <c r="A44" s="92" t="s">
        <v>17</v>
      </c>
      <c r="B44" s="90">
        <f>SUM(B43)</f>
        <v>1.24</v>
      </c>
      <c r="C44" s="215" t="s">
        <v>18</v>
      </c>
      <c r="D44" s="215"/>
      <c r="E44" s="215"/>
      <c r="M44" s="67" t="s">
        <v>30</v>
      </c>
      <c r="N44" s="37">
        <f>Q42*N43</f>
        <v>0.14544000000000001</v>
      </c>
      <c r="O44" s="15" t="s">
        <v>18</v>
      </c>
      <c r="U44" s="215"/>
      <c r="V44" s="215"/>
      <c r="W44" s="215"/>
      <c r="X44" s="105" t="s">
        <v>4</v>
      </c>
      <c r="Y44" s="106"/>
      <c r="Z44" s="34"/>
      <c r="AA44" s="15" t="s">
        <v>18</v>
      </c>
      <c r="AB44" s="36" t="s">
        <v>27</v>
      </c>
      <c r="AC44" s="34">
        <f>34.34/100</f>
        <v>0.34340000000000004</v>
      </c>
      <c r="AD44" s="215" t="s">
        <v>33</v>
      </c>
      <c r="AL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</row>
    <row r="45" spans="1:55">
      <c r="C45" s="215"/>
      <c r="D45" s="215"/>
      <c r="E45" s="215"/>
      <c r="U45" s="215"/>
      <c r="V45" s="215"/>
      <c r="W45" s="215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0.50479800000000008</v>
      </c>
      <c r="AD45" s="215" t="s">
        <v>18</v>
      </c>
      <c r="AL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</row>
    <row r="46" spans="1:55">
      <c r="A46" s="15" t="s">
        <v>66</v>
      </c>
      <c r="B46" s="15">
        <f>B43/D22</f>
        <v>1.1809216105041198</v>
      </c>
      <c r="C46" s="215" t="s">
        <v>62</v>
      </c>
      <c r="D46" s="215"/>
      <c r="E46" s="215"/>
      <c r="P46" s="31">
        <f>Q41+N43</f>
        <v>15.9</v>
      </c>
      <c r="Q46" s="15">
        <f>Q43+N44</f>
        <v>7.7083199999999987</v>
      </c>
      <c r="X46" s="221" t="s">
        <v>30</v>
      </c>
      <c r="Y46" s="222"/>
      <c r="Z46" s="104">
        <f>AC44*Z45</f>
        <v>0</v>
      </c>
      <c r="AA46" s="15" t="s">
        <v>18</v>
      </c>
      <c r="AF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</row>
    <row r="47" spans="1:55">
      <c r="A47" s="15" t="s">
        <v>65</v>
      </c>
      <c r="B47" s="15">
        <f>C41/D22</f>
        <v>1.8856651522565782</v>
      </c>
      <c r="C47" s="15" t="s">
        <v>62</v>
      </c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</row>
    <row r="48" spans="1:55">
      <c r="A48" s="15" t="s">
        <v>67</v>
      </c>
      <c r="B48" s="15">
        <f>G19*(B46+B47)/1000</f>
        <v>0.29272597006879186</v>
      </c>
      <c r="C48" s="15" t="s">
        <v>18</v>
      </c>
      <c r="E48" s="160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</row>
    <row r="49" spans="1:59">
      <c r="A49" s="15" t="s">
        <v>64</v>
      </c>
      <c r="B49" s="74">
        <f>B21-B48</f>
        <v>9.7172740299312075</v>
      </c>
      <c r="C49" s="15" t="s">
        <v>18</v>
      </c>
      <c r="AC49" s="31">
        <f>AC43+Z45</f>
        <v>1.47</v>
      </c>
      <c r="AD49" s="15">
        <f>AC45+Z46</f>
        <v>0.50479800000000008</v>
      </c>
      <c r="AP49" s="215"/>
      <c r="AQ49" s="215"/>
      <c r="AR49" s="215"/>
      <c r="AS49" s="215"/>
      <c r="AT49" s="215"/>
      <c r="AU49" s="215"/>
      <c r="AV49" s="379"/>
      <c r="AW49" s="379"/>
      <c r="AX49" s="379"/>
      <c r="AY49" s="379"/>
      <c r="AZ49" s="379"/>
      <c r="BA49" s="215"/>
      <c r="BB49" s="215"/>
    </row>
    <row r="50" spans="1:59">
      <c r="R50" s="215"/>
      <c r="S50" s="15" t="s">
        <v>27</v>
      </c>
      <c r="U50" s="15" t="s">
        <v>40</v>
      </c>
      <c r="W50" s="15" t="s">
        <v>98</v>
      </c>
      <c r="X50" s="74">
        <f>B49</f>
        <v>9.7172740299312075</v>
      </c>
      <c r="Y50" s="15" t="s">
        <v>18</v>
      </c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</row>
    <row r="51" spans="1:59">
      <c r="Q51" s="215"/>
      <c r="R51" s="215"/>
      <c r="S51" s="15" t="s">
        <v>34</v>
      </c>
      <c r="T51" s="15">
        <f>AC24+Z25</f>
        <v>5.2262000000000003E-2</v>
      </c>
      <c r="U51" s="76">
        <f>T51/X50</f>
        <v>5.3782573012783486E-3</v>
      </c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</row>
    <row r="52" spans="1:59">
      <c r="S52" s="15" t="s">
        <v>35</v>
      </c>
      <c r="T52" s="15">
        <f>AC45+Z46</f>
        <v>0.50479800000000008</v>
      </c>
      <c r="U52" s="76">
        <f>T52/X50</f>
        <v>5.1948519558583831E-2</v>
      </c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</row>
    <row r="53" spans="1:59"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15" t="s">
        <v>36</v>
      </c>
      <c r="T53" s="215">
        <f>Q43+N44</f>
        <v>7.7083199999999987</v>
      </c>
      <c r="U53" s="223">
        <f>T53/X50</f>
        <v>0.79325950634476128</v>
      </c>
      <c r="V53" s="215"/>
      <c r="W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</row>
    <row r="54" spans="1:59">
      <c r="D54" s="379"/>
      <c r="E54" s="379"/>
      <c r="F54" s="379"/>
      <c r="G54" s="379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15" t="s">
        <v>17</v>
      </c>
      <c r="T54" s="215">
        <f>SUM(T51:T53)</f>
        <v>8.2653799999999986</v>
      </c>
      <c r="U54" s="223">
        <f>SUM(U51:U53)</f>
        <v>0.85058628320462348</v>
      </c>
      <c r="V54" s="215"/>
      <c r="W54" s="215"/>
      <c r="X54" s="215"/>
      <c r="Y54" s="215"/>
      <c r="Z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</row>
    <row r="55" spans="1:59"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15" t="s">
        <v>37</v>
      </c>
      <c r="T55" s="145">
        <f>X50-T54</f>
        <v>1.4518940299312089</v>
      </c>
      <c r="U55" s="223">
        <f>T55/X50</f>
        <v>0.14941371679537654</v>
      </c>
      <c r="V55" s="215"/>
      <c r="W55" s="215"/>
      <c r="X55" s="215"/>
      <c r="Y55" s="215"/>
      <c r="Z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</row>
    <row r="56" spans="1:59">
      <c r="D56" s="215"/>
      <c r="E56" s="215"/>
      <c r="F56" s="215"/>
      <c r="G56" s="215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T56" s="215"/>
      <c r="U56" s="215"/>
      <c r="V56" s="215"/>
      <c r="W56" s="215"/>
      <c r="X56" s="215"/>
      <c r="Y56" s="215"/>
      <c r="Z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5"/>
      <c r="AY56" s="215"/>
      <c r="AZ56" s="215"/>
      <c r="BA56" s="215"/>
      <c r="BB56" s="215"/>
      <c r="BC56" s="215"/>
      <c r="BD56" s="215"/>
      <c r="BE56" s="215"/>
      <c r="BF56" s="215"/>
      <c r="BG56" s="215"/>
    </row>
    <row r="57" spans="1:59"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W57" s="215"/>
      <c r="X57" s="215"/>
      <c r="Y57" s="215"/>
      <c r="Z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15"/>
      <c r="BA57" s="215"/>
      <c r="BB57" s="215"/>
      <c r="BC57" s="215"/>
      <c r="BD57" s="215"/>
      <c r="BE57" s="215"/>
      <c r="BF57" s="215"/>
      <c r="BG57" s="215"/>
    </row>
    <row r="58" spans="1:59"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5"/>
      <c r="BG58" s="215"/>
    </row>
    <row r="59" spans="1:59">
      <c r="D59" s="215"/>
      <c r="E59" s="215"/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5"/>
      <c r="AY59" s="215"/>
      <c r="AZ59" s="215"/>
      <c r="BA59" s="215"/>
      <c r="BB59" s="215"/>
      <c r="BC59" s="215"/>
      <c r="BD59" s="215"/>
      <c r="BE59" s="215"/>
      <c r="BF59" s="215"/>
      <c r="BG59" s="215"/>
    </row>
    <row r="60" spans="1:59">
      <c r="D60" s="215"/>
      <c r="E60" s="215"/>
      <c r="F60" s="215"/>
      <c r="G60" s="215"/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  <c r="BD60" s="215"/>
      <c r="BE60" s="215"/>
      <c r="BF60" s="215"/>
      <c r="BG60" s="215"/>
    </row>
    <row r="61" spans="1:59"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5"/>
      <c r="AY61" s="215"/>
      <c r="AZ61" s="215"/>
      <c r="BA61" s="215"/>
      <c r="BB61" s="215"/>
      <c r="BC61" s="215"/>
      <c r="BD61" s="215"/>
      <c r="BE61" s="215"/>
      <c r="BF61" s="215"/>
      <c r="BG61" s="215"/>
    </row>
    <row r="62" spans="1:59">
      <c r="D62" s="215"/>
      <c r="E62" s="215"/>
      <c r="F62" s="215"/>
      <c r="G62" s="215"/>
      <c r="H62" s="215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5"/>
      <c r="AV62" s="215"/>
      <c r="AW62" s="215"/>
      <c r="AX62" s="215"/>
      <c r="AY62" s="215"/>
      <c r="AZ62" s="215"/>
      <c r="BA62" s="215"/>
      <c r="BB62" s="215"/>
      <c r="BC62" s="215"/>
      <c r="BD62" s="215"/>
      <c r="BE62" s="215"/>
      <c r="BF62" s="215"/>
      <c r="BG62" s="215"/>
    </row>
    <row r="63" spans="1:59"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15"/>
      <c r="BA63" s="215"/>
      <c r="BB63" s="215"/>
      <c r="BC63" s="215"/>
      <c r="BD63" s="215"/>
      <c r="BE63" s="215"/>
      <c r="BF63" s="215"/>
      <c r="BG63" s="215"/>
    </row>
    <row r="64" spans="1:59"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5"/>
      <c r="AU64" s="215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5"/>
      <c r="BG64" s="215"/>
    </row>
    <row r="65" spans="4:59"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5"/>
      <c r="BC65" s="215"/>
      <c r="BD65" s="215"/>
      <c r="BE65" s="215"/>
      <c r="BF65" s="215"/>
      <c r="BG65" s="215"/>
    </row>
    <row r="66" spans="4:59"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215"/>
      <c r="BC66" s="215"/>
      <c r="BD66" s="215"/>
      <c r="BE66" s="215"/>
      <c r="BF66" s="215"/>
      <c r="BG66" s="215"/>
    </row>
    <row r="67" spans="4:59">
      <c r="D67" s="215"/>
      <c r="E67" s="215"/>
      <c r="F67" s="215"/>
      <c r="G67" s="215"/>
      <c r="H67" s="215"/>
      <c r="I67" s="215"/>
      <c r="J67" s="215"/>
      <c r="K67" s="215"/>
      <c r="L67" s="215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5"/>
      <c r="BG67" s="215"/>
    </row>
    <row r="68" spans="4:59">
      <c r="D68" s="215"/>
      <c r="E68" s="215"/>
      <c r="F68" s="215"/>
      <c r="G68" s="215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/>
      <c r="BC68" s="215"/>
      <c r="BD68" s="215"/>
      <c r="BE68" s="215"/>
      <c r="BF68" s="215"/>
      <c r="BG68" s="215"/>
    </row>
    <row r="69" spans="4:59"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  <c r="BD69" s="215"/>
      <c r="BE69" s="215"/>
      <c r="BF69" s="215"/>
      <c r="BG69" s="215"/>
    </row>
    <row r="70" spans="4:59">
      <c r="D70" s="215"/>
      <c r="E70" s="215"/>
      <c r="F70" s="215"/>
      <c r="G70" s="215"/>
      <c r="H70" s="215"/>
      <c r="I70" s="215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5"/>
      <c r="BG70" s="215"/>
    </row>
    <row r="71" spans="4:59">
      <c r="D71" s="215"/>
      <c r="E71" s="215"/>
      <c r="F71" s="215"/>
      <c r="G71" s="215"/>
      <c r="H71" s="215"/>
      <c r="I71" s="215"/>
      <c r="J71" s="215"/>
      <c r="K71" s="215"/>
      <c r="L71" s="215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5"/>
      <c r="AU71" s="215"/>
      <c r="AV71" s="215"/>
      <c r="AW71" s="215"/>
      <c r="AX71" s="215"/>
      <c r="AY71" s="215"/>
      <c r="AZ71" s="215"/>
      <c r="BA71" s="215"/>
      <c r="BB71" s="215"/>
      <c r="BC71" s="215"/>
      <c r="BD71" s="215"/>
      <c r="BE71" s="215"/>
      <c r="BF71" s="215"/>
      <c r="BG71" s="215"/>
    </row>
    <row r="72" spans="4:59">
      <c r="D72" s="215"/>
      <c r="E72" s="215"/>
      <c r="F72" s="215"/>
      <c r="G72" s="215"/>
      <c r="H72" s="215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379"/>
      <c r="AX72" s="379"/>
      <c r="AY72" s="215"/>
      <c r="AZ72" s="215"/>
      <c r="BA72" s="215"/>
      <c r="BB72" s="215"/>
      <c r="BC72" s="215"/>
      <c r="BD72" s="215"/>
      <c r="BE72" s="215"/>
      <c r="BF72" s="215"/>
      <c r="BG72" s="215"/>
    </row>
    <row r="73" spans="4:59">
      <c r="D73" s="215"/>
      <c r="E73" s="215"/>
      <c r="F73" s="215"/>
      <c r="G73" s="215"/>
      <c r="H73" s="215"/>
      <c r="I73" s="215"/>
      <c r="J73" s="215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5"/>
      <c r="BG73" s="215"/>
    </row>
    <row r="74" spans="4:59">
      <c r="D74" s="215"/>
      <c r="E74" s="215"/>
      <c r="F74" s="215"/>
      <c r="G74" s="215"/>
      <c r="H74" s="215"/>
      <c r="I74" s="215"/>
      <c r="J74" s="215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5"/>
      <c r="AY74" s="215"/>
      <c r="AZ74" s="215"/>
      <c r="BA74" s="215"/>
      <c r="BB74" s="215"/>
      <c r="BC74" s="215"/>
      <c r="BD74" s="215"/>
      <c r="BE74" s="215"/>
      <c r="BF74" s="215"/>
      <c r="BG74" s="215"/>
    </row>
    <row r="75" spans="4:59"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15"/>
      <c r="BD75" s="215"/>
      <c r="BE75" s="215"/>
      <c r="BF75" s="215"/>
      <c r="BG75" s="215"/>
    </row>
    <row r="76" spans="4:59">
      <c r="D76" s="215"/>
      <c r="E76" s="215"/>
      <c r="F76" s="215"/>
      <c r="G76" s="215"/>
      <c r="H76" s="215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5"/>
      <c r="BG76" s="215"/>
    </row>
    <row r="77" spans="4:59">
      <c r="D77" s="215"/>
      <c r="E77" s="215"/>
      <c r="F77" s="215"/>
      <c r="G77" s="215"/>
      <c r="H77" s="215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215"/>
      <c r="AC77" s="215"/>
      <c r="AD77" s="215"/>
      <c r="AE77" s="215"/>
      <c r="AF77" s="215"/>
      <c r="AG77" s="215"/>
      <c r="AH77" s="215"/>
      <c r="AI77" s="215"/>
      <c r="AJ77" s="215"/>
      <c r="AK77" s="215"/>
      <c r="AL77" s="215"/>
      <c r="AM77" s="215"/>
      <c r="AN77" s="215"/>
      <c r="AO77" s="215"/>
      <c r="AP77" s="215"/>
      <c r="AQ77" s="215"/>
      <c r="AR77" s="215"/>
      <c r="AS77" s="215"/>
      <c r="AT77" s="215"/>
      <c r="AU77" s="215"/>
      <c r="AV77" s="215"/>
      <c r="AW77" s="215"/>
      <c r="AX77" s="215"/>
      <c r="AY77" s="215"/>
      <c r="AZ77" s="215"/>
      <c r="BA77" s="215"/>
      <c r="BB77" s="215"/>
      <c r="BC77" s="215"/>
      <c r="BD77" s="215"/>
      <c r="BE77" s="215"/>
      <c r="BF77" s="215"/>
      <c r="BG77" s="215"/>
    </row>
    <row r="78" spans="4:59">
      <c r="D78" s="215"/>
      <c r="E78" s="215"/>
      <c r="F78" s="215"/>
      <c r="G78" s="215"/>
      <c r="H78" s="215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15"/>
      <c r="AN78" s="215"/>
      <c r="AO78" s="215"/>
      <c r="AP78" s="215"/>
      <c r="AQ78" s="215"/>
      <c r="AR78" s="215"/>
      <c r="AS78" s="215"/>
      <c r="AT78" s="215"/>
      <c r="AU78" s="215"/>
      <c r="AV78" s="215"/>
      <c r="AW78" s="215"/>
      <c r="AX78" s="215"/>
      <c r="AY78" s="215"/>
      <c r="AZ78" s="215"/>
      <c r="BA78" s="215"/>
      <c r="BB78" s="215"/>
      <c r="BC78" s="215"/>
      <c r="BD78" s="215"/>
      <c r="BE78" s="215"/>
      <c r="BF78" s="215"/>
      <c r="BG78" s="215"/>
    </row>
    <row r="79" spans="4:59">
      <c r="D79" s="215"/>
      <c r="E79" s="215"/>
      <c r="F79" s="215"/>
      <c r="G79" s="215"/>
      <c r="H79" s="215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5"/>
      <c r="BG79" s="215"/>
    </row>
    <row r="80" spans="4:59"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5"/>
      <c r="AY80" s="215"/>
      <c r="AZ80" s="215"/>
      <c r="BA80" s="215"/>
      <c r="BB80" s="215"/>
      <c r="BC80" s="215"/>
      <c r="BD80" s="215"/>
      <c r="BE80" s="215"/>
      <c r="BF80" s="215"/>
      <c r="BG80" s="215"/>
    </row>
    <row r="81" spans="4:59">
      <c r="D81" s="215"/>
      <c r="E81" s="215"/>
      <c r="F81" s="215"/>
      <c r="G81" s="215"/>
      <c r="H81" s="215"/>
      <c r="I81" s="215"/>
      <c r="J81" s="215"/>
      <c r="K81" s="215"/>
      <c r="L81" s="215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5"/>
      <c r="AY81" s="215"/>
      <c r="AZ81" s="215"/>
      <c r="BA81" s="215"/>
      <c r="BB81" s="215"/>
      <c r="BC81" s="215"/>
      <c r="BD81" s="215"/>
      <c r="BE81" s="215"/>
      <c r="BF81" s="215"/>
      <c r="BG81" s="215"/>
    </row>
    <row r="82" spans="4:59">
      <c r="D82" s="215"/>
      <c r="E82" s="215"/>
      <c r="F82" s="215"/>
      <c r="G82" s="215"/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5"/>
      <c r="AY82" s="215"/>
      <c r="AZ82" s="215"/>
      <c r="BA82" s="215"/>
      <c r="BB82" s="215"/>
      <c r="BC82" s="215"/>
      <c r="BD82" s="215"/>
      <c r="BE82" s="215"/>
      <c r="BF82" s="215"/>
      <c r="BG82" s="215"/>
    </row>
    <row r="83" spans="4:59">
      <c r="D83" s="215"/>
      <c r="E83" s="215"/>
      <c r="F83" s="215"/>
      <c r="G83" s="215"/>
      <c r="H83" s="215"/>
      <c r="I83" s="215"/>
      <c r="J83" s="215"/>
      <c r="K83" s="215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5"/>
      <c r="AY83" s="215"/>
      <c r="AZ83" s="215"/>
      <c r="BA83" s="215"/>
      <c r="BB83" s="215"/>
      <c r="BC83" s="215"/>
      <c r="BD83" s="215"/>
      <c r="BE83" s="215"/>
      <c r="BF83" s="215"/>
      <c r="BG83" s="215"/>
    </row>
    <row r="84" spans="4:59">
      <c r="D84" s="215"/>
      <c r="E84" s="215"/>
      <c r="F84" s="215"/>
      <c r="G84" s="215"/>
      <c r="H84" s="215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15"/>
      <c r="AU84" s="215"/>
      <c r="AV84" s="215"/>
      <c r="AW84" s="215"/>
      <c r="AX84" s="215"/>
      <c r="AY84" s="215"/>
      <c r="AZ84" s="215"/>
      <c r="BA84" s="215"/>
      <c r="BB84" s="215"/>
      <c r="BC84" s="215"/>
      <c r="BD84" s="215"/>
      <c r="BE84" s="215"/>
      <c r="BF84" s="215"/>
      <c r="BG84" s="215"/>
    </row>
    <row r="85" spans="4:59">
      <c r="D85" s="215"/>
      <c r="E85" s="215"/>
      <c r="F85" s="215"/>
      <c r="G85" s="215"/>
      <c r="H85" s="215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215"/>
      <c r="AC85" s="215"/>
      <c r="AD85" s="215"/>
      <c r="AE85" s="215"/>
      <c r="AF85" s="215"/>
      <c r="AG85" s="215"/>
      <c r="AH85" s="215"/>
      <c r="AI85" s="215"/>
      <c r="AJ85" s="215"/>
      <c r="AK85" s="215"/>
      <c r="AL85" s="215"/>
      <c r="AM85" s="215"/>
      <c r="AN85" s="215"/>
      <c r="AO85" s="215"/>
      <c r="AP85" s="215"/>
      <c r="AQ85" s="215"/>
      <c r="AR85" s="215"/>
      <c r="AS85" s="215"/>
      <c r="AT85" s="215"/>
      <c r="AU85" s="215"/>
      <c r="AV85" s="215"/>
      <c r="AW85" s="215"/>
      <c r="AX85" s="215"/>
      <c r="AY85" s="215"/>
      <c r="AZ85" s="215"/>
      <c r="BA85" s="215"/>
      <c r="BB85" s="215"/>
      <c r="BC85" s="215"/>
      <c r="BD85" s="215"/>
      <c r="BE85" s="215"/>
      <c r="BF85" s="215"/>
      <c r="BG85" s="215"/>
    </row>
    <row r="86" spans="4:59">
      <c r="D86" s="215"/>
      <c r="E86" s="215"/>
      <c r="F86" s="215"/>
      <c r="G86" s="215"/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  <c r="AJ86" s="215"/>
      <c r="AK86" s="215"/>
      <c r="AL86" s="215"/>
      <c r="AM86" s="215"/>
      <c r="AN86" s="215"/>
      <c r="AO86" s="215"/>
      <c r="AP86" s="215"/>
      <c r="AQ86" s="215"/>
      <c r="AR86" s="215"/>
      <c r="AS86" s="215"/>
      <c r="AT86" s="215"/>
      <c r="AU86" s="215"/>
      <c r="AV86" s="215"/>
      <c r="AW86" s="215"/>
      <c r="AX86" s="215"/>
      <c r="AY86" s="215"/>
      <c r="AZ86" s="215"/>
      <c r="BA86" s="215"/>
      <c r="BB86" s="215"/>
      <c r="BC86" s="215"/>
      <c r="BD86" s="215"/>
      <c r="BE86" s="215"/>
      <c r="BF86" s="215"/>
      <c r="BG86" s="215"/>
    </row>
    <row r="87" spans="4:59"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15"/>
      <c r="AU87" s="215"/>
      <c r="AV87" s="215"/>
      <c r="AW87" s="215"/>
      <c r="AX87" s="215"/>
      <c r="AY87" s="215"/>
      <c r="AZ87" s="215"/>
      <c r="BA87" s="215"/>
      <c r="BB87" s="215"/>
      <c r="BC87" s="215"/>
      <c r="BD87" s="215"/>
      <c r="BE87" s="215"/>
      <c r="BF87" s="215"/>
      <c r="BG87" s="215"/>
    </row>
    <row r="88" spans="4:59"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5"/>
      <c r="AY88" s="215"/>
      <c r="AZ88" s="215"/>
      <c r="BA88" s="215"/>
      <c r="BB88" s="215"/>
      <c r="BC88" s="215"/>
      <c r="BD88" s="215"/>
      <c r="BE88" s="215"/>
      <c r="BF88" s="215"/>
      <c r="BG88" s="215"/>
    </row>
    <row r="89" spans="4:59"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  <c r="BD89" s="215"/>
      <c r="BE89" s="215"/>
      <c r="BF89" s="215"/>
      <c r="BG89" s="215"/>
    </row>
    <row r="90" spans="4:59"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5"/>
      <c r="AY90" s="215"/>
      <c r="AZ90" s="215"/>
      <c r="BA90" s="215"/>
      <c r="BB90" s="215"/>
      <c r="BC90" s="215"/>
      <c r="BD90" s="215"/>
      <c r="BE90" s="215"/>
      <c r="BF90" s="215"/>
      <c r="BG90" s="215"/>
    </row>
    <row r="91" spans="4:59"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5"/>
      <c r="BG91" s="215"/>
    </row>
    <row r="92" spans="4:59"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5"/>
      <c r="AY92" s="215"/>
      <c r="AZ92" s="215"/>
      <c r="BA92" s="215"/>
      <c r="BB92" s="215"/>
      <c r="BC92" s="215"/>
      <c r="BD92" s="215"/>
      <c r="BE92" s="215"/>
      <c r="BF92" s="215"/>
      <c r="BG92" s="215"/>
    </row>
    <row r="93" spans="4:59"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/>
      <c r="BC93" s="215"/>
      <c r="BD93" s="215"/>
      <c r="BE93" s="215"/>
      <c r="BF93" s="215"/>
      <c r="BG93" s="215"/>
    </row>
    <row r="94" spans="4:59"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  <c r="AI94" s="215"/>
      <c r="AJ94" s="215"/>
      <c r="AK94" s="215"/>
      <c r="AL94" s="215"/>
      <c r="AM94" s="215"/>
      <c r="AN94" s="215"/>
      <c r="AO94" s="215"/>
      <c r="AP94" s="215"/>
      <c r="AQ94" s="215"/>
      <c r="AR94" s="215"/>
      <c r="AS94" s="215"/>
      <c r="AT94" s="215"/>
      <c r="AU94" s="215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5"/>
      <c r="BG94" s="215"/>
    </row>
    <row r="95" spans="4:59">
      <c r="D95" s="215"/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5"/>
      <c r="AU95" s="215"/>
      <c r="AV95" s="215"/>
      <c r="AW95" s="215"/>
      <c r="AX95" s="215"/>
      <c r="AY95" s="215"/>
      <c r="AZ95" s="215"/>
      <c r="BA95" s="215"/>
      <c r="BB95" s="215"/>
      <c r="BC95" s="215"/>
      <c r="BD95" s="215"/>
      <c r="BE95" s="215"/>
      <c r="BF95" s="215"/>
      <c r="BG95" s="215"/>
    </row>
    <row r="96" spans="4:59"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15"/>
      <c r="AU96" s="215"/>
      <c r="AV96" s="215"/>
      <c r="AW96" s="215"/>
      <c r="AX96" s="215"/>
      <c r="AY96" s="215"/>
      <c r="AZ96" s="215"/>
      <c r="BA96" s="215"/>
      <c r="BB96" s="215"/>
      <c r="BC96" s="215"/>
      <c r="BD96" s="215"/>
      <c r="BE96" s="215"/>
      <c r="BF96" s="215"/>
      <c r="BG96" s="215"/>
    </row>
    <row r="97" spans="4:59">
      <c r="D97" s="215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5"/>
      <c r="AU97" s="215"/>
      <c r="AV97" s="215"/>
      <c r="AW97" s="215"/>
      <c r="AX97" s="215"/>
      <c r="AY97" s="215"/>
      <c r="AZ97" s="215"/>
      <c r="BA97" s="215"/>
      <c r="BB97" s="215"/>
      <c r="BC97" s="215"/>
      <c r="BD97" s="215"/>
      <c r="BE97" s="215"/>
      <c r="BF97" s="215"/>
      <c r="BG97" s="215"/>
    </row>
    <row r="98" spans="4:59"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15"/>
      <c r="AM98" s="215"/>
      <c r="AN98" s="215"/>
      <c r="AO98" s="215"/>
      <c r="AP98" s="215"/>
      <c r="AQ98" s="215"/>
      <c r="AR98" s="215"/>
      <c r="AS98" s="215"/>
      <c r="AT98" s="215"/>
      <c r="AU98" s="215"/>
      <c r="AV98" s="215"/>
      <c r="AW98" s="215"/>
      <c r="AX98" s="215"/>
      <c r="AY98" s="215"/>
      <c r="AZ98" s="215"/>
      <c r="BA98" s="215"/>
      <c r="BB98" s="215"/>
      <c r="BC98" s="215"/>
      <c r="BD98" s="215"/>
      <c r="BE98" s="215"/>
      <c r="BF98" s="215"/>
      <c r="BG98" s="215"/>
    </row>
    <row r="99" spans="4:59">
      <c r="D99" s="215"/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5"/>
      <c r="AY99" s="215"/>
      <c r="AZ99" s="215"/>
      <c r="BA99" s="215"/>
      <c r="BB99" s="215"/>
      <c r="BC99" s="215"/>
      <c r="BD99" s="215"/>
      <c r="BE99" s="215"/>
      <c r="BF99" s="215"/>
      <c r="BG99" s="215"/>
    </row>
    <row r="100" spans="4:59">
      <c r="D100" s="215"/>
      <c r="E100" s="215"/>
      <c r="F100" s="215"/>
      <c r="G100" s="215"/>
      <c r="H100" s="215"/>
      <c r="I100" s="215"/>
      <c r="J100" s="215"/>
      <c r="K100" s="215"/>
      <c r="L100" s="215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215"/>
      <c r="BF100" s="215"/>
      <c r="BG100" s="215"/>
    </row>
    <row r="101" spans="4:59">
      <c r="D101" s="215"/>
      <c r="E101" s="215"/>
      <c r="F101" s="215"/>
      <c r="G101" s="215"/>
      <c r="H101" s="215"/>
      <c r="I101" s="215"/>
      <c r="J101" s="215"/>
      <c r="K101" s="215"/>
      <c r="L101" s="215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15"/>
      <c r="AM101" s="215"/>
      <c r="AN101" s="215"/>
      <c r="AO101" s="215"/>
      <c r="AP101" s="215"/>
      <c r="AQ101" s="215"/>
      <c r="AR101" s="215"/>
      <c r="AS101" s="215"/>
      <c r="AT101" s="215"/>
      <c r="AU101" s="215"/>
      <c r="AV101" s="215"/>
      <c r="AW101" s="215"/>
      <c r="AX101" s="215"/>
      <c r="AY101" s="215"/>
      <c r="AZ101" s="215"/>
      <c r="BA101" s="215"/>
      <c r="BB101" s="215"/>
      <c r="BC101" s="215"/>
      <c r="BD101" s="215"/>
      <c r="BE101" s="215"/>
      <c r="BF101" s="215"/>
      <c r="BG101" s="215"/>
    </row>
    <row r="102" spans="4:59">
      <c r="D102" s="215"/>
      <c r="E102" s="215"/>
      <c r="F102" s="215"/>
      <c r="G102" s="215"/>
      <c r="H102" s="215"/>
      <c r="I102" s="215"/>
      <c r="J102" s="215"/>
      <c r="K102" s="215"/>
      <c r="L102" s="215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215"/>
      <c r="AC102" s="215"/>
      <c r="AD102" s="215"/>
      <c r="AE102" s="215"/>
      <c r="AF102" s="215"/>
      <c r="AG102" s="215"/>
      <c r="AH102" s="215"/>
      <c r="AI102" s="215"/>
      <c r="AJ102" s="215"/>
      <c r="AK102" s="215"/>
      <c r="AL102" s="215"/>
      <c r="AM102" s="215"/>
      <c r="AN102" s="215"/>
      <c r="AO102" s="215"/>
      <c r="AP102" s="215"/>
      <c r="AQ102" s="215"/>
      <c r="AR102" s="215"/>
      <c r="AS102" s="215"/>
      <c r="AT102" s="215"/>
      <c r="AU102" s="215"/>
      <c r="AV102" s="215"/>
      <c r="AW102" s="215"/>
      <c r="AX102" s="215"/>
      <c r="AY102" s="215"/>
      <c r="AZ102" s="215"/>
      <c r="BA102" s="215"/>
      <c r="BB102" s="215"/>
      <c r="BC102" s="215"/>
      <c r="BD102" s="215"/>
      <c r="BE102" s="215"/>
      <c r="BF102" s="215"/>
      <c r="BG102" s="215"/>
    </row>
    <row r="103" spans="4:59">
      <c r="D103" s="215"/>
      <c r="E103" s="215"/>
      <c r="F103" s="215"/>
      <c r="G103" s="215"/>
      <c r="H103" s="215"/>
      <c r="I103" s="215"/>
      <c r="J103" s="215"/>
      <c r="K103" s="215"/>
      <c r="L103" s="215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215"/>
      <c r="AK103" s="215"/>
      <c r="AL103" s="215"/>
      <c r="AM103" s="215"/>
      <c r="AN103" s="215"/>
      <c r="AO103" s="215"/>
      <c r="AP103" s="215"/>
      <c r="AQ103" s="215"/>
      <c r="AR103" s="215"/>
      <c r="AS103" s="215"/>
      <c r="AT103" s="215"/>
      <c r="AU103" s="215"/>
      <c r="AV103" s="215"/>
      <c r="AW103" s="215"/>
      <c r="AX103" s="215"/>
      <c r="AY103" s="215"/>
      <c r="AZ103" s="215"/>
      <c r="BA103" s="215"/>
      <c r="BB103" s="215"/>
      <c r="BC103" s="215"/>
      <c r="BD103" s="215"/>
      <c r="BE103" s="215"/>
      <c r="BF103" s="215"/>
      <c r="BG103" s="215"/>
    </row>
    <row r="104" spans="4:59">
      <c r="D104" s="215"/>
      <c r="E104" s="215"/>
      <c r="F104" s="215"/>
      <c r="G104" s="215"/>
      <c r="H104" s="215"/>
      <c r="I104" s="215"/>
      <c r="J104" s="215"/>
      <c r="K104" s="215"/>
      <c r="L104" s="215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5"/>
      <c r="AU104" s="215"/>
      <c r="AV104" s="215"/>
      <c r="AW104" s="215"/>
      <c r="AX104" s="215"/>
      <c r="AY104" s="215"/>
      <c r="AZ104" s="215"/>
      <c r="BA104" s="215"/>
      <c r="BB104" s="215"/>
      <c r="BC104" s="215"/>
      <c r="BD104" s="215"/>
      <c r="BE104" s="215"/>
      <c r="BF104" s="215"/>
      <c r="BG104" s="215"/>
    </row>
    <row r="105" spans="4:59">
      <c r="D105" s="215"/>
      <c r="E105" s="215"/>
      <c r="F105" s="215"/>
      <c r="G105" s="215"/>
      <c r="H105" s="215"/>
      <c r="I105" s="215"/>
      <c r="J105" s="215"/>
      <c r="K105" s="215"/>
      <c r="L105" s="215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  <c r="AB105" s="215"/>
      <c r="AC105" s="215"/>
      <c r="AD105" s="215"/>
      <c r="AE105" s="215"/>
      <c r="AF105" s="215"/>
      <c r="AG105" s="215"/>
      <c r="AH105" s="215"/>
      <c r="AI105" s="215"/>
      <c r="AJ105" s="215"/>
      <c r="AK105" s="215"/>
      <c r="AL105" s="215"/>
      <c r="AM105" s="215"/>
      <c r="AN105" s="215"/>
      <c r="AO105" s="215"/>
      <c r="AP105" s="215"/>
      <c r="AQ105" s="215"/>
      <c r="AR105" s="215"/>
      <c r="AS105" s="215"/>
      <c r="AT105" s="215"/>
      <c r="AU105" s="215"/>
      <c r="AV105" s="215"/>
      <c r="AW105" s="215"/>
      <c r="AX105" s="215"/>
      <c r="AY105" s="215"/>
      <c r="AZ105" s="215"/>
      <c r="BA105" s="215"/>
      <c r="BB105" s="215"/>
      <c r="BC105" s="215"/>
      <c r="BD105" s="215"/>
      <c r="BE105" s="215"/>
      <c r="BF105" s="215"/>
      <c r="BG105" s="215"/>
    </row>
    <row r="106" spans="4:59">
      <c r="D106" s="215"/>
      <c r="E106" s="215"/>
      <c r="F106" s="215"/>
      <c r="G106" s="215"/>
      <c r="H106" s="215"/>
      <c r="I106" s="215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15"/>
      <c r="AM106" s="215"/>
      <c r="AN106" s="215"/>
      <c r="AO106" s="215"/>
      <c r="AP106" s="215"/>
      <c r="AQ106" s="215"/>
      <c r="AR106" s="215"/>
      <c r="AS106" s="215"/>
      <c r="AT106" s="215"/>
      <c r="AU106" s="215"/>
      <c r="AV106" s="215"/>
      <c r="AW106" s="215"/>
      <c r="AX106" s="215"/>
      <c r="AY106" s="215"/>
      <c r="AZ106" s="215"/>
      <c r="BA106" s="215"/>
      <c r="BB106" s="215"/>
      <c r="BC106" s="215"/>
      <c r="BD106" s="215"/>
      <c r="BE106" s="215"/>
      <c r="BF106" s="215"/>
      <c r="BG106" s="215"/>
    </row>
    <row r="107" spans="4:59">
      <c r="D107" s="215"/>
      <c r="E107" s="215"/>
      <c r="F107" s="215"/>
      <c r="G107" s="215"/>
      <c r="H107" s="215"/>
      <c r="I107" s="215"/>
      <c r="J107" s="215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  <c r="AB107" s="215"/>
      <c r="AC107" s="215"/>
      <c r="AD107" s="215"/>
      <c r="AE107" s="215"/>
      <c r="AF107" s="215"/>
      <c r="AG107" s="215"/>
      <c r="AH107" s="215"/>
      <c r="AI107" s="215"/>
      <c r="AJ107" s="215"/>
      <c r="AK107" s="215"/>
      <c r="AL107" s="215"/>
      <c r="AM107" s="215"/>
      <c r="AN107" s="215"/>
      <c r="AO107" s="215"/>
      <c r="AP107" s="215"/>
      <c r="AQ107" s="215"/>
      <c r="AR107" s="215"/>
      <c r="AS107" s="215"/>
      <c r="AT107" s="215"/>
      <c r="AU107" s="215"/>
      <c r="AV107" s="215"/>
      <c r="AW107" s="215"/>
      <c r="AX107" s="215"/>
      <c r="AY107" s="215"/>
      <c r="AZ107" s="215"/>
      <c r="BA107" s="215"/>
      <c r="BB107" s="215"/>
      <c r="BC107" s="215"/>
      <c r="BD107" s="215"/>
      <c r="BE107" s="215"/>
      <c r="BF107" s="215"/>
      <c r="BG107" s="215"/>
    </row>
    <row r="108" spans="4:59">
      <c r="D108" s="215"/>
      <c r="E108" s="215"/>
      <c r="F108" s="215"/>
      <c r="G108" s="215"/>
      <c r="H108" s="215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15"/>
      <c r="AM108" s="215"/>
      <c r="AN108" s="215"/>
      <c r="AO108" s="215"/>
      <c r="AP108" s="215"/>
      <c r="AQ108" s="215"/>
      <c r="AR108" s="215"/>
      <c r="AS108" s="215"/>
      <c r="AT108" s="215"/>
      <c r="AU108" s="215"/>
      <c r="AV108" s="215"/>
      <c r="AW108" s="215"/>
      <c r="AX108" s="215"/>
      <c r="AY108" s="215"/>
      <c r="AZ108" s="215"/>
      <c r="BA108" s="215"/>
      <c r="BB108" s="215"/>
      <c r="BC108" s="215"/>
      <c r="BD108" s="215"/>
      <c r="BE108" s="215"/>
      <c r="BF108" s="215"/>
      <c r="BG108" s="215"/>
    </row>
    <row r="109" spans="4:59">
      <c r="D109" s="215"/>
      <c r="E109" s="215"/>
      <c r="F109" s="215"/>
      <c r="G109" s="215"/>
      <c r="H109" s="215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  <c r="AB109" s="215"/>
      <c r="AC109" s="215"/>
      <c r="AD109" s="215"/>
      <c r="AE109" s="215"/>
      <c r="AF109" s="215"/>
      <c r="AG109" s="215"/>
      <c r="AH109" s="215"/>
      <c r="AI109" s="215"/>
      <c r="AJ109" s="215"/>
      <c r="AK109" s="215"/>
      <c r="AL109" s="215"/>
      <c r="AM109" s="215"/>
      <c r="AN109" s="215"/>
      <c r="AO109" s="215"/>
      <c r="AP109" s="215"/>
      <c r="AQ109" s="215"/>
      <c r="AR109" s="215"/>
      <c r="AS109" s="215"/>
      <c r="AT109" s="215"/>
      <c r="AU109" s="215"/>
      <c r="AV109" s="215"/>
      <c r="AW109" s="215"/>
      <c r="AX109" s="215"/>
      <c r="AY109" s="215"/>
      <c r="AZ109" s="215"/>
      <c r="BA109" s="215"/>
      <c r="BB109" s="215"/>
      <c r="BC109" s="215"/>
      <c r="BD109" s="215"/>
      <c r="BE109" s="215"/>
      <c r="BF109" s="215"/>
      <c r="BG109" s="215"/>
    </row>
    <row r="110" spans="4:59">
      <c r="D110" s="215"/>
      <c r="E110" s="215"/>
      <c r="F110" s="215"/>
      <c r="G110" s="215"/>
      <c r="H110" s="215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  <c r="AB110" s="215"/>
      <c r="AC110" s="215"/>
      <c r="AD110" s="215"/>
      <c r="AE110" s="215"/>
      <c r="AF110" s="215"/>
      <c r="AG110" s="215"/>
      <c r="AH110" s="215"/>
      <c r="AI110" s="215"/>
      <c r="AJ110" s="215"/>
      <c r="AK110" s="215"/>
      <c r="AL110" s="215"/>
      <c r="AM110" s="215"/>
      <c r="AN110" s="215"/>
      <c r="AO110" s="215"/>
      <c r="AP110" s="215"/>
      <c r="AQ110" s="215"/>
      <c r="AR110" s="215"/>
      <c r="AS110" s="215"/>
      <c r="AT110" s="215"/>
      <c r="AU110" s="215"/>
      <c r="AV110" s="215"/>
      <c r="AW110" s="215"/>
      <c r="AX110" s="215"/>
      <c r="AY110" s="215"/>
      <c r="AZ110" s="215"/>
      <c r="BA110" s="215"/>
      <c r="BB110" s="215"/>
      <c r="BC110" s="215"/>
      <c r="BD110" s="215"/>
      <c r="BE110" s="215"/>
      <c r="BF110" s="215"/>
      <c r="BG110" s="215"/>
    </row>
    <row r="111" spans="4:59">
      <c r="D111" s="215"/>
      <c r="E111" s="215"/>
      <c r="F111" s="215"/>
      <c r="G111" s="215"/>
      <c r="H111" s="215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215"/>
      <c r="AC111" s="215"/>
      <c r="AD111" s="215"/>
      <c r="AE111" s="215"/>
      <c r="AF111" s="215"/>
      <c r="AG111" s="215"/>
      <c r="AH111" s="215"/>
      <c r="AI111" s="215"/>
      <c r="AJ111" s="215"/>
      <c r="AK111" s="215"/>
      <c r="AL111" s="215"/>
      <c r="AM111" s="215"/>
      <c r="AN111" s="215"/>
      <c r="AO111" s="215"/>
      <c r="AP111" s="215"/>
      <c r="AQ111" s="215"/>
      <c r="AR111" s="215"/>
      <c r="AS111" s="215"/>
      <c r="AT111" s="215"/>
      <c r="AU111" s="215"/>
      <c r="AV111" s="215"/>
      <c r="AW111" s="215"/>
      <c r="AX111" s="215"/>
      <c r="AY111" s="215"/>
      <c r="AZ111" s="215"/>
      <c r="BA111" s="215"/>
      <c r="BB111" s="215"/>
      <c r="BC111" s="215"/>
      <c r="BD111" s="215"/>
      <c r="BE111" s="215"/>
      <c r="BF111" s="215"/>
      <c r="BG111" s="215"/>
    </row>
    <row r="112" spans="4:59">
      <c r="D112" s="215"/>
      <c r="E112" s="215"/>
      <c r="F112" s="215"/>
      <c r="G112" s="215"/>
      <c r="H112" s="215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  <c r="AB112" s="215"/>
      <c r="AC112" s="215"/>
      <c r="AD112" s="215"/>
      <c r="AE112" s="215"/>
      <c r="AF112" s="215"/>
      <c r="AG112" s="215"/>
      <c r="AH112" s="215"/>
      <c r="AI112" s="215"/>
      <c r="AJ112" s="215"/>
      <c r="AK112" s="215"/>
      <c r="AL112" s="215"/>
      <c r="AM112" s="215"/>
      <c r="AN112" s="215"/>
      <c r="AO112" s="215"/>
      <c r="AP112" s="215"/>
      <c r="AQ112" s="215"/>
      <c r="AR112" s="215"/>
      <c r="AS112" s="215"/>
      <c r="AT112" s="215"/>
      <c r="AU112" s="215"/>
      <c r="AV112" s="215"/>
      <c r="AW112" s="215"/>
      <c r="AX112" s="215"/>
      <c r="AY112" s="215"/>
      <c r="AZ112" s="215"/>
      <c r="BA112" s="215"/>
      <c r="BB112" s="215"/>
      <c r="BC112" s="215"/>
      <c r="BD112" s="215"/>
      <c r="BE112" s="215"/>
      <c r="BF112" s="215"/>
      <c r="BG112" s="215"/>
    </row>
    <row r="113" spans="4:61">
      <c r="D113" s="215"/>
      <c r="E113" s="215"/>
      <c r="F113" s="215"/>
      <c r="G113" s="215"/>
      <c r="H113" s="215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  <c r="AH113" s="215"/>
      <c r="AI113" s="215"/>
      <c r="AJ113" s="215"/>
      <c r="AK113" s="215"/>
      <c r="AL113" s="215"/>
      <c r="AM113" s="215"/>
      <c r="AN113" s="215"/>
      <c r="AO113" s="215"/>
      <c r="AP113" s="215"/>
      <c r="AQ113" s="215"/>
      <c r="AR113" s="215"/>
      <c r="AS113" s="215"/>
      <c r="AT113" s="215"/>
      <c r="AU113" s="215"/>
      <c r="AV113" s="215"/>
      <c r="AW113" s="215"/>
      <c r="AX113" s="215"/>
      <c r="AY113" s="215"/>
      <c r="AZ113" s="215"/>
      <c r="BA113" s="215"/>
      <c r="BB113" s="215"/>
      <c r="BC113" s="215"/>
      <c r="BD113" s="215"/>
      <c r="BE113" s="215"/>
      <c r="BF113" s="215"/>
      <c r="BG113" s="215"/>
    </row>
    <row r="114" spans="4:61">
      <c r="D114" s="215"/>
      <c r="E114" s="215"/>
      <c r="F114" s="215"/>
      <c r="G114" s="215"/>
      <c r="H114" s="215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  <c r="AH114" s="215"/>
      <c r="AI114" s="215"/>
      <c r="AJ114" s="215"/>
      <c r="AK114" s="215"/>
      <c r="AL114" s="215"/>
      <c r="AM114" s="215"/>
      <c r="AN114" s="215"/>
      <c r="AO114" s="215"/>
      <c r="AP114" s="215"/>
      <c r="AQ114" s="215"/>
      <c r="AR114" s="215"/>
      <c r="AS114" s="215"/>
      <c r="AT114" s="215"/>
      <c r="AU114" s="215"/>
      <c r="AV114" s="215"/>
      <c r="AW114" s="215"/>
      <c r="AX114" s="215"/>
      <c r="AY114" s="215"/>
      <c r="AZ114" s="215"/>
      <c r="BA114" s="215"/>
      <c r="BB114" s="215"/>
      <c r="BC114" s="215"/>
      <c r="BD114" s="215"/>
      <c r="BE114" s="215"/>
      <c r="BF114" s="215"/>
      <c r="BG114" s="215"/>
    </row>
    <row r="115" spans="4:61"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15"/>
      <c r="AM115" s="215"/>
      <c r="AN115" s="215"/>
      <c r="AO115" s="215"/>
      <c r="AP115" s="215"/>
      <c r="AQ115" s="215"/>
      <c r="AR115" s="215"/>
      <c r="AS115" s="215"/>
      <c r="AT115" s="215"/>
      <c r="AU115" s="215"/>
      <c r="AV115" s="215"/>
      <c r="AW115" s="215"/>
      <c r="AX115" s="215"/>
      <c r="AY115" s="215"/>
      <c r="AZ115" s="215"/>
      <c r="BA115" s="215"/>
      <c r="BB115" s="215"/>
      <c r="BC115" s="215"/>
      <c r="BD115" s="215"/>
      <c r="BE115" s="215"/>
      <c r="BF115" s="215"/>
      <c r="BG115" s="215"/>
      <c r="BH115" s="27"/>
      <c r="BI115" s="27"/>
    </row>
    <row r="116" spans="4:61">
      <c r="D116" s="215"/>
      <c r="E116" s="215"/>
      <c r="F116" s="215"/>
      <c r="G116" s="215"/>
      <c r="H116" s="215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15"/>
      <c r="AM116" s="215"/>
      <c r="AN116" s="215"/>
      <c r="AO116" s="215"/>
      <c r="AP116" s="215"/>
      <c r="AQ116" s="215"/>
      <c r="AR116" s="215"/>
      <c r="AS116" s="215"/>
      <c r="AT116" s="215"/>
      <c r="AU116" s="215"/>
      <c r="AV116" s="215"/>
      <c r="AW116" s="215"/>
      <c r="AX116" s="215"/>
      <c r="AY116" s="215"/>
      <c r="AZ116" s="215"/>
      <c r="BA116" s="215"/>
      <c r="BB116" s="215"/>
      <c r="BC116" s="215"/>
      <c r="BD116" s="215"/>
      <c r="BE116" s="215"/>
      <c r="BF116" s="215"/>
      <c r="BG116" s="215"/>
      <c r="BI116" s="22"/>
    </row>
    <row r="117" spans="4:61">
      <c r="D117" s="215"/>
      <c r="E117" s="215"/>
      <c r="F117" s="215"/>
      <c r="G117" s="215"/>
      <c r="H117" s="215"/>
      <c r="I117" s="215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  <c r="AB117" s="215"/>
      <c r="AC117" s="215"/>
      <c r="AD117" s="215"/>
      <c r="AE117" s="215"/>
      <c r="AF117" s="215"/>
      <c r="AG117" s="215"/>
      <c r="AH117" s="215"/>
      <c r="AI117" s="215"/>
      <c r="AJ117" s="215"/>
      <c r="AK117" s="215"/>
      <c r="AL117" s="215"/>
      <c r="AM117" s="215"/>
      <c r="AN117" s="215"/>
      <c r="AO117" s="215"/>
      <c r="AP117" s="215"/>
      <c r="AQ117" s="215"/>
      <c r="AR117" s="215"/>
      <c r="AS117" s="215"/>
      <c r="AT117" s="215"/>
      <c r="AU117" s="215"/>
      <c r="AV117" s="215"/>
      <c r="AW117" s="215"/>
      <c r="AX117" s="215"/>
      <c r="AY117" s="215"/>
      <c r="AZ117" s="215"/>
      <c r="BA117" s="215"/>
      <c r="BB117" s="215"/>
      <c r="BC117" s="215"/>
      <c r="BD117" s="215"/>
      <c r="BE117" s="215"/>
      <c r="BF117" s="215"/>
      <c r="BG117" s="215"/>
    </row>
    <row r="118" spans="4:61">
      <c r="D118" s="215"/>
      <c r="E118" s="215"/>
      <c r="F118" s="215"/>
      <c r="G118" s="215"/>
      <c r="H118" s="215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  <c r="AB118" s="215"/>
      <c r="AC118" s="215"/>
      <c r="AD118" s="215"/>
      <c r="AE118" s="215"/>
      <c r="AF118" s="215"/>
      <c r="AG118" s="215"/>
      <c r="AH118" s="215"/>
      <c r="AI118" s="215"/>
      <c r="AJ118" s="215"/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5"/>
      <c r="AW118" s="215"/>
      <c r="AX118" s="215"/>
      <c r="AY118" s="215"/>
      <c r="AZ118" s="215"/>
      <c r="BA118" s="215"/>
      <c r="BB118" s="215"/>
      <c r="BC118" s="215"/>
      <c r="BD118" s="215"/>
      <c r="BE118" s="215"/>
      <c r="BF118" s="215"/>
      <c r="BG118" s="215"/>
      <c r="BH118" s="56"/>
    </row>
    <row r="119" spans="4:61">
      <c r="D119" s="215"/>
      <c r="E119" s="215"/>
      <c r="F119" s="215"/>
      <c r="G119" s="215"/>
      <c r="H119" s="215"/>
      <c r="I119" s="215"/>
      <c r="J119" s="215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  <c r="AH119" s="215"/>
      <c r="AI119" s="215"/>
      <c r="AJ119" s="215"/>
      <c r="AK119" s="215"/>
      <c r="AL119" s="215"/>
      <c r="AM119" s="215"/>
      <c r="AN119" s="215"/>
      <c r="AO119" s="215"/>
      <c r="AP119" s="215"/>
      <c r="AQ119" s="215"/>
      <c r="AR119" s="215"/>
      <c r="AS119" s="215"/>
      <c r="AT119" s="215"/>
      <c r="AU119" s="215"/>
      <c r="AV119" s="215"/>
      <c r="AW119" s="215"/>
      <c r="AX119" s="215"/>
      <c r="AY119" s="215"/>
      <c r="AZ119" s="215"/>
      <c r="BA119" s="215"/>
      <c r="BB119" s="215"/>
      <c r="BC119" s="215"/>
      <c r="BD119" s="215"/>
      <c r="BE119" s="215"/>
      <c r="BF119" s="215"/>
      <c r="BG119" s="215"/>
    </row>
    <row r="120" spans="4:61">
      <c r="D120" s="215"/>
      <c r="E120" s="215"/>
      <c r="F120" s="215"/>
      <c r="G120" s="215"/>
      <c r="H120" s="215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15"/>
      <c r="AM120" s="215"/>
      <c r="AN120" s="215"/>
      <c r="AO120" s="215"/>
      <c r="AP120" s="215"/>
      <c r="AQ120" s="215"/>
      <c r="AR120" s="215"/>
      <c r="AS120" s="215"/>
      <c r="AT120" s="215"/>
      <c r="AU120" s="215"/>
      <c r="AV120" s="215"/>
      <c r="AW120" s="215"/>
      <c r="AX120" s="215"/>
      <c r="AY120" s="215"/>
      <c r="AZ120" s="215"/>
      <c r="BA120" s="215"/>
      <c r="BB120" s="215"/>
      <c r="BC120" s="215"/>
      <c r="BD120" s="215"/>
      <c r="BE120" s="215"/>
      <c r="BF120" s="215"/>
      <c r="BG120" s="215"/>
    </row>
    <row r="121" spans="4:61"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215"/>
      <c r="AC121" s="215"/>
      <c r="AD121" s="215"/>
      <c r="AE121" s="215"/>
      <c r="AF121" s="215"/>
      <c r="AG121" s="215"/>
      <c r="AH121" s="215"/>
      <c r="AI121" s="215"/>
      <c r="AJ121" s="215"/>
      <c r="AK121" s="215"/>
      <c r="AL121" s="215"/>
      <c r="AM121" s="215"/>
      <c r="AN121" s="215"/>
      <c r="AO121" s="215"/>
      <c r="AP121" s="215"/>
      <c r="AQ121" s="215"/>
      <c r="AR121" s="215"/>
      <c r="AS121" s="215"/>
      <c r="AT121" s="215"/>
      <c r="AU121" s="215"/>
      <c r="AV121" s="215"/>
      <c r="AW121" s="215"/>
      <c r="AX121" s="215"/>
      <c r="AY121" s="215"/>
      <c r="AZ121" s="215"/>
      <c r="BA121" s="215"/>
      <c r="BB121" s="215"/>
      <c r="BC121" s="215"/>
      <c r="BD121" s="215"/>
      <c r="BE121" s="215"/>
      <c r="BF121" s="215"/>
      <c r="BG121" s="215"/>
    </row>
    <row r="122" spans="4:61">
      <c r="D122" s="215"/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5"/>
      <c r="AM122" s="215"/>
      <c r="AN122" s="215"/>
      <c r="AO122" s="215"/>
      <c r="AP122" s="215"/>
      <c r="AQ122" s="215"/>
      <c r="AR122" s="215"/>
      <c r="AS122" s="215"/>
      <c r="AT122" s="215"/>
      <c r="AU122" s="215"/>
      <c r="AV122" s="379"/>
      <c r="AW122" s="379"/>
      <c r="AX122" s="215"/>
      <c r="AY122" s="215"/>
      <c r="AZ122" s="215"/>
      <c r="BA122" s="215"/>
      <c r="BB122" s="215"/>
      <c r="BC122" s="215"/>
      <c r="BD122" s="215"/>
      <c r="BE122" s="215"/>
      <c r="BF122" s="215"/>
      <c r="BG122" s="215"/>
    </row>
    <row r="123" spans="4:61">
      <c r="D123" s="215"/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215"/>
      <c r="AY123" s="215"/>
      <c r="AZ123" s="215"/>
      <c r="BA123" s="215"/>
      <c r="BB123" s="215"/>
      <c r="BC123" s="215"/>
      <c r="BD123" s="215"/>
      <c r="BE123" s="215"/>
      <c r="BF123" s="215"/>
      <c r="BG123" s="215"/>
    </row>
    <row r="124" spans="4:61">
      <c r="D124" s="215"/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5"/>
      <c r="AY124" s="215"/>
      <c r="AZ124" s="215"/>
      <c r="BA124" s="215"/>
      <c r="BB124" s="215"/>
      <c r="BC124" s="215"/>
      <c r="BD124" s="215"/>
      <c r="BE124" s="215"/>
      <c r="BF124" s="215"/>
      <c r="BG124" s="215"/>
    </row>
    <row r="125" spans="4:61">
      <c r="AR125" s="215"/>
    </row>
    <row r="126" spans="4:61">
      <c r="AR126" s="215"/>
      <c r="AT126" s="215"/>
    </row>
    <row r="127" spans="4:61">
      <c r="AR127" s="215"/>
    </row>
    <row r="128" spans="4:61">
      <c r="AR128" s="215"/>
      <c r="AS128" s="215"/>
      <c r="AT128" s="215"/>
      <c r="AU128" s="215"/>
      <c r="AV128" s="215"/>
      <c r="AW128" s="215"/>
      <c r="AX128" s="215"/>
      <c r="AY128" s="215"/>
      <c r="AZ128" s="215"/>
      <c r="BA128" s="215"/>
      <c r="BB128" s="215"/>
      <c r="BC128" s="215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I37" zoomScale="70" zoomScaleNormal="70" workbookViewId="0">
      <selection activeCell="X53" sqref="X53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</row>
    <row r="2" spans="9:38">
      <c r="AK2" s="227"/>
      <c r="AL2" s="227"/>
    </row>
    <row r="3" spans="9:38">
      <c r="AK3" s="227"/>
      <c r="AL3" s="227"/>
    </row>
    <row r="4" spans="9:38">
      <c r="AK4" s="227"/>
      <c r="AL4" s="227"/>
    </row>
    <row r="5" spans="9:38" ht="21" customHeight="1">
      <c r="I5" s="232"/>
      <c r="AK5" s="227"/>
      <c r="AL5" s="227"/>
    </row>
    <row r="6" spans="9:38">
      <c r="I6" s="227"/>
      <c r="AK6" s="227"/>
      <c r="AL6" s="227"/>
    </row>
    <row r="7" spans="9:38" ht="15.75" customHeight="1">
      <c r="I7" s="227"/>
      <c r="AK7" s="227"/>
      <c r="AL7" s="227"/>
    </row>
    <row r="8" spans="9:38">
      <c r="I8" s="227"/>
      <c r="AK8" s="227"/>
      <c r="AL8" s="227"/>
    </row>
    <row r="9" spans="9:38">
      <c r="I9" s="227"/>
      <c r="AK9" s="227"/>
      <c r="AL9" s="227"/>
    </row>
    <row r="10" spans="9:38">
      <c r="I10" s="227"/>
      <c r="AK10" s="227"/>
      <c r="AL10" s="227"/>
    </row>
    <row r="11" spans="9:38">
      <c r="AK11" s="227"/>
      <c r="AL11" s="227"/>
    </row>
    <row r="12" spans="9:38">
      <c r="AK12" s="227"/>
      <c r="AL12" s="227"/>
    </row>
    <row r="13" spans="9:38">
      <c r="AK13" s="227"/>
      <c r="AL13" s="227"/>
    </row>
    <row r="14" spans="9:38">
      <c r="Q14" s="22"/>
      <c r="T14" s="227"/>
      <c r="U14" s="227"/>
      <c r="V14" s="227"/>
      <c r="W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</row>
    <row r="15" spans="9:38">
      <c r="T15" s="227"/>
      <c r="U15" s="227"/>
      <c r="V15" s="227"/>
      <c r="W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</row>
    <row r="16" spans="9:38" ht="21">
      <c r="AB16" s="102"/>
      <c r="AC16" s="227"/>
      <c r="AD16" s="227"/>
      <c r="AE16" s="227"/>
      <c r="AF16" s="227"/>
      <c r="AG16" s="227"/>
      <c r="AH16" s="227"/>
      <c r="AI16" s="227"/>
      <c r="AJ16" s="227"/>
      <c r="AK16" s="227"/>
    </row>
    <row r="17" spans="1:38">
      <c r="H17" s="232"/>
      <c r="Q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147</v>
      </c>
      <c r="N18" s="98"/>
      <c r="O18" s="98"/>
      <c r="Q18" s="227"/>
      <c r="W18" s="227"/>
      <c r="X18" s="227"/>
      <c r="Y18" s="101" t="s">
        <v>149</v>
      </c>
      <c r="Z18" s="101"/>
      <c r="AA18" s="101"/>
      <c r="AB18" s="227"/>
      <c r="AC18" s="227"/>
      <c r="AD18" s="227"/>
      <c r="AE18" s="227"/>
      <c r="AJ18" s="227"/>
      <c r="AK18" s="227"/>
      <c r="AL18" s="227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95.547827484305927</v>
      </c>
      <c r="H19" s="24" t="s">
        <v>100</v>
      </c>
      <c r="L19" s="47" t="s">
        <v>46</v>
      </c>
      <c r="M19" s="96"/>
      <c r="N19" s="96"/>
      <c r="O19" s="34"/>
      <c r="P19" s="34"/>
      <c r="Q19" s="227"/>
      <c r="AE19" s="227"/>
      <c r="AJ19" s="227"/>
      <c r="AK19" s="227"/>
      <c r="AL19" s="227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27"/>
      <c r="W20" s="227"/>
      <c r="X20" s="403" t="s">
        <v>22</v>
      </c>
      <c r="Y20" s="404"/>
      <c r="Z20" s="404"/>
      <c r="AA20" s="405"/>
      <c r="AB20" s="227"/>
      <c r="AC20" s="227"/>
      <c r="AD20" s="227"/>
      <c r="AK20" s="227"/>
      <c r="AL20" s="227"/>
    </row>
    <row r="21" spans="1:38" ht="18">
      <c r="A21" s="89" t="s">
        <v>16</v>
      </c>
      <c r="B21" s="198">
        <v>10.02</v>
      </c>
      <c r="C21" s="86">
        <f>B21/D21</f>
        <v>4.5545454545454538</v>
      </c>
      <c r="D21" s="86">
        <v>2.2000000000000002</v>
      </c>
      <c r="K21" s="227"/>
      <c r="O21" s="23"/>
      <c r="X21" s="16"/>
      <c r="Y21" s="17"/>
      <c r="Z21" s="18"/>
      <c r="AK21" s="227"/>
      <c r="AL21" s="227"/>
    </row>
    <row r="22" spans="1:38" ht="18">
      <c r="A22" s="84" t="s">
        <v>17</v>
      </c>
      <c r="B22" s="86">
        <f>SUM(B19:B21)</f>
        <v>110.12048999999999</v>
      </c>
      <c r="C22" s="86">
        <f>SUM(C19:C21)</f>
        <v>104.86894640954364</v>
      </c>
      <c r="D22" s="86">
        <f>B22/C22</f>
        <v>1.050077203693337</v>
      </c>
      <c r="K22" s="227"/>
      <c r="L22" s="36" t="s">
        <v>3</v>
      </c>
      <c r="M22" s="34">
        <v>0.17599999999999999</v>
      </c>
      <c r="N22" s="15" t="s">
        <v>18</v>
      </c>
      <c r="O22" s="36" t="s">
        <v>49</v>
      </c>
      <c r="P22" s="73">
        <f>E28-Q41-N43</f>
        <v>92.451489999999993</v>
      </c>
      <c r="Q22" s="227" t="s">
        <v>18</v>
      </c>
      <c r="X22" s="105" t="s">
        <v>3</v>
      </c>
      <c r="Y22" s="106"/>
      <c r="Z22" s="73">
        <v>0.20100000000000001</v>
      </c>
      <c r="AA22" s="15" t="s">
        <v>18</v>
      </c>
      <c r="AB22" s="36" t="s">
        <v>49</v>
      </c>
      <c r="AC22" s="34">
        <v>41.94</v>
      </c>
      <c r="AD22" s="227" t="s">
        <v>18</v>
      </c>
      <c r="AK22" s="227"/>
      <c r="AL22" s="227"/>
    </row>
    <row r="23" spans="1:38" ht="18">
      <c r="B23" s="87"/>
      <c r="C23" s="87"/>
      <c r="D23" s="87"/>
      <c r="E23" s="87"/>
      <c r="K23" s="227"/>
      <c r="L23" s="36" t="s">
        <v>4</v>
      </c>
      <c r="M23" s="34">
        <v>0.20300000000000001</v>
      </c>
      <c r="N23" s="15" t="s">
        <v>18</v>
      </c>
      <c r="O23" s="36" t="s">
        <v>27</v>
      </c>
      <c r="P23" s="34">
        <f>0.6/100</f>
        <v>6.0000000000000001E-3</v>
      </c>
      <c r="Q23" s="227" t="s">
        <v>33</v>
      </c>
      <c r="X23" s="105" t="s">
        <v>4</v>
      </c>
      <c r="Y23" s="106"/>
      <c r="Z23" s="34">
        <v>0.20300000000000001</v>
      </c>
      <c r="AA23" s="15" t="s">
        <v>18</v>
      </c>
      <c r="AB23" s="36" t="s">
        <v>27</v>
      </c>
      <c r="AC23" s="34">
        <f>0.07/100</f>
        <v>7.000000000000001E-4</v>
      </c>
      <c r="AD23" s="227" t="s">
        <v>33</v>
      </c>
      <c r="AK23" s="227"/>
      <c r="AL23" s="227"/>
    </row>
    <row r="24" spans="1:38">
      <c r="K24" s="227"/>
      <c r="L24" s="103" t="s">
        <v>17</v>
      </c>
      <c r="M24" s="34"/>
      <c r="N24" s="15" t="s">
        <v>18</v>
      </c>
      <c r="O24" s="67" t="s">
        <v>30</v>
      </c>
      <c r="P24" s="37">
        <f>P23*P22</f>
        <v>0.55470893999999993</v>
      </c>
      <c r="Q24" s="227" t="s">
        <v>18</v>
      </c>
      <c r="X24" s="105" t="s">
        <v>17</v>
      </c>
      <c r="Y24" s="106"/>
      <c r="Z24" s="73">
        <f>SUM(Z22:Z23)</f>
        <v>0.40400000000000003</v>
      </c>
      <c r="AA24" s="15" t="s">
        <v>18</v>
      </c>
      <c r="AB24" s="67" t="s">
        <v>30</v>
      </c>
      <c r="AC24" s="37">
        <f>AC23*AC22</f>
        <v>2.9358000000000002E-2</v>
      </c>
      <c r="AD24" s="227" t="s">
        <v>18</v>
      </c>
      <c r="AK24" s="227"/>
      <c r="AL24" s="227"/>
    </row>
    <row r="25" spans="1:38">
      <c r="L25" s="67" t="s">
        <v>30</v>
      </c>
      <c r="M25" s="37">
        <f>P23*M24</f>
        <v>0</v>
      </c>
      <c r="N25" s="15" t="s">
        <v>18</v>
      </c>
      <c r="Q25" s="227"/>
      <c r="W25" s="227"/>
      <c r="X25" s="233" t="s">
        <v>30</v>
      </c>
      <c r="Y25" s="234"/>
      <c r="Z25" s="104">
        <f>AC23*Z24</f>
        <v>2.8280000000000004E-4</v>
      </c>
      <c r="AA25" s="15" t="s">
        <v>18</v>
      </c>
      <c r="AK25" s="227"/>
      <c r="AL25" s="227"/>
    </row>
    <row r="26" spans="1:38">
      <c r="A26" s="23"/>
      <c r="R26" s="15" t="s">
        <v>151</v>
      </c>
      <c r="W26" s="227"/>
      <c r="X26" s="227"/>
      <c r="Y26" s="227"/>
      <c r="Z26" s="227"/>
      <c r="AA26" s="23"/>
      <c r="AL26" s="227"/>
    </row>
    <row r="27" spans="1:38">
      <c r="A27" s="23"/>
      <c r="I27" s="227"/>
      <c r="J27" s="227"/>
      <c r="K27" s="227"/>
      <c r="L27" s="227"/>
      <c r="AD27" s="31">
        <f>AC22+Z24</f>
        <v>42.344000000000001</v>
      </c>
      <c r="AE27" s="15">
        <f>AC24+Z25</f>
        <v>2.9640800000000002E-2</v>
      </c>
      <c r="AL27" s="227"/>
    </row>
    <row r="28" spans="1:38" ht="21">
      <c r="D28" s="143" t="s">
        <v>45</v>
      </c>
      <c r="E28" s="142">
        <f>B22-(C41+B44)</f>
        <v>108.80049</v>
      </c>
      <c r="F28" s="15" t="s">
        <v>18</v>
      </c>
      <c r="I28" s="227"/>
      <c r="J28" s="227"/>
      <c r="K28" s="227"/>
      <c r="L28" s="227"/>
    </row>
    <row r="29" spans="1:38">
      <c r="I29" s="227"/>
      <c r="J29" s="227"/>
      <c r="K29" s="227"/>
      <c r="L29" s="227"/>
      <c r="V29" s="227"/>
      <c r="W29" s="227"/>
      <c r="X29" s="227"/>
      <c r="AJ29" s="22"/>
    </row>
    <row r="30" spans="1:38" ht="21">
      <c r="I30" s="102"/>
      <c r="V30" s="227"/>
      <c r="W30" s="200">
        <f>AC22+Z24+AC43+V43</f>
        <v>43.024000000000001</v>
      </c>
      <c r="X30" s="227"/>
    </row>
    <row r="31" spans="1:38">
      <c r="V31" s="227"/>
      <c r="W31" s="227"/>
      <c r="X31" s="227"/>
    </row>
    <row r="33" spans="1:55">
      <c r="S33" s="15" t="s">
        <v>101</v>
      </c>
      <c r="T33" s="31">
        <f>P22-W30</f>
        <v>49.427489999999992</v>
      </c>
      <c r="U33" s="15" t="s">
        <v>18</v>
      </c>
    </row>
    <row r="34" spans="1:55">
      <c r="D34" s="227"/>
      <c r="E34" s="227"/>
      <c r="F34" s="227"/>
      <c r="G34" s="227"/>
      <c r="H34" s="227"/>
      <c r="S34" s="15" t="s">
        <v>125</v>
      </c>
      <c r="T34" s="76">
        <f>T33/E28</f>
        <v>0.45429473709171708</v>
      </c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</row>
    <row r="35" spans="1:55">
      <c r="D35" s="227"/>
      <c r="E35" s="227"/>
      <c r="F35" s="227"/>
      <c r="G35" s="227"/>
      <c r="H35" s="227"/>
      <c r="S35" s="15" t="s">
        <v>126</v>
      </c>
      <c r="T35" s="81">
        <f>T34*B49</f>
        <v>4.4974686345838082</v>
      </c>
      <c r="U35" s="227" t="s">
        <v>18</v>
      </c>
      <c r="Z35" s="227"/>
    </row>
    <row r="36" spans="1:55">
      <c r="D36" s="227"/>
      <c r="E36" s="227"/>
      <c r="F36" s="227"/>
      <c r="G36" s="227"/>
      <c r="H36" s="200"/>
      <c r="P36" s="228"/>
      <c r="Q36" s="228"/>
      <c r="R36" s="16"/>
      <c r="U36" s="227"/>
      <c r="Z36" s="227"/>
    </row>
    <row r="37" spans="1:55">
      <c r="E37" s="30"/>
      <c r="Z37" s="227"/>
    </row>
    <row r="38" spans="1:55" ht="21">
      <c r="M38" s="98" t="s">
        <v>148</v>
      </c>
      <c r="N38" s="48"/>
      <c r="Z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7"/>
      <c r="AZ38" s="227"/>
      <c r="BA38" s="227"/>
      <c r="BB38" s="227"/>
    </row>
    <row r="39" spans="1:55" ht="21">
      <c r="A39" s="392" t="s">
        <v>6</v>
      </c>
      <c r="B39" s="392"/>
      <c r="C39" s="33">
        <v>0.19</v>
      </c>
      <c r="D39" s="15" t="s">
        <v>18</v>
      </c>
      <c r="E39" s="227"/>
      <c r="F39" s="227"/>
      <c r="G39" s="227"/>
      <c r="M39" s="230" t="s">
        <v>20</v>
      </c>
      <c r="N39" s="231"/>
      <c r="Y39" s="101" t="s">
        <v>150</v>
      </c>
      <c r="Z39" s="101"/>
      <c r="AA39" s="101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</row>
    <row r="40" spans="1:55">
      <c r="A40" s="392" t="s">
        <v>5</v>
      </c>
      <c r="B40" s="392"/>
      <c r="C40" s="33">
        <v>0.66</v>
      </c>
      <c r="D40" s="15" t="s">
        <v>18</v>
      </c>
      <c r="E40" s="227"/>
      <c r="F40" s="227"/>
      <c r="G40" s="227"/>
      <c r="S40" s="227"/>
      <c r="V40" s="227"/>
      <c r="X40" s="403" t="s">
        <v>23</v>
      </c>
      <c r="Y40" s="404"/>
      <c r="Z40" s="404"/>
      <c r="AA40" s="405"/>
      <c r="AB40" s="227"/>
      <c r="AK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7"/>
    </row>
    <row r="41" spans="1:55">
      <c r="A41" s="400" t="s">
        <v>17</v>
      </c>
      <c r="B41" s="401"/>
      <c r="C41" s="91">
        <f>SUM(C39:C40)</f>
        <v>0.85000000000000009</v>
      </c>
      <c r="D41" s="23" t="s">
        <v>18</v>
      </c>
      <c r="E41" s="227"/>
      <c r="F41" s="227"/>
      <c r="G41" s="227"/>
      <c r="J41" s="67" t="s">
        <v>1</v>
      </c>
      <c r="K41" s="34"/>
      <c r="L41" s="15" t="s">
        <v>18</v>
      </c>
      <c r="M41" s="36" t="s">
        <v>3</v>
      </c>
      <c r="N41" s="73">
        <v>0.13600000000000001</v>
      </c>
      <c r="O41" s="15" t="s">
        <v>18</v>
      </c>
      <c r="P41" s="36" t="s">
        <v>49</v>
      </c>
      <c r="Q41" s="34">
        <v>16.079999999999998</v>
      </c>
      <c r="R41" s="227" t="s">
        <v>18</v>
      </c>
      <c r="S41" s="227"/>
      <c r="Z41" s="227"/>
      <c r="AK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</row>
    <row r="42" spans="1:55">
      <c r="C42" s="227"/>
      <c r="D42" s="227"/>
      <c r="E42" s="227"/>
      <c r="F42" s="227"/>
      <c r="G42" s="227"/>
      <c r="I42" s="26"/>
      <c r="J42" s="67" t="s">
        <v>9</v>
      </c>
      <c r="K42" s="64"/>
      <c r="L42" s="15" t="s">
        <v>18</v>
      </c>
      <c r="M42" s="36" t="s">
        <v>4</v>
      </c>
      <c r="N42" s="34">
        <v>0.13300000000000001</v>
      </c>
      <c r="O42" s="15" t="s">
        <v>18</v>
      </c>
      <c r="P42" s="36" t="s">
        <v>27</v>
      </c>
      <c r="Q42" s="34">
        <f>48.71/100</f>
        <v>0.48710000000000003</v>
      </c>
      <c r="R42" s="227" t="s">
        <v>33</v>
      </c>
      <c r="S42" s="227"/>
      <c r="AE42" s="227"/>
      <c r="AF42" s="227"/>
      <c r="AG42" s="227"/>
      <c r="AH42" s="227"/>
      <c r="AI42" s="227"/>
      <c r="AJ42" s="227"/>
      <c r="AK42" s="227"/>
      <c r="AL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</row>
    <row r="43" spans="1:55">
      <c r="A43" s="36" t="s">
        <v>44</v>
      </c>
      <c r="B43" s="33">
        <v>0.47</v>
      </c>
      <c r="C43" s="227" t="s">
        <v>18</v>
      </c>
      <c r="D43" s="227"/>
      <c r="E43" s="227"/>
      <c r="F43" s="227"/>
      <c r="G43" s="227"/>
      <c r="H43" s="229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>
        <f>SUM(N41:N42)</f>
        <v>0.26900000000000002</v>
      </c>
      <c r="O43" s="15" t="s">
        <v>18</v>
      </c>
      <c r="P43" s="67" t="s">
        <v>30</v>
      </c>
      <c r="Q43" s="37">
        <f>Q42*Q41</f>
        <v>7.8325679999999993</v>
      </c>
      <c r="R43" s="227" t="s">
        <v>18</v>
      </c>
      <c r="S43" s="227"/>
      <c r="U43" s="35" t="s">
        <v>53</v>
      </c>
      <c r="V43" s="33"/>
      <c r="W43" s="227" t="s">
        <v>18</v>
      </c>
      <c r="X43" s="105" t="s">
        <v>3</v>
      </c>
      <c r="Y43" s="106"/>
      <c r="Z43" s="73">
        <v>5.1499999999999997E-2</v>
      </c>
      <c r="AA43" s="15" t="s">
        <v>18</v>
      </c>
      <c r="AB43" s="36" t="s">
        <v>49</v>
      </c>
      <c r="AC43" s="224">
        <v>0.68</v>
      </c>
      <c r="AD43" s="227" t="s">
        <v>18</v>
      </c>
      <c r="AF43" s="227"/>
      <c r="AG43" s="227"/>
      <c r="AH43" s="227"/>
      <c r="AI43" s="227"/>
      <c r="AJ43" s="227"/>
      <c r="AK43" s="227"/>
      <c r="AL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27"/>
    </row>
    <row r="44" spans="1:55">
      <c r="A44" s="92" t="s">
        <v>17</v>
      </c>
      <c r="B44" s="90">
        <f>SUM(B43)</f>
        <v>0.47</v>
      </c>
      <c r="C44" s="227" t="s">
        <v>18</v>
      </c>
      <c r="D44" s="227"/>
      <c r="E44" s="227"/>
      <c r="M44" s="67" t="s">
        <v>30</v>
      </c>
      <c r="N44" s="37">
        <f>Q42*N43</f>
        <v>0.1310299</v>
      </c>
      <c r="O44" s="15" t="s">
        <v>18</v>
      </c>
      <c r="U44" s="227"/>
      <c r="V44" s="227"/>
      <c r="W44" s="227"/>
      <c r="X44" s="105" t="s">
        <v>4</v>
      </c>
      <c r="Y44" s="106"/>
      <c r="Z44" s="34">
        <v>4.8000000000000001E-2</v>
      </c>
      <c r="AA44" s="15" t="s">
        <v>18</v>
      </c>
      <c r="AB44" s="36" t="s">
        <v>27</v>
      </c>
      <c r="AC44" s="34">
        <f>34.54/100</f>
        <v>0.34539999999999998</v>
      </c>
      <c r="AD44" s="227" t="s">
        <v>33</v>
      </c>
      <c r="AL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</row>
    <row r="45" spans="1:55">
      <c r="C45" s="227"/>
      <c r="D45" s="227"/>
      <c r="E45" s="227"/>
      <c r="U45" s="227"/>
      <c r="V45" s="227"/>
      <c r="W45" s="227"/>
      <c r="X45" s="105" t="s">
        <v>17</v>
      </c>
      <c r="Y45" s="106"/>
      <c r="Z45" s="73">
        <f>SUM(Z43:Z44)</f>
        <v>9.9500000000000005E-2</v>
      </c>
      <c r="AA45" s="15" t="s">
        <v>18</v>
      </c>
      <c r="AB45" s="67" t="s">
        <v>30</v>
      </c>
      <c r="AC45" s="37">
        <f>AC44*AC43</f>
        <v>0.234872</v>
      </c>
      <c r="AD45" s="227" t="s">
        <v>18</v>
      </c>
      <c r="AL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  <c r="BC45" s="227"/>
    </row>
    <row r="46" spans="1:55">
      <c r="A46" s="15" t="s">
        <v>66</v>
      </c>
      <c r="B46" s="15">
        <f>B43/D22</f>
        <v>0.44758613780673795</v>
      </c>
      <c r="C46" s="227" t="s">
        <v>62</v>
      </c>
      <c r="D46" s="227"/>
      <c r="E46" s="227"/>
      <c r="P46" s="31">
        <f>Q41+N43</f>
        <v>16.348999999999997</v>
      </c>
      <c r="Q46" s="15">
        <f>Q43+N44</f>
        <v>7.963597899999999</v>
      </c>
      <c r="X46" s="233" t="s">
        <v>30</v>
      </c>
      <c r="Y46" s="234"/>
      <c r="Z46" s="104">
        <f>AC44*Z45</f>
        <v>3.4367300000000003E-2</v>
      </c>
      <c r="AA46" s="15" t="s">
        <v>18</v>
      </c>
      <c r="AF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7"/>
      <c r="AZ46" s="227"/>
      <c r="BA46" s="227"/>
      <c r="BB46" s="227"/>
      <c r="BC46" s="227"/>
    </row>
    <row r="47" spans="1:55">
      <c r="A47" s="15" t="s">
        <v>65</v>
      </c>
      <c r="B47" s="15">
        <f>C41/D22</f>
        <v>0.80946429177814327</v>
      </c>
      <c r="C47" s="15" t="s">
        <v>62</v>
      </c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  <c r="AZ47" s="227"/>
      <c r="BA47" s="227"/>
      <c r="BB47" s="227"/>
      <c r="BC47" s="227"/>
    </row>
    <row r="48" spans="1:55">
      <c r="A48" s="15" t="s">
        <v>67</v>
      </c>
      <c r="B48" s="15">
        <f>G19*(B46+B47)/1000</f>
        <v>0.12010843758504888</v>
      </c>
      <c r="C48" s="15" t="s">
        <v>18</v>
      </c>
      <c r="E48" s="160"/>
      <c r="AP48" s="227"/>
      <c r="AQ48" s="227"/>
      <c r="AR48" s="227"/>
      <c r="AS48" s="227"/>
      <c r="AT48" s="227"/>
      <c r="AU48" s="227"/>
      <c r="AV48" s="227"/>
      <c r="AW48" s="227"/>
      <c r="AX48" s="227"/>
      <c r="AY48" s="227"/>
      <c r="AZ48" s="227"/>
      <c r="BA48" s="227"/>
      <c r="BB48" s="227"/>
    </row>
    <row r="49" spans="1:59">
      <c r="A49" s="15" t="s">
        <v>64</v>
      </c>
      <c r="B49" s="74">
        <f>B21-B48</f>
        <v>9.8998915624149504</v>
      </c>
      <c r="C49" s="15" t="s">
        <v>18</v>
      </c>
      <c r="AC49" s="31">
        <f>AC43+Z45</f>
        <v>0.77950000000000008</v>
      </c>
      <c r="AD49" s="15">
        <f>AC45+Z46</f>
        <v>0.26923930000000001</v>
      </c>
      <c r="AP49" s="227"/>
      <c r="AQ49" s="227"/>
      <c r="AR49" s="227"/>
      <c r="AS49" s="227"/>
      <c r="AT49" s="227"/>
      <c r="AU49" s="227"/>
      <c r="AV49" s="379"/>
      <c r="AW49" s="379"/>
      <c r="AX49" s="379"/>
      <c r="AY49" s="379"/>
      <c r="AZ49" s="379"/>
      <c r="BA49" s="227"/>
      <c r="BB49" s="227"/>
    </row>
    <row r="50" spans="1:59">
      <c r="R50" s="227"/>
      <c r="S50" s="15" t="s">
        <v>27</v>
      </c>
      <c r="U50" s="15" t="s">
        <v>40</v>
      </c>
      <c r="W50" s="15" t="s">
        <v>98</v>
      </c>
      <c r="X50" s="74">
        <f>B49</f>
        <v>9.8998915624149504</v>
      </c>
      <c r="Y50" s="15" t="s">
        <v>18</v>
      </c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/>
    </row>
    <row r="51" spans="1:59">
      <c r="Q51" s="227"/>
      <c r="R51" s="227"/>
      <c r="S51" s="15" t="s">
        <v>34</v>
      </c>
      <c r="T51" s="15">
        <f>AC24+Z25</f>
        <v>2.9640800000000002E-2</v>
      </c>
      <c r="U51" s="76">
        <f>T51/X50</f>
        <v>2.9940529967552002E-3</v>
      </c>
      <c r="AP51" s="227"/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27"/>
    </row>
    <row r="52" spans="1:59">
      <c r="S52" s="15" t="s">
        <v>35</v>
      </c>
      <c r="T52" s="15">
        <f>AC45+Z46</f>
        <v>0.26923930000000001</v>
      </c>
      <c r="U52" s="76">
        <f>T52/X50</f>
        <v>2.7196186776648146E-2</v>
      </c>
      <c r="AP52" s="227"/>
      <c r="AQ52" s="227"/>
      <c r="AR52" s="227"/>
      <c r="AS52" s="227"/>
      <c r="AT52" s="227"/>
      <c r="AU52" s="227"/>
      <c r="AV52" s="227"/>
      <c r="AW52" s="227"/>
      <c r="AX52" s="227"/>
      <c r="AY52" s="227"/>
      <c r="AZ52" s="227"/>
      <c r="BA52" s="227"/>
      <c r="BB52" s="227"/>
    </row>
    <row r="53" spans="1:59"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15" t="s">
        <v>36</v>
      </c>
      <c r="T53" s="227">
        <f>Q43+N44</f>
        <v>7.963597899999999</v>
      </c>
      <c r="U53" s="235">
        <f>T53/X50</f>
        <v>0.80441263924888717</v>
      </c>
      <c r="V53" s="227"/>
      <c r="W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27"/>
      <c r="BC53" s="227"/>
      <c r="BD53" s="227"/>
      <c r="BE53" s="227"/>
      <c r="BF53" s="227"/>
      <c r="BG53" s="227"/>
    </row>
    <row r="54" spans="1:59">
      <c r="D54" s="379"/>
      <c r="E54" s="379"/>
      <c r="F54" s="379"/>
      <c r="G54" s="379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15" t="s">
        <v>17</v>
      </c>
      <c r="T54" s="227">
        <f>SUM(T51:T53)</f>
        <v>8.2624779999999998</v>
      </c>
      <c r="U54" s="235">
        <f>SUM(U51:U53)</f>
        <v>0.83460287902229047</v>
      </c>
      <c r="V54" s="227"/>
      <c r="W54" s="227"/>
      <c r="X54" s="227"/>
      <c r="Y54" s="227"/>
      <c r="Z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7"/>
      <c r="AX54" s="227"/>
      <c r="AY54" s="227"/>
      <c r="AZ54" s="227"/>
      <c r="BA54" s="227"/>
      <c r="BB54" s="227"/>
      <c r="BC54" s="227"/>
      <c r="BD54" s="227"/>
      <c r="BE54" s="227"/>
      <c r="BF54" s="227"/>
      <c r="BG54" s="227"/>
    </row>
    <row r="55" spans="1:59"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15" t="s">
        <v>37</v>
      </c>
      <c r="T55" s="145">
        <f>X50-T54</f>
        <v>1.6374135624149506</v>
      </c>
      <c r="U55" s="235">
        <f>T55/X50</f>
        <v>0.16539712097770945</v>
      </c>
      <c r="V55" s="227"/>
      <c r="W55" s="227"/>
      <c r="X55" s="227"/>
      <c r="Y55" s="227"/>
      <c r="Z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27"/>
      <c r="BC55" s="227"/>
      <c r="BD55" s="227"/>
      <c r="BE55" s="227"/>
      <c r="BF55" s="227"/>
      <c r="BG55" s="227"/>
    </row>
    <row r="56" spans="1:59"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T56" s="227"/>
      <c r="U56" s="227"/>
      <c r="V56" s="227"/>
      <c r="W56" s="227"/>
      <c r="X56" s="227"/>
      <c r="Y56" s="227"/>
      <c r="Z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  <c r="AY56" s="227"/>
      <c r="AZ56" s="227"/>
      <c r="BA56" s="227"/>
      <c r="BB56" s="227"/>
      <c r="BC56" s="227"/>
      <c r="BD56" s="227"/>
      <c r="BE56" s="227"/>
      <c r="BF56" s="227"/>
      <c r="BG56" s="227"/>
    </row>
    <row r="57" spans="1:59"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15" t="s">
        <v>166</v>
      </c>
      <c r="W57" s="227"/>
      <c r="X57" s="227"/>
      <c r="Y57" s="227"/>
      <c r="Z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  <c r="AY57" s="227"/>
      <c r="AZ57" s="227"/>
      <c r="BA57" s="227"/>
      <c r="BB57" s="227"/>
      <c r="BC57" s="227"/>
      <c r="BD57" s="227"/>
      <c r="BE57" s="227"/>
      <c r="BF57" s="227"/>
      <c r="BG57" s="227"/>
    </row>
    <row r="58" spans="1:59"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15" t="s">
        <v>27</v>
      </c>
      <c r="U58" s="15" t="s">
        <v>40</v>
      </c>
      <c r="W58" s="15" t="s">
        <v>98</v>
      </c>
      <c r="X58" s="74">
        <f>X50</f>
        <v>9.8998915624149504</v>
      </c>
      <c r="Y58" s="15" t="s">
        <v>18</v>
      </c>
      <c r="Z58" s="227"/>
      <c r="AA58" s="227"/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27"/>
      <c r="BC58" s="227"/>
      <c r="BD58" s="227"/>
      <c r="BE58" s="227"/>
      <c r="BF58" s="227"/>
      <c r="BG58" s="227"/>
    </row>
    <row r="59" spans="1:59"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15" t="s">
        <v>34</v>
      </c>
      <c r="T59" s="15">
        <v>4.4461500000000001E-2</v>
      </c>
      <c r="U59" s="76">
        <f>T59/X58</f>
        <v>4.4911097984950245E-3</v>
      </c>
      <c r="Z59" s="227"/>
      <c r="AA59" s="227"/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</row>
    <row r="60" spans="1:59"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15" t="s">
        <v>35</v>
      </c>
      <c r="T60" s="15">
        <v>0.40385850000000001</v>
      </c>
      <c r="U60" s="76">
        <f>T60/X58</f>
        <v>4.0794234709928878E-2</v>
      </c>
      <c r="Z60" s="227"/>
      <c r="AA60" s="227"/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7"/>
      <c r="AZ60" s="227"/>
      <c r="BA60" s="227"/>
      <c r="BB60" s="227"/>
      <c r="BC60" s="227"/>
      <c r="BD60" s="227"/>
      <c r="BE60" s="227"/>
      <c r="BF60" s="227"/>
      <c r="BG60" s="227"/>
    </row>
    <row r="61" spans="1:59"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15" t="s">
        <v>36</v>
      </c>
      <c r="T61" s="245">
        <f>T53</f>
        <v>7.963597899999999</v>
      </c>
      <c r="U61" s="246">
        <f>T61/X58</f>
        <v>0.80441263924888717</v>
      </c>
      <c r="V61" s="245"/>
      <c r="W61" s="245"/>
      <c r="Z61" s="227"/>
      <c r="AA61" s="227"/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27"/>
      <c r="AV61" s="227"/>
      <c r="AW61" s="227"/>
      <c r="AX61" s="227"/>
      <c r="AY61" s="227"/>
      <c r="AZ61" s="227"/>
      <c r="BA61" s="227"/>
      <c r="BB61" s="227"/>
      <c r="BC61" s="227"/>
      <c r="BD61" s="227"/>
      <c r="BE61" s="227"/>
      <c r="BF61" s="227"/>
      <c r="BG61" s="227"/>
    </row>
    <row r="62" spans="1:59"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15" t="s">
        <v>17</v>
      </c>
      <c r="T62" s="245">
        <f>SUM(T59:T61)</f>
        <v>8.4119178999999988</v>
      </c>
      <c r="U62" s="246">
        <f>SUM(U59:U61)</f>
        <v>0.84969798375731109</v>
      </c>
      <c r="V62" s="245"/>
      <c r="W62" s="245"/>
      <c r="X62" s="245"/>
      <c r="Y62" s="245"/>
      <c r="Z62" s="227"/>
      <c r="AA62" s="227"/>
      <c r="AB62" s="227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27"/>
      <c r="BC62" s="227"/>
      <c r="BD62" s="227"/>
      <c r="BE62" s="227"/>
      <c r="BF62" s="227"/>
      <c r="BG62" s="227"/>
    </row>
    <row r="63" spans="1:59"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15" t="s">
        <v>37</v>
      </c>
      <c r="T63" s="145">
        <f>X58-T62</f>
        <v>1.4879736624149515</v>
      </c>
      <c r="U63" s="246">
        <f>T63/X58</f>
        <v>0.15030201624268899</v>
      </c>
      <c r="V63" s="245"/>
      <c r="W63" s="245"/>
      <c r="X63" s="245"/>
      <c r="Y63" s="245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27"/>
      <c r="AV63" s="227"/>
      <c r="AW63" s="227"/>
      <c r="AX63" s="227"/>
      <c r="AY63" s="227"/>
      <c r="AZ63" s="227"/>
      <c r="BA63" s="227"/>
      <c r="BB63" s="227"/>
      <c r="BC63" s="227"/>
      <c r="BD63" s="227"/>
      <c r="BE63" s="227"/>
      <c r="BF63" s="227"/>
      <c r="BG63" s="227"/>
    </row>
    <row r="64" spans="1:59"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227"/>
      <c r="AX64" s="227"/>
      <c r="AY64" s="227"/>
      <c r="AZ64" s="227"/>
      <c r="BA64" s="227"/>
      <c r="BB64" s="227"/>
      <c r="BC64" s="227"/>
      <c r="BD64" s="227"/>
      <c r="BE64" s="227"/>
      <c r="BF64" s="227"/>
      <c r="BG64" s="227"/>
    </row>
    <row r="65" spans="4:59"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7"/>
      <c r="BC65" s="227"/>
      <c r="BD65" s="227"/>
      <c r="BE65" s="227"/>
      <c r="BF65" s="227"/>
      <c r="BG65" s="227"/>
    </row>
    <row r="66" spans="4:59"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7"/>
      <c r="BC66" s="227"/>
      <c r="BD66" s="227"/>
      <c r="BE66" s="227"/>
      <c r="BF66" s="227"/>
      <c r="BG66" s="227"/>
    </row>
    <row r="67" spans="4:59"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  <c r="AT67" s="227"/>
      <c r="AU67" s="227"/>
      <c r="AV67" s="227"/>
      <c r="AW67" s="227"/>
      <c r="AX67" s="227"/>
      <c r="AY67" s="227"/>
      <c r="AZ67" s="227"/>
      <c r="BA67" s="227"/>
      <c r="BB67" s="227"/>
      <c r="BC67" s="227"/>
      <c r="BD67" s="227"/>
      <c r="BE67" s="227"/>
      <c r="BF67" s="227"/>
      <c r="BG67" s="227"/>
    </row>
    <row r="68" spans="4:59"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27"/>
      <c r="BC68" s="227"/>
      <c r="BD68" s="227"/>
      <c r="BE68" s="227"/>
      <c r="BF68" s="227"/>
      <c r="BG68" s="227"/>
    </row>
    <row r="69" spans="4:59"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  <c r="AZ69" s="227"/>
      <c r="BA69" s="227"/>
      <c r="BB69" s="227"/>
      <c r="BC69" s="227"/>
      <c r="BD69" s="227"/>
      <c r="BE69" s="227"/>
      <c r="BF69" s="227"/>
      <c r="BG69" s="227"/>
    </row>
    <row r="70" spans="4:59"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  <c r="AT70" s="227"/>
      <c r="AU70" s="227"/>
      <c r="AV70" s="227"/>
      <c r="AW70" s="227"/>
      <c r="AX70" s="227"/>
      <c r="AY70" s="227"/>
      <c r="AZ70" s="227"/>
      <c r="BA70" s="227"/>
      <c r="BB70" s="227"/>
      <c r="BC70" s="227"/>
      <c r="BD70" s="227"/>
      <c r="BE70" s="227"/>
      <c r="BF70" s="227"/>
      <c r="BG70" s="227"/>
    </row>
    <row r="71" spans="4:59"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27"/>
      <c r="BC71" s="227"/>
      <c r="BD71" s="227"/>
      <c r="BE71" s="227"/>
      <c r="BF71" s="227"/>
      <c r="BG71" s="227"/>
    </row>
    <row r="72" spans="4:59"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  <c r="AC72" s="227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  <c r="AT72" s="227"/>
      <c r="AU72" s="227"/>
      <c r="AV72" s="227"/>
      <c r="AW72" s="379"/>
      <c r="AX72" s="379"/>
      <c r="AY72" s="227"/>
      <c r="AZ72" s="227"/>
      <c r="BA72" s="227"/>
      <c r="BB72" s="227"/>
      <c r="BC72" s="227"/>
      <c r="BD72" s="227"/>
      <c r="BE72" s="227"/>
      <c r="BF72" s="227"/>
      <c r="BG72" s="227"/>
    </row>
    <row r="73" spans="4:59"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227"/>
      <c r="AX73" s="227"/>
      <c r="AY73" s="227"/>
      <c r="AZ73" s="227"/>
      <c r="BA73" s="227"/>
      <c r="BB73" s="227"/>
      <c r="BC73" s="227"/>
      <c r="BD73" s="227"/>
      <c r="BE73" s="227"/>
      <c r="BF73" s="227"/>
      <c r="BG73" s="227"/>
    </row>
    <row r="74" spans="4:59"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227"/>
      <c r="AX74" s="227"/>
      <c r="AY74" s="227"/>
      <c r="AZ74" s="227"/>
      <c r="BA74" s="227"/>
      <c r="BB74" s="227"/>
      <c r="BC74" s="227"/>
      <c r="BD74" s="227"/>
      <c r="BE74" s="227"/>
      <c r="BF74" s="227"/>
      <c r="BG74" s="227"/>
    </row>
    <row r="75" spans="4:59"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</row>
    <row r="76" spans="4:59"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  <c r="AT76" s="227"/>
      <c r="AU76" s="227"/>
      <c r="AV76" s="227"/>
      <c r="AW76" s="227"/>
      <c r="AX76" s="227"/>
      <c r="AY76" s="227"/>
      <c r="AZ76" s="227"/>
      <c r="BA76" s="227"/>
      <c r="BB76" s="227"/>
      <c r="BC76" s="227"/>
      <c r="BD76" s="227"/>
      <c r="BE76" s="227"/>
      <c r="BF76" s="227"/>
      <c r="BG76" s="227"/>
    </row>
    <row r="77" spans="4:59"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27"/>
      <c r="BC77" s="227"/>
      <c r="BD77" s="227"/>
      <c r="BE77" s="227"/>
      <c r="BF77" s="227"/>
      <c r="BG77" s="227"/>
    </row>
    <row r="78" spans="4:59"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  <c r="AT78" s="227"/>
      <c r="AU78" s="227"/>
      <c r="AV78" s="227"/>
      <c r="AW78" s="227"/>
      <c r="AX78" s="227"/>
      <c r="AY78" s="227"/>
      <c r="AZ78" s="227"/>
      <c r="BA78" s="227"/>
      <c r="BB78" s="227"/>
      <c r="BC78" s="227"/>
      <c r="BD78" s="227"/>
      <c r="BE78" s="227"/>
      <c r="BF78" s="227"/>
      <c r="BG78" s="227"/>
    </row>
    <row r="79" spans="4:59"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7"/>
      <c r="AZ79" s="227"/>
      <c r="BA79" s="227"/>
      <c r="BB79" s="227"/>
      <c r="BC79" s="227"/>
      <c r="BD79" s="227"/>
      <c r="BE79" s="227"/>
      <c r="BF79" s="227"/>
      <c r="BG79" s="227"/>
    </row>
    <row r="80" spans="4:59"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  <c r="AC80" s="227"/>
      <c r="AD80" s="227"/>
      <c r="AE80" s="227"/>
      <c r="AF80" s="227"/>
      <c r="AG80" s="227"/>
      <c r="AH80" s="227"/>
      <c r="AI80" s="227"/>
      <c r="AJ80" s="227"/>
      <c r="AK80" s="227"/>
      <c r="AL80" s="227"/>
      <c r="AM80" s="227"/>
      <c r="AN80" s="227"/>
      <c r="AO80" s="227"/>
      <c r="AP80" s="227"/>
      <c r="AQ80" s="227"/>
      <c r="AR80" s="227"/>
      <c r="AS80" s="227"/>
      <c r="AT80" s="227"/>
      <c r="AU80" s="227"/>
      <c r="AV80" s="227"/>
      <c r="AW80" s="227"/>
      <c r="AX80" s="227"/>
      <c r="AY80" s="227"/>
      <c r="AZ80" s="227"/>
      <c r="BA80" s="227"/>
      <c r="BB80" s="227"/>
      <c r="BC80" s="227"/>
      <c r="BD80" s="227"/>
      <c r="BE80" s="227"/>
      <c r="BF80" s="227"/>
      <c r="BG80" s="227"/>
    </row>
    <row r="81" spans="4:59"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7"/>
      <c r="AZ81" s="227"/>
      <c r="BA81" s="227"/>
      <c r="BB81" s="227"/>
      <c r="BC81" s="227"/>
      <c r="BD81" s="227"/>
      <c r="BE81" s="227"/>
      <c r="BF81" s="227"/>
      <c r="BG81" s="227"/>
    </row>
    <row r="82" spans="4:59"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  <c r="AC82" s="227"/>
      <c r="AD82" s="227"/>
      <c r="AE82" s="227"/>
      <c r="AF82" s="227"/>
      <c r="AG82" s="227"/>
      <c r="AH82" s="227"/>
      <c r="AI82" s="227"/>
      <c r="AJ82" s="227"/>
      <c r="AK82" s="227"/>
      <c r="AL82" s="227"/>
      <c r="AM82" s="227"/>
      <c r="AN82" s="227"/>
      <c r="AO82" s="227"/>
      <c r="AP82" s="227"/>
      <c r="AQ82" s="227"/>
      <c r="AR82" s="227"/>
      <c r="AS82" s="227"/>
      <c r="AT82" s="227"/>
      <c r="AU82" s="227"/>
      <c r="AV82" s="227"/>
      <c r="AW82" s="227"/>
      <c r="AX82" s="227"/>
      <c r="AY82" s="227"/>
      <c r="AZ82" s="227"/>
      <c r="BA82" s="227"/>
      <c r="BB82" s="227"/>
      <c r="BC82" s="227"/>
      <c r="BD82" s="227"/>
      <c r="BE82" s="227"/>
      <c r="BF82" s="227"/>
      <c r="BG82" s="227"/>
    </row>
    <row r="83" spans="4:59"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27"/>
      <c r="BC83" s="227"/>
      <c r="BD83" s="227"/>
      <c r="BE83" s="227"/>
      <c r="BF83" s="227"/>
      <c r="BG83" s="227"/>
    </row>
    <row r="84" spans="4:59"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  <c r="AF84" s="227"/>
      <c r="AG84" s="227"/>
      <c r="AH84" s="227"/>
      <c r="AI84" s="227"/>
      <c r="AJ84" s="227"/>
      <c r="AK84" s="227"/>
      <c r="AL84" s="227"/>
      <c r="AM84" s="227"/>
      <c r="AN84" s="227"/>
      <c r="AO84" s="227"/>
      <c r="AP84" s="227"/>
      <c r="AQ84" s="227"/>
      <c r="AR84" s="227"/>
      <c r="AS84" s="227"/>
      <c r="AT84" s="227"/>
      <c r="AU84" s="227"/>
      <c r="AV84" s="227"/>
      <c r="AW84" s="227"/>
      <c r="AX84" s="227"/>
      <c r="AY84" s="227"/>
      <c r="AZ84" s="227"/>
      <c r="BA84" s="227"/>
      <c r="BB84" s="227"/>
      <c r="BC84" s="227"/>
      <c r="BD84" s="227"/>
      <c r="BE84" s="227"/>
      <c r="BF84" s="227"/>
      <c r="BG84" s="227"/>
    </row>
    <row r="85" spans="4:59"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7"/>
      <c r="BC85" s="227"/>
      <c r="BD85" s="227"/>
      <c r="BE85" s="227"/>
      <c r="BF85" s="227"/>
      <c r="BG85" s="227"/>
    </row>
    <row r="86" spans="4:59"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227"/>
      <c r="AS86" s="227"/>
      <c r="AT86" s="227"/>
      <c r="AU86" s="227"/>
      <c r="AV86" s="227"/>
      <c r="AW86" s="227"/>
      <c r="AX86" s="227"/>
      <c r="AY86" s="227"/>
      <c r="AZ86" s="227"/>
      <c r="BA86" s="227"/>
      <c r="BB86" s="227"/>
      <c r="BC86" s="227"/>
      <c r="BD86" s="227"/>
      <c r="BE86" s="227"/>
      <c r="BF86" s="227"/>
      <c r="BG86" s="227"/>
    </row>
    <row r="87" spans="4:59"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7"/>
      <c r="AZ87" s="227"/>
      <c r="BA87" s="227"/>
      <c r="BB87" s="227"/>
      <c r="BC87" s="227"/>
      <c r="BD87" s="227"/>
      <c r="BE87" s="227"/>
      <c r="BF87" s="227"/>
      <c r="BG87" s="227"/>
    </row>
    <row r="88" spans="4:59"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  <c r="AC88" s="227"/>
      <c r="AD88" s="227"/>
      <c r="AE88" s="227"/>
      <c r="AF88" s="227"/>
      <c r="AG88" s="227"/>
      <c r="AH88" s="227"/>
      <c r="AI88" s="227"/>
      <c r="AJ88" s="227"/>
      <c r="AK88" s="227"/>
      <c r="AL88" s="227"/>
      <c r="AM88" s="227"/>
      <c r="AN88" s="227"/>
      <c r="AO88" s="227"/>
      <c r="AP88" s="227"/>
      <c r="AQ88" s="227"/>
      <c r="AR88" s="227"/>
      <c r="AS88" s="227"/>
      <c r="AT88" s="227"/>
      <c r="AU88" s="227"/>
      <c r="AV88" s="227"/>
      <c r="AW88" s="227"/>
      <c r="AX88" s="227"/>
      <c r="AY88" s="227"/>
      <c r="AZ88" s="227"/>
      <c r="BA88" s="227"/>
      <c r="BB88" s="227"/>
      <c r="BC88" s="227"/>
      <c r="BD88" s="227"/>
      <c r="BE88" s="227"/>
      <c r="BF88" s="227"/>
      <c r="BG88" s="227"/>
    </row>
    <row r="89" spans="4:59"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  <c r="AF89" s="227"/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27"/>
      <c r="BC89" s="227"/>
      <c r="BD89" s="227"/>
      <c r="BE89" s="227"/>
      <c r="BF89" s="227"/>
      <c r="BG89" s="227"/>
    </row>
    <row r="90" spans="4:59"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  <c r="AT90" s="227"/>
      <c r="AU90" s="227"/>
      <c r="AV90" s="227"/>
      <c r="AW90" s="227"/>
      <c r="AX90" s="227"/>
      <c r="AY90" s="227"/>
      <c r="AZ90" s="227"/>
      <c r="BA90" s="227"/>
      <c r="BB90" s="227"/>
      <c r="BC90" s="227"/>
      <c r="BD90" s="227"/>
      <c r="BE90" s="227"/>
      <c r="BF90" s="227"/>
      <c r="BG90" s="227"/>
    </row>
    <row r="91" spans="4:59"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27"/>
      <c r="BC91" s="227"/>
      <c r="BD91" s="227"/>
      <c r="BE91" s="227"/>
      <c r="BF91" s="227"/>
      <c r="BG91" s="227"/>
    </row>
    <row r="92" spans="4:59"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  <c r="AF92" s="227"/>
      <c r="AG92" s="227"/>
      <c r="AH92" s="227"/>
      <c r="AI92" s="227"/>
      <c r="AJ92" s="227"/>
      <c r="AK92" s="227"/>
      <c r="AL92" s="227"/>
      <c r="AM92" s="227"/>
      <c r="AN92" s="227"/>
      <c r="AO92" s="227"/>
      <c r="AP92" s="227"/>
      <c r="AQ92" s="227"/>
      <c r="AR92" s="227"/>
      <c r="AS92" s="227"/>
      <c r="AT92" s="227"/>
      <c r="AU92" s="227"/>
      <c r="AV92" s="227"/>
      <c r="AW92" s="227"/>
      <c r="AX92" s="227"/>
      <c r="AY92" s="227"/>
      <c r="AZ92" s="227"/>
      <c r="BA92" s="227"/>
      <c r="BB92" s="227"/>
      <c r="BC92" s="227"/>
      <c r="BD92" s="227"/>
      <c r="BE92" s="227"/>
      <c r="BF92" s="227"/>
      <c r="BG92" s="227"/>
    </row>
    <row r="93" spans="4:59"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7"/>
      <c r="BC93" s="227"/>
      <c r="BD93" s="227"/>
      <c r="BE93" s="227"/>
      <c r="BF93" s="227"/>
      <c r="BG93" s="227"/>
    </row>
    <row r="94" spans="4:59"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  <c r="AD94" s="227"/>
      <c r="AE94" s="227"/>
      <c r="AF94" s="227"/>
      <c r="AG94" s="227"/>
      <c r="AH94" s="227"/>
      <c r="AI94" s="227"/>
      <c r="AJ94" s="227"/>
      <c r="AK94" s="227"/>
      <c r="AL94" s="227"/>
      <c r="AM94" s="227"/>
      <c r="AN94" s="227"/>
      <c r="AO94" s="227"/>
      <c r="AP94" s="227"/>
      <c r="AQ94" s="227"/>
      <c r="AR94" s="227"/>
      <c r="AS94" s="227"/>
      <c r="AT94" s="227"/>
      <c r="AU94" s="227"/>
      <c r="AV94" s="227"/>
      <c r="AW94" s="227"/>
      <c r="AX94" s="227"/>
      <c r="AY94" s="227"/>
      <c r="AZ94" s="227"/>
      <c r="BA94" s="227"/>
      <c r="BB94" s="227"/>
      <c r="BC94" s="227"/>
      <c r="BD94" s="227"/>
      <c r="BE94" s="227"/>
      <c r="BF94" s="227"/>
      <c r="BG94" s="227"/>
    </row>
    <row r="95" spans="4:59"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27"/>
      <c r="BC95" s="227"/>
      <c r="BD95" s="227"/>
      <c r="BE95" s="227"/>
      <c r="BF95" s="227"/>
      <c r="BG95" s="227"/>
    </row>
    <row r="96" spans="4:59"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  <c r="AT96" s="227"/>
      <c r="AU96" s="227"/>
      <c r="AV96" s="227"/>
      <c r="AW96" s="227"/>
      <c r="AX96" s="227"/>
      <c r="AY96" s="227"/>
      <c r="AZ96" s="227"/>
      <c r="BA96" s="227"/>
      <c r="BB96" s="227"/>
      <c r="BC96" s="227"/>
      <c r="BD96" s="227"/>
      <c r="BE96" s="227"/>
      <c r="BF96" s="227"/>
      <c r="BG96" s="227"/>
    </row>
    <row r="97" spans="4:59"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7"/>
      <c r="BC97" s="227"/>
      <c r="BD97" s="227"/>
      <c r="BE97" s="227"/>
      <c r="BF97" s="227"/>
      <c r="BG97" s="227"/>
    </row>
    <row r="98" spans="4:59"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  <c r="AJ98" s="227"/>
      <c r="AK98" s="227"/>
      <c r="AL98" s="227"/>
      <c r="AM98" s="227"/>
      <c r="AN98" s="227"/>
      <c r="AO98" s="227"/>
      <c r="AP98" s="227"/>
      <c r="AQ98" s="227"/>
      <c r="AR98" s="227"/>
      <c r="AS98" s="227"/>
      <c r="AT98" s="227"/>
      <c r="AU98" s="227"/>
      <c r="AV98" s="227"/>
      <c r="AW98" s="227"/>
      <c r="AX98" s="227"/>
      <c r="AY98" s="227"/>
      <c r="AZ98" s="227"/>
      <c r="BA98" s="227"/>
      <c r="BB98" s="227"/>
      <c r="BC98" s="227"/>
      <c r="BD98" s="227"/>
      <c r="BE98" s="227"/>
      <c r="BF98" s="227"/>
      <c r="BG98" s="227"/>
    </row>
    <row r="99" spans="4:59"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27"/>
      <c r="BC99" s="227"/>
      <c r="BD99" s="227"/>
      <c r="BE99" s="227"/>
      <c r="BF99" s="227"/>
      <c r="BG99" s="227"/>
    </row>
    <row r="100" spans="4:59"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  <c r="AF100" s="227"/>
      <c r="AG100" s="227"/>
      <c r="AH100" s="227"/>
      <c r="AI100" s="227"/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7"/>
      <c r="AZ100" s="227"/>
      <c r="BA100" s="227"/>
      <c r="BB100" s="227"/>
      <c r="BC100" s="227"/>
      <c r="BD100" s="227"/>
      <c r="BE100" s="227"/>
      <c r="BF100" s="227"/>
      <c r="BG100" s="227"/>
    </row>
    <row r="101" spans="4:59"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7"/>
      <c r="BC101" s="227"/>
      <c r="BD101" s="227"/>
      <c r="BE101" s="227"/>
      <c r="BF101" s="227"/>
      <c r="BG101" s="227"/>
    </row>
    <row r="102" spans="4:59"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  <c r="AF102" s="227"/>
      <c r="AG102" s="227"/>
      <c r="AH102" s="227"/>
      <c r="AI102" s="227"/>
      <c r="AJ102" s="227"/>
      <c r="AK102" s="227"/>
      <c r="AL102" s="227"/>
      <c r="AM102" s="227"/>
      <c r="AN102" s="227"/>
      <c r="AO102" s="227"/>
      <c r="AP102" s="227"/>
      <c r="AQ102" s="227"/>
      <c r="AR102" s="227"/>
      <c r="AS102" s="227"/>
      <c r="AT102" s="227"/>
      <c r="AU102" s="227"/>
      <c r="AV102" s="227"/>
      <c r="AW102" s="227"/>
      <c r="AX102" s="227"/>
      <c r="AY102" s="227"/>
      <c r="AZ102" s="227"/>
      <c r="BA102" s="227"/>
      <c r="BB102" s="227"/>
      <c r="BC102" s="227"/>
      <c r="BD102" s="227"/>
      <c r="BE102" s="227"/>
      <c r="BF102" s="227"/>
      <c r="BG102" s="227"/>
    </row>
    <row r="103" spans="4:59"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</row>
    <row r="104" spans="4:59"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  <c r="AF104" s="227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227"/>
      <c r="AY104" s="227"/>
      <c r="AZ104" s="227"/>
      <c r="BA104" s="227"/>
      <c r="BB104" s="227"/>
      <c r="BC104" s="227"/>
      <c r="BD104" s="227"/>
      <c r="BE104" s="227"/>
      <c r="BF104" s="227"/>
      <c r="BG104" s="227"/>
    </row>
    <row r="105" spans="4:59"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</row>
    <row r="106" spans="4:59"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227"/>
      <c r="AY106" s="227"/>
      <c r="AZ106" s="227"/>
      <c r="BA106" s="227"/>
      <c r="BB106" s="227"/>
      <c r="BC106" s="227"/>
      <c r="BD106" s="227"/>
      <c r="BE106" s="227"/>
      <c r="BF106" s="227"/>
      <c r="BG106" s="227"/>
    </row>
    <row r="107" spans="4:59"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</row>
    <row r="108" spans="4:59"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227"/>
      <c r="BG108" s="227"/>
    </row>
    <row r="109" spans="4:59"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  <c r="BG109" s="227"/>
    </row>
    <row r="110" spans="4:59"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  <c r="AP110" s="227"/>
      <c r="AQ110" s="227"/>
      <c r="AR110" s="227"/>
      <c r="AS110" s="227"/>
      <c r="AT110" s="227"/>
      <c r="AU110" s="227"/>
      <c r="AV110" s="227"/>
      <c r="AW110" s="227"/>
      <c r="AX110" s="227"/>
      <c r="AY110" s="227"/>
      <c r="AZ110" s="227"/>
      <c r="BA110" s="227"/>
      <c r="BB110" s="227"/>
      <c r="BC110" s="227"/>
      <c r="BD110" s="227"/>
      <c r="BE110" s="227"/>
      <c r="BF110" s="227"/>
      <c r="BG110" s="227"/>
    </row>
    <row r="111" spans="4:59"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</row>
    <row r="112" spans="4:59"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</row>
    <row r="113" spans="4:61"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</row>
    <row r="114" spans="4:61"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</row>
    <row r="115" spans="4:61"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7"/>
      <c r="BI115" s="27"/>
    </row>
    <row r="116" spans="4:61"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I116" s="22"/>
    </row>
    <row r="117" spans="4:61"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</row>
    <row r="118" spans="4:61"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56"/>
    </row>
    <row r="119" spans="4:61"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</row>
    <row r="120" spans="4:61"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</row>
    <row r="121" spans="4:61"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</row>
    <row r="122" spans="4:61"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379"/>
      <c r="AW122" s="379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</row>
    <row r="123" spans="4:61"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</row>
    <row r="124" spans="4:61"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</row>
    <row r="125" spans="4:61">
      <c r="AR125" s="227"/>
    </row>
    <row r="126" spans="4:61">
      <c r="AR126" s="227"/>
      <c r="AT126" s="227"/>
    </row>
    <row r="127" spans="4:61">
      <c r="AR127" s="227"/>
    </row>
    <row r="128" spans="4:61"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I43" zoomScale="70" zoomScaleNormal="70" workbookViewId="0">
      <selection activeCell="T69" sqref="T69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</row>
    <row r="2" spans="9:38">
      <c r="AK2" s="227"/>
      <c r="AL2" s="227"/>
    </row>
    <row r="3" spans="9:38">
      <c r="AK3" s="227"/>
      <c r="AL3" s="227"/>
    </row>
    <row r="4" spans="9:38">
      <c r="AK4" s="227"/>
      <c r="AL4" s="227"/>
    </row>
    <row r="5" spans="9:38" ht="21" customHeight="1">
      <c r="I5" s="232"/>
      <c r="AK5" s="227"/>
      <c r="AL5" s="227"/>
    </row>
    <row r="6" spans="9:38">
      <c r="I6" s="227"/>
      <c r="AK6" s="227"/>
      <c r="AL6" s="227"/>
    </row>
    <row r="7" spans="9:38" ht="15.75" customHeight="1">
      <c r="I7" s="227"/>
      <c r="AK7" s="227"/>
      <c r="AL7" s="227"/>
    </row>
    <row r="8" spans="9:38">
      <c r="I8" s="227"/>
      <c r="AK8" s="227"/>
      <c r="AL8" s="227"/>
    </row>
    <row r="9" spans="9:38">
      <c r="I9" s="227"/>
      <c r="AK9" s="227"/>
      <c r="AL9" s="227"/>
    </row>
    <row r="10" spans="9:38">
      <c r="I10" s="227"/>
      <c r="AK10" s="227"/>
      <c r="AL10" s="227"/>
    </row>
    <row r="11" spans="9:38">
      <c r="AK11" s="227"/>
      <c r="AL11" s="227"/>
    </row>
    <row r="12" spans="9:38">
      <c r="AK12" s="227"/>
      <c r="AL12" s="227"/>
    </row>
    <row r="13" spans="9:38">
      <c r="AK13" s="227"/>
      <c r="AL13" s="227"/>
    </row>
    <row r="14" spans="9:38">
      <c r="Q14" s="22"/>
      <c r="T14" s="227"/>
      <c r="U14" s="227"/>
      <c r="V14" s="227"/>
      <c r="W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</row>
    <row r="15" spans="9:38">
      <c r="T15" s="227"/>
      <c r="U15" s="227"/>
      <c r="V15" s="227"/>
      <c r="W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</row>
    <row r="16" spans="9:38" ht="21">
      <c r="AB16" s="102"/>
      <c r="AC16" s="227"/>
      <c r="AD16" s="227"/>
      <c r="AE16" s="227"/>
      <c r="AF16" s="227"/>
      <c r="AG16" s="227"/>
      <c r="AH16" s="227"/>
      <c r="AI16" s="227"/>
      <c r="AJ16" s="227"/>
      <c r="AK16" s="227"/>
    </row>
    <row r="17" spans="1:38">
      <c r="H17" s="232"/>
      <c r="Q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152</v>
      </c>
      <c r="N18" s="98"/>
      <c r="O18" s="98"/>
      <c r="Q18" s="227"/>
      <c r="W18" s="227"/>
      <c r="X18" s="227"/>
      <c r="Y18" s="101" t="s">
        <v>154</v>
      </c>
      <c r="Z18" s="101"/>
      <c r="AA18" s="101"/>
      <c r="AB18" s="227"/>
      <c r="AC18" s="227"/>
      <c r="AD18" s="227"/>
      <c r="AE18" s="227"/>
      <c r="AJ18" s="227"/>
      <c r="AK18" s="227"/>
      <c r="AL18" s="227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95.593434333220173</v>
      </c>
      <c r="H19" s="24" t="s">
        <v>100</v>
      </c>
      <c r="L19" s="47" t="s">
        <v>46</v>
      </c>
      <c r="M19" s="96"/>
      <c r="N19" s="96"/>
      <c r="O19" s="34"/>
      <c r="P19" s="34"/>
      <c r="Q19" s="227"/>
      <c r="AE19" s="227"/>
      <c r="AJ19" s="227"/>
      <c r="AK19" s="227"/>
      <c r="AL19" s="227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27"/>
      <c r="W20" s="227"/>
      <c r="X20" s="403" t="s">
        <v>22</v>
      </c>
      <c r="Y20" s="404"/>
      <c r="Z20" s="404"/>
      <c r="AA20" s="405"/>
      <c r="AB20" s="227"/>
      <c r="AC20" s="227"/>
      <c r="AD20" s="227"/>
      <c r="AK20" s="227"/>
      <c r="AL20" s="227"/>
    </row>
    <row r="21" spans="1:38" ht="18">
      <c r="A21" s="89" t="s">
        <v>16</v>
      </c>
      <c r="B21" s="198">
        <v>10.025</v>
      </c>
      <c r="C21" s="86">
        <f>B21/D21</f>
        <v>4.5568181818181817</v>
      </c>
      <c r="D21" s="86">
        <v>2.2000000000000002</v>
      </c>
      <c r="K21" s="227"/>
      <c r="O21" s="23"/>
      <c r="X21" s="16"/>
      <c r="Y21" s="17"/>
      <c r="Z21" s="18"/>
      <c r="AK21" s="227"/>
      <c r="AL21" s="227"/>
    </row>
    <row r="22" spans="1:38" ht="18">
      <c r="A22" s="84" t="s">
        <v>17</v>
      </c>
      <c r="B22" s="86">
        <f>SUM(B19:B21)</f>
        <v>110.12549</v>
      </c>
      <c r="C22" s="86">
        <f>SUM(C19:C21)</f>
        <v>104.87121913681638</v>
      </c>
      <c r="D22" s="86">
        <f>B22/C22</f>
        <v>1.0501021243619646</v>
      </c>
      <c r="K22" s="227"/>
      <c r="L22" s="36" t="s">
        <v>3</v>
      </c>
      <c r="M22" s="34"/>
      <c r="N22" s="15" t="s">
        <v>18</v>
      </c>
      <c r="O22" s="36" t="s">
        <v>49</v>
      </c>
      <c r="P22" s="73">
        <f>E28-Q41-N43</f>
        <v>82.369489999999999</v>
      </c>
      <c r="Q22" s="227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69.7</v>
      </c>
      <c r="AD22" s="227" t="s">
        <v>18</v>
      </c>
      <c r="AK22" s="227"/>
      <c r="AL22" s="227"/>
    </row>
    <row r="23" spans="1:38" ht="18">
      <c r="B23" s="87"/>
      <c r="C23" s="87"/>
      <c r="D23" s="87"/>
      <c r="E23" s="87"/>
      <c r="K23" s="227"/>
      <c r="L23" s="36" t="s">
        <v>4</v>
      </c>
      <c r="M23" s="34"/>
      <c r="N23" s="15" t="s">
        <v>18</v>
      </c>
      <c r="O23" s="36" t="s">
        <v>27</v>
      </c>
      <c r="P23" s="34">
        <f>0.68/100</f>
        <v>6.8000000000000005E-3</v>
      </c>
      <c r="Q23" s="227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119">
        <f>0.07/100</f>
        <v>7.000000000000001E-4</v>
      </c>
      <c r="AD23" s="227" t="s">
        <v>33</v>
      </c>
      <c r="AK23" s="227"/>
      <c r="AL23" s="227"/>
    </row>
    <row r="24" spans="1:38">
      <c r="K24" s="227"/>
      <c r="L24" s="103" t="s">
        <v>17</v>
      </c>
      <c r="M24" s="34">
        <v>0.5</v>
      </c>
      <c r="N24" s="15" t="s">
        <v>18</v>
      </c>
      <c r="O24" s="67" t="s">
        <v>30</v>
      </c>
      <c r="P24" s="37">
        <f>P23*P22</f>
        <v>0.560112532</v>
      </c>
      <c r="Q24" s="227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4.8790000000000007E-2</v>
      </c>
      <c r="AD24" s="227" t="s">
        <v>18</v>
      </c>
      <c r="AK24" s="227"/>
      <c r="AL24" s="227"/>
    </row>
    <row r="25" spans="1:38">
      <c r="A25" s="161" t="s">
        <v>165</v>
      </c>
      <c r="B25" s="161"/>
      <c r="L25" s="67" t="s">
        <v>30</v>
      </c>
      <c r="M25" s="37">
        <f>P23*M24</f>
        <v>3.4000000000000002E-3</v>
      </c>
      <c r="N25" s="15" t="s">
        <v>18</v>
      </c>
      <c r="Q25" s="227"/>
      <c r="W25" s="227"/>
      <c r="X25" s="233" t="s">
        <v>30</v>
      </c>
      <c r="Y25" s="234"/>
      <c r="Z25" s="104">
        <f>AC23*Z24</f>
        <v>0</v>
      </c>
      <c r="AA25" s="15" t="s">
        <v>18</v>
      </c>
      <c r="AK25" s="227"/>
      <c r="AL25" s="227"/>
    </row>
    <row r="26" spans="1:38">
      <c r="A26" s="23"/>
      <c r="W26" s="227"/>
      <c r="X26" s="227"/>
      <c r="Y26" s="227"/>
      <c r="Z26" s="227"/>
      <c r="AA26" s="23"/>
      <c r="AL26" s="227"/>
    </row>
    <row r="27" spans="1:38">
      <c r="A27" s="23"/>
      <c r="I27" s="227"/>
      <c r="J27" s="227"/>
      <c r="K27" s="227"/>
      <c r="L27" s="227"/>
      <c r="AD27" s="31">
        <f>AC22+Z24</f>
        <v>69.7</v>
      </c>
      <c r="AE27" s="15">
        <f>AC24+Z25</f>
        <v>4.8790000000000007E-2</v>
      </c>
      <c r="AL27" s="227"/>
    </row>
    <row r="28" spans="1:38" ht="21">
      <c r="D28" s="143" t="s">
        <v>45</v>
      </c>
      <c r="E28" s="142">
        <f>B22-(C41+B44)</f>
        <v>109.23949</v>
      </c>
      <c r="F28" s="15" t="s">
        <v>18</v>
      </c>
      <c r="I28" s="227"/>
      <c r="J28" s="227"/>
      <c r="K28" s="227"/>
      <c r="L28" s="227"/>
    </row>
    <row r="29" spans="1:38">
      <c r="I29" s="227"/>
      <c r="J29" s="227"/>
      <c r="K29" s="227"/>
      <c r="L29" s="227"/>
      <c r="V29" s="227"/>
      <c r="W29" s="227"/>
      <c r="X29" s="227"/>
      <c r="AJ29" s="22"/>
    </row>
    <row r="30" spans="1:38" ht="21">
      <c r="I30" s="102"/>
      <c r="V30" s="227"/>
      <c r="W30" s="200">
        <f>AC22+Z24+AC43+V43</f>
        <v>70.990000000000009</v>
      </c>
      <c r="X30" s="227"/>
    </row>
    <row r="31" spans="1:38">
      <c r="V31" s="227"/>
      <c r="W31" s="227"/>
      <c r="X31" s="227"/>
    </row>
    <row r="33" spans="1:55">
      <c r="S33" s="15" t="s">
        <v>101</v>
      </c>
      <c r="T33" s="31">
        <f>P22-W30</f>
        <v>11.37948999999999</v>
      </c>
      <c r="U33" s="15" t="s">
        <v>18</v>
      </c>
    </row>
    <row r="34" spans="1:55">
      <c r="D34" s="227"/>
      <c r="E34" s="227"/>
      <c r="F34" s="227"/>
      <c r="G34" s="227"/>
      <c r="H34" s="227"/>
      <c r="S34" s="15" t="s">
        <v>125</v>
      </c>
      <c r="T34" s="76">
        <f>T33/E28</f>
        <v>0.10417011284106131</v>
      </c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</row>
    <row r="35" spans="1:55">
      <c r="D35" s="227"/>
      <c r="E35" s="227"/>
      <c r="F35" s="227"/>
      <c r="G35" s="227"/>
      <c r="H35" s="227"/>
      <c r="S35" s="15" t="s">
        <v>126</v>
      </c>
      <c r="T35" s="81">
        <f>T34*B49</f>
        <v>1.0359035610193417</v>
      </c>
      <c r="U35" s="227" t="s">
        <v>18</v>
      </c>
      <c r="Z35" s="227"/>
    </row>
    <row r="36" spans="1:55">
      <c r="D36" s="227"/>
      <c r="E36" s="227"/>
      <c r="F36" s="227"/>
      <c r="G36" s="227"/>
      <c r="H36" s="200"/>
      <c r="P36" s="228"/>
      <c r="Q36" s="228"/>
      <c r="R36" s="16"/>
      <c r="U36" s="227"/>
      <c r="Z36" s="227"/>
    </row>
    <row r="37" spans="1:55">
      <c r="E37" s="30"/>
      <c r="Z37" s="227"/>
    </row>
    <row r="38" spans="1:55" ht="21">
      <c r="M38" s="98" t="s">
        <v>153</v>
      </c>
      <c r="N38" s="48"/>
      <c r="Z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7"/>
      <c r="AZ38" s="227"/>
      <c r="BA38" s="227"/>
      <c r="BB38" s="227"/>
    </row>
    <row r="39" spans="1:55" ht="21">
      <c r="A39" s="392" t="s">
        <v>6</v>
      </c>
      <c r="B39" s="392"/>
      <c r="C39" s="33">
        <v>0.19</v>
      </c>
      <c r="D39" s="15" t="s">
        <v>18</v>
      </c>
      <c r="E39" s="227"/>
      <c r="F39" s="227"/>
      <c r="G39" s="227"/>
      <c r="M39" s="230" t="s">
        <v>20</v>
      </c>
      <c r="N39" s="231"/>
      <c r="Y39" s="101" t="s">
        <v>155</v>
      </c>
      <c r="Z39" s="101"/>
      <c r="AA39" s="101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</row>
    <row r="40" spans="1:55">
      <c r="A40" s="392" t="s">
        <v>5</v>
      </c>
      <c r="B40" s="392"/>
      <c r="C40" s="33">
        <v>0.20599999999999999</v>
      </c>
      <c r="D40" s="15" t="s">
        <v>18</v>
      </c>
      <c r="E40" s="227"/>
      <c r="F40" s="227"/>
      <c r="G40" s="227"/>
      <c r="S40" s="227"/>
      <c r="V40" s="227"/>
      <c r="X40" s="403" t="s">
        <v>23</v>
      </c>
      <c r="Y40" s="404"/>
      <c r="Z40" s="404"/>
      <c r="AA40" s="405"/>
      <c r="AB40" s="227"/>
      <c r="AK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7"/>
    </row>
    <row r="41" spans="1:55">
      <c r="A41" s="400" t="s">
        <v>17</v>
      </c>
      <c r="B41" s="401"/>
      <c r="C41" s="91">
        <f>SUM(C39:C40)</f>
        <v>0.39600000000000002</v>
      </c>
      <c r="D41" s="23" t="s">
        <v>18</v>
      </c>
      <c r="E41" s="227"/>
      <c r="F41" s="227"/>
      <c r="G41" s="227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26.87</v>
      </c>
      <c r="R41" s="227" t="s">
        <v>18</v>
      </c>
      <c r="S41" s="227"/>
      <c r="Z41" s="227"/>
      <c r="AK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</row>
    <row r="42" spans="1:55">
      <c r="C42" s="227"/>
      <c r="D42" s="227"/>
      <c r="E42" s="227"/>
      <c r="F42" s="227"/>
      <c r="G42" s="227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32.5/100</f>
        <v>0.32500000000000001</v>
      </c>
      <c r="R42" s="227" t="s">
        <v>33</v>
      </c>
      <c r="S42" s="227"/>
      <c r="AE42" s="227"/>
      <c r="AF42" s="227"/>
      <c r="AG42" s="227"/>
      <c r="AH42" s="227"/>
      <c r="AI42" s="227"/>
      <c r="AJ42" s="227"/>
      <c r="AK42" s="227"/>
      <c r="AL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</row>
    <row r="43" spans="1:55">
      <c r="A43" s="36" t="s">
        <v>44</v>
      </c>
      <c r="B43" s="33">
        <v>0.49</v>
      </c>
      <c r="C43" s="227" t="s">
        <v>18</v>
      </c>
      <c r="D43" s="227"/>
      <c r="E43" s="227"/>
      <c r="F43" s="227"/>
      <c r="G43" s="227"/>
      <c r="H43" s="229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8.7327500000000011</v>
      </c>
      <c r="R43" s="227" t="s">
        <v>18</v>
      </c>
      <c r="S43" s="227"/>
      <c r="U43" s="35" t="s">
        <v>53</v>
      </c>
      <c r="V43" s="33"/>
      <c r="W43" s="227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1.29</v>
      </c>
      <c r="AD43" s="227" t="s">
        <v>18</v>
      </c>
      <c r="AF43" s="227"/>
      <c r="AG43" s="227"/>
      <c r="AH43" s="227"/>
      <c r="AI43" s="227"/>
      <c r="AJ43" s="227"/>
      <c r="AK43" s="227"/>
      <c r="AL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27"/>
    </row>
    <row r="44" spans="1:55">
      <c r="A44" s="92" t="s">
        <v>17</v>
      </c>
      <c r="B44" s="90">
        <f>SUM(B43)</f>
        <v>0.49</v>
      </c>
      <c r="C44" s="227" t="s">
        <v>18</v>
      </c>
      <c r="D44" s="227"/>
      <c r="E44" s="227"/>
      <c r="M44" s="67" t="s">
        <v>30</v>
      </c>
      <c r="N44" s="37">
        <f>Q42*N43</f>
        <v>0</v>
      </c>
      <c r="O44" s="15" t="s">
        <v>18</v>
      </c>
      <c r="U44" s="227"/>
      <c r="V44" s="227"/>
      <c r="W44" s="227"/>
      <c r="X44" s="105" t="s">
        <v>4</v>
      </c>
      <c r="Y44" s="106"/>
      <c r="Z44" s="34"/>
      <c r="AA44" s="15" t="s">
        <v>18</v>
      </c>
      <c r="AB44" s="36" t="s">
        <v>27</v>
      </c>
      <c r="AC44" s="34">
        <f>29.52/100</f>
        <v>0.29520000000000002</v>
      </c>
      <c r="AD44" s="227" t="s">
        <v>33</v>
      </c>
      <c r="AL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</row>
    <row r="45" spans="1:55">
      <c r="C45" s="227"/>
      <c r="D45" s="227"/>
      <c r="E45" s="227"/>
      <c r="U45" s="227"/>
      <c r="V45" s="227"/>
      <c r="W45" s="227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0.38080800000000004</v>
      </c>
      <c r="AD45" s="227" t="s">
        <v>18</v>
      </c>
      <c r="AL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  <c r="BC45" s="227"/>
    </row>
    <row r="46" spans="1:55">
      <c r="A46" s="15" t="s">
        <v>66</v>
      </c>
      <c r="B46" s="15">
        <f>B43/D22</f>
        <v>0.46662128247547435</v>
      </c>
      <c r="C46" s="227" t="s">
        <v>62</v>
      </c>
      <c r="D46" s="227"/>
      <c r="E46" s="227"/>
      <c r="P46" s="31">
        <f>Q41+N43</f>
        <v>26.87</v>
      </c>
      <c r="Q46" s="15">
        <f>Q43+N44</f>
        <v>8.7327500000000011</v>
      </c>
      <c r="X46" s="233" t="s">
        <v>30</v>
      </c>
      <c r="Y46" s="234"/>
      <c r="Z46" s="104">
        <f>AC44*Z45</f>
        <v>0</v>
      </c>
      <c r="AA46" s="15" t="s">
        <v>18</v>
      </c>
      <c r="AF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7"/>
      <c r="AZ46" s="227"/>
      <c r="BA46" s="227"/>
      <c r="BB46" s="227"/>
      <c r="BC46" s="227"/>
    </row>
    <row r="47" spans="1:55">
      <c r="A47" s="15" t="s">
        <v>65</v>
      </c>
      <c r="B47" s="15">
        <f>C41/D22</f>
        <v>0.37710617930670992</v>
      </c>
      <c r="C47" s="15" t="s">
        <v>62</v>
      </c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  <c r="AZ47" s="227"/>
      <c r="BA47" s="227"/>
      <c r="BB47" s="227"/>
      <c r="BC47" s="227"/>
    </row>
    <row r="48" spans="1:55">
      <c r="A48" s="15" t="s">
        <v>67</v>
      </c>
      <c r="B48" s="15">
        <f>G19*(B46+B47)/1000</f>
        <v>8.0654805713009758E-2</v>
      </c>
      <c r="C48" s="15" t="s">
        <v>18</v>
      </c>
      <c r="E48" s="160"/>
      <c r="AP48" s="227"/>
      <c r="AQ48" s="227"/>
      <c r="AR48" s="227"/>
      <c r="AS48" s="227"/>
      <c r="AT48" s="227"/>
      <c r="AU48" s="227"/>
      <c r="AV48" s="227"/>
      <c r="AW48" s="227"/>
      <c r="AX48" s="227"/>
      <c r="AY48" s="227"/>
      <c r="AZ48" s="227"/>
      <c r="BA48" s="227"/>
      <c r="BB48" s="227"/>
    </row>
    <row r="49" spans="1:59">
      <c r="A49" s="15" t="s">
        <v>64</v>
      </c>
      <c r="B49" s="74">
        <f>B21-B48</f>
        <v>9.9443451942869903</v>
      </c>
      <c r="C49" s="15" t="s">
        <v>18</v>
      </c>
      <c r="AC49" s="31">
        <f>AC43+Z45</f>
        <v>1.29</v>
      </c>
      <c r="AD49" s="15">
        <f>AC45+Z46</f>
        <v>0.38080800000000004</v>
      </c>
      <c r="AP49" s="227"/>
      <c r="AQ49" s="227"/>
      <c r="AR49" s="227"/>
      <c r="AS49" s="227"/>
      <c r="AT49" s="227"/>
      <c r="AU49" s="227"/>
      <c r="AV49" s="379"/>
      <c r="AW49" s="379"/>
      <c r="AX49" s="379"/>
      <c r="AY49" s="379"/>
      <c r="AZ49" s="379"/>
      <c r="BA49" s="227"/>
      <c r="BB49" s="227"/>
    </row>
    <row r="50" spans="1:59">
      <c r="R50" s="227"/>
      <c r="S50" s="15" t="s">
        <v>27</v>
      </c>
      <c r="U50" s="15" t="s">
        <v>40</v>
      </c>
      <c r="W50" s="15" t="s">
        <v>98</v>
      </c>
      <c r="X50" s="74">
        <f>B49</f>
        <v>9.9443451942869903</v>
      </c>
      <c r="Y50" s="15" t="s">
        <v>18</v>
      </c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/>
    </row>
    <row r="51" spans="1:59">
      <c r="N51" s="15" t="s">
        <v>171</v>
      </c>
      <c r="Q51" s="227"/>
      <c r="R51" s="227"/>
      <c r="S51" s="15" t="s">
        <v>34</v>
      </c>
      <c r="T51" s="15">
        <f>AC24+Z25</f>
        <v>4.8790000000000007E-2</v>
      </c>
      <c r="U51" s="76">
        <f>T51/X50</f>
        <v>4.9063059504440556E-3</v>
      </c>
      <c r="AP51" s="227"/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27"/>
    </row>
    <row r="52" spans="1:59">
      <c r="N52" s="15" t="s">
        <v>34</v>
      </c>
      <c r="S52" s="15" t="s">
        <v>35</v>
      </c>
      <c r="T52" s="15">
        <f>AC45+Z46</f>
        <v>0.38080800000000004</v>
      </c>
      <c r="U52" s="76">
        <f>T52/X50</f>
        <v>3.8293924090524692E-2</v>
      </c>
      <c r="AP52" s="227"/>
      <c r="AQ52" s="227"/>
      <c r="AR52" s="227"/>
      <c r="AS52" s="227"/>
      <c r="AT52" s="227"/>
      <c r="AU52" s="227"/>
      <c r="AV52" s="227"/>
      <c r="AW52" s="227"/>
      <c r="AX52" s="227"/>
      <c r="AY52" s="227"/>
      <c r="AZ52" s="227"/>
      <c r="BA52" s="227"/>
      <c r="BB52" s="227"/>
    </row>
    <row r="53" spans="1:59"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36" t="s">
        <v>49</v>
      </c>
      <c r="O53" s="73">
        <f>T51</f>
        <v>4.8790000000000007E-2</v>
      </c>
      <c r="P53" s="15" t="s">
        <v>18</v>
      </c>
      <c r="R53" s="245"/>
      <c r="S53" s="15" t="s">
        <v>36</v>
      </c>
      <c r="T53" s="227">
        <f>Q43+N44</f>
        <v>8.7327500000000011</v>
      </c>
      <c r="U53" s="235">
        <f>T53/X50</f>
        <v>0.87816239575200505</v>
      </c>
      <c r="V53" s="227"/>
      <c r="W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27"/>
      <c r="BC53" s="227"/>
      <c r="BD53" s="227"/>
      <c r="BE53" s="227"/>
      <c r="BF53" s="227"/>
      <c r="BG53" s="227"/>
    </row>
    <row r="54" spans="1:59">
      <c r="D54" s="379"/>
      <c r="E54" s="379"/>
      <c r="F54" s="379"/>
      <c r="G54" s="379"/>
      <c r="H54" s="227"/>
      <c r="I54" s="227"/>
      <c r="J54" s="227"/>
      <c r="K54" s="227"/>
      <c r="L54" s="227"/>
      <c r="M54" s="227"/>
      <c r="N54" s="36" t="s">
        <v>27</v>
      </c>
      <c r="O54" s="37">
        <f>1.82/100</f>
        <v>1.8200000000000001E-2</v>
      </c>
      <c r="S54" s="15" t="s">
        <v>17</v>
      </c>
      <c r="T54" s="227">
        <f>SUM(T51:T53)</f>
        <v>9.1623480000000015</v>
      </c>
      <c r="U54" s="235">
        <f>SUM(U51:U53)</f>
        <v>0.92136262579297379</v>
      </c>
      <c r="V54" s="227"/>
      <c r="W54" s="227"/>
      <c r="X54" s="227"/>
      <c r="Y54" s="227"/>
      <c r="Z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7"/>
      <c r="AX54" s="227"/>
      <c r="AY54" s="227"/>
      <c r="AZ54" s="227"/>
      <c r="BA54" s="227"/>
      <c r="BB54" s="227"/>
      <c r="BC54" s="227"/>
      <c r="BD54" s="227"/>
      <c r="BE54" s="227"/>
      <c r="BF54" s="227"/>
      <c r="BG54" s="227"/>
    </row>
    <row r="55" spans="1:59">
      <c r="D55" s="227"/>
      <c r="E55" s="227"/>
      <c r="F55" s="227"/>
      <c r="G55" s="227"/>
      <c r="H55" s="227"/>
      <c r="I55" s="227"/>
      <c r="J55" s="227"/>
      <c r="K55" s="227"/>
      <c r="L55" s="227"/>
      <c r="M55" s="227"/>
      <c r="N55" s="67" t="s">
        <v>30</v>
      </c>
      <c r="O55" s="37">
        <f>1.82/100</f>
        <v>1.8200000000000001E-2</v>
      </c>
      <c r="P55" s="15" t="s">
        <v>18</v>
      </c>
      <c r="Q55" s="245">
        <f>O55/T51</f>
        <v>0.37302725968436151</v>
      </c>
      <c r="R55" s="245" t="s">
        <v>18</v>
      </c>
      <c r="S55" s="15" t="s">
        <v>37</v>
      </c>
      <c r="T55" s="145">
        <f>X50-T54</f>
        <v>0.78199719428698877</v>
      </c>
      <c r="U55" s="235">
        <f>T55/X50</f>
        <v>7.8637374207026212E-2</v>
      </c>
      <c r="V55" s="227"/>
      <c r="W55" s="227"/>
      <c r="X55" s="227"/>
      <c r="Y55" s="227"/>
      <c r="Z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27"/>
      <c r="BC55" s="227"/>
      <c r="BD55" s="227"/>
      <c r="BE55" s="227"/>
      <c r="BF55" s="227"/>
      <c r="BG55" s="227"/>
    </row>
    <row r="56" spans="1:59">
      <c r="D56" s="227"/>
      <c r="E56" s="227"/>
      <c r="F56" s="227"/>
      <c r="G56" s="227"/>
      <c r="H56" s="227"/>
      <c r="I56" s="227"/>
      <c r="J56" s="227"/>
      <c r="K56" s="227"/>
      <c r="L56" s="227"/>
      <c r="M56" s="227"/>
      <c r="N56" s="245"/>
      <c r="O56" s="245"/>
      <c r="Q56" s="245"/>
      <c r="R56" s="245"/>
      <c r="T56" s="227"/>
      <c r="U56" s="227"/>
      <c r="V56" s="227"/>
      <c r="W56" s="227"/>
      <c r="X56" s="227"/>
      <c r="Y56" s="245" t="s">
        <v>172</v>
      </c>
      <c r="Z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  <c r="AY56" s="227"/>
      <c r="AZ56" s="227"/>
      <c r="BA56" s="227"/>
      <c r="BB56" s="227"/>
      <c r="BC56" s="227"/>
      <c r="BD56" s="227"/>
      <c r="BE56" s="227"/>
      <c r="BF56" s="227"/>
      <c r="BG56" s="227"/>
    </row>
    <row r="57" spans="1:59">
      <c r="D57" s="227"/>
      <c r="E57" s="227"/>
      <c r="F57" s="227"/>
      <c r="G57" s="227"/>
      <c r="H57" s="227"/>
      <c r="I57" s="227"/>
      <c r="J57" s="227"/>
      <c r="K57" s="227"/>
      <c r="L57" s="227"/>
      <c r="M57" s="227"/>
      <c r="N57" s="15" t="s">
        <v>35</v>
      </c>
      <c r="Q57" s="245"/>
      <c r="R57" s="245"/>
      <c r="U57" s="15" t="s">
        <v>127</v>
      </c>
      <c r="W57" s="227"/>
      <c r="X57" s="227"/>
      <c r="Y57" s="15" t="s">
        <v>34</v>
      </c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  <c r="AY57" s="227"/>
      <c r="AZ57" s="227"/>
      <c r="BA57" s="227"/>
      <c r="BB57" s="227"/>
      <c r="BC57" s="227"/>
      <c r="BD57" s="227"/>
      <c r="BE57" s="227"/>
      <c r="BF57" s="227"/>
      <c r="BG57" s="227"/>
    </row>
    <row r="58" spans="1:59"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36" t="s">
        <v>49</v>
      </c>
      <c r="O58" s="73">
        <f>T52</f>
        <v>0.38080800000000004</v>
      </c>
      <c r="P58" s="15" t="s">
        <v>18</v>
      </c>
      <c r="Q58" s="245"/>
      <c r="R58" s="245"/>
      <c r="S58" s="15" t="s">
        <v>34</v>
      </c>
      <c r="T58" s="15">
        <f>T51+Z60</f>
        <v>6.0615600000000006E-2</v>
      </c>
      <c r="U58" s="76">
        <f>T58/X50</f>
        <v>6.0954842994412105E-3</v>
      </c>
      <c r="W58" s="227"/>
      <c r="X58" s="227"/>
      <c r="Y58" s="36" t="s">
        <v>49</v>
      </c>
      <c r="Z58" s="73">
        <v>29.564</v>
      </c>
      <c r="AA58" s="15" t="s">
        <v>18</v>
      </c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27"/>
      <c r="BC58" s="227"/>
      <c r="BD58" s="227"/>
      <c r="BE58" s="227"/>
      <c r="BF58" s="227"/>
      <c r="BG58" s="227"/>
    </row>
    <row r="59" spans="1:59"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36" t="s">
        <v>27</v>
      </c>
      <c r="O59" s="37">
        <f>1.16/100</f>
        <v>1.1599999999999999E-2</v>
      </c>
      <c r="Q59" s="245"/>
      <c r="R59" s="245"/>
      <c r="S59" s="15" t="s">
        <v>35</v>
      </c>
      <c r="T59" s="15">
        <f>T52+Z65</f>
        <v>0.46140800000000004</v>
      </c>
      <c r="U59" s="76">
        <f>T59/X50</f>
        <v>4.6399032916222396E-2</v>
      </c>
      <c r="W59" s="227"/>
      <c r="X59" s="227"/>
      <c r="Y59" s="36" t="s">
        <v>27</v>
      </c>
      <c r="Z59" s="37">
        <f>0.04/100</f>
        <v>4.0000000000000002E-4</v>
      </c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</row>
    <row r="60" spans="1:59"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67" t="s">
        <v>30</v>
      </c>
      <c r="O60" s="37">
        <f>O59*O58</f>
        <v>4.4173728000000004E-3</v>
      </c>
      <c r="P60" s="15" t="s">
        <v>18</v>
      </c>
      <c r="Q60" s="245">
        <f>O60/T52</f>
        <v>1.1599999999999999E-2</v>
      </c>
      <c r="R60" s="245" t="s">
        <v>18</v>
      </c>
      <c r="S60" s="15" t="s">
        <v>36</v>
      </c>
      <c r="T60" s="245">
        <f>Z70</f>
        <v>7.1509650000000002</v>
      </c>
      <c r="U60" s="76">
        <f>T60/X50</f>
        <v>0.71909862945105907</v>
      </c>
      <c r="W60" s="227"/>
      <c r="X60" s="227"/>
      <c r="Y60" s="67" t="s">
        <v>30</v>
      </c>
      <c r="Z60" s="37">
        <f>Z59*Z58</f>
        <v>1.18256E-2</v>
      </c>
      <c r="AA60" s="15" t="s">
        <v>18</v>
      </c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7"/>
      <c r="AZ60" s="227"/>
      <c r="BA60" s="227"/>
      <c r="BB60" s="227"/>
      <c r="BC60" s="227"/>
      <c r="BD60" s="227"/>
      <c r="BE60" s="227"/>
      <c r="BF60" s="227"/>
      <c r="BG60" s="227"/>
    </row>
    <row r="61" spans="1:59"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45"/>
      <c r="O61" s="245"/>
      <c r="Q61" s="245"/>
      <c r="R61" s="245"/>
      <c r="S61" s="15" t="s">
        <v>17</v>
      </c>
      <c r="T61" s="245">
        <f>SUM(T58:T60)</f>
        <v>7.6729886</v>
      </c>
      <c r="U61" s="245"/>
      <c r="V61" s="245"/>
      <c r="W61" s="227"/>
      <c r="X61" s="227"/>
      <c r="Y61" s="245"/>
      <c r="Z61" s="245"/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27"/>
      <c r="AV61" s="227"/>
      <c r="AW61" s="227"/>
      <c r="AX61" s="227"/>
      <c r="AY61" s="227"/>
      <c r="AZ61" s="227"/>
      <c r="BA61" s="227"/>
      <c r="BB61" s="227"/>
      <c r="BC61" s="227"/>
      <c r="BD61" s="227"/>
      <c r="BE61" s="227"/>
      <c r="BF61" s="227"/>
      <c r="BG61" s="227"/>
    </row>
    <row r="62" spans="1:59"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15" t="s">
        <v>167</v>
      </c>
      <c r="Q62" s="245"/>
      <c r="R62" s="245"/>
      <c r="S62" s="15" t="s">
        <v>37</v>
      </c>
      <c r="T62" s="145">
        <f>X50-T61</f>
        <v>2.2713565942869902</v>
      </c>
      <c r="U62" s="246">
        <f>T62/X50</f>
        <v>0.22840685333327737</v>
      </c>
      <c r="V62" s="245"/>
      <c r="W62" s="227"/>
      <c r="X62" s="227"/>
      <c r="Y62" s="15" t="s">
        <v>35</v>
      </c>
      <c r="AB62" s="227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27"/>
      <c r="BC62" s="227"/>
      <c r="BD62" s="227"/>
      <c r="BE62" s="227"/>
      <c r="BF62" s="227"/>
      <c r="BG62" s="227"/>
    </row>
    <row r="63" spans="1:59"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36" t="s">
        <v>49</v>
      </c>
      <c r="O63" s="73">
        <f>P24</f>
        <v>0.560112532</v>
      </c>
      <c r="P63" s="15" t="s">
        <v>18</v>
      </c>
      <c r="Q63" s="245"/>
      <c r="R63" s="245"/>
      <c r="T63" s="245"/>
      <c r="U63" s="171">
        <f>SUM(U58:U62)</f>
        <v>1</v>
      </c>
      <c r="V63" s="245"/>
      <c r="W63" s="227"/>
      <c r="X63" s="227"/>
      <c r="Y63" s="36" t="s">
        <v>49</v>
      </c>
      <c r="Z63" s="73">
        <v>0.26</v>
      </c>
      <c r="AA63" s="15" t="s">
        <v>18</v>
      </c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27"/>
      <c r="AV63" s="227"/>
      <c r="AW63" s="227"/>
      <c r="AX63" s="227"/>
      <c r="AY63" s="227"/>
      <c r="AZ63" s="227"/>
      <c r="BA63" s="227"/>
      <c r="BB63" s="227"/>
      <c r="BC63" s="227"/>
      <c r="BD63" s="227"/>
      <c r="BE63" s="227"/>
      <c r="BF63" s="227"/>
      <c r="BG63" s="227"/>
    </row>
    <row r="64" spans="1:59"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36" t="s">
        <v>27</v>
      </c>
      <c r="O64" s="37">
        <f>2.16/100</f>
        <v>2.1600000000000001E-2</v>
      </c>
      <c r="Q64" s="245"/>
      <c r="R64" s="245"/>
      <c r="S64" s="227"/>
      <c r="T64" s="227"/>
      <c r="U64" s="227"/>
      <c r="V64" s="227"/>
      <c r="W64" s="227"/>
      <c r="X64" s="227"/>
      <c r="Y64" s="36" t="s">
        <v>27</v>
      </c>
      <c r="Z64" s="37">
        <f>31/100</f>
        <v>0.31</v>
      </c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227"/>
      <c r="AX64" s="227"/>
      <c r="AY64" s="227"/>
      <c r="AZ64" s="227"/>
      <c r="BA64" s="227"/>
      <c r="BB64" s="227"/>
      <c r="BC64" s="227"/>
      <c r="BD64" s="227"/>
      <c r="BE64" s="227"/>
      <c r="BF64" s="227"/>
      <c r="BG64" s="227"/>
    </row>
    <row r="65" spans="4:59">
      <c r="D65" s="227"/>
      <c r="E65" s="227"/>
      <c r="F65" s="227"/>
      <c r="G65" s="227"/>
      <c r="H65" s="227"/>
      <c r="I65" s="227"/>
      <c r="J65" s="245"/>
      <c r="K65" s="227"/>
      <c r="L65" s="227"/>
      <c r="M65" s="227"/>
      <c r="N65" s="67" t="s">
        <v>30</v>
      </c>
      <c r="O65" s="37">
        <f>O64*O63</f>
        <v>1.20984306912E-2</v>
      </c>
      <c r="P65" s="15" t="s">
        <v>18</v>
      </c>
      <c r="Q65" s="245">
        <f>O65/P24</f>
        <v>2.1600000000000001E-2</v>
      </c>
      <c r="R65" s="245" t="s">
        <v>18</v>
      </c>
      <c r="S65" s="227"/>
      <c r="T65" s="227"/>
      <c r="U65" s="227"/>
      <c r="V65" s="227"/>
      <c r="W65" s="227"/>
      <c r="X65" s="227"/>
      <c r="Y65" s="67" t="s">
        <v>30</v>
      </c>
      <c r="Z65" s="37">
        <f>Z64*Z63</f>
        <v>8.0600000000000005E-2</v>
      </c>
      <c r="AA65" s="15" t="s">
        <v>18</v>
      </c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7"/>
      <c r="BC65" s="227"/>
      <c r="BD65" s="227"/>
      <c r="BE65" s="227"/>
      <c r="BF65" s="227"/>
      <c r="BG65" s="227"/>
    </row>
    <row r="66" spans="4:59">
      <c r="D66" s="227"/>
      <c r="E66" s="227"/>
      <c r="F66" s="227"/>
      <c r="G66" s="227"/>
      <c r="H66" s="227"/>
      <c r="I66" s="227"/>
      <c r="J66" s="227"/>
      <c r="K66" s="227"/>
      <c r="M66" s="227"/>
      <c r="N66" s="245"/>
      <c r="O66" s="245"/>
      <c r="Q66" s="245"/>
      <c r="R66" s="245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7"/>
      <c r="BC66" s="227"/>
      <c r="BD66" s="227"/>
      <c r="BE66" s="227"/>
      <c r="BF66" s="227"/>
      <c r="BG66" s="227"/>
    </row>
    <row r="67" spans="4:59"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15" t="s">
        <v>168</v>
      </c>
      <c r="Q67" s="245"/>
      <c r="R67" s="245"/>
      <c r="S67" s="227"/>
      <c r="T67" s="227"/>
      <c r="U67" s="227"/>
      <c r="V67" s="227"/>
      <c r="W67" s="227"/>
      <c r="X67" s="227"/>
      <c r="Y67" s="15" t="s">
        <v>168</v>
      </c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  <c r="AT67" s="227"/>
      <c r="AU67" s="227"/>
      <c r="AV67" s="227"/>
      <c r="AW67" s="227"/>
      <c r="AX67" s="227"/>
      <c r="AY67" s="227"/>
      <c r="AZ67" s="227"/>
      <c r="BA67" s="227"/>
      <c r="BB67" s="227"/>
      <c r="BC67" s="227"/>
      <c r="BD67" s="227"/>
      <c r="BE67" s="227"/>
      <c r="BF67" s="227"/>
      <c r="BG67" s="227"/>
    </row>
    <row r="68" spans="4:59"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36" t="s">
        <v>49</v>
      </c>
      <c r="O68" s="73">
        <f>T53</f>
        <v>8.7327500000000011</v>
      </c>
      <c r="P68" s="15" t="s">
        <v>18</v>
      </c>
      <c r="Q68" s="245"/>
      <c r="R68" s="245"/>
      <c r="S68" s="227"/>
      <c r="T68" s="227"/>
      <c r="U68" s="227"/>
      <c r="V68" s="227"/>
      <c r="W68" s="227"/>
      <c r="X68" s="227"/>
      <c r="Y68" s="36" t="s">
        <v>49</v>
      </c>
      <c r="Z68" s="73">
        <v>14.79</v>
      </c>
      <c r="AA68" s="15" t="s">
        <v>18</v>
      </c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27"/>
      <c r="BC68" s="227"/>
      <c r="BD68" s="227"/>
      <c r="BE68" s="227"/>
      <c r="BF68" s="227"/>
      <c r="BG68" s="227"/>
    </row>
    <row r="69" spans="4:59"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36" t="s">
        <v>27</v>
      </c>
      <c r="O69" s="37">
        <f>0.25/100</f>
        <v>2.5000000000000001E-3</v>
      </c>
      <c r="Q69" s="245"/>
      <c r="R69" s="245"/>
      <c r="S69" s="227"/>
      <c r="T69" s="227"/>
      <c r="U69" s="227"/>
      <c r="V69" s="227"/>
      <c r="W69" s="227"/>
      <c r="X69" s="227"/>
      <c r="Y69" s="36" t="s">
        <v>27</v>
      </c>
      <c r="Z69" s="37">
        <f>48.35/100</f>
        <v>0.48350000000000004</v>
      </c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  <c r="AZ69" s="227"/>
      <c r="BA69" s="227"/>
      <c r="BB69" s="227"/>
      <c r="BC69" s="227"/>
      <c r="BD69" s="227"/>
      <c r="BE69" s="227"/>
      <c r="BF69" s="227"/>
      <c r="BG69" s="227"/>
    </row>
    <row r="70" spans="4:59"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67" t="s">
        <v>30</v>
      </c>
      <c r="O70" s="37">
        <f>O69*O68</f>
        <v>2.1831875000000004E-2</v>
      </c>
      <c r="P70" s="15" t="s">
        <v>18</v>
      </c>
      <c r="Q70" s="245">
        <f>O70/T53</f>
        <v>2.5000000000000001E-3</v>
      </c>
      <c r="R70" s="245" t="s">
        <v>18</v>
      </c>
      <c r="S70" s="227"/>
      <c r="T70" s="227"/>
      <c r="U70" s="227"/>
      <c r="V70" s="227"/>
      <c r="W70" s="227"/>
      <c r="X70" s="227"/>
      <c r="Y70" s="67" t="s">
        <v>30</v>
      </c>
      <c r="Z70" s="37">
        <f>Z69*Z68</f>
        <v>7.1509650000000002</v>
      </c>
      <c r="AA70" s="15" t="s">
        <v>18</v>
      </c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  <c r="AT70" s="227"/>
      <c r="AU70" s="227"/>
      <c r="AV70" s="227"/>
      <c r="AW70" s="227"/>
      <c r="AX70" s="227"/>
      <c r="AY70" s="227"/>
      <c r="AZ70" s="227"/>
      <c r="BA70" s="227"/>
      <c r="BB70" s="227"/>
      <c r="BC70" s="227"/>
      <c r="BD70" s="227"/>
      <c r="BE70" s="227"/>
      <c r="BF70" s="227"/>
      <c r="BG70" s="227"/>
    </row>
    <row r="71" spans="4:59"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45"/>
      <c r="O71" s="245"/>
      <c r="P71" s="245"/>
      <c r="Q71" s="245"/>
      <c r="R71" s="245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27"/>
      <c r="BC71" s="227"/>
      <c r="BD71" s="227"/>
      <c r="BE71" s="227"/>
      <c r="BF71" s="227"/>
      <c r="BG71" s="227"/>
    </row>
    <row r="72" spans="4:59"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45" t="s">
        <v>169</v>
      </c>
      <c r="O72" s="245">
        <f>(O55+O60+O65+O70)*1000</f>
        <v>56.547678491200003</v>
      </c>
      <c r="P72" s="245" t="s">
        <v>170</v>
      </c>
      <c r="Q72" s="245"/>
      <c r="R72" s="245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  <c r="AC72" s="227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  <c r="AT72" s="227"/>
      <c r="AU72" s="227"/>
      <c r="AV72" s="227"/>
      <c r="AW72" s="379"/>
      <c r="AX72" s="379"/>
      <c r="AY72" s="227"/>
      <c r="AZ72" s="227"/>
      <c r="BA72" s="227"/>
      <c r="BB72" s="227"/>
      <c r="BC72" s="227"/>
      <c r="BD72" s="227"/>
      <c r="BE72" s="227"/>
      <c r="BF72" s="227"/>
      <c r="BG72" s="227"/>
    </row>
    <row r="73" spans="4:59"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227"/>
      <c r="AX73" s="227"/>
      <c r="AY73" s="227"/>
      <c r="AZ73" s="227"/>
      <c r="BA73" s="227"/>
      <c r="BB73" s="227"/>
      <c r="BC73" s="227"/>
      <c r="BD73" s="227"/>
      <c r="BE73" s="227"/>
      <c r="BF73" s="227"/>
      <c r="BG73" s="227"/>
    </row>
    <row r="74" spans="4:59"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227"/>
      <c r="AX74" s="227"/>
      <c r="AY74" s="227"/>
      <c r="AZ74" s="227"/>
      <c r="BA74" s="227"/>
      <c r="BB74" s="227"/>
      <c r="BC74" s="227"/>
      <c r="BD74" s="227"/>
      <c r="BE74" s="227"/>
      <c r="BF74" s="227"/>
      <c r="BG74" s="227"/>
    </row>
    <row r="75" spans="4:59"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</row>
    <row r="76" spans="4:59"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  <c r="AT76" s="227"/>
      <c r="AU76" s="227"/>
      <c r="AV76" s="227"/>
      <c r="AW76" s="227"/>
      <c r="AX76" s="227"/>
      <c r="AY76" s="227"/>
      <c r="AZ76" s="227"/>
      <c r="BA76" s="227"/>
      <c r="BB76" s="227"/>
      <c r="BC76" s="227"/>
      <c r="BD76" s="227"/>
      <c r="BE76" s="227"/>
      <c r="BF76" s="227"/>
      <c r="BG76" s="227"/>
    </row>
    <row r="77" spans="4:59"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27"/>
      <c r="BC77" s="227"/>
      <c r="BD77" s="227"/>
      <c r="BE77" s="227"/>
      <c r="BF77" s="227"/>
      <c r="BG77" s="227"/>
    </row>
    <row r="78" spans="4:59"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  <c r="AT78" s="227"/>
      <c r="AU78" s="227"/>
      <c r="AV78" s="227"/>
      <c r="AW78" s="227"/>
      <c r="AX78" s="227"/>
      <c r="AY78" s="227"/>
      <c r="AZ78" s="227"/>
      <c r="BA78" s="227"/>
      <c r="BB78" s="227"/>
      <c r="BC78" s="227"/>
      <c r="BD78" s="227"/>
      <c r="BE78" s="227"/>
      <c r="BF78" s="227"/>
      <c r="BG78" s="227"/>
    </row>
    <row r="79" spans="4:59"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7"/>
      <c r="AZ79" s="227"/>
      <c r="BA79" s="227"/>
      <c r="BB79" s="227"/>
      <c r="BC79" s="227"/>
      <c r="BD79" s="227"/>
      <c r="BE79" s="227"/>
      <c r="BF79" s="227"/>
      <c r="BG79" s="227"/>
    </row>
    <row r="80" spans="4:59"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  <c r="AC80" s="227"/>
      <c r="AD80" s="227"/>
      <c r="AE80" s="227"/>
      <c r="AF80" s="227"/>
      <c r="AG80" s="227"/>
      <c r="AH80" s="227"/>
      <c r="AI80" s="227"/>
      <c r="AJ80" s="227"/>
      <c r="AK80" s="227"/>
      <c r="AL80" s="227"/>
      <c r="AM80" s="227"/>
      <c r="AN80" s="227"/>
      <c r="AO80" s="227"/>
      <c r="AP80" s="227"/>
      <c r="AQ80" s="227"/>
      <c r="AR80" s="227"/>
      <c r="AS80" s="227"/>
      <c r="AT80" s="227"/>
      <c r="AU80" s="227"/>
      <c r="AV80" s="227"/>
      <c r="AW80" s="227"/>
      <c r="AX80" s="227"/>
      <c r="AY80" s="227"/>
      <c r="AZ80" s="227"/>
      <c r="BA80" s="227"/>
      <c r="BB80" s="227"/>
      <c r="BC80" s="227"/>
      <c r="BD80" s="227"/>
      <c r="BE80" s="227"/>
      <c r="BF80" s="227"/>
      <c r="BG80" s="227"/>
    </row>
    <row r="81" spans="4:59"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7"/>
      <c r="AZ81" s="227"/>
      <c r="BA81" s="227"/>
      <c r="BB81" s="227"/>
      <c r="BC81" s="227"/>
      <c r="BD81" s="227"/>
      <c r="BE81" s="227"/>
      <c r="BF81" s="227"/>
      <c r="BG81" s="227"/>
    </row>
    <row r="82" spans="4:59"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  <c r="AC82" s="227"/>
      <c r="AD82" s="227"/>
      <c r="AE82" s="227"/>
      <c r="AF82" s="227"/>
      <c r="AG82" s="227"/>
      <c r="AH82" s="227"/>
      <c r="AI82" s="227"/>
      <c r="AJ82" s="227"/>
      <c r="AK82" s="227"/>
      <c r="AL82" s="227"/>
      <c r="AM82" s="227"/>
      <c r="AN82" s="227"/>
      <c r="AO82" s="227"/>
      <c r="AP82" s="227"/>
      <c r="AQ82" s="227"/>
      <c r="AR82" s="227"/>
      <c r="AS82" s="227"/>
      <c r="AT82" s="227"/>
      <c r="AU82" s="227"/>
      <c r="AV82" s="227"/>
      <c r="AW82" s="227"/>
      <c r="AX82" s="227"/>
      <c r="AY82" s="227"/>
      <c r="AZ82" s="227"/>
      <c r="BA82" s="227"/>
      <c r="BB82" s="227"/>
      <c r="BC82" s="227"/>
      <c r="BD82" s="227"/>
      <c r="BE82" s="227"/>
      <c r="BF82" s="227"/>
      <c r="BG82" s="227"/>
    </row>
    <row r="83" spans="4:59"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27"/>
      <c r="BC83" s="227"/>
      <c r="BD83" s="227"/>
      <c r="BE83" s="227"/>
      <c r="BF83" s="227"/>
      <c r="BG83" s="227"/>
    </row>
    <row r="84" spans="4:59"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  <c r="AF84" s="227"/>
      <c r="AG84" s="227"/>
      <c r="AH84" s="227"/>
      <c r="AI84" s="227"/>
      <c r="AJ84" s="227"/>
      <c r="AK84" s="227"/>
      <c r="AL84" s="227"/>
      <c r="AM84" s="227"/>
      <c r="AN84" s="227"/>
      <c r="AO84" s="227"/>
      <c r="AP84" s="227"/>
      <c r="AQ84" s="227"/>
      <c r="AR84" s="227"/>
      <c r="AS84" s="227"/>
      <c r="AT84" s="227"/>
      <c r="AU84" s="227"/>
      <c r="AV84" s="227"/>
      <c r="AW84" s="227"/>
      <c r="AX84" s="227"/>
      <c r="AY84" s="227"/>
      <c r="AZ84" s="227"/>
      <c r="BA84" s="227"/>
      <c r="BB84" s="227"/>
      <c r="BC84" s="227"/>
      <c r="BD84" s="227"/>
      <c r="BE84" s="227"/>
      <c r="BF84" s="227"/>
      <c r="BG84" s="227"/>
    </row>
    <row r="85" spans="4:59"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7"/>
      <c r="BC85" s="227"/>
      <c r="BD85" s="227"/>
      <c r="BE85" s="227"/>
      <c r="BF85" s="227"/>
      <c r="BG85" s="227"/>
    </row>
    <row r="86" spans="4:59"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227"/>
      <c r="AS86" s="227"/>
      <c r="AT86" s="227"/>
      <c r="AU86" s="227"/>
      <c r="AV86" s="227"/>
      <c r="AW86" s="227"/>
      <c r="AX86" s="227"/>
      <c r="AY86" s="227"/>
      <c r="AZ86" s="227"/>
      <c r="BA86" s="227"/>
      <c r="BB86" s="227"/>
      <c r="BC86" s="227"/>
      <c r="BD86" s="227"/>
      <c r="BE86" s="227"/>
      <c r="BF86" s="227"/>
      <c r="BG86" s="227"/>
    </row>
    <row r="87" spans="4:59"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7"/>
      <c r="AZ87" s="227"/>
      <c r="BA87" s="227"/>
      <c r="BB87" s="227"/>
      <c r="BC87" s="227"/>
      <c r="BD87" s="227"/>
      <c r="BE87" s="227"/>
      <c r="BF87" s="227"/>
      <c r="BG87" s="227"/>
    </row>
    <row r="88" spans="4:59"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  <c r="AC88" s="227"/>
      <c r="AD88" s="227"/>
      <c r="AE88" s="227"/>
      <c r="AF88" s="227"/>
      <c r="AG88" s="227"/>
      <c r="AH88" s="227"/>
      <c r="AI88" s="227"/>
      <c r="AJ88" s="227"/>
      <c r="AK88" s="227"/>
      <c r="AL88" s="227"/>
      <c r="AM88" s="227"/>
      <c r="AN88" s="227"/>
      <c r="AO88" s="227"/>
      <c r="AP88" s="227"/>
      <c r="AQ88" s="227"/>
      <c r="AR88" s="227"/>
      <c r="AS88" s="227"/>
      <c r="AT88" s="227"/>
      <c r="AU88" s="227"/>
      <c r="AV88" s="227"/>
      <c r="AW88" s="227"/>
      <c r="AX88" s="227"/>
      <c r="AY88" s="227"/>
      <c r="AZ88" s="227"/>
      <c r="BA88" s="227"/>
      <c r="BB88" s="227"/>
      <c r="BC88" s="227"/>
      <c r="BD88" s="227"/>
      <c r="BE88" s="227"/>
      <c r="BF88" s="227"/>
      <c r="BG88" s="227"/>
    </row>
    <row r="89" spans="4:59"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  <c r="AF89" s="227"/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27"/>
      <c r="BC89" s="227"/>
      <c r="BD89" s="227"/>
      <c r="BE89" s="227"/>
      <c r="BF89" s="227"/>
      <c r="BG89" s="227"/>
    </row>
    <row r="90" spans="4:59"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  <c r="AT90" s="227"/>
      <c r="AU90" s="227"/>
      <c r="AV90" s="227"/>
      <c r="AW90" s="227"/>
      <c r="AX90" s="227"/>
      <c r="AY90" s="227"/>
      <c r="AZ90" s="227"/>
      <c r="BA90" s="227"/>
      <c r="BB90" s="227"/>
      <c r="BC90" s="227"/>
      <c r="BD90" s="227"/>
      <c r="BE90" s="227"/>
      <c r="BF90" s="227"/>
      <c r="BG90" s="227"/>
    </row>
    <row r="91" spans="4:59"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27"/>
      <c r="BC91" s="227"/>
      <c r="BD91" s="227"/>
      <c r="BE91" s="227"/>
      <c r="BF91" s="227"/>
      <c r="BG91" s="227"/>
    </row>
    <row r="92" spans="4:59"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  <c r="AF92" s="227"/>
      <c r="AG92" s="227"/>
      <c r="AH92" s="227"/>
      <c r="AI92" s="227"/>
      <c r="AJ92" s="227"/>
      <c r="AK92" s="227"/>
      <c r="AL92" s="227"/>
      <c r="AM92" s="227"/>
      <c r="AN92" s="227"/>
      <c r="AO92" s="227"/>
      <c r="AP92" s="227"/>
      <c r="AQ92" s="227"/>
      <c r="AR92" s="227"/>
      <c r="AS92" s="227"/>
      <c r="AT92" s="227"/>
      <c r="AU92" s="227"/>
      <c r="AV92" s="227"/>
      <c r="AW92" s="227"/>
      <c r="AX92" s="227"/>
      <c r="AY92" s="227"/>
      <c r="AZ92" s="227"/>
      <c r="BA92" s="227"/>
      <c r="BB92" s="227"/>
      <c r="BC92" s="227"/>
      <c r="BD92" s="227"/>
      <c r="BE92" s="227"/>
      <c r="BF92" s="227"/>
      <c r="BG92" s="227"/>
    </row>
    <row r="93" spans="4:59"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7"/>
      <c r="BC93" s="227"/>
      <c r="BD93" s="227"/>
      <c r="BE93" s="227"/>
      <c r="BF93" s="227"/>
      <c r="BG93" s="227"/>
    </row>
    <row r="94" spans="4:59"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  <c r="AD94" s="227"/>
      <c r="AE94" s="227"/>
      <c r="AF94" s="227"/>
      <c r="AG94" s="227"/>
      <c r="AH94" s="227"/>
      <c r="AI94" s="227"/>
      <c r="AJ94" s="227"/>
      <c r="AK94" s="227"/>
      <c r="AL94" s="227"/>
      <c r="AM94" s="227"/>
      <c r="AN94" s="227"/>
      <c r="AO94" s="227"/>
      <c r="AP94" s="227"/>
      <c r="AQ94" s="227"/>
      <c r="AR94" s="227"/>
      <c r="AS94" s="227"/>
      <c r="AT94" s="227"/>
      <c r="AU94" s="227"/>
      <c r="AV94" s="227"/>
      <c r="AW94" s="227"/>
      <c r="AX94" s="227"/>
      <c r="AY94" s="227"/>
      <c r="AZ94" s="227"/>
      <c r="BA94" s="227"/>
      <c r="BB94" s="227"/>
      <c r="BC94" s="227"/>
      <c r="BD94" s="227"/>
      <c r="BE94" s="227"/>
      <c r="BF94" s="227"/>
      <c r="BG94" s="227"/>
    </row>
    <row r="95" spans="4:59"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27"/>
      <c r="BC95" s="227"/>
      <c r="BD95" s="227"/>
      <c r="BE95" s="227"/>
      <c r="BF95" s="227"/>
      <c r="BG95" s="227"/>
    </row>
    <row r="96" spans="4:59"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  <c r="AT96" s="227"/>
      <c r="AU96" s="227"/>
      <c r="AV96" s="227"/>
      <c r="AW96" s="227"/>
      <c r="AX96" s="227"/>
      <c r="AY96" s="227"/>
      <c r="AZ96" s="227"/>
      <c r="BA96" s="227"/>
      <c r="BB96" s="227"/>
      <c r="BC96" s="227"/>
      <c r="BD96" s="227"/>
      <c r="BE96" s="227"/>
      <c r="BF96" s="227"/>
      <c r="BG96" s="227"/>
    </row>
    <row r="97" spans="4:59"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7"/>
      <c r="BC97" s="227"/>
      <c r="BD97" s="227"/>
      <c r="BE97" s="227"/>
      <c r="BF97" s="227"/>
      <c r="BG97" s="227"/>
    </row>
    <row r="98" spans="4:59"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  <c r="AJ98" s="227"/>
      <c r="AK98" s="227"/>
      <c r="AL98" s="227"/>
      <c r="AM98" s="227"/>
      <c r="AN98" s="227"/>
      <c r="AO98" s="227"/>
      <c r="AP98" s="227"/>
      <c r="AQ98" s="227"/>
      <c r="AR98" s="227"/>
      <c r="AS98" s="227"/>
      <c r="AT98" s="227"/>
      <c r="AU98" s="227"/>
      <c r="AV98" s="227"/>
      <c r="AW98" s="227"/>
      <c r="AX98" s="227"/>
      <c r="AY98" s="227"/>
      <c r="AZ98" s="227"/>
      <c r="BA98" s="227"/>
      <c r="BB98" s="227"/>
      <c r="BC98" s="227"/>
      <c r="BD98" s="227"/>
      <c r="BE98" s="227"/>
      <c r="BF98" s="227"/>
      <c r="BG98" s="227"/>
    </row>
    <row r="99" spans="4:59"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27"/>
      <c r="BC99" s="227"/>
      <c r="BD99" s="227"/>
      <c r="BE99" s="227"/>
      <c r="BF99" s="227"/>
      <c r="BG99" s="227"/>
    </row>
    <row r="100" spans="4:59"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  <c r="AF100" s="227"/>
      <c r="AG100" s="227"/>
      <c r="AH100" s="227"/>
      <c r="AI100" s="227"/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7"/>
      <c r="AZ100" s="227"/>
      <c r="BA100" s="227"/>
      <c r="BB100" s="227"/>
      <c r="BC100" s="227"/>
      <c r="BD100" s="227"/>
      <c r="BE100" s="227"/>
      <c r="BF100" s="227"/>
      <c r="BG100" s="227"/>
    </row>
    <row r="101" spans="4:59"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7"/>
      <c r="BC101" s="227"/>
      <c r="BD101" s="227"/>
      <c r="BE101" s="227"/>
      <c r="BF101" s="227"/>
      <c r="BG101" s="227"/>
    </row>
    <row r="102" spans="4:59"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  <c r="AF102" s="227"/>
      <c r="AG102" s="227"/>
      <c r="AH102" s="227"/>
      <c r="AI102" s="227"/>
      <c r="AJ102" s="227"/>
      <c r="AK102" s="227"/>
      <c r="AL102" s="227"/>
      <c r="AM102" s="227"/>
      <c r="AN102" s="227"/>
      <c r="AO102" s="227"/>
      <c r="AP102" s="227"/>
      <c r="AQ102" s="227"/>
      <c r="AR102" s="227"/>
      <c r="AS102" s="227"/>
      <c r="AT102" s="227"/>
      <c r="AU102" s="227"/>
      <c r="AV102" s="227"/>
      <c r="AW102" s="227"/>
      <c r="AX102" s="227"/>
      <c r="AY102" s="227"/>
      <c r="AZ102" s="227"/>
      <c r="BA102" s="227"/>
      <c r="BB102" s="227"/>
      <c r="BC102" s="227"/>
      <c r="BD102" s="227"/>
      <c r="BE102" s="227"/>
      <c r="BF102" s="227"/>
      <c r="BG102" s="227"/>
    </row>
    <row r="103" spans="4:59"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</row>
    <row r="104" spans="4:59"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  <c r="AF104" s="227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227"/>
      <c r="AY104" s="227"/>
      <c r="AZ104" s="227"/>
      <c r="BA104" s="227"/>
      <c r="BB104" s="227"/>
      <c r="BC104" s="227"/>
      <c r="BD104" s="227"/>
      <c r="BE104" s="227"/>
      <c r="BF104" s="227"/>
      <c r="BG104" s="227"/>
    </row>
    <row r="105" spans="4:59"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</row>
    <row r="106" spans="4:59"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227"/>
      <c r="AY106" s="227"/>
      <c r="AZ106" s="227"/>
      <c r="BA106" s="227"/>
      <c r="BB106" s="227"/>
      <c r="BC106" s="227"/>
      <c r="BD106" s="227"/>
      <c r="BE106" s="227"/>
      <c r="BF106" s="227"/>
      <c r="BG106" s="227"/>
    </row>
    <row r="107" spans="4:59"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</row>
    <row r="108" spans="4:59"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227"/>
      <c r="BG108" s="227"/>
    </row>
    <row r="109" spans="4:59"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  <c r="BG109" s="227"/>
    </row>
    <row r="110" spans="4:59"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  <c r="AP110" s="227"/>
      <c r="AQ110" s="227"/>
      <c r="AR110" s="227"/>
      <c r="AS110" s="227"/>
      <c r="AT110" s="227"/>
      <c r="AU110" s="227"/>
      <c r="AV110" s="227"/>
      <c r="AW110" s="227"/>
      <c r="AX110" s="227"/>
      <c r="AY110" s="227"/>
      <c r="AZ110" s="227"/>
      <c r="BA110" s="227"/>
      <c r="BB110" s="227"/>
      <c r="BC110" s="227"/>
      <c r="BD110" s="227"/>
      <c r="BE110" s="227"/>
      <c r="BF110" s="227"/>
      <c r="BG110" s="227"/>
    </row>
    <row r="111" spans="4:59"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</row>
    <row r="112" spans="4:59"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</row>
    <row r="113" spans="4:61"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</row>
    <row r="114" spans="4:61"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</row>
    <row r="115" spans="4:61"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7"/>
      <c r="BI115" s="27"/>
    </row>
    <row r="116" spans="4:61"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I116" s="22"/>
    </row>
    <row r="117" spans="4:61"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</row>
    <row r="118" spans="4:61"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56"/>
    </row>
    <row r="119" spans="4:61"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</row>
    <row r="120" spans="4:61"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</row>
    <row r="121" spans="4:61"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</row>
    <row r="122" spans="4:61"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379"/>
      <c r="AW122" s="379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</row>
    <row r="123" spans="4:61"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</row>
    <row r="124" spans="4:61"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</row>
    <row r="125" spans="4:61">
      <c r="AR125" s="227"/>
    </row>
    <row r="126" spans="4:61">
      <c r="AR126" s="227"/>
      <c r="AT126" s="227"/>
    </row>
    <row r="127" spans="4:61">
      <c r="AR127" s="227"/>
    </row>
    <row r="128" spans="4:61"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K46" zoomScale="80" zoomScaleNormal="80" workbookViewId="0">
      <selection activeCell="W56" sqref="W56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</row>
    <row r="2" spans="9:38">
      <c r="AK2" s="227"/>
      <c r="AL2" s="227"/>
    </row>
    <row r="3" spans="9:38">
      <c r="AK3" s="227"/>
      <c r="AL3" s="227"/>
    </row>
    <row r="4" spans="9:38">
      <c r="AK4" s="227"/>
      <c r="AL4" s="227"/>
    </row>
    <row r="5" spans="9:38" ht="21" customHeight="1">
      <c r="I5" s="232"/>
      <c r="AK5" s="227"/>
      <c r="AL5" s="227"/>
    </row>
    <row r="6" spans="9:38">
      <c r="I6" s="227"/>
      <c r="AK6" s="227"/>
      <c r="AL6" s="227"/>
    </row>
    <row r="7" spans="9:38" ht="15.75" customHeight="1">
      <c r="I7" s="227"/>
      <c r="AK7" s="227"/>
      <c r="AL7" s="227"/>
    </row>
    <row r="8" spans="9:38">
      <c r="I8" s="227"/>
      <c r="AK8" s="227"/>
      <c r="AL8" s="227"/>
    </row>
    <row r="9" spans="9:38">
      <c r="I9" s="227"/>
      <c r="AK9" s="227"/>
      <c r="AL9" s="227"/>
    </row>
    <row r="10" spans="9:38">
      <c r="I10" s="227"/>
      <c r="AK10" s="227"/>
      <c r="AL10" s="227"/>
    </row>
    <row r="11" spans="9:38">
      <c r="AK11" s="227"/>
      <c r="AL11" s="227"/>
    </row>
    <row r="12" spans="9:38">
      <c r="AK12" s="227"/>
      <c r="AL12" s="227"/>
    </row>
    <row r="13" spans="9:38">
      <c r="AK13" s="227"/>
      <c r="AL13" s="227"/>
    </row>
    <row r="14" spans="9:38">
      <c r="Q14" s="22"/>
      <c r="T14" s="227"/>
      <c r="U14" s="227"/>
      <c r="V14" s="227"/>
      <c r="W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</row>
    <row r="15" spans="9:38">
      <c r="T15" s="227"/>
      <c r="U15" s="227"/>
      <c r="V15" s="227"/>
      <c r="W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</row>
    <row r="16" spans="9:38" ht="21">
      <c r="AB16" s="102"/>
      <c r="AC16" s="227"/>
      <c r="AD16" s="227"/>
      <c r="AE16" s="227"/>
      <c r="AF16" s="227"/>
      <c r="AG16" s="227"/>
      <c r="AH16" s="227"/>
      <c r="AI16" s="227"/>
      <c r="AJ16" s="227"/>
      <c r="AK16" s="227"/>
    </row>
    <row r="17" spans="1:38">
      <c r="H17" s="232"/>
      <c r="Q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27"/>
      <c r="AG17" s="227"/>
      <c r="AH17" s="227"/>
      <c r="AI17" s="227"/>
      <c r="AJ17" s="227"/>
      <c r="AK17" s="227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156</v>
      </c>
      <c r="N18" s="98"/>
      <c r="O18" s="98"/>
      <c r="Q18" s="227"/>
      <c r="W18" s="227"/>
      <c r="X18" s="227"/>
      <c r="Y18" s="101" t="s">
        <v>158</v>
      </c>
      <c r="Z18" s="101"/>
      <c r="AA18" s="101"/>
      <c r="AB18" s="227"/>
      <c r="AC18" s="227"/>
      <c r="AD18" s="227"/>
      <c r="AE18" s="227"/>
      <c r="AJ18" s="227"/>
      <c r="AK18" s="227"/>
      <c r="AL18" s="227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95.593434333220173</v>
      </c>
      <c r="H19" s="24" t="s">
        <v>100</v>
      </c>
      <c r="L19" s="47" t="s">
        <v>46</v>
      </c>
      <c r="M19" s="96"/>
      <c r="N19" s="96"/>
      <c r="O19" s="34"/>
      <c r="P19" s="34"/>
      <c r="Q19" s="227"/>
      <c r="AE19" s="227"/>
      <c r="AJ19" s="227"/>
      <c r="AK19" s="227"/>
      <c r="AL19" s="227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27"/>
      <c r="W20" s="227"/>
      <c r="X20" s="403" t="s">
        <v>22</v>
      </c>
      <c r="Y20" s="404"/>
      <c r="Z20" s="404"/>
      <c r="AA20" s="405"/>
      <c r="AB20" s="227"/>
      <c r="AC20" s="227"/>
      <c r="AD20" s="227"/>
      <c r="AK20" s="227"/>
      <c r="AL20" s="227"/>
    </row>
    <row r="21" spans="1:38" ht="18">
      <c r="A21" s="89" t="s">
        <v>16</v>
      </c>
      <c r="B21" s="198">
        <v>10.025</v>
      </c>
      <c r="C21" s="86">
        <f>B21/D21</f>
        <v>4.5568181818181817</v>
      </c>
      <c r="D21" s="86">
        <v>2.2000000000000002</v>
      </c>
      <c r="K21" s="227"/>
      <c r="O21" s="23"/>
      <c r="X21" s="16"/>
      <c r="Y21" s="17"/>
      <c r="Z21" s="18"/>
      <c r="AK21" s="227"/>
      <c r="AL21" s="227"/>
    </row>
    <row r="22" spans="1:38" ht="18">
      <c r="A22" s="84" t="s">
        <v>17</v>
      </c>
      <c r="B22" s="86">
        <f>SUM(B19:B21)</f>
        <v>110.12549</v>
      </c>
      <c r="C22" s="86">
        <f>SUM(C19:C21)</f>
        <v>104.87121913681638</v>
      </c>
      <c r="D22" s="86">
        <f>B22/C22</f>
        <v>1.0501021243619646</v>
      </c>
      <c r="K22" s="227"/>
      <c r="L22" s="36" t="s">
        <v>3</v>
      </c>
      <c r="M22" s="34"/>
      <c r="N22" s="15" t="s">
        <v>18</v>
      </c>
      <c r="O22" s="36" t="s">
        <v>49</v>
      </c>
      <c r="P22" s="73">
        <f>E28-Q41-N43</f>
        <v>84.65549</v>
      </c>
      <c r="Q22" s="227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65.459999999999994</v>
      </c>
      <c r="AD22" s="227" t="s">
        <v>18</v>
      </c>
      <c r="AK22" s="227"/>
      <c r="AL22" s="227"/>
    </row>
    <row r="23" spans="1:38" ht="18">
      <c r="B23" s="87"/>
      <c r="C23" s="87"/>
      <c r="D23" s="87"/>
      <c r="E23" s="87"/>
      <c r="K23" s="227"/>
      <c r="L23" s="36" t="s">
        <v>4</v>
      </c>
      <c r="M23" s="34"/>
      <c r="N23" s="15" t="s">
        <v>18</v>
      </c>
      <c r="O23" s="36" t="s">
        <v>27</v>
      </c>
      <c r="P23" s="34">
        <f>0.302/100</f>
        <v>3.0200000000000001E-3</v>
      </c>
      <c r="Q23" s="227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0.076/100</f>
        <v>7.5999999999999993E-4</v>
      </c>
      <c r="AD23" s="227" t="s">
        <v>33</v>
      </c>
      <c r="AK23" s="227"/>
      <c r="AL23" s="227"/>
    </row>
    <row r="24" spans="1:38">
      <c r="A24" s="161" t="s">
        <v>160</v>
      </c>
      <c r="B24" s="161"/>
      <c r="K24" s="227"/>
      <c r="L24" s="103" t="s">
        <v>17</v>
      </c>
      <c r="M24" s="34">
        <v>0.37964999999999999</v>
      </c>
      <c r="N24" s="15" t="s">
        <v>18</v>
      </c>
      <c r="O24" s="67" t="s">
        <v>30</v>
      </c>
      <c r="P24" s="37">
        <f>P23*P22</f>
        <v>0.25565957980000004</v>
      </c>
      <c r="Q24" s="227" t="s">
        <v>18</v>
      </c>
      <c r="X24" s="105" t="s">
        <v>17</v>
      </c>
      <c r="Y24" s="106"/>
      <c r="Z24" s="73">
        <v>1.0029999999999999</v>
      </c>
      <c r="AA24" s="15" t="s">
        <v>18</v>
      </c>
      <c r="AB24" s="67" t="s">
        <v>30</v>
      </c>
      <c r="AC24" s="37">
        <f>AC23*AC22</f>
        <v>4.9749599999999991E-2</v>
      </c>
      <c r="AD24" s="227" t="s">
        <v>18</v>
      </c>
      <c r="AK24" s="227"/>
      <c r="AL24" s="227"/>
    </row>
    <row r="25" spans="1:38">
      <c r="L25" s="67" t="s">
        <v>30</v>
      </c>
      <c r="M25" s="37">
        <f>P23*M24</f>
        <v>1.1465430000000001E-3</v>
      </c>
      <c r="N25" s="15" t="s">
        <v>18</v>
      </c>
      <c r="Q25" s="227"/>
      <c r="W25" s="227"/>
      <c r="X25" s="233" t="s">
        <v>30</v>
      </c>
      <c r="Y25" s="234"/>
      <c r="Z25" s="104">
        <f>AC23*Z24</f>
        <v>7.6227999999999984E-4</v>
      </c>
      <c r="AA25" s="15" t="s">
        <v>18</v>
      </c>
      <c r="AK25" s="227"/>
      <c r="AL25" s="227"/>
    </row>
    <row r="26" spans="1:38">
      <c r="A26" s="23"/>
      <c r="W26" s="227"/>
      <c r="X26" s="227"/>
      <c r="Y26" s="227"/>
      <c r="Z26" s="227"/>
      <c r="AA26" s="23"/>
      <c r="AL26" s="227"/>
    </row>
    <row r="27" spans="1:38">
      <c r="A27" s="23"/>
      <c r="I27" s="227"/>
      <c r="J27" s="227"/>
      <c r="K27" s="227"/>
      <c r="L27" s="227"/>
      <c r="AD27" s="31">
        <f>AC22+Z24</f>
        <v>66.462999999999994</v>
      </c>
      <c r="AE27" s="15">
        <f>AC24+Z25</f>
        <v>5.0511879999999988E-2</v>
      </c>
      <c r="AL27" s="227"/>
    </row>
    <row r="28" spans="1:38" ht="21">
      <c r="D28" s="143" t="s">
        <v>45</v>
      </c>
      <c r="E28" s="142">
        <f>B22-(C41+B44)</f>
        <v>108.51549</v>
      </c>
      <c r="F28" s="15" t="s">
        <v>18</v>
      </c>
      <c r="I28" s="227"/>
      <c r="J28" s="227"/>
      <c r="K28" s="227"/>
      <c r="L28" s="227"/>
    </row>
    <row r="29" spans="1:38">
      <c r="I29" s="227"/>
      <c r="J29" s="227"/>
      <c r="K29" s="227"/>
      <c r="L29" s="227"/>
      <c r="V29" s="227"/>
      <c r="W29" s="227"/>
      <c r="X29" s="227"/>
      <c r="AJ29" s="22"/>
    </row>
    <row r="30" spans="1:38" ht="21">
      <c r="I30" s="102"/>
      <c r="V30" s="227"/>
      <c r="W30" s="200">
        <f>AC22+Z24+AC43+V43</f>
        <v>67.702999999999989</v>
      </c>
      <c r="X30" s="227"/>
    </row>
    <row r="31" spans="1:38">
      <c r="V31" s="227"/>
      <c r="W31" s="227"/>
      <c r="X31" s="227"/>
    </row>
    <row r="33" spans="1:55">
      <c r="S33" s="15" t="s">
        <v>101</v>
      </c>
      <c r="T33" s="31">
        <f>P22-W30</f>
        <v>16.952490000000012</v>
      </c>
      <c r="U33" s="15" t="s">
        <v>18</v>
      </c>
    </row>
    <row r="34" spans="1:55">
      <c r="D34" s="227"/>
      <c r="E34" s="227"/>
      <c r="F34" s="227"/>
      <c r="G34" s="227"/>
      <c r="H34" s="227"/>
      <c r="S34" s="15" t="s">
        <v>125</v>
      </c>
      <c r="T34" s="76">
        <f>T33/E28</f>
        <v>0.15622184445741352</v>
      </c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</row>
    <row r="35" spans="1:55">
      <c r="D35" s="227"/>
      <c r="E35" s="227"/>
      <c r="F35" s="227"/>
      <c r="G35" s="227"/>
      <c r="H35" s="227"/>
      <c r="S35" s="15" t="s">
        <v>126</v>
      </c>
      <c r="T35" s="81">
        <f>T34*B49</f>
        <v>1.5432277509049006</v>
      </c>
      <c r="U35" s="227" t="s">
        <v>18</v>
      </c>
      <c r="Z35" s="227"/>
    </row>
    <row r="36" spans="1:55">
      <c r="D36" s="227"/>
      <c r="E36" s="227"/>
      <c r="F36" s="227"/>
      <c r="G36" s="227"/>
      <c r="H36" s="200"/>
      <c r="P36" s="228"/>
      <c r="Q36" s="228"/>
      <c r="R36" s="16"/>
      <c r="U36" s="227"/>
      <c r="Z36" s="227"/>
    </row>
    <row r="37" spans="1:55">
      <c r="E37" s="30"/>
      <c r="Z37" s="227"/>
    </row>
    <row r="38" spans="1:55" ht="21">
      <c r="M38" s="98" t="s">
        <v>157</v>
      </c>
      <c r="N38" s="48"/>
      <c r="Z38" s="227"/>
      <c r="AP38" s="227"/>
      <c r="AQ38" s="227"/>
      <c r="AR38" s="227"/>
      <c r="AS38" s="227"/>
      <c r="AT38" s="227"/>
      <c r="AU38" s="227"/>
      <c r="AV38" s="227"/>
      <c r="AW38" s="227"/>
      <c r="AX38" s="227"/>
      <c r="AY38" s="227"/>
      <c r="AZ38" s="227"/>
      <c r="BA38" s="227"/>
      <c r="BB38" s="227"/>
    </row>
    <row r="39" spans="1:55" ht="21">
      <c r="A39" s="392" t="s">
        <v>6</v>
      </c>
      <c r="B39" s="392"/>
      <c r="C39" s="33">
        <v>0.43</v>
      </c>
      <c r="D39" s="15" t="s">
        <v>18</v>
      </c>
      <c r="E39" s="227"/>
      <c r="F39" s="227"/>
      <c r="G39" s="227"/>
      <c r="M39" s="230" t="s">
        <v>20</v>
      </c>
      <c r="N39" s="231"/>
      <c r="Y39" s="101" t="s">
        <v>159</v>
      </c>
      <c r="Z39" s="101"/>
      <c r="AA39" s="101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27"/>
    </row>
    <row r="40" spans="1:55">
      <c r="A40" s="392" t="s">
        <v>5</v>
      </c>
      <c r="B40" s="392"/>
      <c r="C40" s="33">
        <v>0.48</v>
      </c>
      <c r="D40" s="15" t="s">
        <v>18</v>
      </c>
      <c r="E40" s="227"/>
      <c r="F40" s="227"/>
      <c r="G40" s="227"/>
      <c r="S40" s="227"/>
      <c r="V40" s="227"/>
      <c r="X40" s="403" t="s">
        <v>23</v>
      </c>
      <c r="Y40" s="404"/>
      <c r="Z40" s="404"/>
      <c r="AA40" s="405"/>
      <c r="AB40" s="227"/>
      <c r="AK40" s="227"/>
      <c r="AP40" s="227"/>
      <c r="AQ40" s="227"/>
      <c r="AR40" s="227"/>
      <c r="AS40" s="227"/>
      <c r="AT40" s="227"/>
      <c r="AU40" s="227"/>
      <c r="AV40" s="227"/>
      <c r="AW40" s="227"/>
      <c r="AX40" s="227"/>
      <c r="AY40" s="227"/>
      <c r="AZ40" s="227"/>
      <c r="BA40" s="227"/>
      <c r="BB40" s="227"/>
    </row>
    <row r="41" spans="1:55">
      <c r="A41" s="400" t="s">
        <v>17</v>
      </c>
      <c r="B41" s="401"/>
      <c r="C41" s="91">
        <f>SUM(C39:C40)</f>
        <v>0.90999999999999992</v>
      </c>
      <c r="D41" s="23" t="s">
        <v>18</v>
      </c>
      <c r="E41" s="227"/>
      <c r="F41" s="227"/>
      <c r="G41" s="227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23.48</v>
      </c>
      <c r="R41" s="227" t="s">
        <v>18</v>
      </c>
      <c r="S41" s="227"/>
      <c r="Z41" s="227"/>
      <c r="AK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27"/>
    </row>
    <row r="42" spans="1:55">
      <c r="C42" s="227"/>
      <c r="D42" s="227"/>
      <c r="E42" s="227"/>
      <c r="F42" s="227"/>
      <c r="G42" s="227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36.544/100</f>
        <v>0.36543999999999999</v>
      </c>
      <c r="R42" s="227" t="s">
        <v>33</v>
      </c>
      <c r="S42" s="227"/>
      <c r="AE42" s="227"/>
      <c r="AF42" s="227"/>
      <c r="AG42" s="227"/>
      <c r="AH42" s="227"/>
      <c r="AI42" s="227"/>
      <c r="AJ42" s="227"/>
      <c r="AK42" s="227"/>
      <c r="AL42" s="227"/>
      <c r="AP42" s="227"/>
      <c r="AQ42" s="227"/>
      <c r="AR42" s="227"/>
      <c r="AS42" s="227"/>
      <c r="AT42" s="227"/>
      <c r="AU42" s="227"/>
      <c r="AV42" s="227"/>
      <c r="AW42" s="227"/>
      <c r="AX42" s="227"/>
      <c r="AY42" s="227"/>
      <c r="AZ42" s="227"/>
      <c r="BA42" s="227"/>
      <c r="BB42" s="227"/>
    </row>
    <row r="43" spans="1:55">
      <c r="A43" s="36" t="s">
        <v>44</v>
      </c>
      <c r="B43" s="33">
        <v>0.7</v>
      </c>
      <c r="C43" s="227" t="s">
        <v>18</v>
      </c>
      <c r="D43" s="227"/>
      <c r="E43" s="227"/>
      <c r="F43" s="227"/>
      <c r="G43" s="227"/>
      <c r="H43" s="229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>
        <v>0.38</v>
      </c>
      <c r="O43" s="15" t="s">
        <v>18</v>
      </c>
      <c r="P43" s="67" t="s">
        <v>30</v>
      </c>
      <c r="Q43" s="37">
        <f>Q42*Q41</f>
        <v>8.5805311999999994</v>
      </c>
      <c r="R43" s="227" t="s">
        <v>18</v>
      </c>
      <c r="S43" s="227"/>
      <c r="U43" s="35" t="s">
        <v>53</v>
      </c>
      <c r="V43" s="33"/>
      <c r="W43" s="227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1.24</v>
      </c>
      <c r="AD43" s="227" t="s">
        <v>18</v>
      </c>
      <c r="AF43" s="227"/>
      <c r="AG43" s="227"/>
      <c r="AH43" s="227"/>
      <c r="AI43" s="227"/>
      <c r="AJ43" s="227"/>
      <c r="AK43" s="227"/>
      <c r="AL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27"/>
    </row>
    <row r="44" spans="1:55">
      <c r="A44" s="92" t="s">
        <v>17</v>
      </c>
      <c r="B44" s="90">
        <f>SUM(B43)</f>
        <v>0.7</v>
      </c>
      <c r="C44" s="227" t="s">
        <v>18</v>
      </c>
      <c r="D44" s="227"/>
      <c r="E44" s="227"/>
      <c r="M44" s="67" t="s">
        <v>30</v>
      </c>
      <c r="N44" s="37">
        <f>Q42*N43</f>
        <v>0.1388672</v>
      </c>
      <c r="O44" s="15" t="s">
        <v>18</v>
      </c>
      <c r="U44" s="227"/>
      <c r="V44" s="227"/>
      <c r="W44" s="227"/>
      <c r="X44" s="105" t="s">
        <v>4</v>
      </c>
      <c r="Y44" s="106"/>
      <c r="Z44" s="34"/>
      <c r="AA44" s="15" t="s">
        <v>18</v>
      </c>
      <c r="AB44" s="36" t="s">
        <v>27</v>
      </c>
      <c r="AC44" s="34">
        <f>30.093/100</f>
        <v>0.30092999999999998</v>
      </c>
      <c r="AD44" s="227" t="s">
        <v>33</v>
      </c>
      <c r="AL44" s="227"/>
      <c r="AP44" s="227"/>
      <c r="AQ44" s="227"/>
      <c r="AR44" s="227"/>
      <c r="AS44" s="227"/>
      <c r="AT44" s="227"/>
      <c r="AU44" s="227"/>
      <c r="AV44" s="227"/>
      <c r="AW44" s="227"/>
      <c r="AX44" s="227"/>
      <c r="AY44" s="227"/>
      <c r="AZ44" s="227"/>
      <c r="BA44" s="227"/>
      <c r="BB44" s="227"/>
    </row>
    <row r="45" spans="1:55">
      <c r="C45" s="227"/>
      <c r="D45" s="227"/>
      <c r="E45" s="227"/>
      <c r="U45" s="227"/>
      <c r="V45" s="227"/>
      <c r="W45" s="227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0.37315319999999996</v>
      </c>
      <c r="AD45" s="227" t="s">
        <v>18</v>
      </c>
      <c r="AL45" s="227"/>
      <c r="AP45" s="227"/>
      <c r="AQ45" s="227"/>
      <c r="AR45" s="227"/>
      <c r="AS45" s="227"/>
      <c r="AT45" s="227"/>
      <c r="AU45" s="227"/>
      <c r="AV45" s="227"/>
      <c r="AW45" s="227"/>
      <c r="AX45" s="227"/>
      <c r="AY45" s="227"/>
      <c r="AZ45" s="227"/>
      <c r="BA45" s="227"/>
      <c r="BB45" s="227"/>
      <c r="BC45" s="227"/>
    </row>
    <row r="46" spans="1:55">
      <c r="A46" s="15" t="s">
        <v>66</v>
      </c>
      <c r="B46" s="15">
        <f>B43/D22</f>
        <v>0.66660183210782054</v>
      </c>
      <c r="C46" s="227" t="s">
        <v>62</v>
      </c>
      <c r="D46" s="227"/>
      <c r="E46" s="227"/>
      <c r="P46" s="31">
        <f>Q41+N43</f>
        <v>23.86</v>
      </c>
      <c r="Q46" s="15">
        <f>Q43+N44</f>
        <v>8.7193983999999993</v>
      </c>
      <c r="X46" s="233" t="s">
        <v>30</v>
      </c>
      <c r="Y46" s="234"/>
      <c r="Z46" s="104">
        <f>AC44*Z45</f>
        <v>0</v>
      </c>
      <c r="AA46" s="15" t="s">
        <v>18</v>
      </c>
      <c r="AF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7"/>
      <c r="AZ46" s="227"/>
      <c r="BA46" s="227"/>
      <c r="BB46" s="227"/>
      <c r="BC46" s="227"/>
    </row>
    <row r="47" spans="1:55">
      <c r="A47" s="15" t="s">
        <v>65</v>
      </c>
      <c r="B47" s="15">
        <f>C41/D22</f>
        <v>0.86658238174016666</v>
      </c>
      <c r="C47" s="15" t="s">
        <v>62</v>
      </c>
      <c r="AP47" s="227"/>
      <c r="AQ47" s="227"/>
      <c r="AR47" s="227"/>
      <c r="AS47" s="227"/>
      <c r="AT47" s="227"/>
      <c r="AU47" s="227"/>
      <c r="AV47" s="227"/>
      <c r="AW47" s="227"/>
      <c r="AX47" s="227"/>
      <c r="AY47" s="227"/>
      <c r="AZ47" s="227"/>
      <c r="BA47" s="227"/>
      <c r="BB47" s="227"/>
      <c r="BC47" s="227"/>
    </row>
    <row r="48" spans="1:55">
      <c r="A48" s="15" t="s">
        <v>67</v>
      </c>
      <c r="B48" s="15">
        <f>G19*(B46+B47)/1000</f>
        <v>0.14656234446720737</v>
      </c>
      <c r="C48" s="15" t="s">
        <v>18</v>
      </c>
      <c r="E48" s="160"/>
      <c r="AP48" s="227"/>
      <c r="AQ48" s="227"/>
      <c r="AR48" s="227"/>
      <c r="AS48" s="227"/>
      <c r="AT48" s="227"/>
      <c r="AU48" s="227"/>
      <c r="AV48" s="227"/>
      <c r="AW48" s="227"/>
      <c r="AX48" s="227"/>
      <c r="AY48" s="227"/>
      <c r="AZ48" s="227"/>
      <c r="BA48" s="227"/>
      <c r="BB48" s="227"/>
    </row>
    <row r="49" spans="1:59">
      <c r="A49" s="15" t="s">
        <v>64</v>
      </c>
      <c r="B49" s="74">
        <f>B21-B48</f>
        <v>9.8784376555327924</v>
      </c>
      <c r="C49" s="15" t="s">
        <v>18</v>
      </c>
      <c r="M49" s="15" t="s">
        <v>171</v>
      </c>
      <c r="AC49" s="31">
        <f>AC43+Z45</f>
        <v>1.24</v>
      </c>
      <c r="AD49" s="15">
        <f>AC45+Z46</f>
        <v>0.37315319999999996</v>
      </c>
      <c r="AP49" s="227"/>
      <c r="AQ49" s="227"/>
      <c r="AR49" s="227"/>
      <c r="AS49" s="227"/>
      <c r="AT49" s="227"/>
      <c r="AU49" s="227"/>
      <c r="AV49" s="379"/>
      <c r="AW49" s="379"/>
      <c r="AX49" s="379"/>
      <c r="AY49" s="379"/>
      <c r="AZ49" s="379"/>
      <c r="BA49" s="227"/>
      <c r="BB49" s="227"/>
    </row>
    <row r="50" spans="1:59">
      <c r="M50" s="15" t="s">
        <v>34</v>
      </c>
      <c r="R50" s="227"/>
      <c r="S50" s="15" t="s">
        <v>27</v>
      </c>
      <c r="U50" s="15" t="s">
        <v>40</v>
      </c>
      <c r="W50" s="15" t="s">
        <v>98</v>
      </c>
      <c r="X50" s="74">
        <f>B49</f>
        <v>9.8784376555327924</v>
      </c>
      <c r="Y50" s="15" t="s">
        <v>18</v>
      </c>
      <c r="AP50" s="227"/>
      <c r="AQ50" s="227"/>
      <c r="AR50" s="227"/>
      <c r="AS50" s="227"/>
      <c r="AT50" s="227"/>
      <c r="AU50" s="227"/>
      <c r="AV50" s="227"/>
      <c r="AW50" s="227"/>
      <c r="AX50" s="227"/>
      <c r="AY50" s="227"/>
      <c r="AZ50" s="227"/>
      <c r="BA50" s="227"/>
      <c r="BB50" s="227"/>
    </row>
    <row r="51" spans="1:59">
      <c r="M51" s="36" t="s">
        <v>49</v>
      </c>
      <c r="N51" s="73">
        <f>T51</f>
        <v>5.0511879999999988E-2</v>
      </c>
      <c r="O51" s="15" t="s">
        <v>18</v>
      </c>
      <c r="Q51" s="227"/>
      <c r="R51" s="227"/>
      <c r="S51" s="15" t="s">
        <v>34</v>
      </c>
      <c r="T51" s="15">
        <f>AC24+Z25</f>
        <v>5.0511879999999988E-2</v>
      </c>
      <c r="U51" s="76">
        <f>T51/X50</f>
        <v>5.1133470454924517E-3</v>
      </c>
      <c r="AP51" s="227"/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27"/>
    </row>
    <row r="52" spans="1:59">
      <c r="M52" s="36" t="s">
        <v>27</v>
      </c>
      <c r="N52" s="37">
        <f>5.02/100</f>
        <v>5.0199999999999995E-2</v>
      </c>
      <c r="S52" s="15" t="s">
        <v>35</v>
      </c>
      <c r="T52" s="15">
        <f>AC45+Z46</f>
        <v>0.37315319999999996</v>
      </c>
      <c r="U52" s="76">
        <f>T52/X50</f>
        <v>3.7774515871039728E-2</v>
      </c>
      <c r="AP52" s="227"/>
      <c r="AQ52" s="227"/>
      <c r="AR52" s="227"/>
      <c r="AS52" s="227"/>
      <c r="AT52" s="227"/>
      <c r="AU52" s="227"/>
      <c r="AV52" s="227"/>
      <c r="AW52" s="227"/>
      <c r="AX52" s="227"/>
      <c r="AY52" s="227"/>
      <c r="AZ52" s="227"/>
      <c r="BA52" s="227"/>
      <c r="BB52" s="227"/>
    </row>
    <row r="53" spans="1:59">
      <c r="D53" s="227"/>
      <c r="E53" s="227"/>
      <c r="F53" s="227"/>
      <c r="G53" s="227"/>
      <c r="H53" s="227"/>
      <c r="I53" s="227"/>
      <c r="J53" s="227"/>
      <c r="K53" s="227"/>
      <c r="L53" s="227"/>
      <c r="M53" s="67" t="s">
        <v>30</v>
      </c>
      <c r="N53" s="37">
        <f>N52*N51</f>
        <v>2.535696375999999E-3</v>
      </c>
      <c r="O53" s="15" t="s">
        <v>18</v>
      </c>
      <c r="P53" s="227">
        <f>N53/T51</f>
        <v>5.0199999999999995E-2</v>
      </c>
      <c r="Q53" s="245" t="s">
        <v>18</v>
      </c>
      <c r="R53" s="227"/>
      <c r="S53" s="15" t="s">
        <v>36</v>
      </c>
      <c r="T53" s="227">
        <f>Q43+N44</f>
        <v>8.7193983999999993</v>
      </c>
      <c r="U53" s="235">
        <f>T53/X50</f>
        <v>0.88266978079437197</v>
      </c>
      <c r="V53" s="227"/>
      <c r="W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27"/>
      <c r="BC53" s="227"/>
      <c r="BD53" s="227"/>
      <c r="BE53" s="227"/>
      <c r="BF53" s="227"/>
      <c r="BG53" s="227"/>
    </row>
    <row r="54" spans="1:59">
      <c r="D54" s="379"/>
      <c r="E54" s="379"/>
      <c r="F54" s="379"/>
      <c r="G54" s="379"/>
      <c r="H54" s="227"/>
      <c r="I54" s="227"/>
      <c r="J54" s="227"/>
      <c r="K54" s="227"/>
      <c r="L54" s="227"/>
      <c r="M54" s="227"/>
      <c r="N54" s="227"/>
      <c r="P54" s="227"/>
      <c r="Q54" s="227"/>
      <c r="R54" s="227"/>
      <c r="S54" s="15" t="s">
        <v>17</v>
      </c>
      <c r="T54" s="227">
        <f>SUM(T51:T53)</f>
        <v>9.1430634799999986</v>
      </c>
      <c r="U54" s="235">
        <f>SUM(U51:U53)</f>
        <v>0.9255576437109041</v>
      </c>
      <c r="V54" s="227"/>
      <c r="W54" s="227"/>
      <c r="X54" s="227"/>
      <c r="Y54" s="227"/>
      <c r="Z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7"/>
      <c r="AX54" s="227"/>
      <c r="AY54" s="227"/>
      <c r="AZ54" s="227"/>
      <c r="BA54" s="227"/>
      <c r="BB54" s="227"/>
      <c r="BC54" s="227"/>
      <c r="BD54" s="227"/>
      <c r="BE54" s="227"/>
      <c r="BF54" s="227"/>
      <c r="BG54" s="227"/>
    </row>
    <row r="55" spans="1:59">
      <c r="D55" s="227"/>
      <c r="E55" s="227"/>
      <c r="F55" s="227"/>
      <c r="G55" s="227"/>
      <c r="H55" s="227"/>
      <c r="I55" s="227"/>
      <c r="J55" s="227"/>
      <c r="K55" s="227"/>
      <c r="L55" s="227"/>
      <c r="M55" s="15" t="s">
        <v>35</v>
      </c>
      <c r="P55" s="227"/>
      <c r="Q55" s="227"/>
      <c r="R55" s="227"/>
      <c r="S55" s="15" t="s">
        <v>37</v>
      </c>
      <c r="T55" s="145">
        <f>X50-T54</f>
        <v>0.73537417553279383</v>
      </c>
      <c r="U55" s="235">
        <f>T55/X50</f>
        <v>7.4442356289095957E-2</v>
      </c>
      <c r="V55" s="227"/>
      <c r="W55" s="227"/>
      <c r="X55" s="227"/>
      <c r="Y55" s="227"/>
      <c r="Z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27"/>
      <c r="BC55" s="227"/>
      <c r="BD55" s="227"/>
      <c r="BE55" s="227"/>
      <c r="BF55" s="227"/>
      <c r="BG55" s="227"/>
    </row>
    <row r="56" spans="1:59">
      <c r="D56" s="227"/>
      <c r="E56" s="227"/>
      <c r="F56" s="227"/>
      <c r="G56" s="227"/>
      <c r="H56" s="227"/>
      <c r="I56" s="227"/>
      <c r="J56" s="227"/>
      <c r="K56" s="227"/>
      <c r="L56" s="227"/>
      <c r="M56" s="36" t="s">
        <v>49</v>
      </c>
      <c r="N56" s="73">
        <f>T52</f>
        <v>0.37315319999999996</v>
      </c>
      <c r="O56" s="15" t="s">
        <v>18</v>
      </c>
      <c r="P56" s="227"/>
      <c r="Q56" s="227"/>
      <c r="R56" s="227"/>
      <c r="T56" s="227"/>
      <c r="U56" s="227"/>
      <c r="V56" s="227"/>
      <c r="W56" s="227"/>
      <c r="X56" s="227"/>
      <c r="Y56" s="227"/>
      <c r="Z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  <c r="AY56" s="227"/>
      <c r="AZ56" s="227"/>
      <c r="BA56" s="227"/>
      <c r="BB56" s="227"/>
      <c r="BC56" s="227"/>
      <c r="BD56" s="227"/>
      <c r="BE56" s="227"/>
      <c r="BF56" s="227"/>
      <c r="BG56" s="227"/>
    </row>
    <row r="57" spans="1:59">
      <c r="D57" s="227"/>
      <c r="E57" s="227"/>
      <c r="F57" s="227"/>
      <c r="G57" s="227"/>
      <c r="H57" s="227"/>
      <c r="I57" s="227"/>
      <c r="J57" s="227"/>
      <c r="K57" s="227"/>
      <c r="L57" s="227"/>
      <c r="M57" s="36" t="s">
        <v>27</v>
      </c>
      <c r="N57" s="37">
        <f>2.13/100</f>
        <v>2.1299999999999999E-2</v>
      </c>
      <c r="P57" s="227"/>
      <c r="Q57" s="227"/>
      <c r="R57" s="227"/>
      <c r="W57" s="227"/>
      <c r="X57" s="227"/>
      <c r="Y57" s="227"/>
      <c r="Z57" s="227"/>
      <c r="AN57" s="227"/>
      <c r="AO57" s="227"/>
      <c r="AP57" s="227"/>
      <c r="AQ57" s="227"/>
      <c r="AR57" s="227"/>
      <c r="AS57" s="227"/>
      <c r="AT57" s="227"/>
      <c r="AU57" s="227"/>
      <c r="AV57" s="227"/>
      <c r="AW57" s="227"/>
      <c r="AX57" s="227"/>
      <c r="AY57" s="227"/>
      <c r="AZ57" s="227"/>
      <c r="BA57" s="227"/>
      <c r="BB57" s="227"/>
      <c r="BC57" s="227"/>
      <c r="BD57" s="227"/>
      <c r="BE57" s="227"/>
      <c r="BF57" s="227"/>
      <c r="BG57" s="227"/>
    </row>
    <row r="58" spans="1:59">
      <c r="D58" s="227"/>
      <c r="E58" s="227"/>
      <c r="F58" s="227"/>
      <c r="G58" s="227"/>
      <c r="H58" s="227"/>
      <c r="I58" s="227"/>
      <c r="J58" s="227"/>
      <c r="K58" s="227"/>
      <c r="L58" s="227"/>
      <c r="M58" s="67" t="s">
        <v>30</v>
      </c>
      <c r="N58" s="37">
        <f>N57*N56</f>
        <v>7.9481631599999988E-3</v>
      </c>
      <c r="O58" s="15" t="s">
        <v>18</v>
      </c>
      <c r="P58" s="227">
        <f>N58/T52</f>
        <v>2.1299999999999999E-2</v>
      </c>
      <c r="Q58" s="245" t="s">
        <v>18</v>
      </c>
      <c r="R58" s="227"/>
      <c r="T58" s="245"/>
      <c r="U58" s="245"/>
      <c r="V58" s="245"/>
      <c r="W58" s="245"/>
      <c r="X58" s="245"/>
      <c r="Y58" s="245" t="s">
        <v>172</v>
      </c>
      <c r="Z58" s="245"/>
      <c r="AB58" s="227"/>
      <c r="AC58" s="227"/>
      <c r="AD58" s="227"/>
      <c r="AE58" s="227"/>
      <c r="AF58" s="227"/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27"/>
      <c r="BC58" s="227"/>
      <c r="BD58" s="227"/>
      <c r="BE58" s="227"/>
      <c r="BF58" s="227"/>
      <c r="BG58" s="227"/>
    </row>
    <row r="59" spans="1:59">
      <c r="D59" s="227"/>
      <c r="E59" s="227"/>
      <c r="F59" s="227"/>
      <c r="G59" s="227"/>
      <c r="H59" s="227"/>
      <c r="I59" s="227"/>
      <c r="J59" s="227"/>
      <c r="K59" s="227"/>
      <c r="L59" s="227"/>
      <c r="M59" s="227"/>
      <c r="N59" s="227"/>
      <c r="P59" s="227"/>
      <c r="Q59" s="227"/>
      <c r="R59" s="227"/>
      <c r="U59" s="15" t="s">
        <v>127</v>
      </c>
      <c r="W59" s="245"/>
      <c r="X59" s="245"/>
      <c r="Y59" s="15" t="s">
        <v>34</v>
      </c>
      <c r="AB59" s="227"/>
      <c r="AC59" s="227"/>
      <c r="AD59" s="227"/>
      <c r="AE59" s="227"/>
      <c r="AF59" s="227"/>
      <c r="AG59" s="227"/>
      <c r="AH59" s="227"/>
      <c r="AI59" s="227"/>
      <c r="AJ59" s="227"/>
      <c r="AK59" s="227"/>
      <c r="AL59" s="227"/>
      <c r="AM59" s="227"/>
      <c r="AN59" s="227"/>
      <c r="AO59" s="227"/>
      <c r="AP59" s="227"/>
      <c r="AQ59" s="227"/>
      <c r="AR59" s="227"/>
      <c r="AS59" s="227"/>
      <c r="AT59" s="227"/>
      <c r="AU59" s="227"/>
      <c r="AV59" s="227"/>
      <c r="AW59" s="227"/>
      <c r="AX59" s="227"/>
      <c r="AY59" s="227"/>
      <c r="AZ59" s="227"/>
      <c r="BA59" s="227"/>
      <c r="BB59" s="227"/>
      <c r="BC59" s="227"/>
      <c r="BD59" s="227"/>
      <c r="BE59" s="227"/>
      <c r="BF59" s="227"/>
      <c r="BG59" s="227"/>
    </row>
    <row r="60" spans="1:59">
      <c r="D60" s="227"/>
      <c r="E60" s="227"/>
      <c r="F60" s="227"/>
      <c r="G60" s="227"/>
      <c r="H60" s="227"/>
      <c r="I60" s="227"/>
      <c r="J60" s="227"/>
      <c r="K60" s="227"/>
      <c r="L60" s="227"/>
      <c r="M60" s="15" t="s">
        <v>167</v>
      </c>
      <c r="P60" s="227"/>
      <c r="Q60" s="227"/>
      <c r="R60" s="227"/>
      <c r="S60" s="15" t="s">
        <v>34</v>
      </c>
      <c r="T60" s="15">
        <f>T51+Z62</f>
        <v>5.9532879999999989E-2</v>
      </c>
      <c r="U60" s="76">
        <f>T60/X50</f>
        <v>6.0265481319970015E-3</v>
      </c>
      <c r="W60" s="245"/>
      <c r="X60" s="245"/>
      <c r="Y60" s="36" t="s">
        <v>49</v>
      </c>
      <c r="Z60" s="73">
        <v>29.1</v>
      </c>
      <c r="AA60" s="15" t="s">
        <v>18</v>
      </c>
      <c r="AB60" s="227"/>
      <c r="AC60" s="227"/>
      <c r="AD60" s="227"/>
      <c r="AE60" s="227"/>
      <c r="AF60" s="227"/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7"/>
      <c r="AZ60" s="227"/>
      <c r="BA60" s="227"/>
      <c r="BB60" s="227"/>
      <c r="BC60" s="227"/>
      <c r="BD60" s="227"/>
      <c r="BE60" s="227"/>
      <c r="BF60" s="227"/>
      <c r="BG60" s="227"/>
    </row>
    <row r="61" spans="1:59">
      <c r="D61" s="227"/>
      <c r="E61" s="227"/>
      <c r="F61" s="227"/>
      <c r="G61" s="227"/>
      <c r="H61" s="227"/>
      <c r="I61" s="227"/>
      <c r="J61" s="227"/>
      <c r="K61" s="227"/>
      <c r="L61" s="227"/>
      <c r="M61" s="36" t="s">
        <v>49</v>
      </c>
      <c r="N61" s="73">
        <f>P24</f>
        <v>0.25565957980000004</v>
      </c>
      <c r="O61" s="15" t="s">
        <v>18</v>
      </c>
      <c r="P61" s="227"/>
      <c r="Q61" s="227"/>
      <c r="R61" s="227"/>
      <c r="S61" s="15" t="s">
        <v>35</v>
      </c>
      <c r="T61" s="15">
        <f>T52+Z67</f>
        <v>0.44484719999999994</v>
      </c>
      <c r="U61" s="76">
        <f>T61/X50</f>
        <v>4.503214126687801E-2</v>
      </c>
      <c r="W61" s="245"/>
      <c r="X61" s="245"/>
      <c r="Y61" s="36" t="s">
        <v>27</v>
      </c>
      <c r="Z61" s="37">
        <f>0.031/100</f>
        <v>3.1E-4</v>
      </c>
      <c r="AB61" s="227"/>
      <c r="AC61" s="227"/>
      <c r="AD61" s="227"/>
      <c r="AE61" s="227"/>
      <c r="AF61" s="227"/>
      <c r="AG61" s="227"/>
      <c r="AH61" s="227"/>
      <c r="AI61" s="227"/>
      <c r="AJ61" s="227"/>
      <c r="AK61" s="227"/>
      <c r="AL61" s="227"/>
      <c r="AM61" s="227"/>
      <c r="AN61" s="227"/>
      <c r="AO61" s="227"/>
      <c r="AP61" s="227"/>
      <c r="AQ61" s="227"/>
      <c r="AR61" s="227"/>
      <c r="AS61" s="227"/>
      <c r="AT61" s="227"/>
      <c r="AU61" s="227"/>
      <c r="AV61" s="227"/>
      <c r="AW61" s="227"/>
      <c r="AX61" s="227"/>
      <c r="AY61" s="227"/>
      <c r="AZ61" s="227"/>
      <c r="BA61" s="227"/>
      <c r="BB61" s="227"/>
      <c r="BC61" s="227"/>
      <c r="BD61" s="227"/>
      <c r="BE61" s="227"/>
      <c r="BF61" s="227"/>
      <c r="BG61" s="227"/>
    </row>
    <row r="62" spans="1:59">
      <c r="D62" s="227"/>
      <c r="E62" s="227"/>
      <c r="F62" s="227"/>
      <c r="G62" s="227"/>
      <c r="H62" s="227"/>
      <c r="I62" s="227"/>
      <c r="J62" s="227"/>
      <c r="K62" s="227"/>
      <c r="L62" s="227"/>
      <c r="M62" s="36" t="s">
        <v>27</v>
      </c>
      <c r="N62" s="37">
        <f>3.7/100</f>
        <v>3.7000000000000005E-2</v>
      </c>
      <c r="P62" s="227"/>
      <c r="Q62" s="227"/>
      <c r="R62" s="227"/>
      <c r="S62" s="15" t="s">
        <v>36</v>
      </c>
      <c r="T62" s="245">
        <f>Z72</f>
        <v>7.1651279999999993</v>
      </c>
      <c r="U62" s="76">
        <f>T62/X50</f>
        <v>0.72533008253454923</v>
      </c>
      <c r="W62" s="245"/>
      <c r="X62" s="245"/>
      <c r="Y62" s="67" t="s">
        <v>30</v>
      </c>
      <c r="Z62" s="37">
        <f>Z61*Z60</f>
        <v>9.0210000000000012E-3</v>
      </c>
      <c r="AA62" s="15" t="s">
        <v>18</v>
      </c>
      <c r="AB62" s="246"/>
      <c r="AC62" s="227"/>
      <c r="AD62" s="227"/>
      <c r="AE62" s="227"/>
      <c r="AF62" s="227"/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27"/>
      <c r="BC62" s="227"/>
      <c r="BD62" s="227"/>
      <c r="BE62" s="227"/>
      <c r="BF62" s="227"/>
      <c r="BG62" s="227"/>
    </row>
    <row r="63" spans="1:59">
      <c r="D63" s="227"/>
      <c r="E63" s="227"/>
      <c r="F63" s="227"/>
      <c r="G63" s="227"/>
      <c r="H63" s="227"/>
      <c r="I63" s="227"/>
      <c r="J63" s="227"/>
      <c r="K63" s="227"/>
      <c r="L63" s="227"/>
      <c r="M63" s="67" t="s">
        <v>30</v>
      </c>
      <c r="N63" s="37">
        <f>N62*N61</f>
        <v>9.459404452600002E-3</v>
      </c>
      <c r="O63" s="15" t="s">
        <v>18</v>
      </c>
      <c r="P63" s="227">
        <f>N63/P24</f>
        <v>3.7000000000000005E-2</v>
      </c>
      <c r="Q63" s="245" t="s">
        <v>18</v>
      </c>
      <c r="R63" s="227"/>
      <c r="S63" s="15" t="s">
        <v>17</v>
      </c>
      <c r="T63" s="245">
        <f>SUM(T60:T62)</f>
        <v>7.6695080799999991</v>
      </c>
      <c r="U63" s="245"/>
      <c r="V63" s="245"/>
      <c r="W63" s="245"/>
      <c r="X63" s="245"/>
      <c r="Y63" s="245"/>
      <c r="Z63" s="245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27"/>
      <c r="AU63" s="227"/>
      <c r="AV63" s="227"/>
      <c r="AW63" s="227"/>
      <c r="AX63" s="227"/>
      <c r="AY63" s="227"/>
      <c r="AZ63" s="227"/>
      <c r="BA63" s="227"/>
      <c r="BB63" s="227"/>
      <c r="BC63" s="227"/>
      <c r="BD63" s="227"/>
      <c r="BE63" s="227"/>
      <c r="BF63" s="227"/>
      <c r="BG63" s="227"/>
    </row>
    <row r="64" spans="1:59"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P64" s="227"/>
      <c r="Q64" s="227"/>
      <c r="R64" s="227"/>
      <c r="S64" s="15" t="s">
        <v>37</v>
      </c>
      <c r="T64" s="145">
        <f>X50-T63</f>
        <v>2.2089295755327933</v>
      </c>
      <c r="U64" s="246">
        <f>T64/X50</f>
        <v>0.22361122806657577</v>
      </c>
      <c r="V64" s="245"/>
      <c r="W64" s="245"/>
      <c r="X64" s="245"/>
      <c r="Y64" s="15" t="s">
        <v>35</v>
      </c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27"/>
      <c r="AU64" s="227"/>
      <c r="AV64" s="227"/>
      <c r="AW64" s="227"/>
      <c r="AX64" s="227"/>
      <c r="AY64" s="227"/>
      <c r="AZ64" s="227"/>
      <c r="BA64" s="227"/>
      <c r="BB64" s="227"/>
      <c r="BC64" s="227"/>
      <c r="BD64" s="227"/>
      <c r="BE64" s="227"/>
      <c r="BF64" s="227"/>
      <c r="BG64" s="227"/>
    </row>
    <row r="65" spans="4:59">
      <c r="D65" s="227"/>
      <c r="E65" s="227"/>
      <c r="F65" s="227"/>
      <c r="G65" s="227"/>
      <c r="H65" s="227"/>
      <c r="I65" s="227"/>
      <c r="J65" s="227"/>
      <c r="K65" s="227"/>
      <c r="L65" s="227"/>
      <c r="M65" s="15" t="s">
        <v>168</v>
      </c>
      <c r="P65" s="227"/>
      <c r="Q65" s="227"/>
      <c r="R65" s="227"/>
      <c r="T65" s="245"/>
      <c r="U65" s="171">
        <f>SUM(U60:U64)</f>
        <v>1</v>
      </c>
      <c r="V65" s="245"/>
      <c r="W65" s="245"/>
      <c r="X65" s="245"/>
      <c r="Y65" s="36" t="s">
        <v>49</v>
      </c>
      <c r="Z65" s="73">
        <v>0.21</v>
      </c>
      <c r="AA65" s="15" t="s">
        <v>18</v>
      </c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27"/>
      <c r="BC65" s="227"/>
      <c r="BD65" s="227"/>
      <c r="BE65" s="227"/>
      <c r="BF65" s="227"/>
      <c r="BG65" s="227"/>
    </row>
    <row r="66" spans="4:59">
      <c r="D66" s="227"/>
      <c r="E66" s="227"/>
      <c r="F66" s="227"/>
      <c r="G66" s="227"/>
      <c r="H66" s="227"/>
      <c r="I66" s="227"/>
      <c r="J66" s="227"/>
      <c r="K66" s="227"/>
      <c r="L66" s="227"/>
      <c r="M66" s="36" t="s">
        <v>49</v>
      </c>
      <c r="N66" s="73">
        <f>T53</f>
        <v>8.7193983999999993</v>
      </c>
      <c r="O66" s="15" t="s">
        <v>18</v>
      </c>
      <c r="P66" s="227"/>
      <c r="Q66" s="227"/>
      <c r="R66" s="227"/>
      <c r="S66" s="245"/>
      <c r="T66" s="245"/>
      <c r="U66" s="245"/>
      <c r="V66" s="245"/>
      <c r="W66" s="245"/>
      <c r="X66" s="245"/>
      <c r="Y66" s="36" t="s">
        <v>27</v>
      </c>
      <c r="Z66" s="37">
        <f>34.14/100</f>
        <v>0.34139999999999998</v>
      </c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227"/>
      <c r="AT66" s="227"/>
      <c r="AU66" s="227"/>
      <c r="AV66" s="227"/>
      <c r="AW66" s="227"/>
      <c r="AX66" s="227"/>
      <c r="AY66" s="227"/>
      <c r="AZ66" s="227"/>
      <c r="BA66" s="227"/>
      <c r="BB66" s="227"/>
      <c r="BC66" s="227"/>
      <c r="BD66" s="227"/>
      <c r="BE66" s="227"/>
      <c r="BF66" s="227"/>
      <c r="BG66" s="227"/>
    </row>
    <row r="67" spans="4:59">
      <c r="D67" s="227"/>
      <c r="E67" s="227"/>
      <c r="F67" s="227"/>
      <c r="G67" s="227"/>
      <c r="H67" s="227"/>
      <c r="I67" s="227"/>
      <c r="J67" s="227"/>
      <c r="K67" s="227"/>
      <c r="L67" s="227"/>
      <c r="M67" s="36" t="s">
        <v>27</v>
      </c>
      <c r="N67" s="37">
        <f>0.67/100</f>
        <v>6.7000000000000002E-3</v>
      </c>
      <c r="P67" s="227"/>
      <c r="Q67" s="227"/>
      <c r="R67" s="227"/>
      <c r="S67" s="245"/>
      <c r="T67" s="245"/>
      <c r="U67" s="245"/>
      <c r="V67" s="245"/>
      <c r="W67" s="245"/>
      <c r="X67" s="245"/>
      <c r="Y67" s="67" t="s">
        <v>30</v>
      </c>
      <c r="Z67" s="37">
        <f>Z66*Z65</f>
        <v>7.1693999999999994E-2</v>
      </c>
      <c r="AA67" s="15" t="s">
        <v>18</v>
      </c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  <c r="AT67" s="227"/>
      <c r="AU67" s="227"/>
      <c r="AV67" s="227"/>
      <c r="AW67" s="227"/>
      <c r="AX67" s="227"/>
      <c r="AY67" s="227"/>
      <c r="AZ67" s="227"/>
      <c r="BA67" s="227"/>
      <c r="BB67" s="227"/>
      <c r="BC67" s="227"/>
      <c r="BD67" s="227"/>
      <c r="BE67" s="227"/>
      <c r="BF67" s="227"/>
      <c r="BG67" s="227"/>
    </row>
    <row r="68" spans="4:59">
      <c r="D68" s="227"/>
      <c r="E68" s="227"/>
      <c r="F68" s="227"/>
      <c r="G68" s="227"/>
      <c r="H68" s="227"/>
      <c r="I68" s="227"/>
      <c r="J68" s="227"/>
      <c r="K68" s="227"/>
      <c r="L68" s="227"/>
      <c r="M68" s="67" t="s">
        <v>30</v>
      </c>
      <c r="N68" s="37">
        <f>N67*N66</f>
        <v>5.8419969279999998E-2</v>
      </c>
      <c r="O68" s="15" t="s">
        <v>18</v>
      </c>
      <c r="P68" s="227">
        <f>N68/T53</f>
        <v>6.7000000000000002E-3</v>
      </c>
      <c r="Q68" s="245" t="s">
        <v>18</v>
      </c>
      <c r="R68" s="227"/>
      <c r="S68" s="245"/>
      <c r="T68" s="245"/>
      <c r="U68" s="245"/>
      <c r="V68" s="245"/>
      <c r="W68" s="245"/>
      <c r="X68" s="245"/>
      <c r="Y68" s="245"/>
      <c r="Z68" s="245"/>
      <c r="AA68" s="245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27"/>
      <c r="BC68" s="227"/>
      <c r="BD68" s="227"/>
      <c r="BE68" s="227"/>
      <c r="BF68" s="227"/>
      <c r="BG68" s="227"/>
    </row>
    <row r="69" spans="4:59"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45"/>
      <c r="T69" s="245"/>
      <c r="U69" s="245"/>
      <c r="V69" s="245"/>
      <c r="W69" s="245"/>
      <c r="X69" s="245"/>
      <c r="Y69" s="15" t="s">
        <v>168</v>
      </c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  <c r="AT69" s="227"/>
      <c r="AU69" s="227"/>
      <c r="AV69" s="227"/>
      <c r="AW69" s="227"/>
      <c r="AX69" s="227"/>
      <c r="AY69" s="227"/>
      <c r="AZ69" s="227"/>
      <c r="BA69" s="227"/>
      <c r="BB69" s="227"/>
      <c r="BC69" s="227"/>
      <c r="BD69" s="227"/>
      <c r="BE69" s="227"/>
      <c r="BF69" s="227"/>
      <c r="BG69" s="227"/>
    </row>
    <row r="70" spans="4:59">
      <c r="D70" s="227"/>
      <c r="E70" s="227"/>
      <c r="F70" s="227"/>
      <c r="G70" s="227"/>
      <c r="H70" s="227"/>
      <c r="I70" s="227"/>
      <c r="J70" s="227"/>
      <c r="K70" s="227"/>
      <c r="L70" s="227"/>
      <c r="M70" s="245" t="s">
        <v>169</v>
      </c>
      <c r="N70" s="227">
        <f>(N53+N58+N63+N68)*1000</f>
        <v>78.363233268599998</v>
      </c>
      <c r="O70" s="227"/>
      <c r="P70" s="227"/>
      <c r="Q70" s="227"/>
      <c r="R70" s="227"/>
      <c r="S70" s="245"/>
      <c r="T70" s="245"/>
      <c r="U70" s="245"/>
      <c r="V70" s="245"/>
      <c r="W70" s="245"/>
      <c r="X70" s="245"/>
      <c r="Y70" s="36" t="s">
        <v>49</v>
      </c>
      <c r="Z70" s="73">
        <v>14.44</v>
      </c>
      <c r="AA70" s="15" t="s">
        <v>18</v>
      </c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  <c r="AT70" s="227"/>
      <c r="AU70" s="227"/>
      <c r="AV70" s="227"/>
      <c r="AW70" s="227"/>
      <c r="AX70" s="227"/>
      <c r="AY70" s="227"/>
      <c r="AZ70" s="227"/>
      <c r="BA70" s="227"/>
      <c r="BB70" s="227"/>
      <c r="BC70" s="227"/>
      <c r="BD70" s="227"/>
      <c r="BE70" s="227"/>
      <c r="BF70" s="227"/>
      <c r="BG70" s="227"/>
    </row>
    <row r="71" spans="4:59"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45"/>
      <c r="T71" s="245"/>
      <c r="U71" s="245"/>
      <c r="V71" s="245"/>
      <c r="W71" s="245"/>
      <c r="X71" s="245"/>
      <c r="Y71" s="36" t="s">
        <v>27</v>
      </c>
      <c r="Z71" s="37">
        <f>49.62/100</f>
        <v>0.49619999999999997</v>
      </c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27"/>
      <c r="BC71" s="227"/>
      <c r="BD71" s="227"/>
      <c r="BE71" s="227"/>
      <c r="BF71" s="227"/>
      <c r="BG71" s="227"/>
    </row>
    <row r="72" spans="4:59"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45"/>
      <c r="T72" s="245"/>
      <c r="U72" s="245"/>
      <c r="V72" s="245"/>
      <c r="W72" s="245"/>
      <c r="X72" s="245"/>
      <c r="Y72" s="67" t="s">
        <v>30</v>
      </c>
      <c r="Z72" s="37">
        <f>Z71*Z70</f>
        <v>7.1651279999999993</v>
      </c>
      <c r="AA72" s="15" t="s">
        <v>18</v>
      </c>
      <c r="AB72" s="227"/>
      <c r="AC72" s="227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  <c r="AT72" s="227"/>
      <c r="AU72" s="227"/>
      <c r="AV72" s="227"/>
      <c r="AW72" s="379"/>
      <c r="AX72" s="379"/>
      <c r="AY72" s="227"/>
      <c r="AZ72" s="227"/>
      <c r="BA72" s="227"/>
      <c r="BB72" s="227"/>
      <c r="BC72" s="227"/>
      <c r="BD72" s="227"/>
      <c r="BE72" s="227"/>
      <c r="BF72" s="227"/>
      <c r="BG72" s="227"/>
    </row>
    <row r="73" spans="4:59"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45"/>
      <c r="T73" s="245"/>
      <c r="U73" s="245"/>
      <c r="V73" s="245"/>
      <c r="W73" s="245"/>
      <c r="X73" s="245"/>
      <c r="Y73" s="245"/>
      <c r="Z73" s="245"/>
      <c r="AA73" s="245"/>
      <c r="AB73" s="227"/>
      <c r="AC73" s="227"/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227"/>
      <c r="AX73" s="227"/>
      <c r="AY73" s="227"/>
      <c r="AZ73" s="227"/>
      <c r="BA73" s="227"/>
      <c r="BB73" s="227"/>
      <c r="BC73" s="227"/>
      <c r="BD73" s="227"/>
      <c r="BE73" s="227"/>
      <c r="BF73" s="227"/>
      <c r="BG73" s="227"/>
    </row>
    <row r="74" spans="4:59" ht="21"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47" t="s">
        <v>173</v>
      </c>
      <c r="Z74" s="247"/>
      <c r="AA74" s="247"/>
      <c r="AB74" s="227"/>
      <c r="AC74" s="227"/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  <c r="AT74" s="227"/>
      <c r="AU74" s="227"/>
      <c r="AV74" s="227"/>
      <c r="AW74" s="227"/>
      <c r="AX74" s="227"/>
      <c r="AY74" s="227"/>
      <c r="AZ74" s="227"/>
      <c r="BA74" s="227"/>
      <c r="BB74" s="227"/>
      <c r="BC74" s="227"/>
      <c r="BD74" s="227"/>
      <c r="BE74" s="227"/>
      <c r="BF74" s="227"/>
      <c r="BG74" s="227"/>
    </row>
    <row r="75" spans="4:59"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27"/>
      <c r="BC75" s="227"/>
      <c r="BD75" s="227"/>
      <c r="BE75" s="227"/>
      <c r="BF75" s="227"/>
      <c r="BG75" s="227"/>
    </row>
    <row r="76" spans="4:59"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  <c r="AT76" s="227"/>
      <c r="AU76" s="227"/>
      <c r="AV76" s="227"/>
      <c r="AW76" s="227"/>
      <c r="AX76" s="227"/>
      <c r="AY76" s="227"/>
      <c r="AZ76" s="227"/>
      <c r="BA76" s="227"/>
      <c r="BB76" s="227"/>
      <c r="BC76" s="227"/>
      <c r="BD76" s="227"/>
      <c r="BE76" s="227"/>
      <c r="BF76" s="227"/>
      <c r="BG76" s="227"/>
    </row>
    <row r="77" spans="4:59"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27"/>
      <c r="BC77" s="227"/>
      <c r="BD77" s="227"/>
      <c r="BE77" s="227"/>
      <c r="BF77" s="227"/>
      <c r="BG77" s="227"/>
    </row>
    <row r="78" spans="4:59">
      <c r="D78" s="227"/>
      <c r="E78" s="227"/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  <c r="AT78" s="227"/>
      <c r="AU78" s="227"/>
      <c r="AV78" s="227"/>
      <c r="AW78" s="227"/>
      <c r="AX78" s="227"/>
      <c r="AY78" s="227"/>
      <c r="AZ78" s="227"/>
      <c r="BA78" s="227"/>
      <c r="BB78" s="227"/>
      <c r="BC78" s="227"/>
      <c r="BD78" s="227"/>
      <c r="BE78" s="227"/>
      <c r="BF78" s="227"/>
      <c r="BG78" s="227"/>
    </row>
    <row r="79" spans="4:59">
      <c r="D79" s="227"/>
      <c r="E79" s="227"/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7"/>
      <c r="AZ79" s="227"/>
      <c r="BA79" s="227"/>
      <c r="BB79" s="227"/>
      <c r="BC79" s="227"/>
      <c r="BD79" s="227"/>
      <c r="BE79" s="227"/>
      <c r="BF79" s="227"/>
      <c r="BG79" s="227"/>
    </row>
    <row r="80" spans="4:59">
      <c r="D80" s="227"/>
      <c r="E80" s="227"/>
      <c r="F80" s="227"/>
      <c r="G80" s="227"/>
      <c r="H80" s="227"/>
      <c r="I80" s="227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  <c r="AC80" s="227"/>
      <c r="AD80" s="227"/>
      <c r="AE80" s="227"/>
      <c r="AF80" s="227"/>
      <c r="AG80" s="227"/>
      <c r="AH80" s="227"/>
      <c r="AI80" s="227"/>
      <c r="AJ80" s="227"/>
      <c r="AK80" s="227"/>
      <c r="AL80" s="227"/>
      <c r="AM80" s="227"/>
      <c r="AN80" s="227"/>
      <c r="AO80" s="227"/>
      <c r="AP80" s="227"/>
      <c r="AQ80" s="227"/>
      <c r="AR80" s="227"/>
      <c r="AS80" s="227"/>
      <c r="AT80" s="227"/>
      <c r="AU80" s="227"/>
      <c r="AV80" s="227"/>
      <c r="AW80" s="227"/>
      <c r="AX80" s="227"/>
      <c r="AY80" s="227"/>
      <c r="AZ80" s="227"/>
      <c r="BA80" s="227"/>
      <c r="BB80" s="227"/>
      <c r="BC80" s="227"/>
      <c r="BD80" s="227"/>
      <c r="BE80" s="227"/>
      <c r="BF80" s="227"/>
      <c r="BG80" s="227"/>
    </row>
    <row r="81" spans="4:59">
      <c r="D81" s="227"/>
      <c r="E81" s="227"/>
      <c r="F81" s="227"/>
      <c r="G81" s="227"/>
      <c r="H81" s="227"/>
      <c r="I81" s="227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7"/>
      <c r="AZ81" s="227"/>
      <c r="BA81" s="227"/>
      <c r="BB81" s="227"/>
      <c r="BC81" s="227"/>
      <c r="BD81" s="227"/>
      <c r="BE81" s="227"/>
      <c r="BF81" s="227"/>
      <c r="BG81" s="227"/>
    </row>
    <row r="82" spans="4:59">
      <c r="D82" s="227"/>
      <c r="E82" s="227"/>
      <c r="F82" s="227"/>
      <c r="G82" s="227"/>
      <c r="H82" s="227"/>
      <c r="I82" s="227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  <c r="AC82" s="227"/>
      <c r="AD82" s="227"/>
      <c r="AE82" s="227"/>
      <c r="AF82" s="227"/>
      <c r="AG82" s="227"/>
      <c r="AH82" s="227"/>
      <c r="AI82" s="227"/>
      <c r="AJ82" s="227"/>
      <c r="AK82" s="227"/>
      <c r="AL82" s="227"/>
      <c r="AM82" s="227"/>
      <c r="AN82" s="227"/>
      <c r="AO82" s="227"/>
      <c r="AP82" s="227"/>
      <c r="AQ82" s="227"/>
      <c r="AR82" s="227"/>
      <c r="AS82" s="227"/>
      <c r="AT82" s="227"/>
      <c r="AU82" s="227"/>
      <c r="AV82" s="227"/>
      <c r="AW82" s="227"/>
      <c r="AX82" s="227"/>
      <c r="AY82" s="227"/>
      <c r="AZ82" s="227"/>
      <c r="BA82" s="227"/>
      <c r="BB82" s="227"/>
      <c r="BC82" s="227"/>
      <c r="BD82" s="227"/>
      <c r="BE82" s="227"/>
      <c r="BF82" s="227"/>
      <c r="BG82" s="227"/>
    </row>
    <row r="83" spans="4:59">
      <c r="D83" s="227"/>
      <c r="E83" s="227"/>
      <c r="F83" s="227"/>
      <c r="G83" s="227"/>
      <c r="H83" s="227"/>
      <c r="I83" s="227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27"/>
      <c r="BC83" s="227"/>
      <c r="BD83" s="227"/>
      <c r="BE83" s="227"/>
      <c r="BF83" s="227"/>
      <c r="BG83" s="227"/>
    </row>
    <row r="84" spans="4:59">
      <c r="D84" s="227"/>
      <c r="E84" s="227"/>
      <c r="F84" s="227"/>
      <c r="G84" s="227"/>
      <c r="H84" s="227"/>
      <c r="I84" s="227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  <c r="AF84" s="227"/>
      <c r="AG84" s="227"/>
      <c r="AH84" s="227"/>
      <c r="AI84" s="227"/>
      <c r="AJ84" s="227"/>
      <c r="AK84" s="227"/>
      <c r="AL84" s="227"/>
      <c r="AM84" s="227"/>
      <c r="AN84" s="227"/>
      <c r="AO84" s="227"/>
      <c r="AP84" s="227"/>
      <c r="AQ84" s="227"/>
      <c r="AR84" s="227"/>
      <c r="AS84" s="227"/>
      <c r="AT84" s="227"/>
      <c r="AU84" s="227"/>
      <c r="AV84" s="227"/>
      <c r="AW84" s="227"/>
      <c r="AX84" s="227"/>
      <c r="AY84" s="227"/>
      <c r="AZ84" s="227"/>
      <c r="BA84" s="227"/>
      <c r="BB84" s="227"/>
      <c r="BC84" s="227"/>
      <c r="BD84" s="227"/>
      <c r="BE84" s="227"/>
      <c r="BF84" s="227"/>
      <c r="BG84" s="227"/>
    </row>
    <row r="85" spans="4:59"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27"/>
      <c r="BC85" s="227"/>
      <c r="BD85" s="227"/>
      <c r="BE85" s="227"/>
      <c r="BF85" s="227"/>
      <c r="BG85" s="227"/>
    </row>
    <row r="86" spans="4:59">
      <c r="D86" s="227"/>
      <c r="E86" s="227"/>
      <c r="F86" s="227"/>
      <c r="G86" s="227"/>
      <c r="H86" s="227"/>
      <c r="I86" s="227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227"/>
      <c r="AS86" s="227"/>
      <c r="AT86" s="227"/>
      <c r="AU86" s="227"/>
      <c r="AV86" s="227"/>
      <c r="AW86" s="227"/>
      <c r="AX86" s="227"/>
      <c r="AY86" s="227"/>
      <c r="AZ86" s="227"/>
      <c r="BA86" s="227"/>
      <c r="BB86" s="227"/>
      <c r="BC86" s="227"/>
      <c r="BD86" s="227"/>
      <c r="BE86" s="227"/>
      <c r="BF86" s="227"/>
      <c r="BG86" s="227"/>
    </row>
    <row r="87" spans="4:59">
      <c r="D87" s="227"/>
      <c r="E87" s="227"/>
      <c r="F87" s="227"/>
      <c r="G87" s="227"/>
      <c r="H87" s="227"/>
      <c r="I87" s="227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  <c r="AF87" s="227"/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7"/>
      <c r="AZ87" s="227"/>
      <c r="BA87" s="227"/>
      <c r="BB87" s="227"/>
      <c r="BC87" s="227"/>
      <c r="BD87" s="227"/>
      <c r="BE87" s="227"/>
      <c r="BF87" s="227"/>
      <c r="BG87" s="227"/>
    </row>
    <row r="88" spans="4:59"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  <c r="AC88" s="227"/>
      <c r="AD88" s="227"/>
      <c r="AE88" s="227"/>
      <c r="AF88" s="227"/>
      <c r="AG88" s="227"/>
      <c r="AH88" s="227"/>
      <c r="AI88" s="227"/>
      <c r="AJ88" s="227"/>
      <c r="AK88" s="227"/>
      <c r="AL88" s="227"/>
      <c r="AM88" s="227"/>
      <c r="AN88" s="227"/>
      <c r="AO88" s="227"/>
      <c r="AP88" s="227"/>
      <c r="AQ88" s="227"/>
      <c r="AR88" s="227"/>
      <c r="AS88" s="227"/>
      <c r="AT88" s="227"/>
      <c r="AU88" s="227"/>
      <c r="AV88" s="227"/>
      <c r="AW88" s="227"/>
      <c r="AX88" s="227"/>
      <c r="AY88" s="227"/>
      <c r="AZ88" s="227"/>
      <c r="BA88" s="227"/>
      <c r="BB88" s="227"/>
      <c r="BC88" s="227"/>
      <c r="BD88" s="227"/>
      <c r="BE88" s="227"/>
      <c r="BF88" s="227"/>
      <c r="BG88" s="227"/>
    </row>
    <row r="89" spans="4:59">
      <c r="D89" s="227"/>
      <c r="E89" s="227"/>
      <c r="F89" s="227"/>
      <c r="G89" s="227"/>
      <c r="H89" s="227"/>
      <c r="I89" s="227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  <c r="AF89" s="227"/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27"/>
      <c r="BC89" s="227"/>
      <c r="BD89" s="227"/>
      <c r="BE89" s="227"/>
      <c r="BF89" s="227"/>
      <c r="BG89" s="227"/>
    </row>
    <row r="90" spans="4:59"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  <c r="AT90" s="227"/>
      <c r="AU90" s="227"/>
      <c r="AV90" s="227"/>
      <c r="AW90" s="227"/>
      <c r="AX90" s="227"/>
      <c r="AY90" s="227"/>
      <c r="AZ90" s="227"/>
      <c r="BA90" s="227"/>
      <c r="BB90" s="227"/>
      <c r="BC90" s="227"/>
      <c r="BD90" s="227"/>
      <c r="BE90" s="227"/>
      <c r="BF90" s="227"/>
      <c r="BG90" s="227"/>
    </row>
    <row r="91" spans="4:59">
      <c r="D91" s="227"/>
      <c r="E91" s="227"/>
      <c r="F91" s="227"/>
      <c r="G91" s="227"/>
      <c r="H91" s="227"/>
      <c r="I91" s="227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27"/>
      <c r="BC91" s="227"/>
      <c r="BD91" s="227"/>
      <c r="BE91" s="227"/>
      <c r="BF91" s="227"/>
      <c r="BG91" s="227"/>
    </row>
    <row r="92" spans="4:59">
      <c r="D92" s="227"/>
      <c r="E92" s="227"/>
      <c r="F92" s="227"/>
      <c r="G92" s="227"/>
      <c r="H92" s="227"/>
      <c r="I92" s="227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  <c r="AF92" s="227"/>
      <c r="AG92" s="227"/>
      <c r="AH92" s="227"/>
      <c r="AI92" s="227"/>
      <c r="AJ92" s="227"/>
      <c r="AK92" s="227"/>
      <c r="AL92" s="227"/>
      <c r="AM92" s="227"/>
      <c r="AN92" s="227"/>
      <c r="AO92" s="227"/>
      <c r="AP92" s="227"/>
      <c r="AQ92" s="227"/>
      <c r="AR92" s="227"/>
      <c r="AS92" s="227"/>
      <c r="AT92" s="227"/>
      <c r="AU92" s="227"/>
      <c r="AV92" s="227"/>
      <c r="AW92" s="227"/>
      <c r="AX92" s="227"/>
      <c r="AY92" s="227"/>
      <c r="AZ92" s="227"/>
      <c r="BA92" s="227"/>
      <c r="BB92" s="227"/>
      <c r="BC92" s="227"/>
      <c r="BD92" s="227"/>
      <c r="BE92" s="227"/>
      <c r="BF92" s="227"/>
      <c r="BG92" s="227"/>
    </row>
    <row r="93" spans="4:59">
      <c r="D93" s="227"/>
      <c r="E93" s="227"/>
      <c r="F93" s="227"/>
      <c r="G93" s="227"/>
      <c r="H93" s="227"/>
      <c r="I93" s="227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27"/>
      <c r="BC93" s="227"/>
      <c r="BD93" s="227"/>
      <c r="BE93" s="227"/>
      <c r="BF93" s="227"/>
      <c r="BG93" s="227"/>
    </row>
    <row r="94" spans="4:59">
      <c r="D94" s="227"/>
      <c r="E94" s="227"/>
      <c r="F94" s="227"/>
      <c r="G94" s="227"/>
      <c r="H94" s="227"/>
      <c r="I94" s="227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  <c r="AD94" s="227"/>
      <c r="AE94" s="227"/>
      <c r="AF94" s="227"/>
      <c r="AG94" s="227"/>
      <c r="AH94" s="227"/>
      <c r="AI94" s="227"/>
      <c r="AJ94" s="227"/>
      <c r="AK94" s="227"/>
      <c r="AL94" s="227"/>
      <c r="AM94" s="227"/>
      <c r="AN94" s="227"/>
      <c r="AO94" s="227"/>
      <c r="AP94" s="227"/>
      <c r="AQ94" s="227"/>
      <c r="AR94" s="227"/>
      <c r="AS94" s="227"/>
      <c r="AT94" s="227"/>
      <c r="AU94" s="227"/>
      <c r="AV94" s="227"/>
      <c r="AW94" s="227"/>
      <c r="AX94" s="227"/>
      <c r="AY94" s="227"/>
      <c r="AZ94" s="227"/>
      <c r="BA94" s="227"/>
      <c r="BB94" s="227"/>
      <c r="BC94" s="227"/>
      <c r="BD94" s="227"/>
      <c r="BE94" s="227"/>
      <c r="BF94" s="227"/>
      <c r="BG94" s="227"/>
    </row>
    <row r="95" spans="4:59"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  <c r="AF95" s="227"/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27"/>
      <c r="BC95" s="227"/>
      <c r="BD95" s="227"/>
      <c r="BE95" s="227"/>
      <c r="BF95" s="227"/>
      <c r="BG95" s="227"/>
    </row>
    <row r="96" spans="4:59">
      <c r="D96" s="227"/>
      <c r="E96" s="227"/>
      <c r="F96" s="227"/>
      <c r="G96" s="227"/>
      <c r="H96" s="227"/>
      <c r="I96" s="227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  <c r="AF96" s="227"/>
      <c r="AG96" s="227"/>
      <c r="AH96" s="227"/>
      <c r="AI96" s="227"/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  <c r="AT96" s="227"/>
      <c r="AU96" s="227"/>
      <c r="AV96" s="227"/>
      <c r="AW96" s="227"/>
      <c r="AX96" s="227"/>
      <c r="AY96" s="227"/>
      <c r="AZ96" s="227"/>
      <c r="BA96" s="227"/>
      <c r="BB96" s="227"/>
      <c r="BC96" s="227"/>
      <c r="BD96" s="227"/>
      <c r="BE96" s="227"/>
      <c r="BF96" s="227"/>
      <c r="BG96" s="227"/>
    </row>
    <row r="97" spans="4:59"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7"/>
      <c r="BC97" s="227"/>
      <c r="BD97" s="227"/>
      <c r="BE97" s="227"/>
      <c r="BF97" s="227"/>
      <c r="BG97" s="227"/>
    </row>
    <row r="98" spans="4:59"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  <c r="AF98" s="227"/>
      <c r="AG98" s="227"/>
      <c r="AH98" s="227"/>
      <c r="AI98" s="227"/>
      <c r="AJ98" s="227"/>
      <c r="AK98" s="227"/>
      <c r="AL98" s="227"/>
      <c r="AM98" s="227"/>
      <c r="AN98" s="227"/>
      <c r="AO98" s="227"/>
      <c r="AP98" s="227"/>
      <c r="AQ98" s="227"/>
      <c r="AR98" s="227"/>
      <c r="AS98" s="227"/>
      <c r="AT98" s="227"/>
      <c r="AU98" s="227"/>
      <c r="AV98" s="227"/>
      <c r="AW98" s="227"/>
      <c r="AX98" s="227"/>
      <c r="AY98" s="227"/>
      <c r="AZ98" s="227"/>
      <c r="BA98" s="227"/>
      <c r="BB98" s="227"/>
      <c r="BC98" s="227"/>
      <c r="BD98" s="227"/>
      <c r="BE98" s="227"/>
      <c r="BF98" s="227"/>
      <c r="BG98" s="227"/>
    </row>
    <row r="99" spans="4:59"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27"/>
      <c r="BC99" s="227"/>
      <c r="BD99" s="227"/>
      <c r="BE99" s="227"/>
      <c r="BF99" s="227"/>
      <c r="BG99" s="227"/>
    </row>
    <row r="100" spans="4:59"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  <c r="AF100" s="227"/>
      <c r="AG100" s="227"/>
      <c r="AH100" s="227"/>
      <c r="AI100" s="227"/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  <c r="AT100" s="227"/>
      <c r="AU100" s="227"/>
      <c r="AV100" s="227"/>
      <c r="AW100" s="227"/>
      <c r="AX100" s="227"/>
      <c r="AY100" s="227"/>
      <c r="AZ100" s="227"/>
      <c r="BA100" s="227"/>
      <c r="BB100" s="227"/>
      <c r="BC100" s="227"/>
      <c r="BD100" s="227"/>
      <c r="BE100" s="227"/>
      <c r="BF100" s="227"/>
      <c r="BG100" s="227"/>
    </row>
    <row r="101" spans="4:59"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7"/>
      <c r="BC101" s="227"/>
      <c r="BD101" s="227"/>
      <c r="BE101" s="227"/>
      <c r="BF101" s="227"/>
      <c r="BG101" s="227"/>
    </row>
    <row r="102" spans="4:59"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  <c r="AF102" s="227"/>
      <c r="AG102" s="227"/>
      <c r="AH102" s="227"/>
      <c r="AI102" s="227"/>
      <c r="AJ102" s="227"/>
      <c r="AK102" s="227"/>
      <c r="AL102" s="227"/>
      <c r="AM102" s="227"/>
      <c r="AN102" s="227"/>
      <c r="AO102" s="227"/>
      <c r="AP102" s="227"/>
      <c r="AQ102" s="227"/>
      <c r="AR102" s="227"/>
      <c r="AS102" s="227"/>
      <c r="AT102" s="227"/>
      <c r="AU102" s="227"/>
      <c r="AV102" s="227"/>
      <c r="AW102" s="227"/>
      <c r="AX102" s="227"/>
      <c r="AY102" s="227"/>
      <c r="AZ102" s="227"/>
      <c r="BA102" s="227"/>
      <c r="BB102" s="227"/>
      <c r="BC102" s="227"/>
      <c r="BD102" s="227"/>
      <c r="BE102" s="227"/>
      <c r="BF102" s="227"/>
      <c r="BG102" s="227"/>
    </row>
    <row r="103" spans="4:59"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27"/>
      <c r="BC103" s="227"/>
      <c r="BD103" s="227"/>
      <c r="BE103" s="227"/>
      <c r="BF103" s="227"/>
      <c r="BG103" s="227"/>
    </row>
    <row r="104" spans="4:59"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  <c r="AF104" s="227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  <c r="AT104" s="227"/>
      <c r="AU104" s="227"/>
      <c r="AV104" s="227"/>
      <c r="AW104" s="227"/>
      <c r="AX104" s="227"/>
      <c r="AY104" s="227"/>
      <c r="AZ104" s="227"/>
      <c r="BA104" s="227"/>
      <c r="BB104" s="227"/>
      <c r="BC104" s="227"/>
      <c r="BD104" s="227"/>
      <c r="BE104" s="227"/>
      <c r="BF104" s="227"/>
      <c r="BG104" s="227"/>
    </row>
    <row r="105" spans="4:59"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27"/>
      <c r="BC105" s="227"/>
      <c r="BD105" s="227"/>
      <c r="BE105" s="227"/>
      <c r="BF105" s="227"/>
      <c r="BG105" s="227"/>
    </row>
    <row r="106" spans="4:59"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  <c r="AT106" s="227"/>
      <c r="AU106" s="227"/>
      <c r="AV106" s="227"/>
      <c r="AW106" s="227"/>
      <c r="AX106" s="227"/>
      <c r="AY106" s="227"/>
      <c r="AZ106" s="227"/>
      <c r="BA106" s="227"/>
      <c r="BB106" s="227"/>
      <c r="BC106" s="227"/>
      <c r="BD106" s="227"/>
      <c r="BE106" s="227"/>
      <c r="BF106" s="227"/>
      <c r="BG106" s="227"/>
    </row>
    <row r="107" spans="4:59"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27"/>
      <c r="BC107" s="227"/>
      <c r="BD107" s="227"/>
      <c r="BE107" s="227"/>
      <c r="BF107" s="227"/>
      <c r="BG107" s="227"/>
    </row>
    <row r="108" spans="4:59"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  <c r="AT108" s="227"/>
      <c r="AU108" s="227"/>
      <c r="AV108" s="227"/>
      <c r="AW108" s="227"/>
      <c r="AX108" s="227"/>
      <c r="AY108" s="227"/>
      <c r="AZ108" s="227"/>
      <c r="BA108" s="227"/>
      <c r="BB108" s="227"/>
      <c r="BC108" s="227"/>
      <c r="BD108" s="227"/>
      <c r="BE108" s="227"/>
      <c r="BF108" s="227"/>
      <c r="BG108" s="227"/>
    </row>
    <row r="109" spans="4:59"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27"/>
      <c r="BC109" s="227"/>
      <c r="BD109" s="227"/>
      <c r="BE109" s="227"/>
      <c r="BF109" s="227"/>
      <c r="BG109" s="227"/>
    </row>
    <row r="110" spans="4:59"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  <c r="AP110" s="227"/>
      <c r="AQ110" s="227"/>
      <c r="AR110" s="227"/>
      <c r="AS110" s="227"/>
      <c r="AT110" s="227"/>
      <c r="AU110" s="227"/>
      <c r="AV110" s="227"/>
      <c r="AW110" s="227"/>
      <c r="AX110" s="227"/>
      <c r="AY110" s="227"/>
      <c r="AZ110" s="227"/>
      <c r="BA110" s="227"/>
      <c r="BB110" s="227"/>
      <c r="BC110" s="227"/>
      <c r="BD110" s="227"/>
      <c r="BE110" s="227"/>
      <c r="BF110" s="227"/>
      <c r="BG110" s="227"/>
    </row>
    <row r="111" spans="4:59"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  <c r="AA111" s="227"/>
      <c r="AB111" s="227"/>
      <c r="AC111" s="227"/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  <c r="AT111" s="227"/>
      <c r="AU111" s="227"/>
      <c r="AV111" s="227"/>
      <c r="AW111" s="227"/>
      <c r="AX111" s="227"/>
      <c r="AY111" s="227"/>
      <c r="AZ111" s="227"/>
      <c r="BA111" s="227"/>
      <c r="BB111" s="227"/>
      <c r="BC111" s="227"/>
      <c r="BD111" s="227"/>
      <c r="BE111" s="227"/>
      <c r="BF111" s="227"/>
      <c r="BG111" s="227"/>
    </row>
    <row r="112" spans="4:59"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  <c r="AA112" s="227"/>
      <c r="AB112" s="227"/>
      <c r="AC112" s="227"/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27"/>
      <c r="BC112" s="227"/>
      <c r="BD112" s="227"/>
      <c r="BE112" s="227"/>
      <c r="BF112" s="227"/>
      <c r="BG112" s="227"/>
    </row>
    <row r="113" spans="4:61"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  <c r="AA113" s="227"/>
      <c r="AB113" s="227"/>
      <c r="AC113" s="227"/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  <c r="AT113" s="227"/>
      <c r="AU113" s="227"/>
      <c r="AV113" s="227"/>
      <c r="AW113" s="227"/>
      <c r="AX113" s="227"/>
      <c r="AY113" s="227"/>
      <c r="AZ113" s="227"/>
      <c r="BA113" s="227"/>
      <c r="BB113" s="227"/>
      <c r="BC113" s="227"/>
      <c r="BD113" s="227"/>
      <c r="BE113" s="227"/>
      <c r="BF113" s="227"/>
      <c r="BG113" s="227"/>
    </row>
    <row r="114" spans="4:61"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  <c r="AA114" s="227"/>
      <c r="AB114" s="227"/>
      <c r="AC114" s="227"/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27"/>
      <c r="BC114" s="227"/>
      <c r="BD114" s="227"/>
      <c r="BE114" s="227"/>
      <c r="BF114" s="227"/>
      <c r="BG114" s="227"/>
    </row>
    <row r="115" spans="4:61"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  <c r="AA115" s="227"/>
      <c r="AB115" s="227"/>
      <c r="AC115" s="227"/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  <c r="AT115" s="227"/>
      <c r="AU115" s="227"/>
      <c r="AV115" s="227"/>
      <c r="AW115" s="227"/>
      <c r="AX115" s="227"/>
      <c r="AY115" s="227"/>
      <c r="AZ115" s="227"/>
      <c r="BA115" s="227"/>
      <c r="BB115" s="227"/>
      <c r="BC115" s="227"/>
      <c r="BD115" s="227"/>
      <c r="BE115" s="227"/>
      <c r="BF115" s="227"/>
      <c r="BG115" s="227"/>
      <c r="BH115" s="27"/>
      <c r="BI115" s="27"/>
    </row>
    <row r="116" spans="4:61"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  <c r="AA116" s="227"/>
      <c r="AB116" s="227"/>
      <c r="AC116" s="227"/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27"/>
      <c r="BC116" s="227"/>
      <c r="BD116" s="227"/>
      <c r="BE116" s="227"/>
      <c r="BF116" s="227"/>
      <c r="BG116" s="227"/>
      <c r="BI116" s="22"/>
    </row>
    <row r="117" spans="4:61"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  <c r="AA117" s="227"/>
      <c r="AB117" s="227"/>
      <c r="AC117" s="227"/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  <c r="AT117" s="227"/>
      <c r="AU117" s="227"/>
      <c r="AV117" s="227"/>
      <c r="AW117" s="227"/>
      <c r="AX117" s="227"/>
      <c r="AY117" s="227"/>
      <c r="AZ117" s="227"/>
      <c r="BA117" s="227"/>
      <c r="BB117" s="227"/>
      <c r="BC117" s="227"/>
      <c r="BD117" s="227"/>
      <c r="BE117" s="227"/>
      <c r="BF117" s="227"/>
      <c r="BG117" s="227"/>
    </row>
    <row r="118" spans="4:61"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  <c r="AA118" s="227"/>
      <c r="AB118" s="227"/>
      <c r="AC118" s="227"/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227"/>
      <c r="AY118" s="227"/>
      <c r="AZ118" s="227"/>
      <c r="BA118" s="227"/>
      <c r="BB118" s="227"/>
      <c r="BC118" s="227"/>
      <c r="BD118" s="227"/>
      <c r="BE118" s="227"/>
      <c r="BF118" s="227"/>
      <c r="BG118" s="227"/>
      <c r="BH118" s="56"/>
    </row>
    <row r="119" spans="4:61"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  <c r="AA119" s="227"/>
      <c r="AB119" s="227"/>
      <c r="AC119" s="227"/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  <c r="AT119" s="227"/>
      <c r="AU119" s="227"/>
      <c r="AV119" s="227"/>
      <c r="AW119" s="227"/>
      <c r="AX119" s="227"/>
      <c r="AY119" s="227"/>
      <c r="AZ119" s="227"/>
      <c r="BA119" s="227"/>
      <c r="BB119" s="227"/>
      <c r="BC119" s="227"/>
      <c r="BD119" s="227"/>
      <c r="BE119" s="227"/>
      <c r="BF119" s="227"/>
      <c r="BG119" s="227"/>
    </row>
    <row r="120" spans="4:61"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  <c r="AA120" s="227"/>
      <c r="AB120" s="227"/>
      <c r="AC120" s="227"/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  <c r="AT120" s="227"/>
      <c r="AU120" s="227"/>
      <c r="AV120" s="227"/>
      <c r="AW120" s="227"/>
      <c r="AX120" s="227"/>
      <c r="AY120" s="227"/>
      <c r="AZ120" s="227"/>
      <c r="BA120" s="227"/>
      <c r="BB120" s="227"/>
      <c r="BC120" s="227"/>
      <c r="BD120" s="227"/>
      <c r="BE120" s="227"/>
      <c r="BF120" s="227"/>
      <c r="BG120" s="227"/>
    </row>
    <row r="121" spans="4:61"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  <c r="AA121" s="227"/>
      <c r="AB121" s="227"/>
      <c r="AC121" s="227"/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  <c r="AT121" s="227"/>
      <c r="AU121" s="227"/>
      <c r="AV121" s="227"/>
      <c r="AW121" s="227"/>
      <c r="AX121" s="227"/>
      <c r="AY121" s="227"/>
      <c r="AZ121" s="227"/>
      <c r="BA121" s="227"/>
      <c r="BB121" s="227"/>
      <c r="BC121" s="227"/>
      <c r="BD121" s="227"/>
      <c r="BE121" s="227"/>
      <c r="BF121" s="227"/>
      <c r="BG121" s="227"/>
    </row>
    <row r="122" spans="4:61"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  <c r="AA122" s="227"/>
      <c r="AB122" s="227"/>
      <c r="AC122" s="227"/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  <c r="AT122" s="227"/>
      <c r="AU122" s="227"/>
      <c r="AV122" s="379"/>
      <c r="AW122" s="379"/>
      <c r="AX122" s="227"/>
      <c r="AY122" s="227"/>
      <c r="AZ122" s="227"/>
      <c r="BA122" s="227"/>
      <c r="BB122" s="227"/>
      <c r="BC122" s="227"/>
      <c r="BD122" s="227"/>
      <c r="BE122" s="227"/>
      <c r="BF122" s="227"/>
      <c r="BG122" s="227"/>
    </row>
    <row r="123" spans="4:61"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  <c r="AA123" s="227"/>
      <c r="AB123" s="227"/>
      <c r="AC123" s="227"/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  <c r="AT123" s="227"/>
      <c r="AU123" s="227"/>
      <c r="AV123" s="227"/>
      <c r="AW123" s="227"/>
      <c r="AX123" s="227"/>
      <c r="AY123" s="227"/>
      <c r="AZ123" s="227"/>
      <c r="BA123" s="227"/>
      <c r="BB123" s="227"/>
      <c r="BC123" s="227"/>
      <c r="BD123" s="227"/>
      <c r="BE123" s="227"/>
      <c r="BF123" s="227"/>
      <c r="BG123" s="227"/>
    </row>
    <row r="124" spans="4:61"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  <c r="AA124" s="227"/>
      <c r="AB124" s="227"/>
      <c r="AC124" s="227"/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27"/>
      <c r="BC124" s="227"/>
      <c r="BD124" s="227"/>
      <c r="BE124" s="227"/>
      <c r="BF124" s="227"/>
      <c r="BG124" s="227"/>
    </row>
    <row r="125" spans="4:61">
      <c r="AR125" s="227"/>
    </row>
    <row r="126" spans="4:61">
      <c r="AR126" s="227"/>
      <c r="AT126" s="227"/>
    </row>
    <row r="127" spans="4:61">
      <c r="AR127" s="227"/>
    </row>
    <row r="128" spans="4:61">
      <c r="AR128" s="227"/>
      <c r="AS128" s="227"/>
      <c r="AT128" s="227"/>
      <c r="AU128" s="227"/>
      <c r="AV128" s="227"/>
      <c r="AW128" s="227"/>
      <c r="AX128" s="227"/>
      <c r="AY128" s="227"/>
      <c r="AZ128" s="227"/>
      <c r="BA128" s="227"/>
      <c r="BB128" s="227"/>
      <c r="BC128" s="227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I25" zoomScale="70" zoomScaleNormal="70" workbookViewId="0">
      <selection activeCell="Y55" sqref="Y55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</row>
    <row r="2" spans="9:38">
      <c r="AK2" s="239"/>
      <c r="AL2" s="239"/>
    </row>
    <row r="3" spans="9:38">
      <c r="AK3" s="239"/>
      <c r="AL3" s="239"/>
    </row>
    <row r="4" spans="9:38">
      <c r="AK4" s="239"/>
      <c r="AL4" s="239"/>
    </row>
    <row r="5" spans="9:38" ht="21" customHeight="1">
      <c r="I5" s="238"/>
      <c r="AK5" s="239"/>
      <c r="AL5" s="239"/>
    </row>
    <row r="6" spans="9:38">
      <c r="I6" s="239"/>
      <c r="AK6" s="239"/>
      <c r="AL6" s="239"/>
    </row>
    <row r="7" spans="9:38" ht="15.75" customHeight="1">
      <c r="I7" s="239"/>
      <c r="AK7" s="239"/>
      <c r="AL7" s="239"/>
    </row>
    <row r="8" spans="9:38">
      <c r="I8" s="239"/>
      <c r="AK8" s="239"/>
      <c r="AL8" s="239"/>
    </row>
    <row r="9" spans="9:38">
      <c r="I9" s="239"/>
      <c r="AK9" s="239"/>
      <c r="AL9" s="239"/>
    </row>
    <row r="10" spans="9:38">
      <c r="I10" s="239"/>
      <c r="AK10" s="239"/>
      <c r="AL10" s="239"/>
    </row>
    <row r="11" spans="9:38">
      <c r="AK11" s="239"/>
      <c r="AL11" s="239"/>
    </row>
    <row r="12" spans="9:38">
      <c r="AK12" s="239"/>
      <c r="AL12" s="239"/>
    </row>
    <row r="13" spans="9:38">
      <c r="AK13" s="239"/>
      <c r="AL13" s="239"/>
    </row>
    <row r="14" spans="9:38">
      <c r="Q14" s="22"/>
      <c r="T14" s="239"/>
      <c r="U14" s="239"/>
      <c r="V14" s="239"/>
      <c r="W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</row>
    <row r="15" spans="9:38">
      <c r="T15" s="239"/>
      <c r="U15" s="239"/>
      <c r="V15" s="239"/>
      <c r="W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</row>
    <row r="16" spans="9:38" ht="21">
      <c r="AB16" s="102"/>
      <c r="AC16" s="239"/>
      <c r="AD16" s="239"/>
      <c r="AE16" s="239"/>
      <c r="AF16" s="239"/>
      <c r="AG16" s="239"/>
      <c r="AH16" s="239"/>
      <c r="AI16" s="239"/>
      <c r="AJ16" s="239"/>
      <c r="AK16" s="239"/>
    </row>
    <row r="17" spans="1:38">
      <c r="H17" s="238"/>
      <c r="Q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161</v>
      </c>
      <c r="N18" s="98"/>
      <c r="O18" s="98"/>
      <c r="Q18" s="239"/>
      <c r="W18" s="239"/>
      <c r="X18" s="239"/>
      <c r="Y18" s="101" t="s">
        <v>163</v>
      </c>
      <c r="Z18" s="101"/>
      <c r="AA18" s="101"/>
      <c r="AB18" s="239"/>
      <c r="AC18" s="239"/>
      <c r="AD18" s="239"/>
      <c r="AE18" s="239"/>
      <c r="AJ18" s="239"/>
      <c r="AK18" s="239"/>
      <c r="AL18" s="239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48.739058070724774</v>
      </c>
      <c r="H19" s="24" t="s">
        <v>100</v>
      </c>
      <c r="L19" s="47" t="s">
        <v>46</v>
      </c>
      <c r="M19" s="96"/>
      <c r="N19" s="96"/>
      <c r="O19" s="34"/>
      <c r="P19" s="34"/>
      <c r="Q19" s="239"/>
      <c r="AE19" s="239"/>
      <c r="AJ19" s="239"/>
      <c r="AK19" s="239"/>
      <c r="AL19" s="239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39"/>
      <c r="W20" s="239"/>
      <c r="X20" s="403" t="s">
        <v>22</v>
      </c>
      <c r="Y20" s="404"/>
      <c r="Z20" s="404"/>
      <c r="AA20" s="405"/>
      <c r="AB20" s="239"/>
      <c r="AC20" s="239"/>
      <c r="AD20" s="239"/>
      <c r="AK20" s="239"/>
      <c r="AL20" s="239"/>
    </row>
    <row r="21" spans="1:38" ht="18">
      <c r="A21" s="89" t="s">
        <v>16</v>
      </c>
      <c r="B21" s="198">
        <v>5</v>
      </c>
      <c r="C21" s="86">
        <f>B21/D21</f>
        <v>2.2727272727272725</v>
      </c>
      <c r="D21" s="86">
        <v>2.2000000000000002</v>
      </c>
      <c r="K21" s="239"/>
      <c r="O21" s="23"/>
      <c r="X21" s="16"/>
      <c r="Y21" s="17"/>
      <c r="Z21" s="18"/>
      <c r="AK21" s="239"/>
      <c r="AL21" s="239"/>
    </row>
    <row r="22" spans="1:38" ht="18">
      <c r="A22" s="84" t="s">
        <v>17</v>
      </c>
      <c r="B22" s="86">
        <f>SUM(B19:B21)</f>
        <v>105.10048999999999</v>
      </c>
      <c r="C22" s="86">
        <f>SUM(C19:C21)</f>
        <v>102.58712822772546</v>
      </c>
      <c r="D22" s="86">
        <f>B22/C22</f>
        <v>1.0244997770743256</v>
      </c>
      <c r="K22" s="239"/>
      <c r="L22" s="36" t="s">
        <v>3</v>
      </c>
      <c r="M22" s="34"/>
      <c r="N22" s="15" t="s">
        <v>18</v>
      </c>
      <c r="O22" s="36" t="s">
        <v>49</v>
      </c>
      <c r="P22" s="73"/>
      <c r="Q22" s="239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76.22</v>
      </c>
      <c r="AD22" s="239" t="s">
        <v>18</v>
      </c>
      <c r="AK22" s="239"/>
      <c r="AL22" s="239"/>
    </row>
    <row r="23" spans="1:38" ht="18">
      <c r="B23" s="87"/>
      <c r="C23" s="87"/>
      <c r="D23" s="87"/>
      <c r="E23" s="87"/>
      <c r="K23" s="239"/>
      <c r="L23" s="36" t="s">
        <v>4</v>
      </c>
      <c r="M23" s="34"/>
      <c r="N23" s="15" t="s">
        <v>18</v>
      </c>
      <c r="O23" s="36" t="s">
        <v>27</v>
      </c>
      <c r="P23" s="34"/>
      <c r="Q23" s="239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0.05/100</f>
        <v>5.0000000000000001E-4</v>
      </c>
      <c r="AD23" s="239" t="s">
        <v>33</v>
      </c>
      <c r="AK23" s="239"/>
      <c r="AL23" s="239"/>
    </row>
    <row r="24" spans="1:38">
      <c r="A24" s="161" t="s">
        <v>160</v>
      </c>
      <c r="B24" s="161"/>
      <c r="K24" s="239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239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3.8109999999999998E-2</v>
      </c>
      <c r="AD24" s="239" t="s">
        <v>18</v>
      </c>
      <c r="AK24" s="239"/>
      <c r="AL24" s="239"/>
    </row>
    <row r="25" spans="1:38">
      <c r="L25" s="67" t="s">
        <v>30</v>
      </c>
      <c r="M25" s="37">
        <f>P23*M24</f>
        <v>0</v>
      </c>
      <c r="N25" s="15" t="s">
        <v>18</v>
      </c>
      <c r="Q25" s="239"/>
      <c r="W25" s="239"/>
      <c r="X25" s="242" t="s">
        <v>30</v>
      </c>
      <c r="Y25" s="243"/>
      <c r="Z25" s="104">
        <f>AC23*Z24</f>
        <v>0</v>
      </c>
      <c r="AA25" s="15" t="s">
        <v>18</v>
      </c>
      <c r="AK25" s="239"/>
      <c r="AL25" s="239"/>
    </row>
    <row r="26" spans="1:38">
      <c r="A26" s="23"/>
      <c r="W26" s="239"/>
      <c r="X26" s="239"/>
      <c r="Y26" s="239"/>
      <c r="Z26" s="239"/>
      <c r="AA26" s="23"/>
      <c r="AL26" s="239"/>
    </row>
    <row r="27" spans="1:38">
      <c r="A27" s="23"/>
      <c r="I27" s="239"/>
      <c r="J27" s="239"/>
      <c r="K27" s="239"/>
      <c r="L27" s="239"/>
      <c r="AD27" s="31">
        <f>AC22+Z24</f>
        <v>76.22</v>
      </c>
      <c r="AE27" s="15">
        <f>AC24+Z25</f>
        <v>3.8109999999999998E-2</v>
      </c>
      <c r="AL27" s="239"/>
    </row>
    <row r="28" spans="1:38" ht="21">
      <c r="D28" s="143" t="s">
        <v>45</v>
      </c>
      <c r="E28" s="142">
        <f>B22-(C41+B44)</f>
        <v>98.800489999999996</v>
      </c>
      <c r="F28" s="15" t="s">
        <v>18</v>
      </c>
      <c r="I28" s="239"/>
      <c r="J28" s="239"/>
      <c r="K28" s="239"/>
      <c r="L28" s="239"/>
    </row>
    <row r="29" spans="1:38">
      <c r="I29" s="239"/>
      <c r="J29" s="239"/>
      <c r="K29" s="239"/>
      <c r="L29" s="239"/>
      <c r="V29" s="239"/>
      <c r="W29" s="239"/>
      <c r="X29" s="239"/>
      <c r="AJ29" s="22"/>
    </row>
    <row r="30" spans="1:38" ht="21">
      <c r="I30" s="102"/>
      <c r="V30" s="239"/>
      <c r="W30" s="200">
        <f>AC22+Z24+AC43+V43</f>
        <v>77.900000000000006</v>
      </c>
      <c r="X30" s="239"/>
    </row>
    <row r="31" spans="1:38">
      <c r="V31" s="239"/>
      <c r="W31" s="239"/>
      <c r="X31" s="239"/>
    </row>
    <row r="33" spans="1:55">
      <c r="S33" s="15" t="s">
        <v>101</v>
      </c>
      <c r="T33" s="31">
        <f>P22-W30</f>
        <v>-77.900000000000006</v>
      </c>
      <c r="U33" s="15" t="s">
        <v>18</v>
      </c>
    </row>
    <row r="34" spans="1:55">
      <c r="D34" s="239"/>
      <c r="E34" s="239"/>
      <c r="F34" s="239"/>
      <c r="G34" s="239"/>
      <c r="H34" s="239"/>
      <c r="S34" s="15" t="s">
        <v>125</v>
      </c>
      <c r="T34" s="76">
        <f>T33/E28</f>
        <v>-0.7884576280947595</v>
      </c>
      <c r="Z34" s="239"/>
      <c r="AA34" s="239"/>
      <c r="AB34" s="239"/>
      <c r="AC34" s="239"/>
      <c r="AD34" s="239"/>
      <c r="AE34" s="239"/>
      <c r="AF34" s="239"/>
      <c r="AG34" s="239"/>
      <c r="AH34" s="239"/>
      <c r="AI34" s="239"/>
      <c r="AJ34" s="239"/>
    </row>
    <row r="35" spans="1:55">
      <c r="D35" s="239"/>
      <c r="E35" s="239"/>
      <c r="F35" s="239"/>
      <c r="G35" s="239"/>
      <c r="H35" s="239"/>
      <c r="S35" s="15" t="s">
        <v>126</v>
      </c>
      <c r="T35" s="81">
        <f>T34*B49</f>
        <v>-3.7059770130472276</v>
      </c>
      <c r="U35" s="239" t="s">
        <v>18</v>
      </c>
      <c r="Z35" s="239"/>
    </row>
    <row r="36" spans="1:55">
      <c r="D36" s="239"/>
      <c r="E36" s="239"/>
      <c r="F36" s="239"/>
      <c r="G36" s="239"/>
      <c r="H36" s="200"/>
      <c r="P36" s="241"/>
      <c r="Q36" s="241"/>
      <c r="R36" s="16"/>
      <c r="U36" s="239"/>
      <c r="Z36" s="239"/>
    </row>
    <row r="37" spans="1:55">
      <c r="E37" s="30"/>
      <c r="Z37" s="239"/>
    </row>
    <row r="38" spans="1:55" ht="21">
      <c r="M38" s="98" t="s">
        <v>162</v>
      </c>
      <c r="N38" s="48"/>
      <c r="Z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  <c r="BB38" s="239"/>
    </row>
    <row r="39" spans="1:55" ht="21">
      <c r="A39" s="392" t="s">
        <v>6</v>
      </c>
      <c r="B39" s="392"/>
      <c r="C39" s="33">
        <v>5.35</v>
      </c>
      <c r="D39" s="15" t="s">
        <v>18</v>
      </c>
      <c r="E39" s="239"/>
      <c r="F39" s="239"/>
      <c r="G39" s="239"/>
      <c r="M39" s="236" t="s">
        <v>20</v>
      </c>
      <c r="N39" s="237"/>
      <c r="Y39" s="101" t="s">
        <v>164</v>
      </c>
      <c r="Z39" s="101"/>
      <c r="AA39" s="101"/>
      <c r="AP39" s="239"/>
      <c r="AQ39" s="239"/>
      <c r="AR39" s="239"/>
      <c r="AS39" s="239"/>
      <c r="AT39" s="239"/>
      <c r="AU39" s="239"/>
      <c r="AV39" s="239"/>
      <c r="AW39" s="239"/>
      <c r="AX39" s="239"/>
      <c r="AY39" s="239"/>
      <c r="AZ39" s="239"/>
      <c r="BA39" s="239"/>
      <c r="BB39" s="239"/>
    </row>
    <row r="40" spans="1:55">
      <c r="A40" s="392" t="s">
        <v>5</v>
      </c>
      <c r="B40" s="392"/>
      <c r="C40" s="33">
        <v>0.45</v>
      </c>
      <c r="D40" s="15" t="s">
        <v>18</v>
      </c>
      <c r="E40" s="239"/>
      <c r="F40" s="239"/>
      <c r="G40" s="239"/>
      <c r="S40" s="239"/>
      <c r="V40" s="239"/>
      <c r="X40" s="403" t="s">
        <v>23</v>
      </c>
      <c r="Y40" s="404"/>
      <c r="Z40" s="404"/>
      <c r="AA40" s="405"/>
      <c r="AB40" s="239"/>
      <c r="AK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  <c r="BB40" s="239"/>
    </row>
    <row r="41" spans="1:55">
      <c r="A41" s="400" t="s">
        <v>17</v>
      </c>
      <c r="B41" s="401"/>
      <c r="C41" s="91">
        <f>SUM(C39:C40)</f>
        <v>5.8</v>
      </c>
      <c r="D41" s="23" t="s">
        <v>18</v>
      </c>
      <c r="E41" s="239"/>
      <c r="F41" s="239"/>
      <c r="G41" s="239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7.1</v>
      </c>
      <c r="R41" s="239" t="s">
        <v>18</v>
      </c>
      <c r="S41" s="239"/>
      <c r="Z41" s="239"/>
      <c r="AK41" s="239"/>
      <c r="AP41" s="239"/>
      <c r="AQ41" s="239"/>
      <c r="AR41" s="239"/>
      <c r="AS41" s="239"/>
      <c r="AT41" s="239"/>
      <c r="AU41" s="239"/>
      <c r="AV41" s="239"/>
      <c r="AW41" s="239"/>
      <c r="AX41" s="239"/>
      <c r="AY41" s="239"/>
      <c r="AZ41" s="239"/>
      <c r="BA41" s="239"/>
      <c r="BB41" s="239"/>
    </row>
    <row r="42" spans="1:55">
      <c r="C42" s="239"/>
      <c r="D42" s="239"/>
      <c r="E42" s="239"/>
      <c r="F42" s="239"/>
      <c r="G42" s="239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40.29/100</f>
        <v>0.40289999999999998</v>
      </c>
      <c r="R42" s="239" t="s">
        <v>33</v>
      </c>
      <c r="S42" s="239"/>
      <c r="AE42" s="239"/>
      <c r="AF42" s="239"/>
      <c r="AG42" s="239"/>
      <c r="AH42" s="239"/>
      <c r="AI42" s="239"/>
      <c r="AJ42" s="239"/>
      <c r="AK42" s="239"/>
      <c r="AL42" s="239"/>
      <c r="AP42" s="239"/>
      <c r="AQ42" s="239"/>
      <c r="AR42" s="239"/>
      <c r="AS42" s="239"/>
      <c r="AT42" s="239"/>
      <c r="AU42" s="239"/>
      <c r="AV42" s="239"/>
      <c r="AW42" s="239"/>
      <c r="AX42" s="239"/>
      <c r="AY42" s="239"/>
      <c r="AZ42" s="239"/>
      <c r="BA42" s="239"/>
      <c r="BB42" s="239"/>
    </row>
    <row r="43" spans="1:55">
      <c r="A43" s="36" t="s">
        <v>44</v>
      </c>
      <c r="B43" s="33">
        <v>0.5</v>
      </c>
      <c r="C43" s="239" t="s">
        <v>18</v>
      </c>
      <c r="D43" s="239"/>
      <c r="E43" s="239"/>
      <c r="F43" s="239"/>
      <c r="G43" s="239"/>
      <c r="H43" s="240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2.8605899999999997</v>
      </c>
      <c r="R43" s="239" t="s">
        <v>18</v>
      </c>
      <c r="S43" s="239"/>
      <c r="U43" s="35" t="s">
        <v>53</v>
      </c>
      <c r="V43" s="33"/>
      <c r="W43" s="239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1.68</v>
      </c>
      <c r="AD43" s="239" t="s">
        <v>18</v>
      </c>
      <c r="AF43" s="239"/>
      <c r="AG43" s="239"/>
      <c r="AH43" s="239"/>
      <c r="AI43" s="239"/>
      <c r="AJ43" s="239"/>
      <c r="AK43" s="239"/>
      <c r="AL43" s="239"/>
      <c r="AP43" s="239"/>
      <c r="AQ43" s="239"/>
      <c r="AR43" s="239"/>
      <c r="AS43" s="239"/>
      <c r="AT43" s="239"/>
      <c r="AU43" s="239"/>
      <c r="AV43" s="239"/>
      <c r="AW43" s="239"/>
      <c r="AX43" s="239"/>
      <c r="AY43" s="239"/>
      <c r="AZ43" s="239"/>
      <c r="BA43" s="239"/>
      <c r="BB43" s="239"/>
    </row>
    <row r="44" spans="1:55">
      <c r="A44" s="92" t="s">
        <v>17</v>
      </c>
      <c r="B44" s="90">
        <f>SUM(B43)</f>
        <v>0.5</v>
      </c>
      <c r="C44" s="239" t="s">
        <v>18</v>
      </c>
      <c r="D44" s="239"/>
      <c r="E44" s="239"/>
      <c r="M44" s="67" t="s">
        <v>30</v>
      </c>
      <c r="N44" s="37">
        <f>Q42*N43</f>
        <v>0</v>
      </c>
      <c r="O44" s="15" t="s">
        <v>18</v>
      </c>
      <c r="U44" s="239"/>
      <c r="V44" s="239"/>
      <c r="W44" s="239"/>
      <c r="X44" s="105" t="s">
        <v>4</v>
      </c>
      <c r="Y44" s="106"/>
      <c r="Z44" s="34"/>
      <c r="AA44" s="15" t="s">
        <v>18</v>
      </c>
      <c r="AB44" s="36" t="s">
        <v>27</v>
      </c>
      <c r="AC44" s="34">
        <f>16.64/100</f>
        <v>0.16639999999999999</v>
      </c>
      <c r="AD44" s="239" t="s">
        <v>33</v>
      </c>
      <c r="AL44" s="239"/>
      <c r="AP44" s="239"/>
      <c r="AQ44" s="239"/>
      <c r="AR44" s="239"/>
      <c r="AS44" s="239"/>
      <c r="AT44" s="239"/>
      <c r="AU44" s="239"/>
      <c r="AV44" s="239"/>
      <c r="AW44" s="239"/>
      <c r="AX44" s="239"/>
      <c r="AY44" s="239"/>
      <c r="AZ44" s="239"/>
      <c r="BA44" s="239"/>
      <c r="BB44" s="239"/>
    </row>
    <row r="45" spans="1:55">
      <c r="C45" s="239"/>
      <c r="D45" s="239"/>
      <c r="E45" s="239"/>
      <c r="U45" s="239"/>
      <c r="V45" s="239"/>
      <c r="W45" s="239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0.27955199999999997</v>
      </c>
      <c r="AD45" s="239" t="s">
        <v>18</v>
      </c>
      <c r="AL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39"/>
      <c r="BA45" s="239"/>
      <c r="BB45" s="239"/>
      <c r="BC45" s="239"/>
    </row>
    <row r="46" spans="1:55">
      <c r="A46" s="15" t="s">
        <v>66</v>
      </c>
      <c r="B46" s="15">
        <f>B43/D22</f>
        <v>0.48804305397494091</v>
      </c>
      <c r="C46" s="239" t="s">
        <v>62</v>
      </c>
      <c r="D46" s="239"/>
      <c r="E46" s="239"/>
      <c r="P46" s="31">
        <f>Q41+N43</f>
        <v>7.1</v>
      </c>
      <c r="Q46" s="15">
        <f>Q43+N44</f>
        <v>2.8605899999999997</v>
      </c>
      <c r="X46" s="242" t="s">
        <v>30</v>
      </c>
      <c r="Y46" s="243"/>
      <c r="Z46" s="104">
        <f>AC44*Z45</f>
        <v>0</v>
      </c>
      <c r="AA46" s="15" t="s">
        <v>18</v>
      </c>
      <c r="AF46" s="239"/>
      <c r="AP46" s="239"/>
      <c r="AQ46" s="239"/>
      <c r="AR46" s="239"/>
      <c r="AS46" s="239"/>
      <c r="AT46" s="239"/>
      <c r="AU46" s="239"/>
      <c r="AV46" s="239"/>
      <c r="AW46" s="239"/>
      <c r="AX46" s="239"/>
      <c r="AY46" s="239"/>
      <c r="AZ46" s="239"/>
      <c r="BA46" s="239"/>
      <c r="BB46" s="239"/>
      <c r="BC46" s="239"/>
    </row>
    <row r="47" spans="1:55">
      <c r="A47" s="15" t="s">
        <v>65</v>
      </c>
      <c r="B47" s="15">
        <f>C41/D22</f>
        <v>5.6612994261093146</v>
      </c>
      <c r="C47" s="15" t="s">
        <v>62</v>
      </c>
      <c r="AP47" s="239"/>
      <c r="AQ47" s="239"/>
      <c r="AR47" s="239"/>
      <c r="AS47" s="239"/>
      <c r="AT47" s="239"/>
      <c r="AU47" s="239"/>
      <c r="AV47" s="239"/>
      <c r="AW47" s="239"/>
      <c r="AX47" s="239"/>
      <c r="AY47" s="239"/>
      <c r="AZ47" s="239"/>
      <c r="BA47" s="239"/>
      <c r="BB47" s="239"/>
      <c r="BC47" s="239"/>
    </row>
    <row r="48" spans="1:55">
      <c r="A48" s="15" t="s">
        <v>67</v>
      </c>
      <c r="B48" s="15">
        <f>G19*(B46+B47)/1000</f>
        <v>0.29971316023360123</v>
      </c>
      <c r="C48" s="15" t="s">
        <v>18</v>
      </c>
      <c r="E48" s="160"/>
      <c r="AP48" s="239"/>
      <c r="AQ48" s="239"/>
      <c r="AR48" s="239"/>
      <c r="AS48" s="239"/>
      <c r="AT48" s="239"/>
      <c r="AU48" s="239"/>
      <c r="AV48" s="239"/>
      <c r="AW48" s="239"/>
      <c r="AX48" s="239"/>
      <c r="AY48" s="239"/>
      <c r="AZ48" s="239"/>
      <c r="BA48" s="239"/>
      <c r="BB48" s="239"/>
    </row>
    <row r="49" spans="1:59">
      <c r="A49" s="15" t="s">
        <v>64</v>
      </c>
      <c r="B49" s="74">
        <f>B21-B48</f>
        <v>4.7002868397663988</v>
      </c>
      <c r="C49" s="15" t="s">
        <v>18</v>
      </c>
      <c r="AC49" s="31">
        <f>AC43+Z45</f>
        <v>1.68</v>
      </c>
      <c r="AD49" s="15">
        <f>AC45+Z46</f>
        <v>0.27955199999999997</v>
      </c>
      <c r="AP49" s="239"/>
      <c r="AQ49" s="239"/>
      <c r="AR49" s="239"/>
      <c r="AS49" s="239"/>
      <c r="AT49" s="239"/>
      <c r="AU49" s="239"/>
      <c r="AV49" s="379"/>
      <c r="AW49" s="379"/>
      <c r="AX49" s="379"/>
      <c r="AY49" s="379"/>
      <c r="AZ49" s="379"/>
      <c r="BA49" s="239"/>
      <c r="BB49" s="239"/>
    </row>
    <row r="50" spans="1:59">
      <c r="R50" s="239"/>
      <c r="S50" s="15" t="s">
        <v>27</v>
      </c>
      <c r="U50" s="15" t="s">
        <v>40</v>
      </c>
      <c r="W50" s="15" t="s">
        <v>98</v>
      </c>
      <c r="X50" s="74">
        <f>B49</f>
        <v>4.7002868397663988</v>
      </c>
      <c r="Y50" s="15" t="s">
        <v>18</v>
      </c>
      <c r="AP50" s="239"/>
      <c r="AQ50" s="239"/>
      <c r="AR50" s="239"/>
      <c r="AS50" s="239"/>
      <c r="AT50" s="239"/>
      <c r="AU50" s="239"/>
      <c r="AV50" s="239"/>
      <c r="AW50" s="239"/>
      <c r="AX50" s="239"/>
      <c r="AY50" s="239"/>
      <c r="AZ50" s="239"/>
      <c r="BA50" s="239"/>
      <c r="BB50" s="239"/>
    </row>
    <row r="51" spans="1:59">
      <c r="Q51" s="239"/>
      <c r="R51" s="239"/>
      <c r="S51" s="15" t="s">
        <v>34</v>
      </c>
      <c r="T51" s="15">
        <f>AC24+Z25</f>
        <v>3.8109999999999998E-2</v>
      </c>
      <c r="U51" s="76">
        <f>T51/X50</f>
        <v>8.1080158082211928E-3</v>
      </c>
      <c r="AP51" s="239"/>
      <c r="AQ51" s="239"/>
      <c r="AR51" s="239"/>
      <c r="AS51" s="239"/>
      <c r="AT51" s="239"/>
      <c r="AU51" s="239"/>
      <c r="AV51" s="239"/>
      <c r="AW51" s="239"/>
      <c r="AX51" s="239"/>
      <c r="AY51" s="239"/>
      <c r="AZ51" s="239"/>
      <c r="BA51" s="239"/>
      <c r="BB51" s="239"/>
    </row>
    <row r="52" spans="1:59">
      <c r="S52" s="15" t="s">
        <v>35</v>
      </c>
      <c r="T52" s="15">
        <f>AC45+Z46</f>
        <v>0.27955199999999997</v>
      </c>
      <c r="U52" s="76">
        <f>T52/X50</f>
        <v>5.9475519160846257E-2</v>
      </c>
      <c r="AP52" s="239"/>
      <c r="AQ52" s="239"/>
      <c r="AR52" s="239"/>
      <c r="AS52" s="239"/>
      <c r="AT52" s="239"/>
      <c r="AU52" s="239"/>
      <c r="AV52" s="239"/>
      <c r="AW52" s="239"/>
      <c r="AX52" s="239"/>
      <c r="AY52" s="239"/>
      <c r="AZ52" s="239"/>
      <c r="BA52" s="239"/>
      <c r="BB52" s="239"/>
    </row>
    <row r="53" spans="1:59"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15" t="s">
        <v>36</v>
      </c>
      <c r="T53" s="239">
        <f>Q43+N44</f>
        <v>2.8605899999999997</v>
      </c>
      <c r="U53" s="244">
        <f>T53/X50</f>
        <v>0.60859902757385109</v>
      </c>
      <c r="V53" s="239"/>
      <c r="W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39"/>
      <c r="AY53" s="239"/>
      <c r="AZ53" s="239"/>
      <c r="BA53" s="239"/>
      <c r="BB53" s="239"/>
      <c r="BC53" s="239"/>
      <c r="BD53" s="239"/>
      <c r="BE53" s="239"/>
      <c r="BF53" s="239"/>
      <c r="BG53" s="239"/>
    </row>
    <row r="54" spans="1:59">
      <c r="D54" s="379"/>
      <c r="E54" s="379"/>
      <c r="F54" s="379"/>
      <c r="G54" s="37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15" t="s">
        <v>17</v>
      </c>
      <c r="T54" s="239">
        <f>SUM(T51:T53)</f>
        <v>3.1782519999999996</v>
      </c>
      <c r="U54" s="244">
        <f>SUM(U51:U53)</f>
        <v>0.67618256254291853</v>
      </c>
      <c r="V54" s="239"/>
      <c r="W54" s="239"/>
      <c r="X54" s="239"/>
      <c r="Y54" s="239"/>
      <c r="Z54" s="239"/>
      <c r="AN54" s="239"/>
      <c r="AO54" s="239"/>
      <c r="AP54" s="239"/>
      <c r="AQ54" s="239"/>
      <c r="AR54" s="239"/>
      <c r="AS54" s="239"/>
      <c r="AT54" s="239"/>
      <c r="AU54" s="239"/>
      <c r="AV54" s="239"/>
      <c r="AW54" s="239"/>
      <c r="AX54" s="239"/>
      <c r="AY54" s="239"/>
      <c r="AZ54" s="239"/>
      <c r="BA54" s="239"/>
      <c r="BB54" s="239"/>
      <c r="BC54" s="239"/>
      <c r="BD54" s="239"/>
      <c r="BE54" s="239"/>
      <c r="BF54" s="239"/>
      <c r="BG54" s="239"/>
    </row>
    <row r="55" spans="1:59"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15" t="s">
        <v>37</v>
      </c>
      <c r="T55" s="145">
        <f>X50-T54</f>
        <v>1.5220348397663992</v>
      </c>
      <c r="U55" s="244">
        <f>T55/X50</f>
        <v>0.32381743745708153</v>
      </c>
      <c r="V55" s="239"/>
      <c r="W55" s="239"/>
      <c r="X55" s="239"/>
      <c r="Y55" s="239"/>
      <c r="Z55" s="239"/>
      <c r="AN55" s="239"/>
      <c r="AO55" s="239"/>
      <c r="AP55" s="239"/>
      <c r="AQ55" s="239"/>
      <c r="AR55" s="239"/>
      <c r="AS55" s="239"/>
      <c r="AT55" s="239"/>
      <c r="AU55" s="239"/>
      <c r="AV55" s="239"/>
      <c r="AW55" s="239"/>
      <c r="AX55" s="239"/>
      <c r="AY55" s="239"/>
      <c r="AZ55" s="239"/>
      <c r="BA55" s="239"/>
      <c r="BB55" s="239"/>
      <c r="BC55" s="239"/>
      <c r="BD55" s="239"/>
      <c r="BE55" s="239"/>
      <c r="BF55" s="239"/>
      <c r="BG55" s="239"/>
    </row>
    <row r="56" spans="1:59"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T56" s="239"/>
      <c r="U56" s="239"/>
      <c r="V56" s="239"/>
      <c r="W56" s="239"/>
      <c r="X56" s="239"/>
      <c r="Y56" s="239"/>
      <c r="Z56" s="239"/>
      <c r="AN56" s="239"/>
      <c r="AO56" s="239"/>
      <c r="AP56" s="239"/>
      <c r="AQ56" s="239"/>
      <c r="AR56" s="239"/>
      <c r="AS56" s="239"/>
      <c r="AT56" s="239"/>
      <c r="AU56" s="239"/>
      <c r="AV56" s="239"/>
      <c r="AW56" s="239"/>
      <c r="AX56" s="239"/>
      <c r="AY56" s="239"/>
      <c r="AZ56" s="239"/>
      <c r="BA56" s="239"/>
      <c r="BB56" s="239"/>
      <c r="BC56" s="239"/>
      <c r="BD56" s="239"/>
      <c r="BE56" s="239"/>
      <c r="BF56" s="239"/>
      <c r="BG56" s="239"/>
    </row>
    <row r="57" spans="1:59"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W57" s="239"/>
      <c r="X57" s="239"/>
      <c r="Y57" s="239"/>
      <c r="Z57" s="239"/>
      <c r="AN57" s="239"/>
      <c r="AO57" s="239"/>
      <c r="AP57" s="239"/>
      <c r="AQ57" s="239"/>
      <c r="AR57" s="239"/>
      <c r="AS57" s="239"/>
      <c r="AT57" s="239"/>
      <c r="AU57" s="239"/>
      <c r="AV57" s="239"/>
      <c r="AW57" s="239"/>
      <c r="AX57" s="239"/>
      <c r="AY57" s="239"/>
      <c r="AZ57" s="239"/>
      <c r="BA57" s="239"/>
      <c r="BB57" s="239"/>
      <c r="BC57" s="239"/>
      <c r="BD57" s="239"/>
      <c r="BE57" s="239"/>
      <c r="BF57" s="239"/>
      <c r="BG57" s="239"/>
    </row>
    <row r="58" spans="1:59"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  <c r="AD58" s="239"/>
      <c r="AE58" s="239"/>
      <c r="AF58" s="239"/>
      <c r="AG58" s="239"/>
      <c r="AH58" s="239"/>
      <c r="AI58" s="239"/>
      <c r="AJ58" s="239"/>
      <c r="AK58" s="239"/>
      <c r="AL58" s="239"/>
      <c r="AM58" s="239"/>
      <c r="AN58" s="239"/>
      <c r="AO58" s="239"/>
      <c r="AP58" s="239"/>
      <c r="AQ58" s="239"/>
      <c r="AR58" s="239"/>
      <c r="AS58" s="239"/>
      <c r="AT58" s="239"/>
      <c r="AU58" s="239"/>
      <c r="AV58" s="239"/>
      <c r="AW58" s="239"/>
      <c r="AX58" s="239"/>
      <c r="AY58" s="239"/>
      <c r="AZ58" s="239"/>
      <c r="BA58" s="239"/>
      <c r="BB58" s="239"/>
      <c r="BC58" s="239"/>
      <c r="BD58" s="239"/>
      <c r="BE58" s="239"/>
      <c r="BF58" s="239"/>
      <c r="BG58" s="239"/>
    </row>
    <row r="59" spans="1:59"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  <c r="AD59" s="239"/>
      <c r="AE59" s="239"/>
      <c r="AF59" s="239"/>
      <c r="AG59" s="239"/>
      <c r="AH59" s="239"/>
      <c r="AI59" s="239"/>
      <c r="AJ59" s="239"/>
      <c r="AK59" s="239"/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39"/>
      <c r="AY59" s="239"/>
      <c r="AZ59" s="239"/>
      <c r="BA59" s="239"/>
      <c r="BB59" s="239"/>
      <c r="BC59" s="239"/>
      <c r="BD59" s="239"/>
      <c r="BE59" s="239"/>
      <c r="BF59" s="239"/>
      <c r="BG59" s="239"/>
    </row>
    <row r="60" spans="1:59">
      <c r="D60" s="239"/>
      <c r="E60" s="239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  <c r="AD60" s="239"/>
      <c r="AE60" s="239"/>
      <c r="AF60" s="239"/>
      <c r="AG60" s="239"/>
      <c r="AH60" s="239"/>
      <c r="AI60" s="239"/>
      <c r="AJ60" s="239"/>
      <c r="AK60" s="239"/>
      <c r="AL60" s="239"/>
      <c r="AM60" s="239"/>
      <c r="AN60" s="239"/>
      <c r="AO60" s="239"/>
      <c r="AP60" s="239"/>
      <c r="AQ60" s="239"/>
      <c r="AR60" s="239"/>
      <c r="AS60" s="239"/>
      <c r="AT60" s="239"/>
      <c r="AU60" s="239"/>
      <c r="AV60" s="239"/>
      <c r="AW60" s="239"/>
      <c r="AX60" s="239"/>
      <c r="AY60" s="239"/>
      <c r="AZ60" s="239"/>
      <c r="BA60" s="239"/>
      <c r="BB60" s="239"/>
      <c r="BC60" s="239"/>
      <c r="BD60" s="239"/>
      <c r="BE60" s="239"/>
      <c r="BF60" s="239"/>
      <c r="BG60" s="239"/>
    </row>
    <row r="61" spans="1:59"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  <c r="AD61" s="239"/>
      <c r="AE61" s="239"/>
      <c r="AF61" s="239"/>
      <c r="AG61" s="239"/>
      <c r="AH61" s="239"/>
      <c r="AI61" s="239"/>
      <c r="AJ61" s="239"/>
      <c r="AK61" s="239"/>
      <c r="AL61" s="239"/>
      <c r="AM61" s="239"/>
      <c r="AN61" s="239"/>
      <c r="AO61" s="239"/>
      <c r="AP61" s="239"/>
      <c r="AQ61" s="239"/>
      <c r="AR61" s="239"/>
      <c r="AS61" s="239"/>
      <c r="AT61" s="239"/>
      <c r="AU61" s="239"/>
      <c r="AV61" s="239"/>
      <c r="AW61" s="239"/>
      <c r="AX61" s="239"/>
      <c r="AY61" s="239"/>
      <c r="AZ61" s="239"/>
      <c r="BA61" s="239"/>
      <c r="BB61" s="239"/>
      <c r="BC61" s="239"/>
      <c r="BD61" s="239"/>
      <c r="BE61" s="239"/>
      <c r="BF61" s="239"/>
      <c r="BG61" s="239"/>
    </row>
    <row r="62" spans="1:59"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</row>
    <row r="63" spans="1:59"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  <c r="AD63" s="239"/>
      <c r="AE63" s="239"/>
      <c r="AF63" s="239"/>
      <c r="AG63" s="239"/>
      <c r="AH63" s="239"/>
      <c r="AI63" s="239"/>
      <c r="AJ63" s="239"/>
      <c r="AK63" s="239"/>
      <c r="AL63" s="239"/>
      <c r="AM63" s="239"/>
      <c r="AN63" s="239"/>
      <c r="AO63" s="239"/>
      <c r="AP63" s="239"/>
      <c r="AQ63" s="239"/>
      <c r="AR63" s="239"/>
      <c r="AS63" s="239"/>
      <c r="AT63" s="239"/>
      <c r="AU63" s="239"/>
      <c r="AV63" s="239"/>
      <c r="AW63" s="239"/>
      <c r="AX63" s="239"/>
      <c r="AY63" s="239"/>
      <c r="AZ63" s="239"/>
      <c r="BA63" s="239"/>
      <c r="BB63" s="239"/>
      <c r="BC63" s="239"/>
      <c r="BD63" s="239"/>
      <c r="BE63" s="239"/>
      <c r="BF63" s="239"/>
      <c r="BG63" s="239"/>
    </row>
    <row r="64" spans="1:59"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  <c r="AD64" s="239"/>
      <c r="AE64" s="239"/>
      <c r="AF64" s="239"/>
      <c r="AG64" s="239"/>
      <c r="AH64" s="239"/>
      <c r="AI64" s="239"/>
      <c r="AJ64" s="239"/>
      <c r="AK64" s="239"/>
      <c r="AL64" s="239"/>
      <c r="AM64" s="239"/>
      <c r="AN64" s="239"/>
      <c r="AO64" s="239"/>
      <c r="AP64" s="239"/>
      <c r="AQ64" s="239"/>
      <c r="AR64" s="239"/>
      <c r="AS64" s="239"/>
      <c r="AT64" s="239"/>
      <c r="AU64" s="239"/>
      <c r="AV64" s="239"/>
      <c r="AW64" s="239"/>
      <c r="AX64" s="239"/>
      <c r="AY64" s="239"/>
      <c r="AZ64" s="239"/>
      <c r="BA64" s="239"/>
      <c r="BB64" s="239"/>
      <c r="BC64" s="239"/>
      <c r="BD64" s="239"/>
      <c r="BE64" s="239"/>
      <c r="BF64" s="239"/>
      <c r="BG64" s="239"/>
    </row>
    <row r="65" spans="4:59"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N65" s="239"/>
      <c r="AO65" s="239"/>
      <c r="AP65" s="239"/>
      <c r="AQ65" s="239"/>
      <c r="AR65" s="239"/>
      <c r="AS65" s="239"/>
      <c r="AT65" s="239"/>
      <c r="AU65" s="239"/>
      <c r="AV65" s="239"/>
      <c r="AW65" s="239"/>
      <c r="AX65" s="239"/>
      <c r="AY65" s="239"/>
      <c r="AZ65" s="239"/>
      <c r="BA65" s="239"/>
      <c r="BB65" s="239"/>
      <c r="BC65" s="239"/>
      <c r="BD65" s="239"/>
      <c r="BE65" s="239"/>
      <c r="BF65" s="239"/>
      <c r="BG65" s="239"/>
    </row>
    <row r="66" spans="4:59"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  <c r="AD66" s="239"/>
      <c r="AE66" s="239"/>
      <c r="AF66" s="239"/>
      <c r="AG66" s="239"/>
      <c r="AH66" s="239"/>
      <c r="AI66" s="239"/>
      <c r="AJ66" s="239"/>
      <c r="AK66" s="239"/>
      <c r="AL66" s="239"/>
      <c r="AM66" s="239"/>
      <c r="AN66" s="239"/>
      <c r="AO66" s="239"/>
      <c r="AP66" s="239"/>
      <c r="AQ66" s="239"/>
      <c r="AR66" s="239"/>
      <c r="AS66" s="239"/>
      <c r="AT66" s="239"/>
      <c r="AU66" s="239"/>
      <c r="AV66" s="239"/>
      <c r="AW66" s="239"/>
      <c r="AX66" s="239"/>
      <c r="AY66" s="239"/>
      <c r="AZ66" s="239"/>
      <c r="BA66" s="239"/>
      <c r="BB66" s="239"/>
      <c r="BC66" s="239"/>
      <c r="BD66" s="239"/>
      <c r="BE66" s="239"/>
      <c r="BF66" s="239"/>
      <c r="BG66" s="239"/>
    </row>
    <row r="67" spans="4:59"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  <c r="AD67" s="239"/>
      <c r="AE67" s="239"/>
      <c r="AF67" s="239"/>
      <c r="AG67" s="239"/>
      <c r="AH67" s="239"/>
      <c r="AI67" s="239"/>
      <c r="AJ67" s="239"/>
      <c r="AK67" s="239"/>
      <c r="AL67" s="239"/>
      <c r="AM67" s="239"/>
      <c r="AN67" s="239"/>
      <c r="AO67" s="239"/>
      <c r="AP67" s="239"/>
      <c r="AQ67" s="239"/>
      <c r="AR67" s="239"/>
      <c r="AS67" s="239"/>
      <c r="AT67" s="239"/>
      <c r="AU67" s="239"/>
      <c r="AV67" s="239"/>
      <c r="AW67" s="239"/>
      <c r="AX67" s="239"/>
      <c r="AY67" s="239"/>
      <c r="AZ67" s="239"/>
      <c r="BA67" s="239"/>
      <c r="BB67" s="239"/>
      <c r="BC67" s="239"/>
      <c r="BD67" s="239"/>
      <c r="BE67" s="239"/>
      <c r="BF67" s="239"/>
      <c r="BG67" s="239"/>
    </row>
    <row r="68" spans="4:59"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  <c r="AD68" s="239"/>
      <c r="AE68" s="239"/>
      <c r="AF68" s="239"/>
      <c r="AG68" s="239"/>
      <c r="AH68" s="239"/>
      <c r="AI68" s="239"/>
      <c r="AJ68" s="239"/>
      <c r="AK68" s="239"/>
      <c r="AL68" s="239"/>
      <c r="AM68" s="239"/>
      <c r="AN68" s="239"/>
      <c r="AO68" s="239"/>
      <c r="AP68" s="239"/>
      <c r="AQ68" s="239"/>
      <c r="AR68" s="239"/>
      <c r="AS68" s="239"/>
      <c r="AT68" s="239"/>
      <c r="AU68" s="239"/>
      <c r="AV68" s="239"/>
      <c r="AW68" s="239"/>
      <c r="AX68" s="239"/>
      <c r="AY68" s="239"/>
      <c r="AZ68" s="239"/>
      <c r="BA68" s="239"/>
      <c r="BB68" s="239"/>
      <c r="BC68" s="239"/>
      <c r="BD68" s="239"/>
      <c r="BE68" s="239"/>
      <c r="BF68" s="239"/>
      <c r="BG68" s="239"/>
    </row>
    <row r="69" spans="4:59"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  <c r="AD69" s="239"/>
      <c r="AE69" s="239"/>
      <c r="AF69" s="239"/>
      <c r="AG69" s="239"/>
      <c r="AH69" s="239"/>
      <c r="AI69" s="239"/>
      <c r="AJ69" s="239"/>
      <c r="AK69" s="239"/>
      <c r="AL69" s="239"/>
      <c r="AM69" s="239"/>
      <c r="AN69" s="239"/>
      <c r="AO69" s="239"/>
      <c r="AP69" s="239"/>
      <c r="AQ69" s="239"/>
      <c r="AR69" s="239"/>
      <c r="AS69" s="239"/>
      <c r="AT69" s="239"/>
      <c r="AU69" s="239"/>
      <c r="AV69" s="239"/>
      <c r="AW69" s="239"/>
      <c r="AX69" s="239"/>
      <c r="AY69" s="239"/>
      <c r="AZ69" s="239"/>
      <c r="BA69" s="239"/>
      <c r="BB69" s="239"/>
      <c r="BC69" s="239"/>
      <c r="BD69" s="239"/>
      <c r="BE69" s="239"/>
      <c r="BF69" s="239"/>
      <c r="BG69" s="239"/>
    </row>
    <row r="70" spans="4:59"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  <c r="AD70" s="239"/>
      <c r="AE70" s="239"/>
      <c r="AF70" s="239"/>
      <c r="AG70" s="239"/>
      <c r="AH70" s="239"/>
      <c r="AI70" s="239"/>
      <c r="AJ70" s="239"/>
      <c r="AK70" s="239"/>
      <c r="AL70" s="239"/>
      <c r="AM70" s="239"/>
      <c r="AN70" s="239"/>
      <c r="AO70" s="239"/>
      <c r="AP70" s="239"/>
      <c r="AQ70" s="239"/>
      <c r="AR70" s="239"/>
      <c r="AS70" s="239"/>
      <c r="AT70" s="239"/>
      <c r="AU70" s="239"/>
      <c r="AV70" s="239"/>
      <c r="AW70" s="239"/>
      <c r="AX70" s="239"/>
      <c r="AY70" s="239"/>
      <c r="AZ70" s="239"/>
      <c r="BA70" s="239"/>
      <c r="BB70" s="239"/>
      <c r="BC70" s="239"/>
      <c r="BD70" s="239"/>
      <c r="BE70" s="239"/>
      <c r="BF70" s="239"/>
      <c r="BG70" s="239"/>
    </row>
    <row r="71" spans="4:59">
      <c r="D71" s="239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  <c r="AD71" s="239"/>
      <c r="AE71" s="239"/>
      <c r="AF71" s="239"/>
      <c r="AG71" s="239"/>
      <c r="AH71" s="239"/>
      <c r="AI71" s="239"/>
      <c r="AJ71" s="239"/>
      <c r="AK71" s="239"/>
      <c r="AL71" s="239"/>
      <c r="AM71" s="239"/>
      <c r="AN71" s="239"/>
      <c r="AO71" s="239"/>
      <c r="AP71" s="239"/>
      <c r="AQ71" s="239"/>
      <c r="AR71" s="239"/>
      <c r="AS71" s="239"/>
      <c r="AT71" s="239"/>
      <c r="AU71" s="239"/>
      <c r="AV71" s="239"/>
      <c r="AW71" s="239"/>
      <c r="AX71" s="239"/>
      <c r="AY71" s="239"/>
      <c r="AZ71" s="239"/>
      <c r="BA71" s="239"/>
      <c r="BB71" s="239"/>
      <c r="BC71" s="239"/>
      <c r="BD71" s="239"/>
      <c r="BE71" s="239"/>
      <c r="BF71" s="239"/>
      <c r="BG71" s="239"/>
    </row>
    <row r="72" spans="4:59">
      <c r="D72" s="239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  <c r="AD72" s="239"/>
      <c r="AE72" s="239"/>
      <c r="AF72" s="239"/>
      <c r="AG72" s="239"/>
      <c r="AH72" s="239"/>
      <c r="AI72" s="239"/>
      <c r="AJ72" s="239"/>
      <c r="AK72" s="239"/>
      <c r="AL72" s="239"/>
      <c r="AM72" s="239"/>
      <c r="AN72" s="239"/>
      <c r="AO72" s="239"/>
      <c r="AP72" s="239"/>
      <c r="AQ72" s="239"/>
      <c r="AR72" s="239"/>
      <c r="AS72" s="239"/>
      <c r="AT72" s="239"/>
      <c r="AU72" s="239"/>
      <c r="AV72" s="239"/>
      <c r="AW72" s="379"/>
      <c r="AX72" s="379"/>
      <c r="AY72" s="239"/>
      <c r="AZ72" s="239"/>
      <c r="BA72" s="239"/>
      <c r="BB72" s="239"/>
      <c r="BC72" s="239"/>
      <c r="BD72" s="239"/>
      <c r="BE72" s="239"/>
      <c r="BF72" s="239"/>
      <c r="BG72" s="239"/>
    </row>
    <row r="73" spans="4:59"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  <c r="AD73" s="239"/>
      <c r="AE73" s="239"/>
      <c r="AF73" s="239"/>
      <c r="AG73" s="239"/>
      <c r="AH73" s="239"/>
      <c r="AI73" s="239"/>
      <c r="AJ73" s="239"/>
      <c r="AK73" s="239"/>
      <c r="AL73" s="239"/>
      <c r="AM73" s="239"/>
      <c r="AN73" s="239"/>
      <c r="AO73" s="239"/>
      <c r="AP73" s="239"/>
      <c r="AQ73" s="239"/>
      <c r="AR73" s="239"/>
      <c r="AS73" s="239"/>
      <c r="AT73" s="239"/>
      <c r="AU73" s="239"/>
      <c r="AV73" s="239"/>
      <c r="AW73" s="239"/>
      <c r="AX73" s="239"/>
      <c r="AY73" s="239"/>
      <c r="AZ73" s="239"/>
      <c r="BA73" s="239"/>
      <c r="BB73" s="239"/>
      <c r="BC73" s="239"/>
      <c r="BD73" s="239"/>
      <c r="BE73" s="239"/>
      <c r="BF73" s="239"/>
      <c r="BG73" s="239"/>
    </row>
    <row r="74" spans="4:59"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  <c r="AD74" s="239"/>
      <c r="AE74" s="239"/>
      <c r="AF74" s="239"/>
      <c r="AG74" s="239"/>
      <c r="AH74" s="239"/>
      <c r="AI74" s="239"/>
      <c r="AJ74" s="239"/>
      <c r="AK74" s="239"/>
      <c r="AL74" s="239"/>
      <c r="AM74" s="239"/>
      <c r="AN74" s="239"/>
      <c r="AO74" s="239"/>
      <c r="AP74" s="239"/>
      <c r="AQ74" s="239"/>
      <c r="AR74" s="239"/>
      <c r="AS74" s="239"/>
      <c r="AT74" s="239"/>
      <c r="AU74" s="239"/>
      <c r="AV74" s="239"/>
      <c r="AW74" s="239"/>
      <c r="AX74" s="239"/>
      <c r="AY74" s="239"/>
      <c r="AZ74" s="239"/>
      <c r="BA74" s="239"/>
      <c r="BB74" s="239"/>
      <c r="BC74" s="239"/>
      <c r="BD74" s="239"/>
      <c r="BE74" s="239"/>
      <c r="BF74" s="239"/>
      <c r="BG74" s="239"/>
    </row>
    <row r="75" spans="4:59"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  <c r="AD75" s="239"/>
      <c r="AE75" s="239"/>
      <c r="AF75" s="239"/>
      <c r="AG75" s="239"/>
      <c r="AH75" s="239"/>
      <c r="AI75" s="239"/>
      <c r="AJ75" s="239"/>
      <c r="AK75" s="239"/>
      <c r="AL75" s="239"/>
      <c r="AM75" s="239"/>
      <c r="AN75" s="239"/>
      <c r="AO75" s="239"/>
      <c r="AP75" s="239"/>
      <c r="AQ75" s="239"/>
      <c r="AR75" s="239"/>
      <c r="AS75" s="239"/>
      <c r="AT75" s="239"/>
      <c r="AU75" s="239"/>
      <c r="AV75" s="239"/>
      <c r="AW75" s="239"/>
      <c r="AX75" s="239"/>
      <c r="AY75" s="239"/>
      <c r="AZ75" s="239"/>
      <c r="BA75" s="239"/>
      <c r="BB75" s="239"/>
      <c r="BC75" s="239"/>
      <c r="BD75" s="239"/>
      <c r="BE75" s="239"/>
      <c r="BF75" s="239"/>
      <c r="BG75" s="239"/>
    </row>
    <row r="76" spans="4:59"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  <c r="AD76" s="239"/>
      <c r="AE76" s="239"/>
      <c r="AF76" s="239"/>
      <c r="AG76" s="239"/>
      <c r="AH76" s="239"/>
      <c r="AI76" s="239"/>
      <c r="AJ76" s="239"/>
      <c r="AK76" s="239"/>
      <c r="AL76" s="239"/>
      <c r="AM76" s="239"/>
      <c r="AN76" s="239"/>
      <c r="AO76" s="239"/>
      <c r="AP76" s="239"/>
      <c r="AQ76" s="239"/>
      <c r="AR76" s="239"/>
      <c r="AS76" s="239"/>
      <c r="AT76" s="239"/>
      <c r="AU76" s="239"/>
      <c r="AV76" s="239"/>
      <c r="AW76" s="239"/>
      <c r="AX76" s="239"/>
      <c r="AY76" s="239"/>
      <c r="AZ76" s="239"/>
      <c r="BA76" s="239"/>
      <c r="BB76" s="239"/>
      <c r="BC76" s="239"/>
      <c r="BD76" s="239"/>
      <c r="BE76" s="239"/>
      <c r="BF76" s="239"/>
      <c r="BG76" s="239"/>
    </row>
    <row r="77" spans="4:59">
      <c r="D77" s="239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  <c r="AD77" s="239"/>
      <c r="AE77" s="239"/>
      <c r="AF77" s="239"/>
      <c r="AG77" s="239"/>
      <c r="AH77" s="239"/>
      <c r="AI77" s="239"/>
      <c r="AJ77" s="239"/>
      <c r="AK77" s="239"/>
      <c r="AL77" s="239"/>
      <c r="AM77" s="239"/>
      <c r="AN77" s="239"/>
      <c r="AO77" s="239"/>
      <c r="AP77" s="239"/>
      <c r="AQ77" s="239"/>
      <c r="AR77" s="239"/>
      <c r="AS77" s="239"/>
      <c r="AT77" s="239"/>
      <c r="AU77" s="239"/>
      <c r="AV77" s="239"/>
      <c r="AW77" s="239"/>
      <c r="AX77" s="239"/>
      <c r="AY77" s="239"/>
      <c r="AZ77" s="239"/>
      <c r="BA77" s="239"/>
      <c r="BB77" s="239"/>
      <c r="BC77" s="239"/>
      <c r="BD77" s="239"/>
      <c r="BE77" s="239"/>
      <c r="BF77" s="239"/>
      <c r="BG77" s="239"/>
    </row>
    <row r="78" spans="4:59">
      <c r="D78" s="239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  <c r="AD78" s="239"/>
      <c r="AE78" s="239"/>
      <c r="AF78" s="239"/>
      <c r="AG78" s="239"/>
      <c r="AH78" s="239"/>
      <c r="AI78" s="239"/>
      <c r="AJ78" s="239"/>
      <c r="AK78" s="239"/>
      <c r="AL78" s="239"/>
      <c r="AM78" s="239"/>
      <c r="AN78" s="239"/>
      <c r="AO78" s="239"/>
      <c r="AP78" s="239"/>
      <c r="AQ78" s="239"/>
      <c r="AR78" s="239"/>
      <c r="AS78" s="239"/>
      <c r="AT78" s="239"/>
      <c r="AU78" s="239"/>
      <c r="AV78" s="239"/>
      <c r="AW78" s="239"/>
      <c r="AX78" s="239"/>
      <c r="AY78" s="239"/>
      <c r="AZ78" s="239"/>
      <c r="BA78" s="239"/>
      <c r="BB78" s="239"/>
      <c r="BC78" s="239"/>
      <c r="BD78" s="239"/>
      <c r="BE78" s="239"/>
      <c r="BF78" s="239"/>
      <c r="BG78" s="239"/>
    </row>
    <row r="79" spans="4:59"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  <c r="AD79" s="239"/>
      <c r="AE79" s="239"/>
      <c r="AF79" s="239"/>
      <c r="AG79" s="239"/>
      <c r="AH79" s="239"/>
      <c r="AI79" s="239"/>
      <c r="AJ79" s="239"/>
      <c r="AK79" s="239"/>
      <c r="AL79" s="239"/>
      <c r="AM79" s="239"/>
      <c r="AN79" s="239"/>
      <c r="AO79" s="239"/>
      <c r="AP79" s="239"/>
      <c r="AQ79" s="239"/>
      <c r="AR79" s="239"/>
      <c r="AS79" s="239"/>
      <c r="AT79" s="239"/>
      <c r="AU79" s="239"/>
      <c r="AV79" s="239"/>
      <c r="AW79" s="239"/>
      <c r="AX79" s="239"/>
      <c r="AY79" s="239"/>
      <c r="AZ79" s="239"/>
      <c r="BA79" s="239"/>
      <c r="BB79" s="239"/>
      <c r="BC79" s="239"/>
      <c r="BD79" s="239"/>
      <c r="BE79" s="239"/>
      <c r="BF79" s="239"/>
      <c r="BG79" s="239"/>
    </row>
    <row r="80" spans="4:59">
      <c r="D80" s="239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  <c r="AD80" s="239"/>
      <c r="AE80" s="239"/>
      <c r="AF80" s="239"/>
      <c r="AG80" s="239"/>
      <c r="AH80" s="239"/>
      <c r="AI80" s="239"/>
      <c r="AJ80" s="239"/>
      <c r="AK80" s="239"/>
      <c r="AL80" s="239"/>
      <c r="AM80" s="239"/>
      <c r="AN80" s="239"/>
      <c r="AO80" s="239"/>
      <c r="AP80" s="239"/>
      <c r="AQ80" s="239"/>
      <c r="AR80" s="239"/>
      <c r="AS80" s="239"/>
      <c r="AT80" s="239"/>
      <c r="AU80" s="239"/>
      <c r="AV80" s="239"/>
      <c r="AW80" s="239"/>
      <c r="AX80" s="239"/>
      <c r="AY80" s="239"/>
      <c r="AZ80" s="239"/>
      <c r="BA80" s="239"/>
      <c r="BB80" s="239"/>
      <c r="BC80" s="239"/>
      <c r="BD80" s="239"/>
      <c r="BE80" s="239"/>
      <c r="BF80" s="239"/>
      <c r="BG80" s="239"/>
    </row>
    <row r="81" spans="4:59"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39"/>
      <c r="AO81" s="239"/>
      <c r="AP81" s="239"/>
      <c r="AQ81" s="239"/>
      <c r="AR81" s="239"/>
      <c r="AS81" s="239"/>
      <c r="AT81" s="239"/>
      <c r="AU81" s="239"/>
      <c r="AV81" s="239"/>
      <c r="AW81" s="239"/>
      <c r="AX81" s="239"/>
      <c r="AY81" s="239"/>
      <c r="AZ81" s="239"/>
      <c r="BA81" s="239"/>
      <c r="BB81" s="239"/>
      <c r="BC81" s="239"/>
      <c r="BD81" s="239"/>
      <c r="BE81" s="239"/>
      <c r="BF81" s="239"/>
      <c r="BG81" s="239"/>
    </row>
    <row r="82" spans="4:59"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39"/>
      <c r="AO82" s="239"/>
      <c r="AP82" s="239"/>
      <c r="AQ82" s="239"/>
      <c r="AR82" s="239"/>
      <c r="AS82" s="239"/>
      <c r="AT82" s="239"/>
      <c r="AU82" s="239"/>
      <c r="AV82" s="239"/>
      <c r="AW82" s="239"/>
      <c r="AX82" s="239"/>
      <c r="AY82" s="239"/>
      <c r="AZ82" s="239"/>
      <c r="BA82" s="239"/>
      <c r="BB82" s="239"/>
      <c r="BC82" s="239"/>
      <c r="BD82" s="239"/>
      <c r="BE82" s="239"/>
      <c r="BF82" s="239"/>
      <c r="BG82" s="239"/>
    </row>
    <row r="83" spans="4:59">
      <c r="D83" s="239"/>
      <c r="E83" s="239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39"/>
      <c r="AO83" s="239"/>
      <c r="AP83" s="239"/>
      <c r="AQ83" s="239"/>
      <c r="AR83" s="239"/>
      <c r="AS83" s="239"/>
      <c r="AT83" s="239"/>
      <c r="AU83" s="239"/>
      <c r="AV83" s="239"/>
      <c r="AW83" s="239"/>
      <c r="AX83" s="239"/>
      <c r="AY83" s="239"/>
      <c r="AZ83" s="239"/>
      <c r="BA83" s="239"/>
      <c r="BB83" s="239"/>
      <c r="BC83" s="239"/>
      <c r="BD83" s="239"/>
      <c r="BE83" s="239"/>
      <c r="BF83" s="239"/>
      <c r="BG83" s="239"/>
    </row>
    <row r="84" spans="4:59"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39"/>
      <c r="AO84" s="239"/>
      <c r="AP84" s="239"/>
      <c r="AQ84" s="239"/>
      <c r="AR84" s="239"/>
      <c r="AS84" s="239"/>
      <c r="AT84" s="239"/>
      <c r="AU84" s="239"/>
      <c r="AV84" s="239"/>
      <c r="AW84" s="239"/>
      <c r="AX84" s="239"/>
      <c r="AY84" s="239"/>
      <c r="AZ84" s="239"/>
      <c r="BA84" s="239"/>
      <c r="BB84" s="239"/>
      <c r="BC84" s="239"/>
      <c r="BD84" s="239"/>
      <c r="BE84" s="239"/>
      <c r="BF84" s="239"/>
      <c r="BG84" s="239"/>
    </row>
    <row r="85" spans="4:59"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239"/>
      <c r="BB85" s="239"/>
      <c r="BC85" s="239"/>
      <c r="BD85" s="239"/>
      <c r="BE85" s="239"/>
      <c r="BF85" s="239"/>
      <c r="BG85" s="239"/>
    </row>
    <row r="86" spans="4:59">
      <c r="D86" s="239"/>
      <c r="E86" s="239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  <c r="AD86" s="239"/>
      <c r="AE86" s="239"/>
      <c r="AF86" s="239"/>
      <c r="AG86" s="239"/>
      <c r="AH86" s="239"/>
      <c r="AI86" s="239"/>
      <c r="AJ86" s="239"/>
      <c r="AK86" s="239"/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39"/>
      <c r="AY86" s="239"/>
      <c r="AZ86" s="239"/>
      <c r="BA86" s="239"/>
      <c r="BB86" s="239"/>
      <c r="BC86" s="239"/>
      <c r="BD86" s="239"/>
      <c r="BE86" s="239"/>
      <c r="BF86" s="239"/>
      <c r="BG86" s="239"/>
    </row>
    <row r="87" spans="4:59"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  <c r="AD87" s="239"/>
      <c r="AE87" s="239"/>
      <c r="AF87" s="239"/>
      <c r="AG87" s="239"/>
      <c r="AH87" s="239"/>
      <c r="AI87" s="239"/>
      <c r="AJ87" s="239"/>
      <c r="AK87" s="239"/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39"/>
      <c r="AY87" s="239"/>
      <c r="AZ87" s="239"/>
      <c r="BA87" s="239"/>
      <c r="BB87" s="239"/>
      <c r="BC87" s="239"/>
      <c r="BD87" s="239"/>
      <c r="BE87" s="239"/>
      <c r="BF87" s="239"/>
      <c r="BG87" s="239"/>
    </row>
    <row r="88" spans="4:59"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  <c r="AD88" s="239"/>
      <c r="AE88" s="239"/>
      <c r="AF88" s="239"/>
      <c r="AG88" s="239"/>
      <c r="AH88" s="239"/>
      <c r="AI88" s="239"/>
      <c r="AJ88" s="239"/>
      <c r="AK88" s="239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39"/>
      <c r="AY88" s="239"/>
      <c r="AZ88" s="239"/>
      <c r="BA88" s="239"/>
      <c r="BB88" s="239"/>
      <c r="BC88" s="239"/>
      <c r="BD88" s="239"/>
      <c r="BE88" s="239"/>
      <c r="BF88" s="239"/>
      <c r="BG88" s="239"/>
    </row>
    <row r="89" spans="4:59"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  <c r="AD89" s="239"/>
      <c r="AE89" s="239"/>
      <c r="AF89" s="239"/>
      <c r="AG89" s="239"/>
      <c r="AH89" s="239"/>
      <c r="AI89" s="239"/>
      <c r="AJ89" s="239"/>
      <c r="AK89" s="239"/>
      <c r="AL89" s="239"/>
      <c r="AM89" s="239"/>
      <c r="AN89" s="239"/>
      <c r="AO89" s="239"/>
      <c r="AP89" s="239"/>
      <c r="AQ89" s="239"/>
      <c r="AR89" s="239"/>
      <c r="AS89" s="239"/>
      <c r="AT89" s="239"/>
      <c r="AU89" s="239"/>
      <c r="AV89" s="239"/>
      <c r="AW89" s="239"/>
      <c r="AX89" s="239"/>
      <c r="AY89" s="239"/>
      <c r="AZ89" s="239"/>
      <c r="BA89" s="239"/>
      <c r="BB89" s="239"/>
      <c r="BC89" s="239"/>
      <c r="BD89" s="239"/>
      <c r="BE89" s="239"/>
      <c r="BF89" s="239"/>
      <c r="BG89" s="239"/>
    </row>
    <row r="90" spans="4:59"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  <c r="AD90" s="239"/>
      <c r="AE90" s="239"/>
      <c r="AF90" s="239"/>
      <c r="AG90" s="239"/>
      <c r="AH90" s="239"/>
      <c r="AI90" s="239"/>
      <c r="AJ90" s="239"/>
      <c r="AK90" s="239"/>
      <c r="AL90" s="239"/>
      <c r="AM90" s="239"/>
      <c r="AN90" s="239"/>
      <c r="AO90" s="239"/>
      <c r="AP90" s="239"/>
      <c r="AQ90" s="239"/>
      <c r="AR90" s="239"/>
      <c r="AS90" s="239"/>
      <c r="AT90" s="239"/>
      <c r="AU90" s="239"/>
      <c r="AV90" s="239"/>
      <c r="AW90" s="239"/>
      <c r="AX90" s="239"/>
      <c r="AY90" s="239"/>
      <c r="AZ90" s="239"/>
      <c r="BA90" s="239"/>
      <c r="BB90" s="239"/>
      <c r="BC90" s="239"/>
      <c r="BD90" s="239"/>
      <c r="BE90" s="239"/>
      <c r="BF90" s="239"/>
      <c r="BG90" s="239"/>
    </row>
    <row r="91" spans="4:59"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  <c r="AD91" s="239"/>
      <c r="AE91" s="239"/>
      <c r="AF91" s="239"/>
      <c r="AG91" s="239"/>
      <c r="AH91" s="239"/>
      <c r="AI91" s="239"/>
      <c r="AJ91" s="239"/>
      <c r="AK91" s="239"/>
      <c r="AL91" s="239"/>
      <c r="AM91" s="239"/>
      <c r="AN91" s="239"/>
      <c r="AO91" s="239"/>
      <c r="AP91" s="239"/>
      <c r="AQ91" s="239"/>
      <c r="AR91" s="239"/>
      <c r="AS91" s="239"/>
      <c r="AT91" s="239"/>
      <c r="AU91" s="239"/>
      <c r="AV91" s="239"/>
      <c r="AW91" s="239"/>
      <c r="AX91" s="239"/>
      <c r="AY91" s="239"/>
      <c r="AZ91" s="239"/>
      <c r="BA91" s="239"/>
      <c r="BB91" s="239"/>
      <c r="BC91" s="239"/>
      <c r="BD91" s="239"/>
      <c r="BE91" s="239"/>
      <c r="BF91" s="239"/>
      <c r="BG91" s="239"/>
    </row>
    <row r="92" spans="4:59">
      <c r="D92" s="239"/>
      <c r="E92" s="239"/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  <c r="AD92" s="239"/>
      <c r="AE92" s="239"/>
      <c r="AF92" s="239"/>
      <c r="AG92" s="239"/>
      <c r="AH92" s="239"/>
      <c r="AI92" s="239"/>
      <c r="AJ92" s="239"/>
      <c r="AK92" s="239"/>
      <c r="AL92" s="239"/>
      <c r="AM92" s="239"/>
      <c r="AN92" s="239"/>
      <c r="AO92" s="239"/>
      <c r="AP92" s="239"/>
      <c r="AQ92" s="239"/>
      <c r="AR92" s="239"/>
      <c r="AS92" s="239"/>
      <c r="AT92" s="239"/>
      <c r="AU92" s="239"/>
      <c r="AV92" s="239"/>
      <c r="AW92" s="239"/>
      <c r="AX92" s="239"/>
      <c r="AY92" s="239"/>
      <c r="AZ92" s="239"/>
      <c r="BA92" s="239"/>
      <c r="BB92" s="239"/>
      <c r="BC92" s="239"/>
      <c r="BD92" s="239"/>
      <c r="BE92" s="239"/>
      <c r="BF92" s="239"/>
      <c r="BG92" s="239"/>
    </row>
    <row r="93" spans="4:59">
      <c r="D93" s="239"/>
      <c r="E93" s="239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  <c r="AD93" s="239"/>
      <c r="AE93" s="239"/>
      <c r="AF93" s="239"/>
      <c r="AG93" s="239"/>
      <c r="AH93" s="239"/>
      <c r="AI93" s="239"/>
      <c r="AJ93" s="239"/>
      <c r="AK93" s="239"/>
      <c r="AL93" s="239"/>
      <c r="AM93" s="239"/>
      <c r="AN93" s="239"/>
      <c r="AO93" s="239"/>
      <c r="AP93" s="239"/>
      <c r="AQ93" s="239"/>
      <c r="AR93" s="239"/>
      <c r="AS93" s="239"/>
      <c r="AT93" s="239"/>
      <c r="AU93" s="239"/>
      <c r="AV93" s="239"/>
      <c r="AW93" s="239"/>
      <c r="AX93" s="239"/>
      <c r="AY93" s="239"/>
      <c r="AZ93" s="239"/>
      <c r="BA93" s="239"/>
      <c r="BB93" s="239"/>
      <c r="BC93" s="239"/>
      <c r="BD93" s="239"/>
      <c r="BE93" s="239"/>
      <c r="BF93" s="239"/>
      <c r="BG93" s="239"/>
    </row>
    <row r="94" spans="4:59"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  <c r="AD94" s="239"/>
      <c r="AE94" s="239"/>
      <c r="AF94" s="239"/>
      <c r="AG94" s="239"/>
      <c r="AH94" s="239"/>
      <c r="AI94" s="239"/>
      <c r="AJ94" s="239"/>
      <c r="AK94" s="239"/>
      <c r="AL94" s="239"/>
      <c r="AM94" s="239"/>
      <c r="AN94" s="239"/>
      <c r="AO94" s="239"/>
      <c r="AP94" s="239"/>
      <c r="AQ94" s="239"/>
      <c r="AR94" s="239"/>
      <c r="AS94" s="239"/>
      <c r="AT94" s="239"/>
      <c r="AU94" s="239"/>
      <c r="AV94" s="239"/>
      <c r="AW94" s="239"/>
      <c r="AX94" s="239"/>
      <c r="AY94" s="239"/>
      <c r="AZ94" s="239"/>
      <c r="BA94" s="239"/>
      <c r="BB94" s="239"/>
      <c r="BC94" s="239"/>
      <c r="BD94" s="239"/>
      <c r="BE94" s="239"/>
      <c r="BF94" s="239"/>
      <c r="BG94" s="239"/>
    </row>
    <row r="95" spans="4:59">
      <c r="D95" s="239"/>
      <c r="E95" s="239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  <c r="AA95" s="239"/>
      <c r="AB95" s="239"/>
      <c r="AC95" s="239"/>
      <c r="AD95" s="239"/>
      <c r="AE95" s="239"/>
      <c r="AF95" s="239"/>
      <c r="AG95" s="239"/>
      <c r="AH95" s="239"/>
      <c r="AI95" s="239"/>
      <c r="AJ95" s="239"/>
      <c r="AK95" s="239"/>
      <c r="AL95" s="239"/>
      <c r="AM95" s="239"/>
      <c r="AN95" s="239"/>
      <c r="AO95" s="239"/>
      <c r="AP95" s="239"/>
      <c r="AQ95" s="239"/>
      <c r="AR95" s="239"/>
      <c r="AS95" s="239"/>
      <c r="AT95" s="239"/>
      <c r="AU95" s="239"/>
      <c r="AV95" s="239"/>
      <c r="AW95" s="239"/>
      <c r="AX95" s="239"/>
      <c r="AY95" s="239"/>
      <c r="AZ95" s="239"/>
      <c r="BA95" s="239"/>
      <c r="BB95" s="239"/>
      <c r="BC95" s="239"/>
      <c r="BD95" s="239"/>
      <c r="BE95" s="239"/>
      <c r="BF95" s="239"/>
      <c r="BG95" s="239"/>
    </row>
    <row r="96" spans="4:59"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  <c r="AA96" s="239"/>
      <c r="AB96" s="239"/>
      <c r="AC96" s="239"/>
      <c r="AD96" s="239"/>
      <c r="AE96" s="239"/>
      <c r="AF96" s="239"/>
      <c r="AG96" s="239"/>
      <c r="AH96" s="239"/>
      <c r="AI96" s="239"/>
      <c r="AJ96" s="239"/>
      <c r="AK96" s="239"/>
      <c r="AL96" s="239"/>
      <c r="AM96" s="239"/>
      <c r="AN96" s="239"/>
      <c r="AO96" s="239"/>
      <c r="AP96" s="239"/>
      <c r="AQ96" s="239"/>
      <c r="AR96" s="239"/>
      <c r="AS96" s="239"/>
      <c r="AT96" s="239"/>
      <c r="AU96" s="239"/>
      <c r="AV96" s="239"/>
      <c r="AW96" s="239"/>
      <c r="AX96" s="239"/>
      <c r="AY96" s="239"/>
      <c r="AZ96" s="239"/>
      <c r="BA96" s="239"/>
      <c r="BB96" s="239"/>
      <c r="BC96" s="239"/>
      <c r="BD96" s="239"/>
      <c r="BE96" s="239"/>
      <c r="BF96" s="239"/>
      <c r="BG96" s="239"/>
    </row>
    <row r="97" spans="4:59">
      <c r="D97" s="239"/>
      <c r="E97" s="239"/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  <c r="AD97" s="239"/>
      <c r="AE97" s="239"/>
      <c r="AF97" s="239"/>
      <c r="AG97" s="239"/>
      <c r="AH97" s="239"/>
      <c r="AI97" s="239"/>
      <c r="AJ97" s="239"/>
      <c r="AK97" s="239"/>
      <c r="AL97" s="239"/>
      <c r="AM97" s="239"/>
      <c r="AN97" s="239"/>
      <c r="AO97" s="239"/>
      <c r="AP97" s="239"/>
      <c r="AQ97" s="239"/>
      <c r="AR97" s="239"/>
      <c r="AS97" s="239"/>
      <c r="AT97" s="239"/>
      <c r="AU97" s="239"/>
      <c r="AV97" s="239"/>
      <c r="AW97" s="239"/>
      <c r="AX97" s="239"/>
      <c r="AY97" s="239"/>
      <c r="AZ97" s="239"/>
      <c r="BA97" s="239"/>
      <c r="BB97" s="239"/>
      <c r="BC97" s="239"/>
      <c r="BD97" s="239"/>
      <c r="BE97" s="239"/>
      <c r="BF97" s="239"/>
      <c r="BG97" s="239"/>
    </row>
    <row r="98" spans="4:59">
      <c r="D98" s="239"/>
      <c r="E98" s="239"/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  <c r="AA98" s="239"/>
      <c r="AB98" s="239"/>
      <c r="AC98" s="239"/>
      <c r="AD98" s="239"/>
      <c r="AE98" s="239"/>
      <c r="AF98" s="239"/>
      <c r="AG98" s="239"/>
      <c r="AH98" s="239"/>
      <c r="AI98" s="239"/>
      <c r="AJ98" s="239"/>
      <c r="AK98" s="239"/>
      <c r="AL98" s="239"/>
      <c r="AM98" s="239"/>
      <c r="AN98" s="239"/>
      <c r="AO98" s="239"/>
      <c r="AP98" s="239"/>
      <c r="AQ98" s="239"/>
      <c r="AR98" s="239"/>
      <c r="AS98" s="239"/>
      <c r="AT98" s="239"/>
      <c r="AU98" s="239"/>
      <c r="AV98" s="239"/>
      <c r="AW98" s="239"/>
      <c r="AX98" s="239"/>
      <c r="AY98" s="239"/>
      <c r="AZ98" s="239"/>
      <c r="BA98" s="239"/>
      <c r="BB98" s="239"/>
      <c r="BC98" s="239"/>
      <c r="BD98" s="239"/>
      <c r="BE98" s="239"/>
      <c r="BF98" s="239"/>
      <c r="BG98" s="239"/>
    </row>
    <row r="99" spans="4:59">
      <c r="D99" s="239"/>
      <c r="E99" s="239"/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  <c r="AA99" s="239"/>
      <c r="AB99" s="239"/>
      <c r="AC99" s="239"/>
      <c r="AD99" s="239"/>
      <c r="AE99" s="239"/>
      <c r="AF99" s="239"/>
      <c r="AG99" s="239"/>
      <c r="AH99" s="239"/>
      <c r="AI99" s="239"/>
      <c r="AJ99" s="239"/>
      <c r="AK99" s="239"/>
      <c r="AL99" s="239"/>
      <c r="AM99" s="239"/>
      <c r="AN99" s="239"/>
      <c r="AO99" s="239"/>
      <c r="AP99" s="239"/>
      <c r="AQ99" s="239"/>
      <c r="AR99" s="239"/>
      <c r="AS99" s="239"/>
      <c r="AT99" s="239"/>
      <c r="AU99" s="239"/>
      <c r="AV99" s="239"/>
      <c r="AW99" s="239"/>
      <c r="AX99" s="239"/>
      <c r="AY99" s="239"/>
      <c r="AZ99" s="239"/>
      <c r="BA99" s="239"/>
      <c r="BB99" s="239"/>
      <c r="BC99" s="239"/>
      <c r="BD99" s="239"/>
      <c r="BE99" s="239"/>
      <c r="BF99" s="239"/>
      <c r="BG99" s="239"/>
    </row>
    <row r="100" spans="4:59">
      <c r="D100" s="239"/>
      <c r="E100" s="239"/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  <c r="AD100" s="239"/>
      <c r="AE100" s="239"/>
      <c r="AF100" s="239"/>
      <c r="AG100" s="239"/>
      <c r="AH100" s="239"/>
      <c r="AI100" s="239"/>
      <c r="AJ100" s="239"/>
      <c r="AK100" s="239"/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39"/>
      <c r="AY100" s="239"/>
      <c r="AZ100" s="239"/>
      <c r="BA100" s="239"/>
      <c r="BB100" s="239"/>
      <c r="BC100" s="239"/>
      <c r="BD100" s="239"/>
      <c r="BE100" s="239"/>
      <c r="BF100" s="239"/>
      <c r="BG100" s="239"/>
    </row>
    <row r="101" spans="4:59"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  <c r="AD101" s="239"/>
      <c r="AE101" s="239"/>
      <c r="AF101" s="239"/>
      <c r="AG101" s="239"/>
      <c r="AH101" s="239"/>
      <c r="AI101" s="239"/>
      <c r="AJ101" s="239"/>
      <c r="AK101" s="239"/>
      <c r="AL101" s="239"/>
      <c r="AM101" s="239"/>
      <c r="AN101" s="239"/>
      <c r="AO101" s="239"/>
      <c r="AP101" s="239"/>
      <c r="AQ101" s="239"/>
      <c r="AR101" s="239"/>
      <c r="AS101" s="239"/>
      <c r="AT101" s="239"/>
      <c r="AU101" s="239"/>
      <c r="AV101" s="239"/>
      <c r="AW101" s="239"/>
      <c r="AX101" s="239"/>
      <c r="AY101" s="239"/>
      <c r="AZ101" s="239"/>
      <c r="BA101" s="239"/>
      <c r="BB101" s="239"/>
      <c r="BC101" s="239"/>
      <c r="BD101" s="239"/>
      <c r="BE101" s="239"/>
      <c r="BF101" s="239"/>
      <c r="BG101" s="239"/>
    </row>
    <row r="102" spans="4:59"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  <c r="AD102" s="239"/>
      <c r="AE102" s="239"/>
      <c r="AF102" s="239"/>
      <c r="AG102" s="239"/>
      <c r="AH102" s="239"/>
      <c r="AI102" s="239"/>
      <c r="AJ102" s="239"/>
      <c r="AK102" s="239"/>
      <c r="AL102" s="239"/>
      <c r="AM102" s="239"/>
      <c r="AN102" s="239"/>
      <c r="AO102" s="239"/>
      <c r="AP102" s="239"/>
      <c r="AQ102" s="239"/>
      <c r="AR102" s="239"/>
      <c r="AS102" s="239"/>
      <c r="AT102" s="239"/>
      <c r="AU102" s="239"/>
      <c r="AV102" s="239"/>
      <c r="AW102" s="239"/>
      <c r="AX102" s="239"/>
      <c r="AY102" s="239"/>
      <c r="AZ102" s="239"/>
      <c r="BA102" s="239"/>
      <c r="BB102" s="239"/>
      <c r="BC102" s="239"/>
      <c r="BD102" s="239"/>
      <c r="BE102" s="239"/>
      <c r="BF102" s="239"/>
      <c r="BG102" s="239"/>
    </row>
    <row r="103" spans="4:59">
      <c r="D103" s="239"/>
      <c r="E103" s="239"/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  <c r="AD103" s="239"/>
      <c r="AE103" s="239"/>
      <c r="AF103" s="239"/>
      <c r="AG103" s="239"/>
      <c r="AH103" s="239"/>
      <c r="AI103" s="239"/>
      <c r="AJ103" s="239"/>
      <c r="AK103" s="239"/>
      <c r="AL103" s="239"/>
      <c r="AM103" s="239"/>
      <c r="AN103" s="239"/>
      <c r="AO103" s="239"/>
      <c r="AP103" s="239"/>
      <c r="AQ103" s="239"/>
      <c r="AR103" s="239"/>
      <c r="AS103" s="239"/>
      <c r="AT103" s="239"/>
      <c r="AU103" s="239"/>
      <c r="AV103" s="239"/>
      <c r="AW103" s="239"/>
      <c r="AX103" s="239"/>
      <c r="AY103" s="239"/>
      <c r="AZ103" s="239"/>
      <c r="BA103" s="239"/>
      <c r="BB103" s="239"/>
      <c r="BC103" s="239"/>
      <c r="BD103" s="239"/>
      <c r="BE103" s="239"/>
      <c r="BF103" s="239"/>
      <c r="BG103" s="239"/>
    </row>
    <row r="104" spans="4:59">
      <c r="D104" s="239"/>
      <c r="E104" s="239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  <c r="AD104" s="239"/>
      <c r="AE104" s="239"/>
      <c r="AF104" s="239"/>
      <c r="AG104" s="239"/>
      <c r="AH104" s="239"/>
      <c r="AI104" s="239"/>
      <c r="AJ104" s="239"/>
      <c r="AK104" s="239"/>
      <c r="AL104" s="239"/>
      <c r="AM104" s="239"/>
      <c r="AN104" s="239"/>
      <c r="AO104" s="239"/>
      <c r="AP104" s="239"/>
      <c r="AQ104" s="239"/>
      <c r="AR104" s="239"/>
      <c r="AS104" s="239"/>
      <c r="AT104" s="239"/>
      <c r="AU104" s="239"/>
      <c r="AV104" s="239"/>
      <c r="AW104" s="239"/>
      <c r="AX104" s="239"/>
      <c r="AY104" s="239"/>
      <c r="AZ104" s="239"/>
      <c r="BA104" s="239"/>
      <c r="BB104" s="239"/>
      <c r="BC104" s="239"/>
      <c r="BD104" s="239"/>
      <c r="BE104" s="239"/>
      <c r="BF104" s="239"/>
      <c r="BG104" s="239"/>
    </row>
    <row r="105" spans="4:59">
      <c r="D105" s="239"/>
      <c r="E105" s="239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  <c r="AD105" s="239"/>
      <c r="AE105" s="239"/>
      <c r="AF105" s="239"/>
      <c r="AG105" s="239"/>
      <c r="AH105" s="239"/>
      <c r="AI105" s="239"/>
      <c r="AJ105" s="239"/>
      <c r="AK105" s="239"/>
      <c r="AL105" s="239"/>
      <c r="AM105" s="239"/>
      <c r="AN105" s="239"/>
      <c r="AO105" s="239"/>
      <c r="AP105" s="239"/>
      <c r="AQ105" s="239"/>
      <c r="AR105" s="239"/>
      <c r="AS105" s="239"/>
      <c r="AT105" s="239"/>
      <c r="AU105" s="239"/>
      <c r="AV105" s="239"/>
      <c r="AW105" s="239"/>
      <c r="AX105" s="239"/>
      <c r="AY105" s="239"/>
      <c r="AZ105" s="239"/>
      <c r="BA105" s="239"/>
      <c r="BB105" s="239"/>
      <c r="BC105" s="239"/>
      <c r="BD105" s="239"/>
      <c r="BE105" s="239"/>
      <c r="BF105" s="239"/>
      <c r="BG105" s="239"/>
    </row>
    <row r="106" spans="4:59">
      <c r="D106" s="239"/>
      <c r="E106" s="239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  <c r="AD106" s="239"/>
      <c r="AE106" s="239"/>
      <c r="AF106" s="239"/>
      <c r="AG106" s="239"/>
      <c r="AH106" s="239"/>
      <c r="AI106" s="239"/>
      <c r="AJ106" s="239"/>
      <c r="AK106" s="239"/>
      <c r="AL106" s="239"/>
      <c r="AM106" s="239"/>
      <c r="AN106" s="239"/>
      <c r="AO106" s="239"/>
      <c r="AP106" s="239"/>
      <c r="AQ106" s="239"/>
      <c r="AR106" s="239"/>
      <c r="AS106" s="239"/>
      <c r="AT106" s="239"/>
      <c r="AU106" s="239"/>
      <c r="AV106" s="239"/>
      <c r="AW106" s="239"/>
      <c r="AX106" s="239"/>
      <c r="AY106" s="239"/>
      <c r="AZ106" s="239"/>
      <c r="BA106" s="239"/>
      <c r="BB106" s="239"/>
      <c r="BC106" s="239"/>
      <c r="BD106" s="239"/>
      <c r="BE106" s="239"/>
      <c r="BF106" s="239"/>
      <c r="BG106" s="239"/>
    </row>
    <row r="107" spans="4:59">
      <c r="D107" s="239"/>
      <c r="E107" s="239"/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  <c r="AD107" s="239"/>
      <c r="AE107" s="239"/>
      <c r="AF107" s="239"/>
      <c r="AG107" s="239"/>
      <c r="AH107" s="239"/>
      <c r="AI107" s="239"/>
      <c r="AJ107" s="239"/>
      <c r="AK107" s="239"/>
      <c r="AL107" s="239"/>
      <c r="AM107" s="239"/>
      <c r="AN107" s="239"/>
      <c r="AO107" s="239"/>
      <c r="AP107" s="239"/>
      <c r="AQ107" s="239"/>
      <c r="AR107" s="239"/>
      <c r="AS107" s="239"/>
      <c r="AT107" s="239"/>
      <c r="AU107" s="239"/>
      <c r="AV107" s="239"/>
      <c r="AW107" s="239"/>
      <c r="AX107" s="239"/>
      <c r="AY107" s="239"/>
      <c r="AZ107" s="239"/>
      <c r="BA107" s="239"/>
      <c r="BB107" s="239"/>
      <c r="BC107" s="239"/>
      <c r="BD107" s="239"/>
      <c r="BE107" s="239"/>
      <c r="BF107" s="239"/>
      <c r="BG107" s="239"/>
    </row>
    <row r="108" spans="4:59">
      <c r="D108" s="239"/>
      <c r="E108" s="239"/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  <c r="AD108" s="239"/>
      <c r="AE108" s="239"/>
      <c r="AF108" s="239"/>
      <c r="AG108" s="239"/>
      <c r="AH108" s="239"/>
      <c r="AI108" s="239"/>
      <c r="AJ108" s="239"/>
      <c r="AK108" s="239"/>
      <c r="AL108" s="239"/>
      <c r="AM108" s="239"/>
      <c r="AN108" s="239"/>
      <c r="AO108" s="239"/>
      <c r="AP108" s="239"/>
      <c r="AQ108" s="239"/>
      <c r="AR108" s="239"/>
      <c r="AS108" s="239"/>
      <c r="AT108" s="239"/>
      <c r="AU108" s="239"/>
      <c r="AV108" s="239"/>
      <c r="AW108" s="239"/>
      <c r="AX108" s="239"/>
      <c r="AY108" s="239"/>
      <c r="AZ108" s="239"/>
      <c r="BA108" s="239"/>
      <c r="BB108" s="239"/>
      <c r="BC108" s="239"/>
      <c r="BD108" s="239"/>
      <c r="BE108" s="239"/>
      <c r="BF108" s="239"/>
      <c r="BG108" s="239"/>
    </row>
    <row r="109" spans="4:59">
      <c r="D109" s="239"/>
      <c r="E109" s="239"/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  <c r="AD109" s="239"/>
      <c r="AE109" s="239"/>
      <c r="AF109" s="239"/>
      <c r="AG109" s="239"/>
      <c r="AH109" s="239"/>
      <c r="AI109" s="239"/>
      <c r="AJ109" s="239"/>
      <c r="AK109" s="239"/>
      <c r="AL109" s="239"/>
      <c r="AM109" s="239"/>
      <c r="AN109" s="239"/>
      <c r="AO109" s="239"/>
      <c r="AP109" s="239"/>
      <c r="AQ109" s="239"/>
      <c r="AR109" s="239"/>
      <c r="AS109" s="239"/>
      <c r="AT109" s="239"/>
      <c r="AU109" s="239"/>
      <c r="AV109" s="239"/>
      <c r="AW109" s="239"/>
      <c r="AX109" s="239"/>
      <c r="AY109" s="239"/>
      <c r="AZ109" s="239"/>
      <c r="BA109" s="239"/>
      <c r="BB109" s="239"/>
      <c r="BC109" s="239"/>
      <c r="BD109" s="239"/>
      <c r="BE109" s="239"/>
      <c r="BF109" s="239"/>
      <c r="BG109" s="239"/>
    </row>
    <row r="110" spans="4:59">
      <c r="D110" s="239"/>
      <c r="E110" s="239"/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239"/>
      <c r="AP110" s="239"/>
      <c r="AQ110" s="239"/>
      <c r="AR110" s="239"/>
      <c r="AS110" s="239"/>
      <c r="AT110" s="239"/>
      <c r="AU110" s="239"/>
      <c r="AV110" s="239"/>
      <c r="AW110" s="239"/>
      <c r="AX110" s="239"/>
      <c r="AY110" s="239"/>
      <c r="AZ110" s="239"/>
      <c r="BA110" s="239"/>
      <c r="BB110" s="239"/>
      <c r="BC110" s="239"/>
      <c r="BD110" s="239"/>
      <c r="BE110" s="239"/>
      <c r="BF110" s="239"/>
      <c r="BG110" s="239"/>
    </row>
    <row r="111" spans="4:59">
      <c r="D111" s="239"/>
      <c r="E111" s="239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239"/>
      <c r="AP111" s="239"/>
      <c r="AQ111" s="239"/>
      <c r="AR111" s="239"/>
      <c r="AS111" s="239"/>
      <c r="AT111" s="239"/>
      <c r="AU111" s="239"/>
      <c r="AV111" s="239"/>
      <c r="AW111" s="239"/>
      <c r="AX111" s="239"/>
      <c r="AY111" s="239"/>
      <c r="AZ111" s="239"/>
      <c r="BA111" s="239"/>
      <c r="BB111" s="239"/>
      <c r="BC111" s="239"/>
      <c r="BD111" s="239"/>
      <c r="BE111" s="239"/>
      <c r="BF111" s="239"/>
      <c r="BG111" s="239"/>
    </row>
    <row r="112" spans="4:59">
      <c r="D112" s="239"/>
      <c r="E112" s="239"/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239"/>
      <c r="AP112" s="239"/>
      <c r="AQ112" s="239"/>
      <c r="AR112" s="239"/>
      <c r="AS112" s="239"/>
      <c r="AT112" s="239"/>
      <c r="AU112" s="239"/>
      <c r="AV112" s="239"/>
      <c r="AW112" s="239"/>
      <c r="AX112" s="239"/>
      <c r="AY112" s="239"/>
      <c r="AZ112" s="239"/>
      <c r="BA112" s="239"/>
      <c r="BB112" s="239"/>
      <c r="BC112" s="239"/>
      <c r="BD112" s="239"/>
      <c r="BE112" s="239"/>
      <c r="BF112" s="239"/>
      <c r="BG112" s="239"/>
    </row>
    <row r="113" spans="4:61"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239"/>
      <c r="AP113" s="239"/>
      <c r="AQ113" s="239"/>
      <c r="AR113" s="239"/>
      <c r="AS113" s="239"/>
      <c r="AT113" s="239"/>
      <c r="AU113" s="239"/>
      <c r="AV113" s="239"/>
      <c r="AW113" s="239"/>
      <c r="AX113" s="239"/>
      <c r="AY113" s="239"/>
      <c r="AZ113" s="239"/>
      <c r="BA113" s="239"/>
      <c r="BB113" s="239"/>
      <c r="BC113" s="239"/>
      <c r="BD113" s="239"/>
      <c r="BE113" s="239"/>
      <c r="BF113" s="239"/>
      <c r="BG113" s="239"/>
    </row>
    <row r="114" spans="4:61">
      <c r="D114" s="239"/>
      <c r="E114" s="239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  <c r="AD114" s="239"/>
      <c r="AE114" s="239"/>
      <c r="AF114" s="239"/>
      <c r="AG114" s="239"/>
      <c r="AH114" s="239"/>
      <c r="AI114" s="239"/>
      <c r="AJ114" s="239"/>
      <c r="AK114" s="239"/>
      <c r="AL114" s="239"/>
      <c r="AM114" s="239"/>
      <c r="AN114" s="239"/>
      <c r="AO114" s="239"/>
      <c r="AP114" s="239"/>
      <c r="AQ114" s="239"/>
      <c r="AR114" s="239"/>
      <c r="AS114" s="239"/>
      <c r="AT114" s="239"/>
      <c r="AU114" s="239"/>
      <c r="AV114" s="239"/>
      <c r="AW114" s="239"/>
      <c r="AX114" s="239"/>
      <c r="AY114" s="239"/>
      <c r="AZ114" s="239"/>
      <c r="BA114" s="239"/>
      <c r="BB114" s="239"/>
      <c r="BC114" s="239"/>
      <c r="BD114" s="239"/>
      <c r="BE114" s="239"/>
      <c r="BF114" s="239"/>
      <c r="BG114" s="239"/>
    </row>
    <row r="115" spans="4:61">
      <c r="D115" s="239"/>
      <c r="E115" s="239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  <c r="AD115" s="239"/>
      <c r="AE115" s="239"/>
      <c r="AF115" s="239"/>
      <c r="AG115" s="239"/>
      <c r="AH115" s="239"/>
      <c r="AI115" s="239"/>
      <c r="AJ115" s="239"/>
      <c r="AK115" s="239"/>
      <c r="AL115" s="239"/>
      <c r="AM115" s="239"/>
      <c r="AN115" s="239"/>
      <c r="AO115" s="239"/>
      <c r="AP115" s="239"/>
      <c r="AQ115" s="239"/>
      <c r="AR115" s="239"/>
      <c r="AS115" s="239"/>
      <c r="AT115" s="239"/>
      <c r="AU115" s="239"/>
      <c r="AV115" s="239"/>
      <c r="AW115" s="239"/>
      <c r="AX115" s="239"/>
      <c r="AY115" s="239"/>
      <c r="AZ115" s="239"/>
      <c r="BA115" s="239"/>
      <c r="BB115" s="239"/>
      <c r="BC115" s="239"/>
      <c r="BD115" s="239"/>
      <c r="BE115" s="239"/>
      <c r="BF115" s="239"/>
      <c r="BG115" s="239"/>
      <c r="BH115" s="27"/>
      <c r="BI115" s="27"/>
    </row>
    <row r="116" spans="4:61"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  <c r="AD116" s="239"/>
      <c r="AE116" s="239"/>
      <c r="AF116" s="239"/>
      <c r="AG116" s="239"/>
      <c r="AH116" s="239"/>
      <c r="AI116" s="239"/>
      <c r="AJ116" s="239"/>
      <c r="AK116" s="239"/>
      <c r="AL116" s="239"/>
      <c r="AM116" s="239"/>
      <c r="AN116" s="239"/>
      <c r="AO116" s="239"/>
      <c r="AP116" s="239"/>
      <c r="AQ116" s="239"/>
      <c r="AR116" s="239"/>
      <c r="AS116" s="239"/>
      <c r="AT116" s="239"/>
      <c r="AU116" s="239"/>
      <c r="AV116" s="239"/>
      <c r="AW116" s="239"/>
      <c r="AX116" s="239"/>
      <c r="AY116" s="239"/>
      <c r="AZ116" s="239"/>
      <c r="BA116" s="239"/>
      <c r="BB116" s="239"/>
      <c r="BC116" s="239"/>
      <c r="BD116" s="239"/>
      <c r="BE116" s="239"/>
      <c r="BF116" s="239"/>
      <c r="BG116" s="239"/>
      <c r="BI116" s="22"/>
    </row>
    <row r="117" spans="4:61"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  <c r="AD117" s="239"/>
      <c r="AE117" s="239"/>
      <c r="AF117" s="239"/>
      <c r="AG117" s="239"/>
      <c r="AH117" s="239"/>
      <c r="AI117" s="239"/>
      <c r="AJ117" s="239"/>
      <c r="AK117" s="239"/>
      <c r="AL117" s="239"/>
      <c r="AM117" s="239"/>
      <c r="AN117" s="239"/>
      <c r="AO117" s="239"/>
      <c r="AP117" s="239"/>
      <c r="AQ117" s="239"/>
      <c r="AR117" s="239"/>
      <c r="AS117" s="239"/>
      <c r="AT117" s="239"/>
      <c r="AU117" s="239"/>
      <c r="AV117" s="239"/>
      <c r="AW117" s="239"/>
      <c r="AX117" s="239"/>
      <c r="AY117" s="239"/>
      <c r="AZ117" s="239"/>
      <c r="BA117" s="239"/>
      <c r="BB117" s="239"/>
      <c r="BC117" s="239"/>
      <c r="BD117" s="239"/>
      <c r="BE117" s="239"/>
      <c r="BF117" s="239"/>
      <c r="BG117" s="239"/>
    </row>
    <row r="118" spans="4:61"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  <c r="AD118" s="239"/>
      <c r="AE118" s="239"/>
      <c r="AF118" s="239"/>
      <c r="AG118" s="239"/>
      <c r="AH118" s="239"/>
      <c r="AI118" s="239"/>
      <c r="AJ118" s="239"/>
      <c r="AK118" s="239"/>
      <c r="AL118" s="239"/>
      <c r="AM118" s="239"/>
      <c r="AN118" s="239"/>
      <c r="AO118" s="239"/>
      <c r="AP118" s="239"/>
      <c r="AQ118" s="239"/>
      <c r="AR118" s="239"/>
      <c r="AS118" s="239"/>
      <c r="AT118" s="239"/>
      <c r="AU118" s="239"/>
      <c r="AV118" s="239"/>
      <c r="AW118" s="239"/>
      <c r="AX118" s="239"/>
      <c r="AY118" s="239"/>
      <c r="AZ118" s="239"/>
      <c r="BA118" s="239"/>
      <c r="BB118" s="239"/>
      <c r="BC118" s="239"/>
      <c r="BD118" s="239"/>
      <c r="BE118" s="239"/>
      <c r="BF118" s="239"/>
      <c r="BG118" s="239"/>
      <c r="BH118" s="56"/>
    </row>
    <row r="119" spans="4:61"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  <c r="AD119" s="239"/>
      <c r="AE119" s="239"/>
      <c r="AF119" s="239"/>
      <c r="AG119" s="239"/>
      <c r="AH119" s="239"/>
      <c r="AI119" s="239"/>
      <c r="AJ119" s="239"/>
      <c r="AK119" s="239"/>
      <c r="AL119" s="239"/>
      <c r="AM119" s="239"/>
      <c r="AN119" s="239"/>
      <c r="AO119" s="239"/>
      <c r="AP119" s="239"/>
      <c r="AQ119" s="239"/>
      <c r="AR119" s="239"/>
      <c r="AS119" s="239"/>
      <c r="AT119" s="239"/>
      <c r="AU119" s="239"/>
      <c r="AV119" s="239"/>
      <c r="AW119" s="239"/>
      <c r="AX119" s="239"/>
      <c r="AY119" s="239"/>
      <c r="AZ119" s="239"/>
      <c r="BA119" s="239"/>
      <c r="BB119" s="239"/>
      <c r="BC119" s="239"/>
      <c r="BD119" s="239"/>
      <c r="BE119" s="239"/>
      <c r="BF119" s="239"/>
      <c r="BG119" s="239"/>
    </row>
    <row r="120" spans="4:61">
      <c r="D120" s="239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  <c r="AD120" s="239"/>
      <c r="AE120" s="239"/>
      <c r="AF120" s="239"/>
      <c r="AG120" s="239"/>
      <c r="AH120" s="239"/>
      <c r="AI120" s="239"/>
      <c r="AJ120" s="239"/>
      <c r="AK120" s="239"/>
      <c r="AL120" s="239"/>
      <c r="AM120" s="239"/>
      <c r="AN120" s="239"/>
      <c r="AO120" s="239"/>
      <c r="AP120" s="239"/>
      <c r="AQ120" s="239"/>
      <c r="AR120" s="239"/>
      <c r="AS120" s="239"/>
      <c r="AT120" s="239"/>
      <c r="AU120" s="239"/>
      <c r="AV120" s="239"/>
      <c r="AW120" s="239"/>
      <c r="AX120" s="239"/>
      <c r="AY120" s="239"/>
      <c r="AZ120" s="239"/>
      <c r="BA120" s="239"/>
      <c r="BB120" s="239"/>
      <c r="BC120" s="239"/>
      <c r="BD120" s="239"/>
      <c r="BE120" s="239"/>
      <c r="BF120" s="239"/>
      <c r="BG120" s="239"/>
    </row>
    <row r="121" spans="4:61">
      <c r="D121" s="239"/>
      <c r="E121" s="239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  <c r="AD121" s="239"/>
      <c r="AE121" s="239"/>
      <c r="AF121" s="239"/>
      <c r="AG121" s="239"/>
      <c r="AH121" s="239"/>
      <c r="AI121" s="239"/>
      <c r="AJ121" s="239"/>
      <c r="AK121" s="239"/>
      <c r="AL121" s="239"/>
      <c r="AM121" s="239"/>
      <c r="AN121" s="239"/>
      <c r="AO121" s="239"/>
      <c r="AP121" s="239"/>
      <c r="AQ121" s="239"/>
      <c r="AR121" s="239"/>
      <c r="AS121" s="239"/>
      <c r="AT121" s="239"/>
      <c r="AU121" s="239"/>
      <c r="AV121" s="239"/>
      <c r="AW121" s="239"/>
      <c r="AX121" s="239"/>
      <c r="AY121" s="239"/>
      <c r="AZ121" s="239"/>
      <c r="BA121" s="239"/>
      <c r="BB121" s="239"/>
      <c r="BC121" s="239"/>
      <c r="BD121" s="239"/>
      <c r="BE121" s="239"/>
      <c r="BF121" s="239"/>
      <c r="BG121" s="239"/>
    </row>
    <row r="122" spans="4:61"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  <c r="AC122" s="239"/>
      <c r="AD122" s="239"/>
      <c r="AE122" s="239"/>
      <c r="AF122" s="239"/>
      <c r="AG122" s="239"/>
      <c r="AH122" s="239"/>
      <c r="AI122" s="239"/>
      <c r="AJ122" s="239"/>
      <c r="AK122" s="239"/>
      <c r="AL122" s="239"/>
      <c r="AM122" s="239"/>
      <c r="AN122" s="239"/>
      <c r="AO122" s="239"/>
      <c r="AP122" s="239"/>
      <c r="AQ122" s="239"/>
      <c r="AR122" s="239"/>
      <c r="AS122" s="239"/>
      <c r="AT122" s="239"/>
      <c r="AU122" s="239"/>
      <c r="AV122" s="379"/>
      <c r="AW122" s="379"/>
      <c r="AX122" s="239"/>
      <c r="AY122" s="239"/>
      <c r="AZ122" s="239"/>
      <c r="BA122" s="239"/>
      <c r="BB122" s="239"/>
      <c r="BC122" s="239"/>
      <c r="BD122" s="239"/>
      <c r="BE122" s="239"/>
      <c r="BF122" s="239"/>
      <c r="BG122" s="239"/>
    </row>
    <row r="123" spans="4:61">
      <c r="D123" s="239"/>
      <c r="E123" s="239"/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  <c r="AC123" s="239"/>
      <c r="AD123" s="239"/>
      <c r="AE123" s="239"/>
      <c r="AF123" s="239"/>
      <c r="AG123" s="239"/>
      <c r="AH123" s="239"/>
      <c r="AI123" s="239"/>
      <c r="AJ123" s="239"/>
      <c r="AK123" s="239"/>
      <c r="AL123" s="239"/>
      <c r="AM123" s="239"/>
      <c r="AN123" s="239"/>
      <c r="AO123" s="239"/>
      <c r="AP123" s="239"/>
      <c r="AQ123" s="239"/>
      <c r="AR123" s="239"/>
      <c r="AS123" s="239"/>
      <c r="AT123" s="239"/>
      <c r="AU123" s="239"/>
      <c r="AV123" s="239"/>
      <c r="AW123" s="239"/>
      <c r="AX123" s="239"/>
      <c r="AY123" s="239"/>
      <c r="AZ123" s="239"/>
      <c r="BA123" s="239"/>
      <c r="BB123" s="239"/>
      <c r="BC123" s="239"/>
      <c r="BD123" s="239"/>
      <c r="BE123" s="239"/>
      <c r="BF123" s="239"/>
      <c r="BG123" s="239"/>
    </row>
    <row r="124" spans="4:61"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  <c r="AA124" s="239"/>
      <c r="AB124" s="239"/>
      <c r="AC124" s="239"/>
      <c r="AD124" s="239"/>
      <c r="AE124" s="239"/>
      <c r="AF124" s="239"/>
      <c r="AG124" s="239"/>
      <c r="AH124" s="239"/>
      <c r="AI124" s="239"/>
      <c r="AJ124" s="239"/>
      <c r="AK124" s="239"/>
      <c r="AL124" s="239"/>
      <c r="AM124" s="239"/>
      <c r="AN124" s="239"/>
      <c r="AO124" s="239"/>
      <c r="AP124" s="239"/>
      <c r="AQ124" s="239"/>
      <c r="AR124" s="239"/>
      <c r="AS124" s="239"/>
      <c r="AT124" s="239"/>
      <c r="AU124" s="239"/>
      <c r="AV124" s="239"/>
      <c r="AW124" s="239"/>
      <c r="AX124" s="239"/>
      <c r="AY124" s="239"/>
      <c r="AZ124" s="239"/>
      <c r="BA124" s="239"/>
      <c r="BB124" s="239"/>
      <c r="BC124" s="239"/>
      <c r="BD124" s="239"/>
      <c r="BE124" s="239"/>
      <c r="BF124" s="239"/>
      <c r="BG124" s="239"/>
    </row>
    <row r="125" spans="4:61">
      <c r="AR125" s="239"/>
    </row>
    <row r="126" spans="4:61">
      <c r="AR126" s="239"/>
      <c r="AT126" s="239"/>
    </row>
    <row r="127" spans="4:61">
      <c r="AR127" s="239"/>
    </row>
    <row r="128" spans="4:61">
      <c r="AR128" s="239"/>
      <c r="AS128" s="239"/>
      <c r="AT128" s="239"/>
      <c r="AU128" s="239"/>
      <c r="AV128" s="239"/>
      <c r="AW128" s="239"/>
      <c r="AX128" s="239"/>
      <c r="AY128" s="239"/>
      <c r="AZ128" s="239"/>
      <c r="BA128" s="239"/>
      <c r="BB128" s="239"/>
      <c r="BC128" s="239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M31" zoomScale="80" zoomScaleNormal="80" workbookViewId="0">
      <selection activeCell="AA50" sqref="AA50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</row>
    <row r="2" spans="9:38">
      <c r="AK2" s="269"/>
      <c r="AL2" s="269"/>
    </row>
    <row r="3" spans="9:38">
      <c r="AK3" s="269"/>
      <c r="AL3" s="269"/>
    </row>
    <row r="4" spans="9:38">
      <c r="AK4" s="269"/>
      <c r="AL4" s="269"/>
    </row>
    <row r="5" spans="9:38" ht="21" customHeight="1">
      <c r="I5" s="268"/>
      <c r="AK5" s="269"/>
      <c r="AL5" s="269"/>
    </row>
    <row r="6" spans="9:38">
      <c r="I6" s="269"/>
      <c r="AK6" s="269"/>
      <c r="AL6" s="269"/>
    </row>
    <row r="7" spans="9:38" ht="15.75" customHeight="1">
      <c r="I7" s="269"/>
      <c r="AK7" s="269"/>
      <c r="AL7" s="269"/>
    </row>
    <row r="8" spans="9:38">
      <c r="I8" s="269"/>
      <c r="AK8" s="269"/>
      <c r="AL8" s="269"/>
    </row>
    <row r="9" spans="9:38">
      <c r="I9" s="269"/>
      <c r="AK9" s="269"/>
      <c r="AL9" s="269"/>
    </row>
    <row r="10" spans="9:38">
      <c r="I10" s="269"/>
      <c r="AK10" s="269"/>
      <c r="AL10" s="269"/>
    </row>
    <row r="11" spans="9:38">
      <c r="AK11" s="269"/>
      <c r="AL11" s="269"/>
    </row>
    <row r="12" spans="9:38">
      <c r="AK12" s="269"/>
      <c r="AL12" s="269"/>
    </row>
    <row r="13" spans="9:38">
      <c r="AK13" s="269"/>
      <c r="AL13" s="269"/>
    </row>
    <row r="14" spans="9:38">
      <c r="Q14" s="22"/>
      <c r="T14" s="269"/>
      <c r="U14" s="269"/>
      <c r="V14" s="269"/>
      <c r="W14" s="269"/>
      <c r="AA14" s="269"/>
      <c r="AB14" s="269"/>
      <c r="AC14" s="269"/>
      <c r="AD14" s="269"/>
      <c r="AE14" s="269"/>
      <c r="AF14" s="269"/>
      <c r="AG14" s="269"/>
      <c r="AH14" s="269"/>
      <c r="AI14" s="269"/>
      <c r="AJ14" s="269"/>
      <c r="AK14" s="269"/>
      <c r="AL14" s="269"/>
    </row>
    <row r="15" spans="9:38">
      <c r="T15" s="269"/>
      <c r="U15" s="269"/>
      <c r="V15" s="269"/>
      <c r="W15" s="269"/>
      <c r="Y15" s="269"/>
      <c r="Z15" s="269"/>
      <c r="AA15" s="269"/>
      <c r="AB15" s="269"/>
      <c r="AC15" s="269"/>
      <c r="AD15" s="269"/>
      <c r="AE15" s="269"/>
      <c r="AF15" s="269"/>
      <c r="AG15" s="269"/>
      <c r="AH15" s="269"/>
      <c r="AI15" s="269"/>
      <c r="AJ15" s="269"/>
      <c r="AK15" s="269"/>
    </row>
    <row r="16" spans="9:38" ht="21">
      <c r="AB16" s="102"/>
      <c r="AC16" s="269"/>
      <c r="AD16" s="269"/>
      <c r="AE16" s="269"/>
      <c r="AF16" s="269"/>
      <c r="AG16" s="269"/>
      <c r="AH16" s="269"/>
      <c r="AI16" s="269"/>
      <c r="AJ16" s="269"/>
      <c r="AK16" s="269"/>
    </row>
    <row r="17" spans="1:38">
      <c r="H17" s="268"/>
      <c r="Q17" s="269"/>
      <c r="W17" s="269"/>
      <c r="X17" s="269"/>
      <c r="Y17" s="269"/>
      <c r="Z17" s="269"/>
      <c r="AA17" s="269"/>
      <c r="AB17" s="269"/>
      <c r="AC17" s="269"/>
      <c r="AD17" s="269"/>
      <c r="AE17" s="269"/>
      <c r="AF17" s="269"/>
      <c r="AG17" s="269"/>
      <c r="AH17" s="269"/>
      <c r="AI17" s="269"/>
      <c r="AJ17" s="269"/>
      <c r="AK17" s="269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182</v>
      </c>
      <c r="N18" s="98"/>
      <c r="O18" s="98"/>
      <c r="Q18" s="269"/>
      <c r="W18" s="269"/>
      <c r="X18" s="269"/>
      <c r="Y18" s="101" t="s">
        <v>184</v>
      </c>
      <c r="Z18" s="101"/>
      <c r="AA18" s="101"/>
      <c r="AB18" s="269"/>
      <c r="AC18" s="269"/>
      <c r="AD18" s="269"/>
      <c r="AE18" s="269"/>
      <c r="AJ18" s="269"/>
      <c r="AK18" s="269"/>
      <c r="AL18" s="269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269"/>
      <c r="AE19" s="269"/>
      <c r="AJ19" s="269"/>
      <c r="AK19" s="269"/>
      <c r="AL19" s="269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69"/>
      <c r="W20" s="269"/>
      <c r="X20" s="403" t="s">
        <v>22</v>
      </c>
      <c r="Y20" s="404"/>
      <c r="Z20" s="404"/>
      <c r="AA20" s="405"/>
      <c r="AB20" s="269"/>
      <c r="AC20" s="269"/>
      <c r="AD20" s="269"/>
      <c r="AK20" s="269"/>
      <c r="AL20" s="269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269"/>
      <c r="O21" s="23"/>
      <c r="X21" s="16"/>
      <c r="Y21" s="17"/>
      <c r="Z21" s="18"/>
      <c r="AK21" s="269"/>
      <c r="AL21" s="269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269"/>
      <c r="L22" s="36" t="s">
        <v>3</v>
      </c>
      <c r="M22" s="34"/>
      <c r="N22" s="15" t="s">
        <v>18</v>
      </c>
      <c r="O22" s="36" t="s">
        <v>49</v>
      </c>
      <c r="P22" s="73"/>
      <c r="Q22" s="269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65.510000000000005</v>
      </c>
      <c r="AD22" s="269" t="s">
        <v>18</v>
      </c>
      <c r="AK22" s="269"/>
      <c r="AL22" s="269"/>
    </row>
    <row r="23" spans="1:38" ht="18">
      <c r="B23" s="87"/>
      <c r="C23" s="87"/>
      <c r="D23" s="87"/>
      <c r="E23" s="87"/>
      <c r="K23" s="269"/>
      <c r="L23" s="36" t="s">
        <v>4</v>
      </c>
      <c r="M23" s="34"/>
      <c r="N23" s="15" t="s">
        <v>18</v>
      </c>
      <c r="O23" s="36" t="s">
        <v>27</v>
      </c>
      <c r="P23" s="34"/>
      <c r="Q23" s="269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0.34/100</f>
        <v>3.4000000000000002E-3</v>
      </c>
      <c r="AD23" s="269" t="s">
        <v>33</v>
      </c>
      <c r="AK23" s="269"/>
      <c r="AL23" s="269"/>
    </row>
    <row r="24" spans="1:38">
      <c r="A24" s="161" t="s">
        <v>160</v>
      </c>
      <c r="B24" s="161"/>
      <c r="K24" s="269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269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0.22273400000000004</v>
      </c>
      <c r="AD24" s="269" t="s">
        <v>18</v>
      </c>
      <c r="AK24" s="269"/>
      <c r="AL24" s="269"/>
    </row>
    <row r="25" spans="1:38">
      <c r="L25" s="67" t="s">
        <v>30</v>
      </c>
      <c r="M25" s="37">
        <f>P23*M24</f>
        <v>0</v>
      </c>
      <c r="N25" s="15" t="s">
        <v>18</v>
      </c>
      <c r="Q25" s="269"/>
      <c r="W25" s="269"/>
      <c r="X25" s="272" t="s">
        <v>30</v>
      </c>
      <c r="Y25" s="273"/>
      <c r="Z25" s="104">
        <f>AC23*Z24</f>
        <v>0</v>
      </c>
      <c r="AA25" s="15" t="s">
        <v>18</v>
      </c>
      <c r="AK25" s="269"/>
      <c r="AL25" s="269"/>
    </row>
    <row r="26" spans="1:38">
      <c r="A26" s="23"/>
      <c r="W26" s="269"/>
      <c r="X26" s="269"/>
      <c r="Y26" s="269"/>
      <c r="Z26" s="269"/>
      <c r="AA26" s="23"/>
      <c r="AL26" s="269"/>
    </row>
    <row r="27" spans="1:38">
      <c r="A27" s="23"/>
      <c r="I27" s="269"/>
      <c r="J27" s="269"/>
      <c r="K27" s="269"/>
      <c r="L27" s="269"/>
      <c r="AD27" s="31">
        <f>AC22+Z24</f>
        <v>65.510000000000005</v>
      </c>
      <c r="AE27" s="15">
        <f>AC24+Z25</f>
        <v>0.22273400000000004</v>
      </c>
      <c r="AL27" s="269"/>
    </row>
    <row r="28" spans="1:38" ht="21">
      <c r="D28" s="143" t="s">
        <v>45</v>
      </c>
      <c r="E28" s="142">
        <f>B22-(C41+B44)</f>
        <v>108.50049</v>
      </c>
      <c r="F28" s="15" t="s">
        <v>18</v>
      </c>
      <c r="I28" s="269"/>
      <c r="J28" s="269"/>
      <c r="K28" s="269"/>
      <c r="L28" s="269"/>
    </row>
    <row r="29" spans="1:38">
      <c r="I29" s="269"/>
      <c r="J29" s="269"/>
      <c r="K29" s="269"/>
      <c r="L29" s="269"/>
      <c r="V29" s="269"/>
      <c r="W29" s="269"/>
      <c r="X29" s="269"/>
      <c r="AJ29" s="22"/>
    </row>
    <row r="30" spans="1:38" ht="21">
      <c r="I30" s="102"/>
      <c r="V30" s="269"/>
      <c r="W30" s="200">
        <f>AC22+Z24+AC43+V43</f>
        <v>69.160000000000011</v>
      </c>
      <c r="X30" s="269"/>
    </row>
    <row r="31" spans="1:38">
      <c r="V31" s="269"/>
      <c r="W31" s="269"/>
      <c r="X31" s="269"/>
    </row>
    <row r="33" spans="1:55">
      <c r="S33" s="15" t="s">
        <v>101</v>
      </c>
      <c r="T33" s="31">
        <f>P22-W30</f>
        <v>-69.160000000000011</v>
      </c>
      <c r="U33" s="15" t="s">
        <v>18</v>
      </c>
    </row>
    <row r="34" spans="1:55">
      <c r="D34" s="269"/>
      <c r="E34" s="269"/>
      <c r="F34" s="269"/>
      <c r="G34" s="269"/>
      <c r="H34" s="269"/>
      <c r="S34" s="15" t="s">
        <v>125</v>
      </c>
      <c r="T34" s="76">
        <f>T33/E28</f>
        <v>-0.63741647618365604</v>
      </c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</row>
    <row r="35" spans="1:55">
      <c r="D35" s="269"/>
      <c r="E35" s="269"/>
      <c r="F35" s="269"/>
      <c r="G35" s="269"/>
      <c r="H35" s="269"/>
      <c r="S35" s="15" t="s">
        <v>126</v>
      </c>
      <c r="T35" s="81">
        <f>T34*B49</f>
        <v>-6.2815342602017488</v>
      </c>
      <c r="U35" s="269" t="s">
        <v>18</v>
      </c>
      <c r="Z35" s="269"/>
    </row>
    <row r="36" spans="1:55">
      <c r="D36" s="269"/>
      <c r="E36" s="269"/>
      <c r="F36" s="269"/>
      <c r="G36" s="269"/>
      <c r="H36" s="200"/>
      <c r="P36" s="271"/>
      <c r="Q36" s="271"/>
      <c r="R36" s="16"/>
      <c r="U36" s="269"/>
      <c r="Z36" s="269"/>
    </row>
    <row r="37" spans="1:55">
      <c r="E37" s="30"/>
      <c r="Z37" s="269"/>
    </row>
    <row r="38" spans="1:55" ht="21">
      <c r="M38" s="98" t="s">
        <v>183</v>
      </c>
      <c r="N38" s="48"/>
      <c r="Z38" s="269"/>
      <c r="AP38" s="269"/>
      <c r="AQ38" s="269"/>
      <c r="AR38" s="269"/>
      <c r="AS38" s="269"/>
      <c r="AT38" s="269"/>
      <c r="AU38" s="269"/>
      <c r="AV38" s="269"/>
      <c r="AW38" s="269"/>
      <c r="AX38" s="269"/>
      <c r="AY38" s="269"/>
      <c r="AZ38" s="269"/>
      <c r="BA38" s="269"/>
      <c r="BB38" s="269"/>
    </row>
    <row r="39" spans="1:55" ht="21">
      <c r="A39" s="392" t="s">
        <v>6</v>
      </c>
      <c r="B39" s="392"/>
      <c r="C39" s="33">
        <v>0.31</v>
      </c>
      <c r="D39" s="15" t="s">
        <v>18</v>
      </c>
      <c r="E39" s="269"/>
      <c r="F39" s="269"/>
      <c r="G39" s="269"/>
      <c r="M39" s="266" t="s">
        <v>20</v>
      </c>
      <c r="N39" s="267"/>
      <c r="Y39" s="101" t="s">
        <v>185</v>
      </c>
      <c r="Z39" s="101"/>
      <c r="AA39" s="101"/>
      <c r="AP39" s="269"/>
      <c r="AQ39" s="269"/>
      <c r="AR39" s="269"/>
      <c r="AS39" s="269"/>
      <c r="AT39" s="269"/>
      <c r="AU39" s="269"/>
      <c r="AV39" s="269"/>
      <c r="AW39" s="269"/>
      <c r="AX39" s="269"/>
      <c r="AY39" s="269"/>
      <c r="AZ39" s="269"/>
      <c r="BA39" s="269"/>
      <c r="BB39" s="269"/>
    </row>
    <row r="40" spans="1:55">
      <c r="A40" s="392" t="s">
        <v>5</v>
      </c>
      <c r="B40" s="392"/>
      <c r="C40" s="33">
        <v>0.5</v>
      </c>
      <c r="D40" s="15" t="s">
        <v>18</v>
      </c>
      <c r="E40" s="269"/>
      <c r="F40" s="269"/>
      <c r="G40" s="269"/>
      <c r="S40" s="269"/>
      <c r="V40" s="269"/>
      <c r="X40" s="403" t="s">
        <v>23</v>
      </c>
      <c r="Y40" s="404"/>
      <c r="Z40" s="404"/>
      <c r="AA40" s="405"/>
      <c r="AB40" s="269"/>
      <c r="AK40" s="269"/>
      <c r="AP40" s="269"/>
      <c r="AQ40" s="269"/>
      <c r="AR40" s="269"/>
      <c r="AS40" s="269"/>
      <c r="AT40" s="269"/>
      <c r="AU40" s="269"/>
      <c r="AV40" s="269"/>
      <c r="AW40" s="269"/>
      <c r="AX40" s="269"/>
      <c r="AY40" s="269"/>
      <c r="AZ40" s="269"/>
      <c r="BA40" s="269"/>
      <c r="BB40" s="269"/>
    </row>
    <row r="41" spans="1:55">
      <c r="A41" s="400" t="s">
        <v>17</v>
      </c>
      <c r="B41" s="401"/>
      <c r="C41" s="91">
        <f>SUM(C39:C40)</f>
        <v>0.81</v>
      </c>
      <c r="D41" s="23" t="s">
        <v>18</v>
      </c>
      <c r="E41" s="269"/>
      <c r="F41" s="269"/>
      <c r="G41" s="269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22.84</v>
      </c>
      <c r="R41" s="269" t="s">
        <v>18</v>
      </c>
      <c r="S41" s="269"/>
      <c r="Z41" s="269"/>
      <c r="AK41" s="269"/>
      <c r="AP41" s="269"/>
      <c r="AQ41" s="269"/>
      <c r="AR41" s="269"/>
      <c r="AS41" s="269"/>
      <c r="AT41" s="269"/>
      <c r="AU41" s="269"/>
      <c r="AV41" s="269"/>
      <c r="AW41" s="269"/>
      <c r="AX41" s="269"/>
      <c r="AY41" s="269"/>
      <c r="AZ41" s="269"/>
      <c r="BA41" s="269"/>
      <c r="BB41" s="269"/>
    </row>
    <row r="42" spans="1:55">
      <c r="C42" s="269"/>
      <c r="D42" s="269"/>
      <c r="E42" s="269"/>
      <c r="F42" s="269"/>
      <c r="G42" s="269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25.06/100</f>
        <v>0.25059999999999999</v>
      </c>
      <c r="R42" s="269" t="s">
        <v>33</v>
      </c>
      <c r="S42" s="269"/>
      <c r="AE42" s="269"/>
      <c r="AF42" s="269"/>
      <c r="AG42" s="269"/>
      <c r="AH42" s="269"/>
      <c r="AI42" s="269"/>
      <c r="AJ42" s="269"/>
      <c r="AK42" s="269"/>
      <c r="AL42" s="269"/>
      <c r="AP42" s="269"/>
      <c r="AQ42" s="269"/>
      <c r="AR42" s="269"/>
      <c r="AS42" s="269"/>
      <c r="AT42" s="269"/>
      <c r="AU42" s="269"/>
      <c r="AV42" s="269"/>
      <c r="AW42" s="269"/>
      <c r="AX42" s="269"/>
      <c r="AY42" s="269"/>
      <c r="AZ42" s="269"/>
      <c r="BA42" s="269"/>
      <c r="BB42" s="269"/>
    </row>
    <row r="43" spans="1:55">
      <c r="A43" s="36" t="s">
        <v>44</v>
      </c>
      <c r="B43" s="33">
        <v>0.79</v>
      </c>
      <c r="C43" s="269" t="s">
        <v>18</v>
      </c>
      <c r="D43" s="269"/>
      <c r="E43" s="269"/>
      <c r="F43" s="269"/>
      <c r="G43" s="269"/>
      <c r="H43" s="270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5.7237039999999997</v>
      </c>
      <c r="R43" s="269" t="s">
        <v>18</v>
      </c>
      <c r="S43" s="269"/>
      <c r="U43" s="35" t="s">
        <v>53</v>
      </c>
      <c r="V43" s="33"/>
      <c r="W43" s="269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3.65</v>
      </c>
      <c r="AD43" s="269" t="s">
        <v>18</v>
      </c>
      <c r="AF43" s="269"/>
      <c r="AG43" s="269"/>
      <c r="AH43" s="269"/>
      <c r="AI43" s="269"/>
      <c r="AJ43" s="269"/>
      <c r="AK43" s="269"/>
      <c r="AL43" s="269"/>
      <c r="AP43" s="269"/>
      <c r="AQ43" s="269"/>
      <c r="AR43" s="269"/>
      <c r="AS43" s="269"/>
      <c r="AT43" s="269"/>
      <c r="AU43" s="269"/>
      <c r="AV43" s="269"/>
      <c r="AW43" s="269"/>
      <c r="AX43" s="269"/>
      <c r="AY43" s="269"/>
      <c r="AZ43" s="269"/>
      <c r="BA43" s="269"/>
      <c r="BB43" s="269"/>
    </row>
    <row r="44" spans="1:55">
      <c r="A44" s="92" t="s">
        <v>17</v>
      </c>
      <c r="B44" s="90">
        <f>SUM(B43)</f>
        <v>0.79</v>
      </c>
      <c r="C44" s="269" t="s">
        <v>18</v>
      </c>
      <c r="D44" s="269"/>
      <c r="E44" s="269"/>
      <c r="M44" s="67" t="s">
        <v>30</v>
      </c>
      <c r="N44" s="37">
        <f>Q42*N43</f>
        <v>0</v>
      </c>
      <c r="O44" s="15" t="s">
        <v>18</v>
      </c>
      <c r="U44" s="269"/>
      <c r="V44" s="269"/>
      <c r="W44" s="269"/>
      <c r="X44" s="105" t="s">
        <v>4</v>
      </c>
      <c r="Y44" s="106"/>
      <c r="Z44" s="34"/>
      <c r="AA44" s="15" t="s">
        <v>18</v>
      </c>
      <c r="AB44" s="36" t="s">
        <v>27</v>
      </c>
      <c r="AC44" s="34">
        <f>34.99/100</f>
        <v>0.34990000000000004</v>
      </c>
      <c r="AD44" s="269" t="s">
        <v>33</v>
      </c>
      <c r="AL44" s="269"/>
      <c r="AP44" s="269"/>
      <c r="AQ44" s="269"/>
      <c r="AR44" s="269"/>
      <c r="AS44" s="269"/>
      <c r="AT44" s="269"/>
      <c r="AU44" s="269"/>
      <c r="AV44" s="269"/>
      <c r="AW44" s="269"/>
      <c r="AX44" s="269"/>
      <c r="AY44" s="269"/>
      <c r="AZ44" s="269"/>
      <c r="BA44" s="269"/>
      <c r="BB44" s="269"/>
    </row>
    <row r="45" spans="1:55">
      <c r="C45" s="269"/>
      <c r="D45" s="269"/>
      <c r="E45" s="269"/>
      <c r="U45" s="269"/>
      <c r="V45" s="269"/>
      <c r="W45" s="269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1.2771350000000001</v>
      </c>
      <c r="AD45" s="269" t="s">
        <v>18</v>
      </c>
      <c r="AL45" s="269"/>
      <c r="AP45" s="269"/>
      <c r="AQ45" s="269"/>
      <c r="AR45" s="269"/>
      <c r="AS45" s="269"/>
      <c r="AT45" s="269"/>
      <c r="AU45" s="269"/>
      <c r="AV45" s="269"/>
      <c r="AW45" s="269"/>
      <c r="AX45" s="269"/>
      <c r="AY45" s="269"/>
      <c r="AZ45" s="269"/>
      <c r="BA45" s="269"/>
      <c r="BB45" s="269"/>
      <c r="BC45" s="269"/>
    </row>
    <row r="46" spans="1:55">
      <c r="A46" s="15" t="s">
        <v>66</v>
      </c>
      <c r="B46" s="15">
        <f>B43/D22</f>
        <v>0.75239706785462679</v>
      </c>
      <c r="C46" s="269" t="s">
        <v>62</v>
      </c>
      <c r="D46" s="269"/>
      <c r="E46" s="269"/>
      <c r="P46" s="31">
        <f>Q41+N43</f>
        <v>22.84</v>
      </c>
      <c r="Q46" s="15">
        <f>Q43+N44</f>
        <v>5.7237039999999997</v>
      </c>
      <c r="X46" s="272" t="s">
        <v>30</v>
      </c>
      <c r="Y46" s="273"/>
      <c r="Z46" s="104">
        <f>AC44*Z45</f>
        <v>0</v>
      </c>
      <c r="AA46" s="15" t="s">
        <v>18</v>
      </c>
      <c r="AF46" s="269"/>
      <c r="AP46" s="269"/>
      <c r="AQ46" s="269"/>
      <c r="AR46" s="269"/>
      <c r="AS46" s="269"/>
      <c r="AT46" s="269"/>
      <c r="AU46" s="269"/>
      <c r="AV46" s="269"/>
      <c r="AW46" s="269"/>
      <c r="AX46" s="269"/>
      <c r="AY46" s="269"/>
      <c r="AZ46" s="269"/>
      <c r="BA46" s="269"/>
      <c r="BB46" s="269"/>
      <c r="BC46" s="269"/>
    </row>
    <row r="47" spans="1:55">
      <c r="A47" s="15" t="s">
        <v>65</v>
      </c>
      <c r="B47" s="15">
        <f>C41/D22</f>
        <v>0.77144509488892121</v>
      </c>
      <c r="C47" s="15" t="s">
        <v>62</v>
      </c>
      <c r="AP47" s="269"/>
      <c r="AQ47" s="269"/>
      <c r="AR47" s="269"/>
      <c r="AS47" s="269"/>
      <c r="AT47" s="269"/>
      <c r="AU47" s="269"/>
      <c r="AV47" s="269"/>
      <c r="AW47" s="269"/>
      <c r="AX47" s="269"/>
      <c r="AY47" s="269"/>
      <c r="AZ47" s="269"/>
      <c r="BA47" s="269"/>
      <c r="BB47" s="269"/>
      <c r="BC47" s="269"/>
    </row>
    <row r="48" spans="1:55">
      <c r="A48" s="15" t="s">
        <v>67</v>
      </c>
      <c r="B48" s="15">
        <f>G19*(B46+B47)/1000</f>
        <v>0.1453217873962232</v>
      </c>
      <c r="C48" s="15" t="s">
        <v>18</v>
      </c>
      <c r="E48" s="160"/>
      <c r="AP48" s="269"/>
      <c r="AQ48" s="269"/>
      <c r="AR48" s="269"/>
      <c r="AS48" s="269"/>
      <c r="AT48" s="269"/>
      <c r="AU48" s="269"/>
      <c r="AV48" s="269"/>
      <c r="AW48" s="269"/>
      <c r="AX48" s="269"/>
      <c r="AY48" s="269"/>
      <c r="AZ48" s="269"/>
      <c r="BA48" s="269"/>
      <c r="BB48" s="269"/>
    </row>
    <row r="49" spans="1:59">
      <c r="A49" s="15" t="s">
        <v>64</v>
      </c>
      <c r="B49" s="74">
        <f>B21-B48</f>
        <v>9.8546782126037762</v>
      </c>
      <c r="C49" s="15" t="s">
        <v>18</v>
      </c>
      <c r="AC49" s="31">
        <f>AC43+Z45</f>
        <v>3.65</v>
      </c>
      <c r="AD49" s="15">
        <f>AC45+Z46</f>
        <v>1.2771350000000001</v>
      </c>
      <c r="AP49" s="269"/>
      <c r="AQ49" s="269"/>
      <c r="AR49" s="269"/>
      <c r="AS49" s="269"/>
      <c r="AT49" s="269"/>
      <c r="AU49" s="269"/>
      <c r="AV49" s="379"/>
      <c r="AW49" s="379"/>
      <c r="AX49" s="379"/>
      <c r="AY49" s="379"/>
      <c r="AZ49" s="379"/>
      <c r="BA49" s="269"/>
      <c r="BB49" s="269"/>
    </row>
    <row r="50" spans="1:59">
      <c r="R50" s="269"/>
      <c r="S50" s="15" t="s">
        <v>27</v>
      </c>
      <c r="U50" s="15" t="s">
        <v>40</v>
      </c>
      <c r="W50" s="15" t="s">
        <v>98</v>
      </c>
      <c r="X50" s="74">
        <f>B49</f>
        <v>9.8546782126037762</v>
      </c>
      <c r="Y50" s="15" t="s">
        <v>18</v>
      </c>
      <c r="AP50" s="269"/>
      <c r="AQ50" s="269"/>
      <c r="AR50" s="269"/>
      <c r="AS50" s="269"/>
      <c r="AT50" s="269"/>
      <c r="AU50" s="269"/>
      <c r="AV50" s="269"/>
      <c r="AW50" s="269"/>
      <c r="AX50" s="269"/>
      <c r="AY50" s="269"/>
      <c r="AZ50" s="269"/>
      <c r="BA50" s="269"/>
      <c r="BB50" s="269"/>
    </row>
    <row r="51" spans="1:59">
      <c r="Q51" s="269"/>
      <c r="R51" s="269"/>
      <c r="S51" s="15" t="s">
        <v>34</v>
      </c>
      <c r="T51" s="15">
        <f>AC24+Z25</f>
        <v>0.22273400000000004</v>
      </c>
      <c r="U51" s="76">
        <f>T51/X50</f>
        <v>2.2601854184861291E-2</v>
      </c>
      <c r="AP51" s="269"/>
      <c r="AQ51" s="269"/>
      <c r="AR51" s="269"/>
      <c r="AS51" s="269"/>
      <c r="AT51" s="269"/>
      <c r="AU51" s="269"/>
      <c r="AV51" s="269"/>
      <c r="AW51" s="269"/>
      <c r="AX51" s="269"/>
      <c r="AY51" s="269"/>
      <c r="AZ51" s="269"/>
      <c r="BA51" s="269"/>
      <c r="BB51" s="269"/>
    </row>
    <row r="52" spans="1:59">
      <c r="S52" s="15" t="s">
        <v>35</v>
      </c>
      <c r="T52" s="15">
        <f>AC45+Z46</f>
        <v>1.2771350000000001</v>
      </c>
      <c r="U52" s="76">
        <f>T52/X50</f>
        <v>0.12959682421355886</v>
      </c>
      <c r="AP52" s="269"/>
      <c r="AQ52" s="269"/>
      <c r="AR52" s="269"/>
      <c r="AS52" s="269"/>
      <c r="AT52" s="269"/>
      <c r="AU52" s="269"/>
      <c r="AV52" s="269"/>
      <c r="AW52" s="269"/>
      <c r="AX52" s="269"/>
      <c r="AY52" s="269"/>
      <c r="AZ52" s="269"/>
      <c r="BA52" s="269"/>
      <c r="BB52" s="269"/>
    </row>
    <row r="53" spans="1:59"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15" t="s">
        <v>36</v>
      </c>
      <c r="T53" s="269">
        <f>Q43+N44</f>
        <v>5.7237039999999997</v>
      </c>
      <c r="U53" s="274">
        <f>T53/X50</f>
        <v>0.58081084704314234</v>
      </c>
      <c r="V53" s="269"/>
      <c r="W53" s="269"/>
      <c r="AN53" s="269"/>
      <c r="AO53" s="269"/>
      <c r="AP53" s="269"/>
      <c r="AQ53" s="269"/>
      <c r="AR53" s="269"/>
      <c r="AS53" s="269"/>
      <c r="AT53" s="269"/>
      <c r="AU53" s="269"/>
      <c r="AV53" s="269"/>
      <c r="AW53" s="269"/>
      <c r="AX53" s="269"/>
      <c r="AY53" s="269"/>
      <c r="AZ53" s="269"/>
      <c r="BA53" s="269"/>
      <c r="BB53" s="269"/>
      <c r="BC53" s="269"/>
      <c r="BD53" s="269"/>
      <c r="BE53" s="269"/>
      <c r="BF53" s="269"/>
      <c r="BG53" s="269"/>
    </row>
    <row r="54" spans="1:59">
      <c r="D54" s="379"/>
      <c r="E54" s="379"/>
      <c r="F54" s="379"/>
      <c r="G54" s="37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15" t="s">
        <v>17</v>
      </c>
      <c r="T54" s="269">
        <f>SUM(T51:T53)</f>
        <v>7.223573</v>
      </c>
      <c r="U54" s="274">
        <f>SUM(U51:U53)</f>
        <v>0.7330095254415625</v>
      </c>
      <c r="V54" s="269"/>
      <c r="W54" s="269"/>
      <c r="X54" s="269"/>
      <c r="Y54" s="269"/>
      <c r="Z54" s="269"/>
      <c r="AN54" s="269"/>
      <c r="AO54" s="269"/>
      <c r="AP54" s="269"/>
      <c r="AQ54" s="269"/>
      <c r="AR54" s="269"/>
      <c r="AS54" s="269"/>
      <c r="AT54" s="269"/>
      <c r="AU54" s="269"/>
      <c r="AV54" s="269"/>
      <c r="AW54" s="269"/>
      <c r="AX54" s="269"/>
      <c r="AY54" s="269"/>
      <c r="AZ54" s="269"/>
      <c r="BA54" s="269"/>
      <c r="BB54" s="269"/>
      <c r="BC54" s="269"/>
      <c r="BD54" s="269"/>
      <c r="BE54" s="269"/>
      <c r="BF54" s="269"/>
      <c r="BG54" s="269"/>
    </row>
    <row r="55" spans="1:59"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  <c r="R55" s="269"/>
      <c r="S55" s="15" t="s">
        <v>37</v>
      </c>
      <c r="T55" s="145">
        <f>X50-T54</f>
        <v>2.6311052126037762</v>
      </c>
      <c r="U55" s="274">
        <f>T55/X50</f>
        <v>0.26699047455843744</v>
      </c>
      <c r="V55" s="269"/>
      <c r="W55" s="269"/>
      <c r="X55" s="269"/>
      <c r="Y55" s="269"/>
      <c r="Z55" s="269"/>
      <c r="AN55" s="269"/>
      <c r="AO55" s="269"/>
      <c r="AP55" s="269"/>
      <c r="AQ55" s="269"/>
      <c r="AR55" s="269"/>
      <c r="AS55" s="269"/>
      <c r="AT55" s="269"/>
      <c r="AU55" s="269"/>
      <c r="AV55" s="269"/>
      <c r="AW55" s="269"/>
      <c r="AX55" s="269"/>
      <c r="AY55" s="269"/>
      <c r="AZ55" s="269"/>
      <c r="BA55" s="269"/>
      <c r="BB55" s="269"/>
      <c r="BC55" s="269"/>
      <c r="BD55" s="269"/>
      <c r="BE55" s="269"/>
      <c r="BF55" s="269"/>
      <c r="BG55" s="269"/>
    </row>
    <row r="56" spans="1:59"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  <c r="R56" s="269"/>
      <c r="T56" s="269"/>
      <c r="U56" s="269"/>
      <c r="V56" s="269"/>
      <c r="W56" s="269"/>
      <c r="X56" s="269"/>
      <c r="Y56" s="269"/>
      <c r="Z56" s="269"/>
      <c r="AN56" s="269"/>
      <c r="AO56" s="269"/>
      <c r="AP56" s="269"/>
      <c r="AQ56" s="269"/>
      <c r="AR56" s="269"/>
      <c r="AS56" s="269"/>
      <c r="AT56" s="269"/>
      <c r="AU56" s="269"/>
      <c r="AV56" s="269"/>
      <c r="AW56" s="269"/>
      <c r="AX56" s="269"/>
      <c r="AY56" s="269"/>
      <c r="AZ56" s="269"/>
      <c r="BA56" s="269"/>
      <c r="BB56" s="269"/>
      <c r="BC56" s="269"/>
      <c r="BD56" s="269"/>
      <c r="BE56" s="269"/>
      <c r="BF56" s="269"/>
      <c r="BG56" s="269"/>
    </row>
    <row r="57" spans="1:59">
      <c r="D57" s="269"/>
      <c r="E57" s="269"/>
      <c r="F57" s="269"/>
      <c r="G57" s="269"/>
      <c r="H57" s="269"/>
      <c r="I57" s="269"/>
      <c r="J57" s="269"/>
      <c r="K57" s="269"/>
      <c r="L57" s="269"/>
      <c r="M57" s="269"/>
      <c r="N57" s="269"/>
      <c r="O57" s="269"/>
      <c r="P57" s="269"/>
      <c r="Q57" s="269"/>
      <c r="R57" s="269"/>
      <c r="W57" s="269"/>
      <c r="X57" s="269"/>
      <c r="Y57" s="269"/>
      <c r="Z57" s="269"/>
      <c r="AN57" s="269"/>
      <c r="AO57" s="269"/>
      <c r="AP57" s="269"/>
      <c r="AQ57" s="269"/>
      <c r="AR57" s="269"/>
      <c r="AS57" s="269"/>
      <c r="AT57" s="269"/>
      <c r="AU57" s="269"/>
      <c r="AV57" s="269"/>
      <c r="AW57" s="269"/>
      <c r="AX57" s="269"/>
      <c r="AY57" s="269"/>
      <c r="AZ57" s="269"/>
      <c r="BA57" s="269"/>
      <c r="BB57" s="269"/>
      <c r="BC57" s="269"/>
      <c r="BD57" s="269"/>
      <c r="BE57" s="269"/>
      <c r="BF57" s="269"/>
      <c r="BG57" s="269"/>
    </row>
    <row r="58" spans="1:59">
      <c r="D58" s="269"/>
      <c r="E58" s="269"/>
      <c r="F58" s="269"/>
      <c r="G58" s="269"/>
      <c r="H58" s="269"/>
      <c r="I58" s="269"/>
      <c r="J58" s="269"/>
      <c r="K58" s="269"/>
      <c r="L58" s="269"/>
      <c r="M58" s="269"/>
      <c r="N58" s="269"/>
      <c r="O58" s="269"/>
      <c r="P58" s="269"/>
      <c r="Q58" s="269"/>
      <c r="R58" s="269"/>
      <c r="S58" s="269"/>
      <c r="T58" s="269"/>
      <c r="U58" s="269"/>
      <c r="V58" s="269"/>
      <c r="W58" s="269"/>
      <c r="X58" s="269"/>
      <c r="Y58" s="269"/>
      <c r="Z58" s="269"/>
      <c r="AA58" s="269"/>
      <c r="AB58" s="269"/>
      <c r="AC58" s="269"/>
      <c r="AD58" s="269"/>
      <c r="AE58" s="269"/>
      <c r="AF58" s="269"/>
      <c r="AG58" s="269"/>
      <c r="AH58" s="269"/>
      <c r="AI58" s="269"/>
      <c r="AJ58" s="269"/>
      <c r="AK58" s="269"/>
      <c r="AL58" s="269"/>
      <c r="AM58" s="269"/>
      <c r="AN58" s="269"/>
      <c r="AO58" s="269"/>
      <c r="AP58" s="269"/>
      <c r="AQ58" s="269"/>
      <c r="AR58" s="269"/>
      <c r="AS58" s="269"/>
      <c r="AT58" s="269"/>
      <c r="AU58" s="269"/>
      <c r="AV58" s="269"/>
      <c r="AW58" s="269"/>
      <c r="AX58" s="269"/>
      <c r="AY58" s="269"/>
      <c r="AZ58" s="269"/>
      <c r="BA58" s="269"/>
      <c r="BB58" s="269"/>
      <c r="BC58" s="269"/>
      <c r="BD58" s="269"/>
      <c r="BE58" s="269"/>
      <c r="BF58" s="269"/>
      <c r="BG58" s="269"/>
    </row>
    <row r="59" spans="1:59">
      <c r="D59" s="269"/>
      <c r="E59" s="269"/>
      <c r="F59" s="269"/>
      <c r="G59" s="269"/>
      <c r="H59" s="269"/>
      <c r="I59" s="269"/>
      <c r="J59" s="269"/>
      <c r="K59" s="269"/>
      <c r="L59" s="269"/>
      <c r="M59" s="269"/>
      <c r="N59" s="269"/>
      <c r="O59" s="269"/>
      <c r="P59" s="269"/>
      <c r="Q59" s="269"/>
      <c r="R59" s="269"/>
      <c r="S59" s="277" t="s">
        <v>186</v>
      </c>
      <c r="T59" s="269"/>
      <c r="U59" s="269"/>
      <c r="V59" s="269"/>
      <c r="W59" s="269"/>
      <c r="X59" s="269"/>
      <c r="Y59" s="269"/>
      <c r="Z59" s="275" t="s">
        <v>34</v>
      </c>
      <c r="AA59" s="269"/>
      <c r="AB59" s="269"/>
      <c r="AC59" s="269"/>
      <c r="AD59" s="277" t="s">
        <v>188</v>
      </c>
      <c r="AE59" s="277"/>
      <c r="AF59" s="277"/>
      <c r="AG59" s="277"/>
      <c r="AH59" s="277"/>
      <c r="AI59" s="277"/>
      <c r="AJ59" s="277"/>
      <c r="AK59" s="277" t="s">
        <v>34</v>
      </c>
      <c r="AL59" s="277"/>
      <c r="AM59" s="277"/>
      <c r="AN59" s="269"/>
      <c r="AO59" s="269"/>
      <c r="AP59" s="269"/>
      <c r="AQ59" s="269"/>
      <c r="AR59" s="269"/>
      <c r="AS59" s="269"/>
      <c r="AT59" s="269"/>
      <c r="AU59" s="269"/>
      <c r="AV59" s="269"/>
      <c r="AW59" s="269"/>
      <c r="AX59" s="269"/>
      <c r="AY59" s="269"/>
      <c r="AZ59" s="269"/>
      <c r="BA59" s="269"/>
      <c r="BB59" s="269"/>
      <c r="BC59" s="269"/>
      <c r="BD59" s="269"/>
      <c r="BE59" s="269"/>
      <c r="BF59" s="269"/>
      <c r="BG59" s="269"/>
    </row>
    <row r="60" spans="1:59"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15" t="s">
        <v>27</v>
      </c>
      <c r="U60" s="15" t="s">
        <v>40</v>
      </c>
      <c r="W60" s="15" t="s">
        <v>98</v>
      </c>
      <c r="X60" s="74">
        <f>Q46</f>
        <v>5.7237039999999997</v>
      </c>
      <c r="Y60" s="15" t="s">
        <v>18</v>
      </c>
      <c r="Z60" s="36" t="s">
        <v>49</v>
      </c>
      <c r="AA60" s="34">
        <v>32.42</v>
      </c>
      <c r="AB60" s="275" t="s">
        <v>18</v>
      </c>
      <c r="AC60" s="269"/>
      <c r="AD60" s="15" t="s">
        <v>27</v>
      </c>
      <c r="AF60" s="15" t="s">
        <v>40</v>
      </c>
      <c r="AH60" s="15" t="s">
        <v>98</v>
      </c>
      <c r="AI60" s="15">
        <f>T51</f>
        <v>0.22273400000000004</v>
      </c>
      <c r="AJ60" s="15" t="s">
        <v>18</v>
      </c>
      <c r="AK60" s="36" t="s">
        <v>49</v>
      </c>
      <c r="AL60" s="34"/>
      <c r="AM60" s="277" t="s">
        <v>18</v>
      </c>
      <c r="AN60" s="269"/>
      <c r="AO60" s="269"/>
      <c r="AP60" s="269"/>
      <c r="AQ60" s="269"/>
      <c r="AR60" s="269"/>
      <c r="AS60" s="269"/>
      <c r="AT60" s="269"/>
      <c r="AU60" s="269"/>
      <c r="AV60" s="269"/>
      <c r="AW60" s="269"/>
      <c r="AX60" s="269"/>
      <c r="AY60" s="269"/>
      <c r="AZ60" s="269"/>
      <c r="BA60" s="269"/>
      <c r="BB60" s="269"/>
      <c r="BC60" s="269"/>
      <c r="BD60" s="269"/>
      <c r="BE60" s="269"/>
      <c r="BF60" s="269"/>
      <c r="BG60" s="269"/>
    </row>
    <row r="61" spans="1:59"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15" t="s">
        <v>34</v>
      </c>
      <c r="T61" s="15">
        <f>AC34+Z35</f>
        <v>0</v>
      </c>
      <c r="U61" s="76">
        <f>T61/X60</f>
        <v>0</v>
      </c>
      <c r="Z61" s="36" t="s">
        <v>27</v>
      </c>
      <c r="AA61" s="34"/>
      <c r="AB61" s="275" t="s">
        <v>33</v>
      </c>
      <c r="AC61" s="269"/>
      <c r="AD61" s="15" t="s">
        <v>34</v>
      </c>
      <c r="AE61" s="15">
        <f>AN34+AK35</f>
        <v>0</v>
      </c>
      <c r="AF61" s="76">
        <f>AE61/AI60</f>
        <v>0</v>
      </c>
      <c r="AK61" s="36" t="s">
        <v>27</v>
      </c>
      <c r="AL61" s="34"/>
      <c r="AM61" s="277" t="s">
        <v>33</v>
      </c>
      <c r="AN61" s="269"/>
      <c r="AO61" s="269"/>
      <c r="AP61" s="269"/>
      <c r="AQ61" s="269"/>
      <c r="AR61" s="269"/>
      <c r="AS61" s="269"/>
      <c r="AT61" s="269"/>
      <c r="AU61" s="269"/>
      <c r="AV61" s="269"/>
      <c r="AW61" s="269"/>
      <c r="AX61" s="269"/>
      <c r="AY61" s="269"/>
      <c r="AZ61" s="269"/>
      <c r="BA61" s="269"/>
      <c r="BB61" s="269"/>
      <c r="BC61" s="269"/>
      <c r="BD61" s="269"/>
      <c r="BE61" s="269"/>
      <c r="BF61" s="269"/>
      <c r="BG61" s="269"/>
    </row>
    <row r="62" spans="1:59"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15" t="s">
        <v>35</v>
      </c>
      <c r="T62" s="15">
        <f>AC55+Z56</f>
        <v>0</v>
      </c>
      <c r="U62" s="76">
        <f>T62/X60</f>
        <v>0</v>
      </c>
      <c r="Z62" s="67" t="s">
        <v>30</v>
      </c>
      <c r="AA62" s="37">
        <f>AA61*AA60</f>
        <v>0</v>
      </c>
      <c r="AB62" s="275" t="s">
        <v>18</v>
      </c>
      <c r="AC62" s="269"/>
      <c r="AD62" s="15" t="s">
        <v>35</v>
      </c>
      <c r="AE62" s="15">
        <f>AN55+AK56</f>
        <v>0</v>
      </c>
      <c r="AF62" s="76">
        <f>AE62/AI60</f>
        <v>0</v>
      </c>
      <c r="AK62" s="67" t="s">
        <v>30</v>
      </c>
      <c r="AL62" s="37">
        <f>AL61*AL60</f>
        <v>0</v>
      </c>
      <c r="AM62" s="277" t="s">
        <v>18</v>
      </c>
      <c r="AN62" s="269"/>
      <c r="AO62" s="269"/>
      <c r="AP62" s="269"/>
      <c r="AQ62" s="269"/>
      <c r="AR62" s="269"/>
      <c r="AS62" s="269"/>
      <c r="AT62" s="269"/>
      <c r="AU62" s="269"/>
      <c r="AV62" s="269"/>
      <c r="AW62" s="269"/>
      <c r="AX62" s="269"/>
      <c r="AY62" s="269"/>
      <c r="AZ62" s="269"/>
      <c r="BA62" s="269"/>
      <c r="BB62" s="269"/>
      <c r="BC62" s="269"/>
      <c r="BD62" s="269"/>
      <c r="BE62" s="269"/>
      <c r="BF62" s="269"/>
      <c r="BG62" s="269"/>
    </row>
    <row r="63" spans="1:59">
      <c r="D63" s="269"/>
      <c r="E63" s="269"/>
      <c r="F63" s="269"/>
      <c r="G63" s="269"/>
      <c r="H63" s="269"/>
      <c r="I63" s="269"/>
      <c r="J63" s="269"/>
      <c r="K63" s="269"/>
      <c r="L63" s="269"/>
      <c r="M63" s="269"/>
      <c r="N63" s="269"/>
      <c r="O63" s="269"/>
      <c r="P63" s="269"/>
      <c r="Q63" s="269"/>
      <c r="R63" s="269"/>
      <c r="S63" s="15" t="s">
        <v>36</v>
      </c>
      <c r="T63" s="275">
        <f>Q53+N54</f>
        <v>0</v>
      </c>
      <c r="U63" s="276">
        <f>T63/X60</f>
        <v>0</v>
      </c>
      <c r="V63" s="275"/>
      <c r="W63" s="275"/>
      <c r="Z63" s="269"/>
      <c r="AA63" s="269"/>
      <c r="AB63" s="269"/>
      <c r="AC63" s="269"/>
      <c r="AE63" s="277"/>
      <c r="AF63" s="278"/>
      <c r="AG63" s="277"/>
      <c r="AH63" s="277"/>
      <c r="AK63" s="277"/>
      <c r="AL63" s="277"/>
      <c r="AM63" s="277"/>
      <c r="AN63" s="269"/>
      <c r="AO63" s="269"/>
      <c r="AP63" s="269"/>
      <c r="AQ63" s="269"/>
      <c r="AR63" s="269"/>
      <c r="AS63" s="269"/>
      <c r="AT63" s="269"/>
      <c r="AU63" s="269"/>
      <c r="AV63" s="269"/>
      <c r="AW63" s="269"/>
      <c r="AX63" s="269"/>
      <c r="AY63" s="269"/>
      <c r="AZ63" s="269"/>
      <c r="BA63" s="269"/>
      <c r="BB63" s="269"/>
      <c r="BC63" s="269"/>
      <c r="BD63" s="269"/>
      <c r="BE63" s="269"/>
      <c r="BF63" s="269"/>
      <c r="BG63" s="269"/>
    </row>
    <row r="64" spans="1:59">
      <c r="D64" s="269"/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69"/>
      <c r="P64" s="269"/>
      <c r="Q64" s="269"/>
      <c r="R64" s="269"/>
      <c r="S64" s="15" t="s">
        <v>17</v>
      </c>
      <c r="T64" s="275">
        <f>SUM(T61:T63)</f>
        <v>0</v>
      </c>
      <c r="U64" s="276">
        <f>SUM(U61:U63)</f>
        <v>0</v>
      </c>
      <c r="V64" s="275"/>
      <c r="W64" s="275"/>
      <c r="X64" s="275"/>
      <c r="Y64" s="275"/>
      <c r="Z64" s="269"/>
      <c r="AA64" s="269"/>
      <c r="AB64" s="269"/>
      <c r="AC64" s="269"/>
      <c r="AD64" s="15" t="s">
        <v>17</v>
      </c>
      <c r="AE64" s="277">
        <f>SUM(AE61:AE63)</f>
        <v>0</v>
      </c>
      <c r="AF64" s="278">
        <f>SUM(AF61:AF63)</f>
        <v>0</v>
      </c>
      <c r="AG64" s="277"/>
      <c r="AH64" s="277"/>
      <c r="AI64" s="277"/>
      <c r="AJ64" s="277"/>
      <c r="AK64" s="277"/>
      <c r="AL64" s="277"/>
      <c r="AM64" s="277"/>
      <c r="AN64" s="269"/>
      <c r="AO64" s="269"/>
      <c r="AP64" s="269"/>
      <c r="AQ64" s="269"/>
      <c r="AR64" s="269"/>
      <c r="AS64" s="269"/>
      <c r="AT64" s="269"/>
      <c r="AU64" s="269"/>
      <c r="AV64" s="269"/>
      <c r="AW64" s="269"/>
      <c r="AX64" s="269"/>
      <c r="AY64" s="269"/>
      <c r="AZ64" s="269"/>
      <c r="BA64" s="269"/>
      <c r="BB64" s="269"/>
      <c r="BC64" s="269"/>
      <c r="BD64" s="269"/>
      <c r="BE64" s="269"/>
      <c r="BF64" s="269"/>
      <c r="BG64" s="269"/>
    </row>
    <row r="65" spans="4:59">
      <c r="D65" s="269"/>
      <c r="E65" s="269"/>
      <c r="F65" s="269"/>
      <c r="G65" s="269"/>
      <c r="H65" s="269"/>
      <c r="I65" s="269"/>
      <c r="J65" s="269"/>
      <c r="K65" s="269"/>
      <c r="L65" s="269"/>
      <c r="M65" s="269"/>
      <c r="N65" s="269"/>
      <c r="O65" s="269"/>
      <c r="P65" s="269"/>
      <c r="Q65" s="269"/>
      <c r="R65" s="269"/>
      <c r="S65" s="15" t="s">
        <v>37</v>
      </c>
      <c r="T65" s="145">
        <f>X60-T64</f>
        <v>5.7237039999999997</v>
      </c>
      <c r="U65" s="276">
        <f>T65/X60</f>
        <v>1</v>
      </c>
      <c r="V65" s="275"/>
      <c r="W65" s="275"/>
      <c r="X65" s="275"/>
      <c r="Y65" s="275"/>
      <c r="Z65" s="275" t="s">
        <v>35</v>
      </c>
      <c r="AA65" s="269"/>
      <c r="AB65" s="269"/>
      <c r="AC65" s="269"/>
      <c r="AD65" s="15" t="s">
        <v>37</v>
      </c>
      <c r="AE65" s="145">
        <f>AI60-AE64</f>
        <v>0.22273400000000004</v>
      </c>
      <c r="AF65" s="278">
        <f>AE65/AI60</f>
        <v>1</v>
      </c>
      <c r="AG65" s="277"/>
      <c r="AH65" s="277"/>
      <c r="AI65" s="277"/>
      <c r="AJ65" s="277"/>
      <c r="AK65" s="277" t="s">
        <v>35</v>
      </c>
      <c r="AL65" s="277"/>
      <c r="AM65" s="277"/>
      <c r="AN65" s="269"/>
      <c r="AO65" s="269"/>
      <c r="AP65" s="269"/>
      <c r="AQ65" s="269"/>
      <c r="AR65" s="269"/>
      <c r="AS65" s="269"/>
      <c r="AT65" s="269"/>
      <c r="AU65" s="269"/>
      <c r="AV65" s="269"/>
      <c r="AW65" s="269"/>
      <c r="AX65" s="269"/>
      <c r="AY65" s="269"/>
      <c r="AZ65" s="269"/>
      <c r="BA65" s="269"/>
      <c r="BB65" s="269"/>
      <c r="BC65" s="269"/>
      <c r="BD65" s="269"/>
      <c r="BE65" s="269"/>
      <c r="BF65" s="269"/>
      <c r="BG65" s="269"/>
    </row>
    <row r="66" spans="4:59">
      <c r="D66" s="269"/>
      <c r="E66" s="269"/>
      <c r="F66" s="269"/>
      <c r="G66" s="269"/>
      <c r="H66" s="269"/>
      <c r="I66" s="269"/>
      <c r="J66" s="269"/>
      <c r="K66" s="269"/>
      <c r="L66" s="269"/>
      <c r="M66" s="269"/>
      <c r="N66" s="269"/>
      <c r="O66" s="269"/>
      <c r="P66" s="269"/>
      <c r="Q66" s="269"/>
      <c r="R66" s="269"/>
      <c r="S66" s="269"/>
      <c r="T66" s="269"/>
      <c r="U66" s="269"/>
      <c r="V66" s="269"/>
      <c r="W66" s="269"/>
      <c r="X66" s="275"/>
      <c r="Y66" s="269"/>
      <c r="Z66" s="36" t="s">
        <v>49</v>
      </c>
      <c r="AA66" s="224">
        <v>0.65</v>
      </c>
      <c r="AB66" s="275" t="s">
        <v>18</v>
      </c>
      <c r="AC66" s="269"/>
      <c r="AD66" s="277"/>
      <c r="AE66" s="277"/>
      <c r="AF66" s="277"/>
      <c r="AG66" s="277"/>
      <c r="AH66" s="277"/>
      <c r="AI66" s="277"/>
      <c r="AJ66" s="277"/>
      <c r="AK66" s="36" t="s">
        <v>49</v>
      </c>
      <c r="AL66" s="224">
        <v>0.31</v>
      </c>
      <c r="AM66" s="277" t="s">
        <v>18</v>
      </c>
      <c r="AN66" s="269"/>
      <c r="AO66" s="269"/>
      <c r="AP66" s="269"/>
      <c r="AQ66" s="269"/>
      <c r="AR66" s="269"/>
      <c r="AS66" s="269"/>
      <c r="AT66" s="269"/>
      <c r="AU66" s="269"/>
      <c r="AV66" s="269"/>
      <c r="AW66" s="269"/>
      <c r="AX66" s="269"/>
      <c r="AY66" s="269"/>
      <c r="AZ66" s="269"/>
      <c r="BA66" s="269"/>
      <c r="BB66" s="269"/>
      <c r="BC66" s="269"/>
      <c r="BD66" s="269"/>
      <c r="BE66" s="269"/>
      <c r="BF66" s="269"/>
      <c r="BG66" s="269"/>
    </row>
    <row r="67" spans="4:59">
      <c r="D67" s="269"/>
      <c r="E67" s="269"/>
      <c r="F67" s="269"/>
      <c r="G67" s="269"/>
      <c r="H67" s="269"/>
      <c r="I67" s="269"/>
      <c r="J67" s="269"/>
      <c r="K67" s="269"/>
      <c r="L67" s="269"/>
      <c r="M67" s="269"/>
      <c r="N67" s="269"/>
      <c r="O67" s="269"/>
      <c r="P67" s="269"/>
      <c r="Q67" s="269"/>
      <c r="R67" s="269"/>
      <c r="S67" s="269"/>
      <c r="T67" s="269"/>
      <c r="U67" s="269"/>
      <c r="V67" s="269"/>
      <c r="W67" s="269"/>
      <c r="X67" s="269"/>
      <c r="Y67" s="269"/>
      <c r="Z67" s="36" t="s">
        <v>27</v>
      </c>
      <c r="AA67" s="34"/>
      <c r="AB67" s="275" t="s">
        <v>33</v>
      </c>
      <c r="AC67" s="269"/>
      <c r="AD67" s="277"/>
      <c r="AE67" s="277"/>
      <c r="AF67" s="277"/>
      <c r="AG67" s="277"/>
      <c r="AH67" s="277"/>
      <c r="AI67" s="277"/>
      <c r="AJ67" s="277"/>
      <c r="AK67" s="36" t="s">
        <v>27</v>
      </c>
      <c r="AL67" s="34"/>
      <c r="AM67" s="277" t="s">
        <v>33</v>
      </c>
      <c r="AN67" s="269"/>
      <c r="AO67" s="269"/>
      <c r="AP67" s="269"/>
      <c r="AQ67" s="269"/>
      <c r="AR67" s="269"/>
      <c r="AS67" s="269"/>
      <c r="AT67" s="269"/>
      <c r="AU67" s="269"/>
      <c r="AV67" s="269"/>
      <c r="AW67" s="269"/>
      <c r="AX67" s="269"/>
      <c r="AY67" s="269"/>
      <c r="AZ67" s="269"/>
      <c r="BA67" s="269"/>
      <c r="BB67" s="269"/>
      <c r="BC67" s="269"/>
      <c r="BD67" s="269"/>
      <c r="BE67" s="269"/>
      <c r="BF67" s="269"/>
      <c r="BG67" s="269"/>
    </row>
    <row r="68" spans="4:59"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269"/>
      <c r="Q68" s="269"/>
      <c r="R68" s="269"/>
      <c r="S68" s="269"/>
      <c r="T68" s="269"/>
      <c r="U68" s="269"/>
      <c r="V68" s="269"/>
      <c r="W68" s="269"/>
      <c r="X68" s="269"/>
      <c r="Y68" s="269"/>
      <c r="Z68" s="67" t="s">
        <v>30</v>
      </c>
      <c r="AA68" s="37">
        <f>AA67*AA66</f>
        <v>0</v>
      </c>
      <c r="AB68" s="275" t="s">
        <v>18</v>
      </c>
      <c r="AC68" s="269"/>
      <c r="AD68" s="277"/>
      <c r="AE68" s="277"/>
      <c r="AF68" s="277"/>
      <c r="AG68" s="277"/>
      <c r="AH68" s="277"/>
      <c r="AI68" s="277"/>
      <c r="AJ68" s="277"/>
      <c r="AK68" s="67" t="s">
        <v>30</v>
      </c>
      <c r="AL68" s="37">
        <f>AL67*AL66</f>
        <v>0</v>
      </c>
      <c r="AM68" s="277" t="s">
        <v>18</v>
      </c>
      <c r="AN68" s="269"/>
      <c r="AO68" s="269"/>
      <c r="AP68" s="269"/>
      <c r="AQ68" s="269"/>
      <c r="AR68" s="269"/>
      <c r="AS68" s="269"/>
      <c r="AT68" s="269"/>
      <c r="AU68" s="269"/>
      <c r="AV68" s="269"/>
      <c r="AW68" s="269"/>
      <c r="AX68" s="269"/>
      <c r="AY68" s="269"/>
      <c r="AZ68" s="269"/>
      <c r="BA68" s="269"/>
      <c r="BB68" s="269"/>
      <c r="BC68" s="269"/>
      <c r="BD68" s="269"/>
      <c r="BE68" s="269"/>
      <c r="BF68" s="269"/>
      <c r="BG68" s="269"/>
    </row>
    <row r="69" spans="4:59">
      <c r="D69" s="269"/>
      <c r="E69" s="269"/>
      <c r="F69" s="269"/>
      <c r="G69" s="269"/>
      <c r="H69" s="269"/>
      <c r="I69" s="269"/>
      <c r="J69" s="269"/>
      <c r="K69" s="269"/>
      <c r="L69" s="269"/>
      <c r="M69" s="269"/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269"/>
      <c r="AB69" s="269"/>
      <c r="AC69" s="269"/>
      <c r="AD69" s="277"/>
      <c r="AE69" s="277"/>
      <c r="AF69" s="277"/>
      <c r="AG69" s="277"/>
      <c r="AH69" s="277"/>
      <c r="AI69" s="277"/>
      <c r="AJ69" s="277"/>
      <c r="AK69" s="277"/>
      <c r="AL69" s="277"/>
      <c r="AM69" s="277"/>
      <c r="AN69" s="269"/>
      <c r="AO69" s="269"/>
      <c r="AP69" s="269"/>
      <c r="AQ69" s="269"/>
      <c r="AR69" s="269"/>
      <c r="AS69" s="269"/>
      <c r="AT69" s="269"/>
      <c r="AU69" s="269"/>
      <c r="AV69" s="269"/>
      <c r="AW69" s="269"/>
      <c r="AX69" s="269"/>
      <c r="AY69" s="269"/>
      <c r="AZ69" s="269"/>
      <c r="BA69" s="269"/>
      <c r="BB69" s="269"/>
      <c r="BC69" s="269"/>
      <c r="BD69" s="269"/>
      <c r="BE69" s="269"/>
      <c r="BF69" s="269"/>
      <c r="BG69" s="269"/>
    </row>
    <row r="70" spans="4:59">
      <c r="D70" s="269"/>
      <c r="E70" s="269"/>
      <c r="F70" s="269"/>
      <c r="G70" s="269"/>
      <c r="H70" s="269"/>
      <c r="I70" s="269"/>
      <c r="J70" s="269"/>
      <c r="K70" s="269"/>
      <c r="L70" s="269"/>
      <c r="M70" s="269"/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75" t="s">
        <v>36</v>
      </c>
      <c r="AA70" s="269"/>
      <c r="AB70" s="269"/>
      <c r="AC70" s="269"/>
      <c r="AD70" s="277"/>
      <c r="AE70" s="277"/>
      <c r="AF70" s="277"/>
      <c r="AG70" s="277"/>
      <c r="AH70" s="277"/>
      <c r="AI70" s="277"/>
      <c r="AJ70" s="277"/>
      <c r="AK70" s="277"/>
      <c r="AL70" s="277"/>
      <c r="AM70" s="277"/>
      <c r="AN70" s="269"/>
      <c r="AO70" s="269"/>
      <c r="AP70" s="269"/>
      <c r="AQ70" s="269"/>
      <c r="AR70" s="269"/>
      <c r="AS70" s="269"/>
      <c r="AT70" s="269"/>
      <c r="AU70" s="269"/>
      <c r="AV70" s="269"/>
      <c r="AW70" s="269"/>
      <c r="AX70" s="269"/>
      <c r="AY70" s="269"/>
      <c r="AZ70" s="269"/>
      <c r="BA70" s="269"/>
      <c r="BB70" s="269"/>
      <c r="BC70" s="269"/>
      <c r="BD70" s="269"/>
      <c r="BE70" s="269"/>
      <c r="BF70" s="269"/>
      <c r="BG70" s="269"/>
    </row>
    <row r="71" spans="4:59">
      <c r="D71" s="269"/>
      <c r="E71" s="269"/>
      <c r="F71" s="269"/>
      <c r="G71" s="269"/>
      <c r="H71" s="269"/>
      <c r="I71" s="269"/>
      <c r="J71" s="269"/>
      <c r="K71" s="269"/>
      <c r="L71" s="269"/>
      <c r="M71" s="269"/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36" t="s">
        <v>49</v>
      </c>
      <c r="AA71" s="34">
        <v>12.26</v>
      </c>
      <c r="AB71" s="275" t="s">
        <v>18</v>
      </c>
      <c r="AC71" s="269"/>
      <c r="AD71" s="277"/>
      <c r="AE71" s="277"/>
      <c r="AF71" s="277"/>
      <c r="AG71" s="277"/>
      <c r="AH71" s="277"/>
      <c r="AI71" s="277"/>
      <c r="AJ71" s="277"/>
      <c r="AK71" s="277"/>
      <c r="AL71" s="277"/>
      <c r="AM71" s="277"/>
      <c r="AN71" s="269"/>
      <c r="AO71" s="269"/>
      <c r="AP71" s="269"/>
      <c r="AQ71" s="269"/>
      <c r="AR71" s="269"/>
      <c r="AS71" s="269"/>
      <c r="AT71" s="269"/>
      <c r="AU71" s="269"/>
      <c r="AV71" s="269"/>
      <c r="AW71" s="269"/>
      <c r="AX71" s="269"/>
      <c r="AY71" s="269"/>
      <c r="AZ71" s="269"/>
      <c r="BA71" s="269"/>
      <c r="BB71" s="269"/>
      <c r="BC71" s="269"/>
      <c r="BD71" s="269"/>
      <c r="BE71" s="269"/>
      <c r="BF71" s="269"/>
      <c r="BG71" s="269"/>
    </row>
    <row r="72" spans="4:59">
      <c r="D72" s="269"/>
      <c r="E72" s="269"/>
      <c r="F72" s="269"/>
      <c r="G72" s="269"/>
      <c r="H72" s="269"/>
      <c r="I72" s="269"/>
      <c r="J72" s="269"/>
      <c r="K72" s="269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36" t="s">
        <v>27</v>
      </c>
      <c r="AA72" s="34"/>
      <c r="AB72" s="275" t="s">
        <v>33</v>
      </c>
      <c r="AC72" s="269"/>
      <c r="AD72" s="277"/>
      <c r="AE72" s="277"/>
      <c r="AF72" s="277"/>
      <c r="AG72" s="277"/>
      <c r="AH72" s="277"/>
      <c r="AI72" s="277"/>
      <c r="AJ72" s="277"/>
      <c r="AK72" s="277"/>
      <c r="AL72" s="277"/>
      <c r="AM72" s="277"/>
      <c r="AN72" s="269"/>
      <c r="AO72" s="269"/>
      <c r="AP72" s="269"/>
      <c r="AQ72" s="269"/>
      <c r="AR72" s="269"/>
      <c r="AS72" s="269"/>
      <c r="AT72" s="269"/>
      <c r="AU72" s="269"/>
      <c r="AV72" s="269"/>
      <c r="AW72" s="379"/>
      <c r="AX72" s="379"/>
      <c r="AY72" s="269"/>
      <c r="AZ72" s="269"/>
      <c r="BA72" s="269"/>
      <c r="BB72" s="269"/>
      <c r="BC72" s="269"/>
      <c r="BD72" s="269"/>
      <c r="BE72" s="269"/>
      <c r="BF72" s="269"/>
      <c r="BG72" s="269"/>
    </row>
    <row r="73" spans="4:59"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67" t="s">
        <v>30</v>
      </c>
      <c r="AA73" s="37">
        <f>AA72*AA71</f>
        <v>0</v>
      </c>
      <c r="AB73" s="275" t="s">
        <v>18</v>
      </c>
      <c r="AC73" s="269"/>
      <c r="AD73" s="277"/>
      <c r="AE73" s="277"/>
      <c r="AF73" s="277"/>
      <c r="AG73" s="277"/>
      <c r="AH73" s="277"/>
      <c r="AI73" s="277"/>
      <c r="AJ73" s="277"/>
      <c r="AK73" s="277"/>
      <c r="AL73" s="277"/>
      <c r="AM73" s="277"/>
      <c r="AN73" s="269"/>
      <c r="AO73" s="269"/>
      <c r="AP73" s="269"/>
      <c r="AQ73" s="269"/>
      <c r="AR73" s="269"/>
      <c r="AS73" s="269"/>
      <c r="AT73" s="269"/>
      <c r="AU73" s="269"/>
      <c r="AV73" s="269"/>
      <c r="AW73" s="269"/>
      <c r="AX73" s="269"/>
      <c r="AY73" s="269"/>
      <c r="AZ73" s="269"/>
      <c r="BA73" s="269"/>
      <c r="BB73" s="269"/>
      <c r="BC73" s="269"/>
      <c r="BD73" s="269"/>
      <c r="BE73" s="269"/>
      <c r="BF73" s="269"/>
      <c r="BG73" s="269"/>
    </row>
    <row r="74" spans="4:59"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  <c r="AA74" s="269"/>
      <c r="AB74" s="269"/>
      <c r="AC74" s="269"/>
      <c r="AD74" s="269"/>
      <c r="AE74" s="269"/>
      <c r="AF74" s="269"/>
      <c r="AG74" s="269"/>
      <c r="AH74" s="269"/>
      <c r="AI74" s="269"/>
      <c r="AJ74" s="277"/>
      <c r="AK74" s="277"/>
      <c r="AL74" s="277"/>
      <c r="AM74" s="277"/>
      <c r="AN74" s="269"/>
      <c r="AO74" s="269"/>
      <c r="AP74" s="269"/>
      <c r="AQ74" s="269"/>
      <c r="AR74" s="269"/>
      <c r="AS74" s="269"/>
      <c r="AT74" s="269"/>
      <c r="AU74" s="269"/>
      <c r="AV74" s="269"/>
      <c r="AW74" s="269"/>
      <c r="AX74" s="269"/>
      <c r="AY74" s="269"/>
      <c r="AZ74" s="269"/>
      <c r="BA74" s="269"/>
      <c r="BB74" s="269"/>
      <c r="BC74" s="269"/>
      <c r="BD74" s="269"/>
      <c r="BE74" s="269"/>
      <c r="BF74" s="269"/>
      <c r="BG74" s="269"/>
    </row>
    <row r="75" spans="4:59"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269"/>
      <c r="AB75" s="269"/>
      <c r="AC75" s="269"/>
      <c r="AD75" s="269"/>
      <c r="AE75" s="269"/>
      <c r="AF75" s="269"/>
      <c r="AG75" s="269"/>
      <c r="AH75" s="269"/>
      <c r="AI75" s="269"/>
      <c r="AJ75" s="269"/>
      <c r="AK75" s="269"/>
      <c r="AL75" s="269"/>
      <c r="AM75" s="269"/>
      <c r="AN75" s="269"/>
      <c r="AO75" s="269"/>
      <c r="AP75" s="269"/>
      <c r="AQ75" s="269"/>
      <c r="AR75" s="269"/>
      <c r="AS75" s="269"/>
      <c r="AT75" s="269"/>
      <c r="AU75" s="269"/>
      <c r="AV75" s="269"/>
      <c r="AW75" s="269"/>
      <c r="AX75" s="269"/>
      <c r="AY75" s="269"/>
      <c r="AZ75" s="269"/>
      <c r="BA75" s="269"/>
      <c r="BB75" s="269"/>
      <c r="BC75" s="269"/>
      <c r="BD75" s="269"/>
      <c r="BE75" s="269"/>
      <c r="BF75" s="269"/>
      <c r="BG75" s="269"/>
    </row>
    <row r="76" spans="4:59">
      <c r="D76" s="269"/>
      <c r="E76" s="269"/>
      <c r="F76" s="269"/>
      <c r="G76" s="269"/>
      <c r="H76" s="269"/>
      <c r="I76" s="269"/>
      <c r="J76" s="269"/>
      <c r="K76" s="269"/>
      <c r="L76" s="269"/>
      <c r="M76" s="269"/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269"/>
      <c r="AB76" s="269"/>
      <c r="AC76" s="269"/>
      <c r="AD76" s="269"/>
      <c r="AE76" s="269"/>
      <c r="AF76" s="269"/>
      <c r="AG76" s="269"/>
      <c r="AH76" s="269"/>
      <c r="AI76" s="269"/>
      <c r="AJ76" s="269"/>
      <c r="AK76" s="269"/>
      <c r="AL76" s="269"/>
      <c r="AM76" s="269"/>
      <c r="AN76" s="269"/>
      <c r="AO76" s="269"/>
      <c r="AP76" s="269"/>
      <c r="AQ76" s="269"/>
      <c r="AR76" s="269"/>
      <c r="AS76" s="269"/>
      <c r="AT76" s="269"/>
      <c r="AU76" s="269"/>
      <c r="AV76" s="269"/>
      <c r="AW76" s="269"/>
      <c r="AX76" s="269"/>
      <c r="AY76" s="269"/>
      <c r="AZ76" s="269"/>
      <c r="BA76" s="269"/>
      <c r="BB76" s="269"/>
      <c r="BC76" s="269"/>
      <c r="BD76" s="269"/>
      <c r="BE76" s="269"/>
      <c r="BF76" s="269"/>
      <c r="BG76" s="269"/>
    </row>
    <row r="77" spans="4:59">
      <c r="D77" s="269"/>
      <c r="E77" s="269"/>
      <c r="F77" s="269"/>
      <c r="G77" s="269"/>
      <c r="H77" s="269"/>
      <c r="I77" s="269"/>
      <c r="J77" s="269"/>
      <c r="K77" s="269"/>
      <c r="L77" s="269"/>
      <c r="M77" s="269"/>
      <c r="N77" s="269"/>
      <c r="O77" s="269"/>
      <c r="P77" s="269"/>
      <c r="Q77" s="269"/>
      <c r="R77" s="269"/>
      <c r="S77" s="277" t="s">
        <v>187</v>
      </c>
      <c r="T77" s="277"/>
      <c r="U77" s="277"/>
      <c r="V77" s="277"/>
      <c r="W77" s="277"/>
      <c r="X77" s="277"/>
      <c r="Y77" s="277"/>
      <c r="Z77" s="277" t="s">
        <v>34</v>
      </c>
      <c r="AA77" s="277"/>
      <c r="AB77" s="277"/>
      <c r="AC77" s="269"/>
      <c r="AD77" s="269"/>
      <c r="AE77" s="269"/>
      <c r="AF77" s="269"/>
      <c r="AG77" s="269"/>
      <c r="AH77" s="269"/>
      <c r="AI77" s="269"/>
      <c r="AJ77" s="269"/>
      <c r="AK77" s="269"/>
      <c r="AL77" s="269"/>
      <c r="AM77" s="269"/>
      <c r="AN77" s="269"/>
      <c r="AO77" s="269"/>
      <c r="AP77" s="269"/>
      <c r="AQ77" s="269"/>
      <c r="AR77" s="269"/>
      <c r="AS77" s="269"/>
      <c r="AT77" s="269"/>
      <c r="AU77" s="269"/>
      <c r="AV77" s="269"/>
      <c r="AW77" s="269"/>
      <c r="AX77" s="269"/>
      <c r="AY77" s="269"/>
      <c r="AZ77" s="269"/>
      <c r="BA77" s="269"/>
      <c r="BB77" s="269"/>
      <c r="BC77" s="269"/>
      <c r="BD77" s="269"/>
      <c r="BE77" s="269"/>
      <c r="BF77" s="269"/>
      <c r="BG77" s="269"/>
    </row>
    <row r="78" spans="4:59">
      <c r="D78" s="269"/>
      <c r="E78" s="269"/>
      <c r="F78" s="269"/>
      <c r="G78" s="269"/>
      <c r="H78" s="269"/>
      <c r="I78" s="269"/>
      <c r="J78" s="269"/>
      <c r="K78" s="269"/>
      <c r="L78" s="269"/>
      <c r="M78" s="269"/>
      <c r="N78" s="269"/>
      <c r="O78" s="269"/>
      <c r="P78" s="269"/>
      <c r="Q78" s="269"/>
      <c r="R78" s="269"/>
      <c r="S78" s="15" t="s">
        <v>27</v>
      </c>
      <c r="U78" s="15" t="s">
        <v>40</v>
      </c>
      <c r="W78" s="15" t="s">
        <v>98</v>
      </c>
      <c r="X78" s="74">
        <f>Q64</f>
        <v>0</v>
      </c>
      <c r="Y78" s="15" t="s">
        <v>18</v>
      </c>
      <c r="Z78" s="36" t="s">
        <v>49</v>
      </c>
      <c r="AA78" s="34"/>
      <c r="AB78" s="277" t="s">
        <v>18</v>
      </c>
      <c r="AC78" s="269"/>
      <c r="AD78" s="269"/>
      <c r="AE78" s="269"/>
      <c r="AF78" s="269"/>
      <c r="AG78" s="269"/>
      <c r="AH78" s="269"/>
      <c r="AI78" s="269"/>
      <c r="AJ78" s="269"/>
      <c r="AK78" s="269"/>
      <c r="AL78" s="269"/>
      <c r="AM78" s="269"/>
      <c r="AN78" s="269"/>
      <c r="AO78" s="269"/>
      <c r="AP78" s="269"/>
      <c r="AQ78" s="269"/>
      <c r="AR78" s="269"/>
      <c r="AS78" s="269"/>
      <c r="AT78" s="269"/>
      <c r="AU78" s="269"/>
      <c r="AV78" s="269"/>
      <c r="AW78" s="269"/>
      <c r="AX78" s="269"/>
      <c r="AY78" s="269"/>
      <c r="AZ78" s="269"/>
      <c r="BA78" s="269"/>
      <c r="BB78" s="269"/>
      <c r="BC78" s="269"/>
      <c r="BD78" s="269"/>
      <c r="BE78" s="269"/>
      <c r="BF78" s="269"/>
      <c r="BG78" s="269"/>
    </row>
    <row r="79" spans="4:59"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15" t="s">
        <v>34</v>
      </c>
      <c r="T79" s="15">
        <f>AC52+Z53</f>
        <v>0</v>
      </c>
      <c r="U79" s="76" t="e">
        <f>T79/X78</f>
        <v>#DIV/0!</v>
      </c>
      <c r="Z79" s="36" t="s">
        <v>27</v>
      </c>
      <c r="AA79" s="34"/>
      <c r="AB79" s="277" t="s">
        <v>33</v>
      </c>
      <c r="AC79" s="269"/>
      <c r="AD79" s="269"/>
      <c r="AE79" s="269"/>
      <c r="AF79" s="269"/>
      <c r="AG79" s="269"/>
      <c r="AH79" s="269"/>
      <c r="AI79" s="269"/>
      <c r="AJ79" s="269"/>
      <c r="AK79" s="269"/>
      <c r="AL79" s="269"/>
      <c r="AM79" s="269"/>
      <c r="AN79" s="269"/>
      <c r="AO79" s="269"/>
      <c r="AP79" s="269"/>
      <c r="AQ79" s="269"/>
      <c r="AR79" s="269"/>
      <c r="AS79" s="269"/>
      <c r="AT79" s="269"/>
      <c r="AU79" s="269"/>
      <c r="AV79" s="269"/>
      <c r="AW79" s="269"/>
      <c r="AX79" s="269"/>
      <c r="AY79" s="269"/>
      <c r="AZ79" s="269"/>
      <c r="BA79" s="269"/>
      <c r="BB79" s="269"/>
      <c r="BC79" s="269"/>
      <c r="BD79" s="269"/>
      <c r="BE79" s="269"/>
      <c r="BF79" s="269"/>
      <c r="BG79" s="269"/>
    </row>
    <row r="80" spans="4:59"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269"/>
      <c r="Q80" s="269"/>
      <c r="R80" s="269"/>
      <c r="S80" s="15" t="s">
        <v>35</v>
      </c>
      <c r="T80" s="15">
        <f>AC73+Z74</f>
        <v>0</v>
      </c>
      <c r="U80" s="76" t="e">
        <f>T80/X78</f>
        <v>#DIV/0!</v>
      </c>
      <c r="Z80" s="67" t="s">
        <v>30</v>
      </c>
      <c r="AA80" s="37">
        <f>AA79*AA78</f>
        <v>0</v>
      </c>
      <c r="AB80" s="277" t="s">
        <v>18</v>
      </c>
      <c r="AC80" s="269"/>
      <c r="AD80" s="269"/>
      <c r="AE80" s="269"/>
      <c r="AF80" s="269"/>
      <c r="AG80" s="269"/>
      <c r="AH80" s="269"/>
      <c r="AI80" s="269"/>
      <c r="AJ80" s="269"/>
      <c r="AK80" s="269"/>
      <c r="AL80" s="269"/>
      <c r="AM80" s="269"/>
      <c r="AN80" s="269"/>
      <c r="AO80" s="269"/>
      <c r="AP80" s="269"/>
      <c r="AQ80" s="269"/>
      <c r="AR80" s="269"/>
      <c r="AS80" s="269"/>
      <c r="AT80" s="269"/>
      <c r="AU80" s="269"/>
      <c r="AV80" s="269"/>
      <c r="AW80" s="269"/>
      <c r="AX80" s="269"/>
      <c r="AY80" s="269"/>
      <c r="AZ80" s="269"/>
      <c r="BA80" s="269"/>
      <c r="BB80" s="269"/>
      <c r="BC80" s="269"/>
      <c r="BD80" s="269"/>
      <c r="BE80" s="269"/>
      <c r="BF80" s="269"/>
      <c r="BG80" s="269"/>
    </row>
    <row r="81" spans="4:59"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269"/>
      <c r="Q81" s="269"/>
      <c r="R81" s="269"/>
      <c r="S81" s="15" t="s">
        <v>36</v>
      </c>
      <c r="T81" s="277">
        <f>Q71+N72</f>
        <v>0</v>
      </c>
      <c r="U81" s="278" t="e">
        <f>T81/X78</f>
        <v>#DIV/0!</v>
      </c>
      <c r="V81" s="277"/>
      <c r="W81" s="277"/>
      <c r="Z81" s="277"/>
      <c r="AA81" s="277"/>
      <c r="AB81" s="277"/>
      <c r="AC81" s="269"/>
      <c r="AD81" s="269"/>
      <c r="AE81" s="269"/>
      <c r="AF81" s="269"/>
      <c r="AG81" s="269"/>
      <c r="AH81" s="269"/>
      <c r="AI81" s="269"/>
      <c r="AJ81" s="269"/>
      <c r="AK81" s="269"/>
      <c r="AL81" s="269"/>
      <c r="AM81" s="269"/>
      <c r="AN81" s="269"/>
      <c r="AO81" s="269"/>
      <c r="AP81" s="269"/>
      <c r="AQ81" s="269"/>
      <c r="AR81" s="269"/>
      <c r="AS81" s="269"/>
      <c r="AT81" s="269"/>
      <c r="AU81" s="269"/>
      <c r="AV81" s="269"/>
      <c r="AW81" s="269"/>
      <c r="AX81" s="269"/>
      <c r="AY81" s="269"/>
      <c r="AZ81" s="269"/>
      <c r="BA81" s="269"/>
      <c r="BB81" s="269"/>
      <c r="BC81" s="269"/>
      <c r="BD81" s="269"/>
      <c r="BE81" s="269"/>
      <c r="BF81" s="269"/>
      <c r="BG81" s="269"/>
    </row>
    <row r="82" spans="4:59">
      <c r="D82" s="269"/>
      <c r="E82" s="269"/>
      <c r="F82" s="269"/>
      <c r="G82" s="269"/>
      <c r="H82" s="269"/>
      <c r="I82" s="269"/>
      <c r="J82" s="269"/>
      <c r="K82" s="269"/>
      <c r="L82" s="269"/>
      <c r="M82" s="269"/>
      <c r="N82" s="269"/>
      <c r="O82" s="269"/>
      <c r="P82" s="269"/>
      <c r="Q82" s="269"/>
      <c r="R82" s="269"/>
      <c r="S82" s="15" t="s">
        <v>17</v>
      </c>
      <c r="T82" s="277">
        <f>SUM(T79:T81)</f>
        <v>0</v>
      </c>
      <c r="U82" s="278" t="e">
        <f>SUM(U79:U81)</f>
        <v>#DIV/0!</v>
      </c>
      <c r="V82" s="277"/>
      <c r="W82" s="277"/>
      <c r="X82" s="277"/>
      <c r="Y82" s="277"/>
      <c r="Z82" s="277"/>
      <c r="AA82" s="277"/>
      <c r="AB82" s="277"/>
      <c r="AC82" s="269"/>
      <c r="AD82" s="269"/>
      <c r="AE82" s="269"/>
      <c r="AF82" s="269"/>
      <c r="AG82" s="269"/>
      <c r="AH82" s="269"/>
      <c r="AI82" s="269"/>
      <c r="AJ82" s="269"/>
      <c r="AK82" s="269"/>
      <c r="AL82" s="269"/>
      <c r="AM82" s="269"/>
      <c r="AN82" s="269"/>
      <c r="AO82" s="269"/>
      <c r="AP82" s="269"/>
      <c r="AQ82" s="269"/>
      <c r="AR82" s="269"/>
      <c r="AS82" s="269"/>
      <c r="AT82" s="269"/>
      <c r="AU82" s="269"/>
      <c r="AV82" s="269"/>
      <c r="AW82" s="269"/>
      <c r="AX82" s="269"/>
      <c r="AY82" s="269"/>
      <c r="AZ82" s="269"/>
      <c r="BA82" s="269"/>
      <c r="BB82" s="269"/>
      <c r="BC82" s="269"/>
      <c r="BD82" s="269"/>
      <c r="BE82" s="269"/>
      <c r="BF82" s="269"/>
      <c r="BG82" s="269"/>
    </row>
    <row r="83" spans="4:59">
      <c r="D83" s="269"/>
      <c r="E83" s="269"/>
      <c r="F83" s="269"/>
      <c r="G83" s="269"/>
      <c r="H83" s="269"/>
      <c r="I83" s="269"/>
      <c r="J83" s="269"/>
      <c r="K83" s="269"/>
      <c r="L83" s="269"/>
      <c r="M83" s="269"/>
      <c r="N83" s="269"/>
      <c r="O83" s="269"/>
      <c r="P83" s="269"/>
      <c r="Q83" s="269"/>
      <c r="R83" s="269"/>
      <c r="S83" s="15" t="s">
        <v>37</v>
      </c>
      <c r="T83" s="145">
        <f>X78-T82</f>
        <v>0</v>
      </c>
      <c r="U83" s="278" t="e">
        <f>T83/X78</f>
        <v>#DIV/0!</v>
      </c>
      <c r="V83" s="277"/>
      <c r="W83" s="277"/>
      <c r="X83" s="277"/>
      <c r="Y83" s="277"/>
      <c r="Z83" s="277" t="s">
        <v>35</v>
      </c>
      <c r="AA83" s="277"/>
      <c r="AB83" s="277"/>
      <c r="AC83" s="269"/>
      <c r="AD83" s="269"/>
      <c r="AE83" s="269"/>
      <c r="AF83" s="269"/>
      <c r="AG83" s="269"/>
      <c r="AH83" s="269"/>
      <c r="AI83" s="269"/>
      <c r="AJ83" s="269"/>
      <c r="AK83" s="269"/>
      <c r="AL83" s="269"/>
      <c r="AM83" s="269"/>
      <c r="AN83" s="269"/>
      <c r="AO83" s="269"/>
      <c r="AP83" s="269"/>
      <c r="AQ83" s="269"/>
      <c r="AR83" s="269"/>
      <c r="AS83" s="269"/>
      <c r="AT83" s="269"/>
      <c r="AU83" s="269"/>
      <c r="AV83" s="269"/>
      <c r="AW83" s="269"/>
      <c r="AX83" s="269"/>
      <c r="AY83" s="269"/>
      <c r="AZ83" s="269"/>
      <c r="BA83" s="269"/>
      <c r="BB83" s="269"/>
      <c r="BC83" s="269"/>
      <c r="BD83" s="269"/>
      <c r="BE83" s="269"/>
      <c r="BF83" s="269"/>
      <c r="BG83" s="269"/>
    </row>
    <row r="84" spans="4:59">
      <c r="D84" s="269"/>
      <c r="E84" s="269"/>
      <c r="F84" s="269"/>
      <c r="G84" s="269"/>
      <c r="H84" s="269"/>
      <c r="I84" s="269"/>
      <c r="J84" s="269"/>
      <c r="K84" s="269"/>
      <c r="L84" s="269"/>
      <c r="M84" s="269"/>
      <c r="N84" s="269"/>
      <c r="O84" s="269"/>
      <c r="P84" s="269"/>
      <c r="Q84" s="269"/>
      <c r="R84" s="269"/>
      <c r="S84" s="277"/>
      <c r="T84" s="277"/>
      <c r="U84" s="277"/>
      <c r="V84" s="277"/>
      <c r="W84" s="277"/>
      <c r="X84" s="277"/>
      <c r="Y84" s="277"/>
      <c r="Z84" s="36" t="s">
        <v>49</v>
      </c>
      <c r="AA84" s="224"/>
      <c r="AB84" s="277" t="s">
        <v>18</v>
      </c>
      <c r="AC84" s="269"/>
      <c r="AD84" s="269"/>
      <c r="AE84" s="269"/>
      <c r="AF84" s="269"/>
      <c r="AG84" s="269"/>
      <c r="AH84" s="269"/>
      <c r="AI84" s="269"/>
      <c r="AJ84" s="269"/>
      <c r="AK84" s="269"/>
      <c r="AL84" s="269"/>
      <c r="AM84" s="269"/>
      <c r="AN84" s="269"/>
      <c r="AO84" s="269"/>
      <c r="AP84" s="269"/>
      <c r="AQ84" s="269"/>
      <c r="AR84" s="269"/>
      <c r="AS84" s="269"/>
      <c r="AT84" s="269"/>
      <c r="AU84" s="269"/>
      <c r="AV84" s="269"/>
      <c r="AW84" s="269"/>
      <c r="AX84" s="269"/>
      <c r="AY84" s="269"/>
      <c r="AZ84" s="269"/>
      <c r="BA84" s="269"/>
      <c r="BB84" s="269"/>
      <c r="BC84" s="269"/>
      <c r="BD84" s="269"/>
      <c r="BE84" s="269"/>
      <c r="BF84" s="269"/>
      <c r="BG84" s="269"/>
    </row>
    <row r="85" spans="4:59"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77"/>
      <c r="T85" s="277"/>
      <c r="U85" s="277"/>
      <c r="V85" s="277"/>
      <c r="W85" s="277"/>
      <c r="X85" s="277"/>
      <c r="Y85" s="277"/>
      <c r="Z85" s="36" t="s">
        <v>27</v>
      </c>
      <c r="AA85" s="34"/>
      <c r="AB85" s="277" t="s">
        <v>33</v>
      </c>
      <c r="AC85" s="269"/>
      <c r="AD85" s="269"/>
      <c r="AE85" s="269"/>
      <c r="AF85" s="269"/>
      <c r="AG85" s="269"/>
      <c r="AH85" s="269"/>
      <c r="AI85" s="269"/>
      <c r="AJ85" s="269"/>
      <c r="AK85" s="269"/>
      <c r="AL85" s="269"/>
      <c r="AM85" s="269"/>
      <c r="AN85" s="269"/>
      <c r="AO85" s="269"/>
      <c r="AP85" s="269"/>
      <c r="AQ85" s="269"/>
      <c r="AR85" s="269"/>
      <c r="AS85" s="269"/>
      <c r="AT85" s="269"/>
      <c r="AU85" s="269"/>
      <c r="AV85" s="269"/>
      <c r="AW85" s="269"/>
      <c r="AX85" s="269"/>
      <c r="AY85" s="269"/>
      <c r="AZ85" s="269"/>
      <c r="BA85" s="269"/>
      <c r="BB85" s="269"/>
      <c r="BC85" s="269"/>
      <c r="BD85" s="269"/>
      <c r="BE85" s="269"/>
      <c r="BF85" s="269"/>
      <c r="BG85" s="269"/>
    </row>
    <row r="86" spans="4:59"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269"/>
      <c r="Q86" s="269"/>
      <c r="R86" s="269"/>
      <c r="S86" s="277"/>
      <c r="T86" s="277"/>
      <c r="U86" s="277"/>
      <c r="V86" s="277"/>
      <c r="W86" s="277"/>
      <c r="X86" s="277"/>
      <c r="Y86" s="277"/>
      <c r="Z86" s="67" t="s">
        <v>30</v>
      </c>
      <c r="AA86" s="37">
        <f>AA85*AA84</f>
        <v>0</v>
      </c>
      <c r="AB86" s="277" t="s">
        <v>18</v>
      </c>
      <c r="AC86" s="269"/>
      <c r="AD86" s="269"/>
      <c r="AE86" s="269"/>
      <c r="AF86" s="269"/>
      <c r="AG86" s="269"/>
      <c r="AH86" s="269"/>
      <c r="AI86" s="269"/>
      <c r="AJ86" s="269"/>
      <c r="AK86" s="269"/>
      <c r="AL86" s="269"/>
      <c r="AM86" s="269"/>
      <c r="AN86" s="269"/>
      <c r="AO86" s="269"/>
      <c r="AP86" s="269"/>
      <c r="AQ86" s="269"/>
      <c r="AR86" s="269"/>
      <c r="AS86" s="269"/>
      <c r="AT86" s="269"/>
      <c r="AU86" s="269"/>
      <c r="AV86" s="269"/>
      <c r="AW86" s="269"/>
      <c r="AX86" s="269"/>
      <c r="AY86" s="269"/>
      <c r="AZ86" s="269"/>
      <c r="BA86" s="269"/>
      <c r="BB86" s="269"/>
      <c r="BC86" s="269"/>
      <c r="BD86" s="269"/>
      <c r="BE86" s="269"/>
      <c r="BF86" s="269"/>
      <c r="BG86" s="269"/>
    </row>
    <row r="87" spans="4:59"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269"/>
      <c r="Q87" s="269"/>
      <c r="R87" s="269"/>
      <c r="S87" s="277"/>
      <c r="T87" s="277"/>
      <c r="U87" s="277"/>
      <c r="V87" s="277"/>
      <c r="W87" s="277"/>
      <c r="X87" s="277"/>
      <c r="Y87" s="277"/>
      <c r="Z87" s="277"/>
      <c r="AA87" s="277"/>
      <c r="AB87" s="277"/>
      <c r="AC87" s="269"/>
      <c r="AD87" s="269"/>
      <c r="AE87" s="269"/>
      <c r="AF87" s="269"/>
      <c r="AG87" s="269"/>
      <c r="AH87" s="269"/>
      <c r="AI87" s="269"/>
      <c r="AJ87" s="269"/>
      <c r="AK87" s="269"/>
      <c r="AL87" s="269"/>
      <c r="AM87" s="269"/>
      <c r="AN87" s="269"/>
      <c r="AO87" s="269"/>
      <c r="AP87" s="269"/>
      <c r="AQ87" s="269"/>
      <c r="AR87" s="269"/>
      <c r="AS87" s="269"/>
      <c r="AT87" s="269"/>
      <c r="AU87" s="269"/>
      <c r="AV87" s="269"/>
      <c r="AW87" s="269"/>
      <c r="AX87" s="269"/>
      <c r="AY87" s="269"/>
      <c r="AZ87" s="269"/>
      <c r="BA87" s="269"/>
      <c r="BB87" s="269"/>
      <c r="BC87" s="269"/>
      <c r="BD87" s="269"/>
      <c r="BE87" s="269"/>
      <c r="BF87" s="269"/>
      <c r="BG87" s="269"/>
    </row>
    <row r="88" spans="4:59">
      <c r="D88" s="269"/>
      <c r="E88" s="269"/>
      <c r="F88" s="269"/>
      <c r="G88" s="269"/>
      <c r="H88" s="269"/>
      <c r="I88" s="269"/>
      <c r="J88" s="269"/>
      <c r="K88" s="269"/>
      <c r="L88" s="269"/>
      <c r="M88" s="269"/>
      <c r="N88" s="269"/>
      <c r="O88" s="269"/>
      <c r="P88" s="269"/>
      <c r="Q88" s="269"/>
      <c r="R88" s="269"/>
      <c r="S88" s="277"/>
      <c r="T88" s="277"/>
      <c r="U88" s="277"/>
      <c r="V88" s="277"/>
      <c r="W88" s="277"/>
      <c r="X88" s="277"/>
      <c r="Y88" s="277"/>
      <c r="Z88" s="277" t="s">
        <v>36</v>
      </c>
      <c r="AA88" s="277"/>
      <c r="AB88" s="277"/>
      <c r="AC88" s="269"/>
      <c r="AD88" s="269"/>
      <c r="AE88" s="269"/>
      <c r="AF88" s="269"/>
      <c r="AG88" s="269"/>
      <c r="AH88" s="269"/>
      <c r="AI88" s="269"/>
      <c r="AJ88" s="269"/>
      <c r="AK88" s="269"/>
      <c r="AL88" s="269"/>
      <c r="AM88" s="269"/>
      <c r="AN88" s="269"/>
      <c r="AO88" s="269"/>
      <c r="AP88" s="269"/>
      <c r="AQ88" s="269"/>
      <c r="AR88" s="269"/>
      <c r="AS88" s="269"/>
      <c r="AT88" s="269"/>
      <c r="AU88" s="269"/>
      <c r="AV88" s="269"/>
      <c r="AW88" s="269"/>
      <c r="AX88" s="269"/>
      <c r="AY88" s="269"/>
      <c r="AZ88" s="269"/>
      <c r="BA88" s="269"/>
      <c r="BB88" s="269"/>
      <c r="BC88" s="269"/>
      <c r="BD88" s="269"/>
      <c r="BE88" s="269"/>
      <c r="BF88" s="269"/>
      <c r="BG88" s="269"/>
    </row>
    <row r="89" spans="4:59">
      <c r="D89" s="269"/>
      <c r="E89" s="269"/>
      <c r="F89" s="269"/>
      <c r="G89" s="269"/>
      <c r="H89" s="269"/>
      <c r="I89" s="269"/>
      <c r="J89" s="269"/>
      <c r="K89" s="269"/>
      <c r="L89" s="269"/>
      <c r="M89" s="269"/>
      <c r="N89" s="269"/>
      <c r="O89" s="269"/>
      <c r="P89" s="269"/>
      <c r="Q89" s="269"/>
      <c r="R89" s="269"/>
      <c r="S89" s="277"/>
      <c r="T89" s="277"/>
      <c r="U89" s="277"/>
      <c r="V89" s="277"/>
      <c r="W89" s="277"/>
      <c r="X89" s="277"/>
      <c r="Y89" s="277"/>
      <c r="Z89" s="36" t="s">
        <v>49</v>
      </c>
      <c r="AA89" s="34"/>
      <c r="AB89" s="277" t="s">
        <v>18</v>
      </c>
      <c r="AC89" s="269"/>
      <c r="AD89" s="269"/>
      <c r="AE89" s="269"/>
      <c r="AF89" s="269"/>
      <c r="AG89" s="269"/>
      <c r="AH89" s="269"/>
      <c r="AI89" s="269"/>
      <c r="AJ89" s="269"/>
      <c r="AK89" s="269"/>
      <c r="AL89" s="269"/>
      <c r="AM89" s="269"/>
      <c r="AN89" s="269"/>
      <c r="AO89" s="269"/>
      <c r="AP89" s="269"/>
      <c r="AQ89" s="269"/>
      <c r="AR89" s="269"/>
      <c r="AS89" s="269"/>
      <c r="AT89" s="269"/>
      <c r="AU89" s="269"/>
      <c r="AV89" s="269"/>
      <c r="AW89" s="269"/>
      <c r="AX89" s="269"/>
      <c r="AY89" s="269"/>
      <c r="AZ89" s="269"/>
      <c r="BA89" s="269"/>
      <c r="BB89" s="269"/>
      <c r="BC89" s="269"/>
      <c r="BD89" s="269"/>
      <c r="BE89" s="269"/>
      <c r="BF89" s="269"/>
      <c r="BG89" s="269"/>
    </row>
    <row r="90" spans="4:59">
      <c r="D90" s="269"/>
      <c r="E90" s="269"/>
      <c r="F90" s="269"/>
      <c r="G90" s="269"/>
      <c r="H90" s="269"/>
      <c r="I90" s="269"/>
      <c r="J90" s="269"/>
      <c r="K90" s="269"/>
      <c r="L90" s="269"/>
      <c r="M90" s="269"/>
      <c r="N90" s="269"/>
      <c r="O90" s="269"/>
      <c r="P90" s="269"/>
      <c r="Q90" s="269"/>
      <c r="R90" s="269"/>
      <c r="S90" s="277"/>
      <c r="T90" s="277"/>
      <c r="U90" s="277"/>
      <c r="V90" s="277"/>
      <c r="W90" s="277"/>
      <c r="X90" s="277"/>
      <c r="Y90" s="277"/>
      <c r="Z90" s="36" t="s">
        <v>27</v>
      </c>
      <c r="AA90" s="34"/>
      <c r="AB90" s="277" t="s">
        <v>33</v>
      </c>
      <c r="AC90" s="269"/>
      <c r="AD90" s="269"/>
      <c r="AE90" s="269"/>
      <c r="AF90" s="269"/>
      <c r="AG90" s="269"/>
      <c r="AH90" s="269"/>
      <c r="AI90" s="269"/>
      <c r="AJ90" s="269"/>
      <c r="AK90" s="269"/>
      <c r="AL90" s="269"/>
      <c r="AM90" s="269"/>
      <c r="AN90" s="269"/>
      <c r="AO90" s="269"/>
      <c r="AP90" s="269"/>
      <c r="AQ90" s="269"/>
      <c r="AR90" s="269"/>
      <c r="AS90" s="269"/>
      <c r="AT90" s="269"/>
      <c r="AU90" s="269"/>
      <c r="AV90" s="269"/>
      <c r="AW90" s="269"/>
      <c r="AX90" s="269"/>
      <c r="AY90" s="269"/>
      <c r="AZ90" s="269"/>
      <c r="BA90" s="269"/>
      <c r="BB90" s="269"/>
      <c r="BC90" s="269"/>
      <c r="BD90" s="269"/>
      <c r="BE90" s="269"/>
      <c r="BF90" s="269"/>
      <c r="BG90" s="269"/>
    </row>
    <row r="91" spans="4:59">
      <c r="D91" s="269"/>
      <c r="E91" s="269"/>
      <c r="F91" s="269"/>
      <c r="G91" s="269"/>
      <c r="H91" s="269"/>
      <c r="I91" s="269"/>
      <c r="J91" s="269"/>
      <c r="K91" s="269"/>
      <c r="L91" s="269"/>
      <c r="M91" s="269"/>
      <c r="N91" s="269"/>
      <c r="O91" s="269"/>
      <c r="P91" s="269"/>
      <c r="Q91" s="269"/>
      <c r="R91" s="269"/>
      <c r="S91" s="277"/>
      <c r="T91" s="277"/>
      <c r="U91" s="277"/>
      <c r="V91" s="277"/>
      <c r="W91" s="277"/>
      <c r="X91" s="277"/>
      <c r="Y91" s="277"/>
      <c r="Z91" s="67" t="s">
        <v>30</v>
      </c>
      <c r="AA91" s="37">
        <f>AA90*AA89</f>
        <v>0</v>
      </c>
      <c r="AB91" s="277" t="s">
        <v>18</v>
      </c>
      <c r="AC91" s="269"/>
      <c r="AD91" s="269"/>
      <c r="AE91" s="269"/>
      <c r="AF91" s="269"/>
      <c r="AG91" s="269"/>
      <c r="AH91" s="269"/>
      <c r="AI91" s="269"/>
      <c r="AJ91" s="269"/>
      <c r="AK91" s="269"/>
      <c r="AL91" s="269"/>
      <c r="AM91" s="269"/>
      <c r="AN91" s="269"/>
      <c r="AO91" s="269"/>
      <c r="AP91" s="269"/>
      <c r="AQ91" s="269"/>
      <c r="AR91" s="269"/>
      <c r="AS91" s="269"/>
      <c r="AT91" s="269"/>
      <c r="AU91" s="269"/>
      <c r="AV91" s="269"/>
      <c r="AW91" s="269"/>
      <c r="AX91" s="269"/>
      <c r="AY91" s="269"/>
      <c r="AZ91" s="269"/>
      <c r="BA91" s="269"/>
      <c r="BB91" s="269"/>
      <c r="BC91" s="269"/>
      <c r="BD91" s="269"/>
      <c r="BE91" s="269"/>
      <c r="BF91" s="269"/>
      <c r="BG91" s="269"/>
    </row>
    <row r="92" spans="4:59">
      <c r="D92" s="269"/>
      <c r="E92" s="269"/>
      <c r="F92" s="269"/>
      <c r="G92" s="269"/>
      <c r="H92" s="269"/>
      <c r="I92" s="269"/>
      <c r="J92" s="269"/>
      <c r="K92" s="269"/>
      <c r="L92" s="269"/>
      <c r="M92" s="269"/>
      <c r="N92" s="269"/>
      <c r="O92" s="269"/>
      <c r="P92" s="269"/>
      <c r="Q92" s="269"/>
      <c r="R92" s="269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69"/>
      <c r="AD92" s="269"/>
      <c r="AE92" s="269"/>
      <c r="AF92" s="269"/>
      <c r="AG92" s="269"/>
      <c r="AH92" s="269"/>
      <c r="AI92" s="269"/>
      <c r="AJ92" s="269"/>
      <c r="AK92" s="269"/>
      <c r="AL92" s="269"/>
      <c r="AM92" s="269"/>
      <c r="AN92" s="269"/>
      <c r="AO92" s="269"/>
      <c r="AP92" s="269"/>
      <c r="AQ92" s="269"/>
      <c r="AR92" s="269"/>
      <c r="AS92" s="269"/>
      <c r="AT92" s="269"/>
      <c r="AU92" s="269"/>
      <c r="AV92" s="269"/>
      <c r="AW92" s="269"/>
      <c r="AX92" s="269"/>
      <c r="AY92" s="269"/>
      <c r="AZ92" s="269"/>
      <c r="BA92" s="269"/>
      <c r="BB92" s="269"/>
      <c r="BC92" s="269"/>
      <c r="BD92" s="269"/>
      <c r="BE92" s="269"/>
      <c r="BF92" s="269"/>
      <c r="BG92" s="269"/>
    </row>
    <row r="93" spans="4:59">
      <c r="D93" s="269"/>
      <c r="E93" s="269"/>
      <c r="F93" s="269"/>
      <c r="G93" s="269"/>
      <c r="H93" s="269"/>
      <c r="I93" s="269"/>
      <c r="J93" s="269"/>
      <c r="K93" s="269"/>
      <c r="L93" s="269"/>
      <c r="M93" s="269"/>
      <c r="N93" s="269"/>
      <c r="O93" s="269"/>
      <c r="P93" s="269"/>
      <c r="Q93" s="269"/>
      <c r="R93" s="269"/>
      <c r="S93" s="269"/>
      <c r="T93" s="269"/>
      <c r="U93" s="269"/>
      <c r="V93" s="269"/>
      <c r="W93" s="269"/>
      <c r="X93" s="269"/>
      <c r="Y93" s="269"/>
      <c r="Z93" s="269"/>
      <c r="AA93" s="269"/>
      <c r="AB93" s="269"/>
      <c r="AC93" s="269"/>
      <c r="AD93" s="269"/>
      <c r="AE93" s="269"/>
      <c r="AF93" s="269"/>
      <c r="AG93" s="269"/>
      <c r="AH93" s="269"/>
      <c r="AI93" s="269"/>
      <c r="AJ93" s="269"/>
      <c r="AK93" s="269"/>
      <c r="AL93" s="269"/>
      <c r="AM93" s="269"/>
      <c r="AN93" s="269"/>
      <c r="AO93" s="269"/>
      <c r="AP93" s="269"/>
      <c r="AQ93" s="269"/>
      <c r="AR93" s="269"/>
      <c r="AS93" s="269"/>
      <c r="AT93" s="269"/>
      <c r="AU93" s="269"/>
      <c r="AV93" s="269"/>
      <c r="AW93" s="269"/>
      <c r="AX93" s="269"/>
      <c r="AY93" s="269"/>
      <c r="AZ93" s="269"/>
      <c r="BA93" s="269"/>
      <c r="BB93" s="269"/>
      <c r="BC93" s="269"/>
      <c r="BD93" s="269"/>
      <c r="BE93" s="269"/>
      <c r="BF93" s="269"/>
      <c r="BG93" s="269"/>
    </row>
    <row r="94" spans="4:59">
      <c r="D94" s="269"/>
      <c r="E94" s="269"/>
      <c r="F94" s="269"/>
      <c r="G94" s="269"/>
      <c r="H94" s="269"/>
      <c r="I94" s="269"/>
      <c r="J94" s="269"/>
      <c r="K94" s="269"/>
      <c r="L94" s="269"/>
      <c r="M94" s="269"/>
      <c r="N94" s="269"/>
      <c r="O94" s="269"/>
      <c r="P94" s="269"/>
      <c r="Q94" s="269"/>
      <c r="R94" s="269"/>
      <c r="S94" s="269"/>
      <c r="T94" s="269"/>
      <c r="U94" s="269"/>
      <c r="V94" s="269"/>
      <c r="W94" s="269"/>
      <c r="X94" s="269"/>
      <c r="Y94" s="269"/>
      <c r="Z94" s="269"/>
      <c r="AA94" s="269"/>
      <c r="AB94" s="269"/>
      <c r="AC94" s="269"/>
      <c r="AD94" s="269"/>
      <c r="AE94" s="269"/>
      <c r="AF94" s="269"/>
      <c r="AG94" s="269"/>
      <c r="AH94" s="269"/>
      <c r="AI94" s="269"/>
      <c r="AJ94" s="269"/>
      <c r="AK94" s="269"/>
      <c r="AL94" s="269"/>
      <c r="AM94" s="269"/>
      <c r="AN94" s="269"/>
      <c r="AO94" s="269"/>
      <c r="AP94" s="269"/>
      <c r="AQ94" s="269"/>
      <c r="AR94" s="269"/>
      <c r="AS94" s="269"/>
      <c r="AT94" s="269"/>
      <c r="AU94" s="269"/>
      <c r="AV94" s="269"/>
      <c r="AW94" s="269"/>
      <c r="AX94" s="269"/>
      <c r="AY94" s="269"/>
      <c r="AZ94" s="269"/>
      <c r="BA94" s="269"/>
      <c r="BB94" s="269"/>
      <c r="BC94" s="269"/>
      <c r="BD94" s="269"/>
      <c r="BE94" s="269"/>
      <c r="BF94" s="269"/>
      <c r="BG94" s="269"/>
    </row>
    <row r="95" spans="4:59">
      <c r="D95" s="269"/>
      <c r="E95" s="269"/>
      <c r="F95" s="269"/>
      <c r="G95" s="269"/>
      <c r="H95" s="269"/>
      <c r="I95" s="269"/>
      <c r="J95" s="269"/>
      <c r="K95" s="269"/>
      <c r="L95" s="269"/>
      <c r="M95" s="269"/>
      <c r="N95" s="269"/>
      <c r="O95" s="269"/>
      <c r="P95" s="269"/>
      <c r="Q95" s="269"/>
      <c r="R95" s="269"/>
      <c r="S95" s="269"/>
      <c r="T95" s="269"/>
      <c r="U95" s="269"/>
      <c r="V95" s="269"/>
      <c r="W95" s="269"/>
      <c r="X95" s="269"/>
      <c r="Y95" s="269"/>
      <c r="Z95" s="269"/>
      <c r="AA95" s="269"/>
      <c r="AB95" s="269"/>
      <c r="AC95" s="269"/>
      <c r="AD95" s="269"/>
      <c r="AE95" s="269"/>
      <c r="AF95" s="269"/>
      <c r="AG95" s="269"/>
      <c r="AH95" s="269"/>
      <c r="AI95" s="269"/>
      <c r="AJ95" s="269"/>
      <c r="AK95" s="269"/>
      <c r="AL95" s="269"/>
      <c r="AM95" s="269"/>
      <c r="AN95" s="269"/>
      <c r="AO95" s="269"/>
      <c r="AP95" s="269"/>
      <c r="AQ95" s="269"/>
      <c r="AR95" s="269"/>
      <c r="AS95" s="269"/>
      <c r="AT95" s="269"/>
      <c r="AU95" s="269"/>
      <c r="AV95" s="269"/>
      <c r="AW95" s="269"/>
      <c r="AX95" s="269"/>
      <c r="AY95" s="269"/>
      <c r="AZ95" s="269"/>
      <c r="BA95" s="269"/>
      <c r="BB95" s="269"/>
      <c r="BC95" s="269"/>
      <c r="BD95" s="269"/>
      <c r="BE95" s="269"/>
      <c r="BF95" s="269"/>
      <c r="BG95" s="269"/>
    </row>
    <row r="96" spans="4:59">
      <c r="D96" s="269"/>
      <c r="E96" s="269"/>
      <c r="F96" s="269"/>
      <c r="G96" s="269"/>
      <c r="H96" s="269"/>
      <c r="I96" s="269"/>
      <c r="J96" s="269"/>
      <c r="K96" s="269"/>
      <c r="L96" s="269"/>
      <c r="M96" s="269"/>
      <c r="N96" s="269"/>
      <c r="O96" s="269"/>
      <c r="P96" s="269"/>
      <c r="Q96" s="269"/>
      <c r="R96" s="269"/>
      <c r="S96" s="269"/>
      <c r="T96" s="269"/>
      <c r="U96" s="269"/>
      <c r="V96" s="269"/>
      <c r="W96" s="269"/>
      <c r="X96" s="269"/>
      <c r="Y96" s="269"/>
      <c r="Z96" s="269"/>
      <c r="AA96" s="269"/>
      <c r="AB96" s="269"/>
      <c r="AC96" s="269"/>
      <c r="AD96" s="269"/>
      <c r="AE96" s="269"/>
      <c r="AF96" s="269"/>
      <c r="AG96" s="269"/>
      <c r="AH96" s="269"/>
      <c r="AI96" s="269"/>
      <c r="AJ96" s="269"/>
      <c r="AK96" s="269"/>
      <c r="AL96" s="269"/>
      <c r="AM96" s="269"/>
      <c r="AN96" s="269"/>
      <c r="AO96" s="269"/>
      <c r="AP96" s="269"/>
      <c r="AQ96" s="269"/>
      <c r="AR96" s="269"/>
      <c r="AS96" s="269"/>
      <c r="AT96" s="269"/>
      <c r="AU96" s="269"/>
      <c r="AV96" s="269"/>
      <c r="AW96" s="269"/>
      <c r="AX96" s="269"/>
      <c r="AY96" s="269"/>
      <c r="AZ96" s="269"/>
      <c r="BA96" s="269"/>
      <c r="BB96" s="269"/>
      <c r="BC96" s="269"/>
      <c r="BD96" s="269"/>
      <c r="BE96" s="269"/>
      <c r="BF96" s="269"/>
      <c r="BG96" s="269"/>
    </row>
    <row r="97" spans="4:59">
      <c r="D97" s="269"/>
      <c r="E97" s="269"/>
      <c r="F97" s="269"/>
      <c r="G97" s="269"/>
      <c r="H97" s="269"/>
      <c r="I97" s="269"/>
      <c r="J97" s="269"/>
      <c r="K97" s="269"/>
      <c r="L97" s="269"/>
      <c r="M97" s="269"/>
      <c r="N97" s="269"/>
      <c r="O97" s="269"/>
      <c r="P97" s="269"/>
      <c r="Q97" s="269"/>
      <c r="R97" s="269"/>
      <c r="S97" s="269"/>
      <c r="T97" s="269"/>
      <c r="U97" s="269"/>
      <c r="V97" s="269"/>
      <c r="W97" s="269"/>
      <c r="X97" s="269"/>
      <c r="Y97" s="269"/>
      <c r="Z97" s="269"/>
      <c r="AA97" s="269"/>
      <c r="AB97" s="269"/>
      <c r="AC97" s="269"/>
      <c r="AD97" s="269"/>
      <c r="AE97" s="269"/>
      <c r="AF97" s="269"/>
      <c r="AG97" s="269"/>
      <c r="AH97" s="269"/>
      <c r="AI97" s="269"/>
      <c r="AJ97" s="269"/>
      <c r="AK97" s="269"/>
      <c r="AL97" s="269"/>
      <c r="AM97" s="269"/>
      <c r="AN97" s="269"/>
      <c r="AO97" s="269"/>
      <c r="AP97" s="269"/>
      <c r="AQ97" s="269"/>
      <c r="AR97" s="269"/>
      <c r="AS97" s="269"/>
      <c r="AT97" s="269"/>
      <c r="AU97" s="269"/>
      <c r="AV97" s="269"/>
      <c r="AW97" s="269"/>
      <c r="AX97" s="269"/>
      <c r="AY97" s="269"/>
      <c r="AZ97" s="269"/>
      <c r="BA97" s="269"/>
      <c r="BB97" s="269"/>
      <c r="BC97" s="269"/>
      <c r="BD97" s="269"/>
      <c r="BE97" s="269"/>
      <c r="BF97" s="269"/>
      <c r="BG97" s="269"/>
    </row>
    <row r="98" spans="4:59">
      <c r="D98" s="269"/>
      <c r="E98" s="269"/>
      <c r="F98" s="269"/>
      <c r="G98" s="269"/>
      <c r="H98" s="269"/>
      <c r="I98" s="269"/>
      <c r="J98" s="269"/>
      <c r="K98" s="269"/>
      <c r="L98" s="269"/>
      <c r="M98" s="269"/>
      <c r="N98" s="269"/>
      <c r="O98" s="269"/>
      <c r="P98" s="269"/>
      <c r="Q98" s="269"/>
      <c r="R98" s="269"/>
      <c r="S98" s="269"/>
      <c r="T98" s="269"/>
      <c r="U98" s="269"/>
      <c r="V98" s="269"/>
      <c r="W98" s="269"/>
      <c r="X98" s="269"/>
      <c r="Y98" s="269"/>
      <c r="Z98" s="269"/>
      <c r="AA98" s="269"/>
      <c r="AB98" s="269"/>
      <c r="AC98" s="269"/>
      <c r="AD98" s="269"/>
      <c r="AE98" s="269"/>
      <c r="AF98" s="269"/>
      <c r="AG98" s="269"/>
      <c r="AH98" s="269"/>
      <c r="AI98" s="269"/>
      <c r="AJ98" s="269"/>
      <c r="AK98" s="269"/>
      <c r="AL98" s="269"/>
      <c r="AM98" s="269"/>
      <c r="AN98" s="269"/>
      <c r="AO98" s="269"/>
      <c r="AP98" s="269"/>
      <c r="AQ98" s="269"/>
      <c r="AR98" s="269"/>
      <c r="AS98" s="269"/>
      <c r="AT98" s="269"/>
      <c r="AU98" s="269"/>
      <c r="AV98" s="269"/>
      <c r="AW98" s="269"/>
      <c r="AX98" s="269"/>
      <c r="AY98" s="269"/>
      <c r="AZ98" s="269"/>
      <c r="BA98" s="269"/>
      <c r="BB98" s="269"/>
      <c r="BC98" s="269"/>
      <c r="BD98" s="269"/>
      <c r="BE98" s="269"/>
      <c r="BF98" s="269"/>
      <c r="BG98" s="269"/>
    </row>
    <row r="99" spans="4:59">
      <c r="D99" s="269"/>
      <c r="E99" s="269"/>
      <c r="F99" s="269"/>
      <c r="G99" s="269"/>
      <c r="H99" s="269"/>
      <c r="I99" s="269"/>
      <c r="J99" s="269"/>
      <c r="K99" s="269"/>
      <c r="L99" s="269"/>
      <c r="M99" s="269"/>
      <c r="N99" s="269"/>
      <c r="O99" s="269"/>
      <c r="P99" s="269"/>
      <c r="Q99" s="269"/>
      <c r="R99" s="269"/>
      <c r="S99" s="269"/>
      <c r="T99" s="269"/>
      <c r="U99" s="269"/>
      <c r="V99" s="269"/>
      <c r="W99" s="269"/>
      <c r="X99" s="269"/>
      <c r="Y99" s="269"/>
      <c r="Z99" s="269"/>
      <c r="AA99" s="269"/>
      <c r="AB99" s="269"/>
      <c r="AC99" s="269"/>
      <c r="AD99" s="269"/>
      <c r="AE99" s="269"/>
      <c r="AF99" s="269"/>
      <c r="AG99" s="269"/>
      <c r="AH99" s="269"/>
      <c r="AI99" s="269"/>
      <c r="AJ99" s="269"/>
      <c r="AK99" s="269"/>
      <c r="AL99" s="269"/>
      <c r="AM99" s="269"/>
      <c r="AN99" s="269"/>
      <c r="AO99" s="269"/>
      <c r="AP99" s="269"/>
      <c r="AQ99" s="269"/>
      <c r="AR99" s="269"/>
      <c r="AS99" s="269"/>
      <c r="AT99" s="269"/>
      <c r="AU99" s="269"/>
      <c r="AV99" s="269"/>
      <c r="AW99" s="269"/>
      <c r="AX99" s="269"/>
      <c r="AY99" s="269"/>
      <c r="AZ99" s="269"/>
      <c r="BA99" s="269"/>
      <c r="BB99" s="269"/>
      <c r="BC99" s="269"/>
      <c r="BD99" s="269"/>
      <c r="BE99" s="269"/>
      <c r="BF99" s="269"/>
      <c r="BG99" s="269"/>
    </row>
    <row r="100" spans="4:59">
      <c r="D100" s="269"/>
      <c r="E100" s="269"/>
      <c r="F100" s="269"/>
      <c r="G100" s="269"/>
      <c r="H100" s="269"/>
      <c r="I100" s="269"/>
      <c r="J100" s="269"/>
      <c r="K100" s="269"/>
      <c r="L100" s="269"/>
      <c r="M100" s="269"/>
      <c r="N100" s="269"/>
      <c r="O100" s="269"/>
      <c r="P100" s="269"/>
      <c r="Q100" s="269"/>
      <c r="R100" s="269"/>
      <c r="S100" s="269"/>
      <c r="T100" s="269"/>
      <c r="U100" s="269"/>
      <c r="V100" s="269"/>
      <c r="W100" s="269"/>
      <c r="X100" s="269"/>
      <c r="Y100" s="269"/>
      <c r="Z100" s="269"/>
      <c r="AA100" s="269"/>
      <c r="AB100" s="269"/>
      <c r="AC100" s="269"/>
      <c r="AD100" s="269"/>
      <c r="AE100" s="269"/>
      <c r="AF100" s="269"/>
      <c r="AG100" s="269"/>
      <c r="AH100" s="269"/>
      <c r="AI100" s="269"/>
      <c r="AJ100" s="269"/>
      <c r="AK100" s="269"/>
      <c r="AL100" s="269"/>
      <c r="AM100" s="269"/>
      <c r="AN100" s="269"/>
      <c r="AO100" s="269"/>
      <c r="AP100" s="269"/>
      <c r="AQ100" s="269"/>
      <c r="AR100" s="269"/>
      <c r="AS100" s="269"/>
      <c r="AT100" s="269"/>
      <c r="AU100" s="269"/>
      <c r="AV100" s="269"/>
      <c r="AW100" s="269"/>
      <c r="AX100" s="269"/>
      <c r="AY100" s="269"/>
      <c r="AZ100" s="269"/>
      <c r="BA100" s="269"/>
      <c r="BB100" s="269"/>
      <c r="BC100" s="269"/>
      <c r="BD100" s="269"/>
      <c r="BE100" s="269"/>
      <c r="BF100" s="269"/>
      <c r="BG100" s="269"/>
    </row>
    <row r="101" spans="4:59">
      <c r="D101" s="269"/>
      <c r="E101" s="269"/>
      <c r="F101" s="269"/>
      <c r="G101" s="269"/>
      <c r="H101" s="269"/>
      <c r="I101" s="269"/>
      <c r="J101" s="269"/>
      <c r="K101" s="269"/>
      <c r="L101" s="269"/>
      <c r="M101" s="269"/>
      <c r="N101" s="269"/>
      <c r="O101" s="269"/>
      <c r="P101" s="269"/>
      <c r="Q101" s="269"/>
      <c r="R101" s="269"/>
      <c r="S101" s="269"/>
      <c r="T101" s="269"/>
      <c r="U101" s="269"/>
      <c r="V101" s="269"/>
      <c r="W101" s="269"/>
      <c r="X101" s="269"/>
      <c r="Y101" s="269"/>
      <c r="Z101" s="269"/>
      <c r="AA101" s="269"/>
      <c r="AB101" s="269"/>
      <c r="AC101" s="269"/>
      <c r="AD101" s="269"/>
      <c r="AE101" s="269"/>
      <c r="AF101" s="269"/>
      <c r="AG101" s="269"/>
      <c r="AH101" s="269"/>
      <c r="AI101" s="269"/>
      <c r="AJ101" s="269"/>
      <c r="AK101" s="269"/>
      <c r="AL101" s="269"/>
      <c r="AM101" s="269"/>
      <c r="AN101" s="269"/>
      <c r="AO101" s="269"/>
      <c r="AP101" s="269"/>
      <c r="AQ101" s="269"/>
      <c r="AR101" s="269"/>
      <c r="AS101" s="269"/>
      <c r="AT101" s="269"/>
      <c r="AU101" s="269"/>
      <c r="AV101" s="269"/>
      <c r="AW101" s="269"/>
      <c r="AX101" s="269"/>
      <c r="AY101" s="269"/>
      <c r="AZ101" s="269"/>
      <c r="BA101" s="269"/>
      <c r="BB101" s="269"/>
      <c r="BC101" s="269"/>
      <c r="BD101" s="269"/>
      <c r="BE101" s="269"/>
      <c r="BF101" s="269"/>
      <c r="BG101" s="269"/>
    </row>
    <row r="102" spans="4:59">
      <c r="D102" s="269"/>
      <c r="E102" s="269"/>
      <c r="F102" s="269"/>
      <c r="G102" s="269"/>
      <c r="H102" s="269"/>
      <c r="I102" s="269"/>
      <c r="J102" s="269"/>
      <c r="K102" s="269"/>
      <c r="L102" s="269"/>
      <c r="M102" s="269"/>
      <c r="N102" s="269"/>
      <c r="O102" s="269"/>
      <c r="P102" s="269"/>
      <c r="Q102" s="269"/>
      <c r="R102" s="269"/>
      <c r="S102" s="269"/>
      <c r="T102" s="269"/>
      <c r="U102" s="269"/>
      <c r="V102" s="269"/>
      <c r="W102" s="269"/>
      <c r="X102" s="269"/>
      <c r="Y102" s="269"/>
      <c r="Z102" s="269"/>
      <c r="AA102" s="269"/>
      <c r="AB102" s="269"/>
      <c r="AC102" s="269"/>
      <c r="AD102" s="269"/>
      <c r="AE102" s="269"/>
      <c r="AF102" s="269"/>
      <c r="AG102" s="269"/>
      <c r="AH102" s="269"/>
      <c r="AI102" s="269"/>
      <c r="AJ102" s="269"/>
      <c r="AK102" s="269"/>
      <c r="AL102" s="269"/>
      <c r="AM102" s="269"/>
      <c r="AN102" s="269"/>
      <c r="AO102" s="269"/>
      <c r="AP102" s="269"/>
      <c r="AQ102" s="269"/>
      <c r="AR102" s="269"/>
      <c r="AS102" s="269"/>
      <c r="AT102" s="269"/>
      <c r="AU102" s="269"/>
      <c r="AV102" s="269"/>
      <c r="AW102" s="269"/>
      <c r="AX102" s="269"/>
      <c r="AY102" s="269"/>
      <c r="AZ102" s="269"/>
      <c r="BA102" s="269"/>
      <c r="BB102" s="269"/>
      <c r="BC102" s="269"/>
      <c r="BD102" s="269"/>
      <c r="BE102" s="269"/>
      <c r="BF102" s="269"/>
      <c r="BG102" s="269"/>
    </row>
    <row r="103" spans="4:59">
      <c r="D103" s="269"/>
      <c r="E103" s="269"/>
      <c r="F103" s="269"/>
      <c r="G103" s="269"/>
      <c r="H103" s="269"/>
      <c r="I103" s="269"/>
      <c r="J103" s="269"/>
      <c r="K103" s="269"/>
      <c r="L103" s="269"/>
      <c r="M103" s="269"/>
      <c r="N103" s="269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  <c r="AA103" s="269"/>
      <c r="AB103" s="269"/>
      <c r="AC103" s="269"/>
      <c r="AD103" s="269"/>
      <c r="AE103" s="269"/>
      <c r="AF103" s="269"/>
      <c r="AG103" s="269"/>
      <c r="AH103" s="269"/>
      <c r="AI103" s="269"/>
      <c r="AJ103" s="269"/>
      <c r="AK103" s="269"/>
      <c r="AL103" s="269"/>
      <c r="AM103" s="269"/>
      <c r="AN103" s="269"/>
      <c r="AO103" s="269"/>
      <c r="AP103" s="269"/>
      <c r="AQ103" s="269"/>
      <c r="AR103" s="269"/>
      <c r="AS103" s="269"/>
      <c r="AT103" s="269"/>
      <c r="AU103" s="269"/>
      <c r="AV103" s="269"/>
      <c r="AW103" s="269"/>
      <c r="AX103" s="269"/>
      <c r="AY103" s="269"/>
      <c r="AZ103" s="269"/>
      <c r="BA103" s="269"/>
      <c r="BB103" s="269"/>
      <c r="BC103" s="269"/>
      <c r="BD103" s="269"/>
      <c r="BE103" s="269"/>
      <c r="BF103" s="269"/>
      <c r="BG103" s="269"/>
    </row>
    <row r="104" spans="4:59">
      <c r="D104" s="269"/>
      <c r="E104" s="269"/>
      <c r="F104" s="269"/>
      <c r="G104" s="269"/>
      <c r="H104" s="269"/>
      <c r="I104" s="269"/>
      <c r="J104" s="269"/>
      <c r="K104" s="269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69"/>
      <c r="Y104" s="269"/>
      <c r="Z104" s="269"/>
      <c r="AA104" s="269"/>
      <c r="AB104" s="269"/>
      <c r="AC104" s="269"/>
      <c r="AD104" s="269"/>
      <c r="AE104" s="269"/>
      <c r="AF104" s="269"/>
      <c r="AG104" s="269"/>
      <c r="AH104" s="269"/>
      <c r="AI104" s="269"/>
      <c r="AJ104" s="269"/>
      <c r="AK104" s="269"/>
      <c r="AL104" s="269"/>
      <c r="AM104" s="269"/>
      <c r="AN104" s="269"/>
      <c r="AO104" s="269"/>
      <c r="AP104" s="269"/>
      <c r="AQ104" s="269"/>
      <c r="AR104" s="269"/>
      <c r="AS104" s="269"/>
      <c r="AT104" s="269"/>
      <c r="AU104" s="269"/>
      <c r="AV104" s="269"/>
      <c r="AW104" s="269"/>
      <c r="AX104" s="269"/>
      <c r="AY104" s="269"/>
      <c r="AZ104" s="269"/>
      <c r="BA104" s="269"/>
      <c r="BB104" s="269"/>
      <c r="BC104" s="269"/>
      <c r="BD104" s="269"/>
      <c r="BE104" s="269"/>
      <c r="BF104" s="269"/>
      <c r="BG104" s="269"/>
    </row>
    <row r="105" spans="4:59">
      <c r="D105" s="269"/>
      <c r="E105" s="269"/>
      <c r="F105" s="269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  <c r="AM105" s="269"/>
      <c r="AN105" s="269"/>
      <c r="AO105" s="269"/>
      <c r="AP105" s="269"/>
      <c r="AQ105" s="269"/>
      <c r="AR105" s="269"/>
      <c r="AS105" s="269"/>
      <c r="AT105" s="269"/>
      <c r="AU105" s="269"/>
      <c r="AV105" s="269"/>
      <c r="AW105" s="269"/>
      <c r="AX105" s="269"/>
      <c r="AY105" s="269"/>
      <c r="AZ105" s="269"/>
      <c r="BA105" s="269"/>
      <c r="BB105" s="269"/>
      <c r="BC105" s="269"/>
      <c r="BD105" s="269"/>
      <c r="BE105" s="269"/>
      <c r="BF105" s="269"/>
      <c r="BG105" s="269"/>
    </row>
    <row r="106" spans="4:59">
      <c r="D106" s="269"/>
      <c r="E106" s="269"/>
      <c r="F106" s="269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69"/>
      <c r="AN106" s="269"/>
      <c r="AO106" s="269"/>
      <c r="AP106" s="269"/>
      <c r="AQ106" s="269"/>
      <c r="AR106" s="269"/>
      <c r="AS106" s="269"/>
      <c r="AT106" s="269"/>
      <c r="AU106" s="269"/>
      <c r="AV106" s="269"/>
      <c r="AW106" s="269"/>
      <c r="AX106" s="269"/>
      <c r="AY106" s="269"/>
      <c r="AZ106" s="269"/>
      <c r="BA106" s="269"/>
      <c r="BB106" s="269"/>
      <c r="BC106" s="269"/>
      <c r="BD106" s="269"/>
      <c r="BE106" s="269"/>
      <c r="BF106" s="269"/>
      <c r="BG106" s="269"/>
    </row>
    <row r="107" spans="4:59">
      <c r="D107" s="269"/>
      <c r="E107" s="269"/>
      <c r="F107" s="269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  <c r="AM107" s="269"/>
      <c r="AN107" s="269"/>
      <c r="AO107" s="269"/>
      <c r="AP107" s="269"/>
      <c r="AQ107" s="269"/>
      <c r="AR107" s="269"/>
      <c r="AS107" s="269"/>
      <c r="AT107" s="269"/>
      <c r="AU107" s="269"/>
      <c r="AV107" s="269"/>
      <c r="AW107" s="269"/>
      <c r="AX107" s="269"/>
      <c r="AY107" s="269"/>
      <c r="AZ107" s="269"/>
      <c r="BA107" s="269"/>
      <c r="BB107" s="269"/>
      <c r="BC107" s="269"/>
      <c r="BD107" s="269"/>
      <c r="BE107" s="269"/>
      <c r="BF107" s="269"/>
      <c r="BG107" s="269"/>
    </row>
    <row r="108" spans="4:59">
      <c r="D108" s="269"/>
      <c r="E108" s="269"/>
      <c r="F108" s="269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69"/>
      <c r="AP108" s="269"/>
      <c r="AQ108" s="269"/>
      <c r="AR108" s="269"/>
      <c r="AS108" s="269"/>
      <c r="AT108" s="269"/>
      <c r="AU108" s="269"/>
      <c r="AV108" s="269"/>
      <c r="AW108" s="269"/>
      <c r="AX108" s="269"/>
      <c r="AY108" s="269"/>
      <c r="AZ108" s="269"/>
      <c r="BA108" s="269"/>
      <c r="BB108" s="269"/>
      <c r="BC108" s="269"/>
      <c r="BD108" s="269"/>
      <c r="BE108" s="269"/>
      <c r="BF108" s="269"/>
      <c r="BG108" s="269"/>
    </row>
    <row r="109" spans="4:59">
      <c r="D109" s="269"/>
      <c r="E109" s="269"/>
      <c r="F109" s="269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  <c r="AM109" s="269"/>
      <c r="AN109" s="269"/>
      <c r="AO109" s="269"/>
      <c r="AP109" s="269"/>
      <c r="AQ109" s="269"/>
      <c r="AR109" s="269"/>
      <c r="AS109" s="269"/>
      <c r="AT109" s="269"/>
      <c r="AU109" s="269"/>
      <c r="AV109" s="269"/>
      <c r="AW109" s="269"/>
      <c r="AX109" s="269"/>
      <c r="AY109" s="269"/>
      <c r="AZ109" s="269"/>
      <c r="BA109" s="269"/>
      <c r="BB109" s="269"/>
      <c r="BC109" s="269"/>
      <c r="BD109" s="269"/>
      <c r="BE109" s="269"/>
      <c r="BF109" s="269"/>
      <c r="BG109" s="269"/>
    </row>
    <row r="110" spans="4:59">
      <c r="D110" s="269"/>
      <c r="E110" s="269"/>
      <c r="F110" s="269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9"/>
      <c r="AV110" s="269"/>
      <c r="AW110" s="269"/>
      <c r="AX110" s="269"/>
      <c r="AY110" s="269"/>
      <c r="AZ110" s="269"/>
      <c r="BA110" s="269"/>
      <c r="BB110" s="269"/>
      <c r="BC110" s="269"/>
      <c r="BD110" s="269"/>
      <c r="BE110" s="269"/>
      <c r="BF110" s="269"/>
      <c r="BG110" s="269"/>
    </row>
    <row r="111" spans="4:59">
      <c r="D111" s="269"/>
      <c r="E111" s="269"/>
      <c r="F111" s="269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  <c r="AM111" s="269"/>
      <c r="AN111" s="269"/>
      <c r="AO111" s="269"/>
      <c r="AP111" s="269"/>
      <c r="AQ111" s="269"/>
      <c r="AR111" s="269"/>
      <c r="AS111" s="269"/>
      <c r="AT111" s="269"/>
      <c r="AU111" s="269"/>
      <c r="AV111" s="269"/>
      <c r="AW111" s="269"/>
      <c r="AX111" s="269"/>
      <c r="AY111" s="269"/>
      <c r="AZ111" s="269"/>
      <c r="BA111" s="269"/>
      <c r="BB111" s="269"/>
      <c r="BC111" s="269"/>
      <c r="BD111" s="269"/>
      <c r="BE111" s="269"/>
      <c r="BF111" s="269"/>
      <c r="BG111" s="269"/>
    </row>
    <row r="112" spans="4:59">
      <c r="D112" s="269"/>
      <c r="E112" s="269"/>
      <c r="F112" s="269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  <c r="AA112" s="269"/>
      <c r="AB112" s="269"/>
      <c r="AC112" s="269"/>
      <c r="AD112" s="269"/>
      <c r="AE112" s="269"/>
      <c r="AF112" s="269"/>
      <c r="AG112" s="269"/>
      <c r="AH112" s="269"/>
      <c r="AI112" s="269"/>
      <c r="AJ112" s="269"/>
      <c r="AK112" s="269"/>
      <c r="AL112" s="269"/>
      <c r="AM112" s="269"/>
      <c r="AN112" s="269"/>
      <c r="AO112" s="269"/>
      <c r="AP112" s="269"/>
      <c r="AQ112" s="269"/>
      <c r="AR112" s="269"/>
      <c r="AS112" s="269"/>
      <c r="AT112" s="269"/>
      <c r="AU112" s="269"/>
      <c r="AV112" s="269"/>
      <c r="AW112" s="269"/>
      <c r="AX112" s="269"/>
      <c r="AY112" s="269"/>
      <c r="AZ112" s="269"/>
      <c r="BA112" s="269"/>
      <c r="BB112" s="269"/>
      <c r="BC112" s="269"/>
      <c r="BD112" s="269"/>
      <c r="BE112" s="269"/>
      <c r="BF112" s="269"/>
      <c r="BG112" s="269"/>
    </row>
    <row r="113" spans="4:61">
      <c r="D113" s="269"/>
      <c r="E113" s="269"/>
      <c r="F113" s="269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  <c r="AA113" s="269"/>
      <c r="AB113" s="269"/>
      <c r="AC113" s="269"/>
      <c r="AD113" s="269"/>
      <c r="AE113" s="269"/>
      <c r="AF113" s="269"/>
      <c r="AG113" s="269"/>
      <c r="AH113" s="269"/>
      <c r="AI113" s="269"/>
      <c r="AJ113" s="269"/>
      <c r="AK113" s="269"/>
      <c r="AL113" s="269"/>
      <c r="AM113" s="269"/>
      <c r="AN113" s="269"/>
      <c r="AO113" s="269"/>
      <c r="AP113" s="269"/>
      <c r="AQ113" s="269"/>
      <c r="AR113" s="269"/>
      <c r="AS113" s="269"/>
      <c r="AT113" s="269"/>
      <c r="AU113" s="269"/>
      <c r="AV113" s="269"/>
      <c r="AW113" s="269"/>
      <c r="AX113" s="269"/>
      <c r="AY113" s="269"/>
      <c r="AZ113" s="269"/>
      <c r="BA113" s="269"/>
      <c r="BB113" s="269"/>
      <c r="BC113" s="269"/>
      <c r="BD113" s="269"/>
      <c r="BE113" s="269"/>
      <c r="BF113" s="269"/>
      <c r="BG113" s="269"/>
    </row>
    <row r="114" spans="4:61">
      <c r="D114" s="269"/>
      <c r="E114" s="269"/>
      <c r="F114" s="269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69"/>
      <c r="AL114" s="269"/>
      <c r="AM114" s="269"/>
      <c r="AN114" s="269"/>
      <c r="AO114" s="269"/>
      <c r="AP114" s="269"/>
      <c r="AQ114" s="269"/>
      <c r="AR114" s="269"/>
      <c r="AS114" s="269"/>
      <c r="AT114" s="269"/>
      <c r="AU114" s="269"/>
      <c r="AV114" s="269"/>
      <c r="AW114" s="269"/>
      <c r="AX114" s="269"/>
      <c r="AY114" s="269"/>
      <c r="AZ114" s="269"/>
      <c r="BA114" s="269"/>
      <c r="BB114" s="269"/>
      <c r="BC114" s="269"/>
      <c r="BD114" s="269"/>
      <c r="BE114" s="269"/>
      <c r="BF114" s="269"/>
      <c r="BG114" s="269"/>
    </row>
    <row r="115" spans="4:61">
      <c r="D115" s="269"/>
      <c r="E115" s="269"/>
      <c r="F115" s="269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  <c r="AL115" s="269"/>
      <c r="AM115" s="269"/>
      <c r="AN115" s="269"/>
      <c r="AO115" s="269"/>
      <c r="AP115" s="269"/>
      <c r="AQ115" s="269"/>
      <c r="AR115" s="269"/>
      <c r="AS115" s="269"/>
      <c r="AT115" s="269"/>
      <c r="AU115" s="269"/>
      <c r="AV115" s="269"/>
      <c r="AW115" s="269"/>
      <c r="AX115" s="269"/>
      <c r="AY115" s="269"/>
      <c r="AZ115" s="269"/>
      <c r="BA115" s="269"/>
      <c r="BB115" s="269"/>
      <c r="BC115" s="269"/>
      <c r="BD115" s="269"/>
      <c r="BE115" s="269"/>
      <c r="BF115" s="269"/>
      <c r="BG115" s="269"/>
      <c r="BH115" s="27"/>
      <c r="BI115" s="27"/>
    </row>
    <row r="116" spans="4:61">
      <c r="D116" s="269"/>
      <c r="E116" s="269"/>
      <c r="F116" s="269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  <c r="AL116" s="269"/>
      <c r="AM116" s="269"/>
      <c r="AN116" s="269"/>
      <c r="AO116" s="269"/>
      <c r="AP116" s="269"/>
      <c r="AQ116" s="269"/>
      <c r="AR116" s="269"/>
      <c r="AS116" s="269"/>
      <c r="AT116" s="269"/>
      <c r="AU116" s="269"/>
      <c r="AV116" s="269"/>
      <c r="AW116" s="269"/>
      <c r="AX116" s="269"/>
      <c r="AY116" s="269"/>
      <c r="AZ116" s="269"/>
      <c r="BA116" s="269"/>
      <c r="BB116" s="269"/>
      <c r="BC116" s="269"/>
      <c r="BD116" s="269"/>
      <c r="BE116" s="269"/>
      <c r="BF116" s="269"/>
      <c r="BG116" s="269"/>
      <c r="BI116" s="22"/>
    </row>
    <row r="117" spans="4:61">
      <c r="D117" s="269"/>
      <c r="E117" s="269"/>
      <c r="F117" s="269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  <c r="AL117" s="269"/>
      <c r="AM117" s="269"/>
      <c r="AN117" s="269"/>
      <c r="AO117" s="269"/>
      <c r="AP117" s="269"/>
      <c r="AQ117" s="269"/>
      <c r="AR117" s="269"/>
      <c r="AS117" s="269"/>
      <c r="AT117" s="269"/>
      <c r="AU117" s="269"/>
      <c r="AV117" s="269"/>
      <c r="AW117" s="269"/>
      <c r="AX117" s="269"/>
      <c r="AY117" s="269"/>
      <c r="AZ117" s="269"/>
      <c r="BA117" s="269"/>
      <c r="BB117" s="269"/>
      <c r="BC117" s="269"/>
      <c r="BD117" s="269"/>
      <c r="BE117" s="269"/>
      <c r="BF117" s="269"/>
      <c r="BG117" s="269"/>
    </row>
    <row r="118" spans="4:61">
      <c r="D118" s="269"/>
      <c r="E118" s="269"/>
      <c r="F118" s="269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  <c r="AK118" s="269"/>
      <c r="AL118" s="269"/>
      <c r="AM118" s="269"/>
      <c r="AN118" s="269"/>
      <c r="AO118" s="269"/>
      <c r="AP118" s="269"/>
      <c r="AQ118" s="269"/>
      <c r="AR118" s="269"/>
      <c r="AS118" s="269"/>
      <c r="AT118" s="269"/>
      <c r="AU118" s="269"/>
      <c r="AV118" s="269"/>
      <c r="AW118" s="269"/>
      <c r="AX118" s="269"/>
      <c r="AY118" s="269"/>
      <c r="AZ118" s="269"/>
      <c r="BA118" s="269"/>
      <c r="BB118" s="269"/>
      <c r="BC118" s="269"/>
      <c r="BD118" s="269"/>
      <c r="BE118" s="269"/>
      <c r="BF118" s="269"/>
      <c r="BG118" s="269"/>
      <c r="BH118" s="56"/>
    </row>
    <row r="119" spans="4:61">
      <c r="D119" s="269"/>
      <c r="E119" s="269"/>
      <c r="F119" s="269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  <c r="AL119" s="269"/>
      <c r="AM119" s="269"/>
      <c r="AN119" s="269"/>
      <c r="AO119" s="269"/>
      <c r="AP119" s="269"/>
      <c r="AQ119" s="269"/>
      <c r="AR119" s="269"/>
      <c r="AS119" s="269"/>
      <c r="AT119" s="269"/>
      <c r="AU119" s="269"/>
      <c r="AV119" s="269"/>
      <c r="AW119" s="269"/>
      <c r="AX119" s="269"/>
      <c r="AY119" s="269"/>
      <c r="AZ119" s="269"/>
      <c r="BA119" s="269"/>
      <c r="BB119" s="269"/>
      <c r="BC119" s="269"/>
      <c r="BD119" s="269"/>
      <c r="BE119" s="269"/>
      <c r="BF119" s="269"/>
      <c r="BG119" s="269"/>
    </row>
    <row r="120" spans="4:61">
      <c r="D120" s="269"/>
      <c r="E120" s="269"/>
      <c r="F120" s="269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  <c r="AK120" s="269"/>
      <c r="AL120" s="269"/>
      <c r="AM120" s="269"/>
      <c r="AN120" s="269"/>
      <c r="AO120" s="269"/>
      <c r="AP120" s="269"/>
      <c r="AQ120" s="269"/>
      <c r="AR120" s="269"/>
      <c r="AS120" s="269"/>
      <c r="AT120" s="269"/>
      <c r="AU120" s="269"/>
      <c r="AV120" s="269"/>
      <c r="AW120" s="269"/>
      <c r="AX120" s="269"/>
      <c r="AY120" s="269"/>
      <c r="AZ120" s="269"/>
      <c r="BA120" s="269"/>
      <c r="BB120" s="269"/>
      <c r="BC120" s="269"/>
      <c r="BD120" s="269"/>
      <c r="BE120" s="269"/>
      <c r="BF120" s="269"/>
      <c r="BG120" s="269"/>
    </row>
    <row r="121" spans="4:61">
      <c r="D121" s="269"/>
      <c r="E121" s="269"/>
      <c r="F121" s="269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  <c r="AK121" s="269"/>
      <c r="AL121" s="269"/>
      <c r="AM121" s="269"/>
      <c r="AN121" s="269"/>
      <c r="AO121" s="269"/>
      <c r="AP121" s="269"/>
      <c r="AQ121" s="269"/>
      <c r="AR121" s="269"/>
      <c r="AS121" s="269"/>
      <c r="AT121" s="269"/>
      <c r="AU121" s="269"/>
      <c r="AV121" s="269"/>
      <c r="AW121" s="269"/>
      <c r="AX121" s="269"/>
      <c r="AY121" s="269"/>
      <c r="AZ121" s="269"/>
      <c r="BA121" s="269"/>
      <c r="BB121" s="269"/>
      <c r="BC121" s="269"/>
      <c r="BD121" s="269"/>
      <c r="BE121" s="269"/>
      <c r="BF121" s="269"/>
      <c r="BG121" s="269"/>
    </row>
    <row r="122" spans="4:61">
      <c r="D122" s="269"/>
      <c r="E122" s="269"/>
      <c r="F122" s="269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  <c r="AA122" s="269"/>
      <c r="AB122" s="269"/>
      <c r="AC122" s="269"/>
      <c r="AD122" s="269"/>
      <c r="AE122" s="269"/>
      <c r="AF122" s="269"/>
      <c r="AG122" s="269"/>
      <c r="AH122" s="269"/>
      <c r="AI122" s="269"/>
      <c r="AJ122" s="269"/>
      <c r="AK122" s="269"/>
      <c r="AL122" s="269"/>
      <c r="AM122" s="269"/>
      <c r="AN122" s="269"/>
      <c r="AO122" s="269"/>
      <c r="AP122" s="269"/>
      <c r="AQ122" s="269"/>
      <c r="AR122" s="269"/>
      <c r="AS122" s="269"/>
      <c r="AT122" s="269"/>
      <c r="AU122" s="269"/>
      <c r="AV122" s="379"/>
      <c r="AW122" s="379"/>
      <c r="AX122" s="269"/>
      <c r="AY122" s="269"/>
      <c r="AZ122" s="269"/>
      <c r="BA122" s="269"/>
      <c r="BB122" s="269"/>
      <c r="BC122" s="269"/>
      <c r="BD122" s="269"/>
      <c r="BE122" s="269"/>
      <c r="BF122" s="269"/>
      <c r="BG122" s="269"/>
    </row>
    <row r="123" spans="4:61">
      <c r="D123" s="269"/>
      <c r="E123" s="269"/>
      <c r="F123" s="269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  <c r="AL123" s="269"/>
      <c r="AM123" s="269"/>
      <c r="AN123" s="269"/>
      <c r="AO123" s="269"/>
      <c r="AP123" s="269"/>
      <c r="AQ123" s="269"/>
      <c r="AR123" s="269"/>
      <c r="AS123" s="269"/>
      <c r="AT123" s="269"/>
      <c r="AU123" s="269"/>
      <c r="AV123" s="269"/>
      <c r="AW123" s="269"/>
      <c r="AX123" s="269"/>
      <c r="AY123" s="269"/>
      <c r="AZ123" s="269"/>
      <c r="BA123" s="269"/>
      <c r="BB123" s="269"/>
      <c r="BC123" s="269"/>
      <c r="BD123" s="269"/>
      <c r="BE123" s="269"/>
      <c r="BF123" s="269"/>
      <c r="BG123" s="269"/>
    </row>
    <row r="124" spans="4:61">
      <c r="D124" s="269"/>
      <c r="E124" s="269"/>
      <c r="F124" s="269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  <c r="AK124" s="269"/>
      <c r="AL124" s="269"/>
      <c r="AM124" s="269"/>
      <c r="AN124" s="269"/>
      <c r="AO124" s="269"/>
      <c r="AP124" s="269"/>
      <c r="AQ124" s="269"/>
      <c r="AR124" s="269"/>
      <c r="AS124" s="269"/>
      <c r="AT124" s="269"/>
      <c r="AU124" s="269"/>
      <c r="AV124" s="269"/>
      <c r="AW124" s="269"/>
      <c r="AX124" s="269"/>
      <c r="AY124" s="269"/>
      <c r="AZ124" s="269"/>
      <c r="BA124" s="269"/>
      <c r="BB124" s="269"/>
      <c r="BC124" s="269"/>
      <c r="BD124" s="269"/>
      <c r="BE124" s="269"/>
      <c r="BF124" s="269"/>
      <c r="BG124" s="269"/>
    </row>
    <row r="125" spans="4:61">
      <c r="AR125" s="269"/>
    </row>
    <row r="126" spans="4:61">
      <c r="AR126" s="269"/>
      <c r="AT126" s="269"/>
    </row>
    <row r="127" spans="4:61">
      <c r="AR127" s="269"/>
    </row>
    <row r="128" spans="4:61">
      <c r="AR128" s="269"/>
      <c r="AS128" s="269"/>
      <c r="AT128" s="269"/>
      <c r="AU128" s="269"/>
      <c r="AV128" s="269"/>
      <c r="AW128" s="269"/>
      <c r="AX128" s="269"/>
      <c r="AY128" s="269"/>
      <c r="AZ128" s="269"/>
      <c r="BA128" s="269"/>
      <c r="BB128" s="269"/>
      <c r="BC128" s="269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Q36" zoomScale="80" zoomScaleNormal="80" workbookViewId="0">
      <selection activeCell="AC44" sqref="AC44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51"/>
      <c r="Z1" s="251"/>
      <c r="AA1" s="251"/>
      <c r="AB1" s="251"/>
      <c r="AC1" s="251"/>
      <c r="AD1" s="251"/>
      <c r="AE1" s="251"/>
      <c r="AF1" s="251"/>
      <c r="AG1" s="251"/>
      <c r="AH1" s="251"/>
      <c r="AI1" s="251"/>
      <c r="AJ1" s="251"/>
      <c r="AK1" s="251"/>
      <c r="AL1" s="251"/>
    </row>
    <row r="2" spans="9:38">
      <c r="AK2" s="251"/>
      <c r="AL2" s="251"/>
    </row>
    <row r="3" spans="9:38">
      <c r="AK3" s="251"/>
      <c r="AL3" s="251"/>
    </row>
    <row r="4" spans="9:38">
      <c r="AK4" s="251"/>
      <c r="AL4" s="251"/>
    </row>
    <row r="5" spans="9:38" ht="21" customHeight="1">
      <c r="I5" s="250"/>
      <c r="AK5" s="251"/>
      <c r="AL5" s="251"/>
    </row>
    <row r="6" spans="9:38">
      <c r="I6" s="251"/>
      <c r="AK6" s="251"/>
      <c r="AL6" s="251"/>
    </row>
    <row r="7" spans="9:38" ht="15.75" customHeight="1">
      <c r="I7" s="251"/>
      <c r="AK7" s="251"/>
      <c r="AL7" s="251"/>
    </row>
    <row r="8" spans="9:38">
      <c r="I8" s="251"/>
      <c r="AK8" s="251"/>
      <c r="AL8" s="251"/>
    </row>
    <row r="9" spans="9:38">
      <c r="I9" s="251"/>
      <c r="AK9" s="251"/>
      <c r="AL9" s="251"/>
    </row>
    <row r="10" spans="9:38">
      <c r="I10" s="251"/>
      <c r="AK10" s="251"/>
      <c r="AL10" s="251"/>
    </row>
    <row r="11" spans="9:38">
      <c r="AK11" s="251"/>
      <c r="AL11" s="251"/>
    </row>
    <row r="12" spans="9:38">
      <c r="AK12" s="251"/>
      <c r="AL12" s="251"/>
    </row>
    <row r="13" spans="9:38">
      <c r="AK13" s="251"/>
      <c r="AL13" s="251"/>
    </row>
    <row r="14" spans="9:38">
      <c r="Q14" s="22"/>
      <c r="T14" s="251"/>
      <c r="U14" s="251"/>
      <c r="V14" s="251"/>
      <c r="W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</row>
    <row r="15" spans="9:38">
      <c r="T15" s="251"/>
      <c r="U15" s="251"/>
      <c r="V15" s="251"/>
      <c r="W15" s="251"/>
      <c r="Y15" s="251"/>
      <c r="Z15" s="251"/>
      <c r="AA15" s="251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</row>
    <row r="16" spans="9:38" ht="21">
      <c r="AB16" s="102"/>
      <c r="AC16" s="251"/>
      <c r="AD16" s="251"/>
      <c r="AE16" s="251"/>
      <c r="AF16" s="251"/>
      <c r="AG16" s="251"/>
      <c r="AH16" s="251"/>
      <c r="AI16" s="251"/>
      <c r="AJ16" s="251"/>
      <c r="AK16" s="251"/>
    </row>
    <row r="17" spans="1:38">
      <c r="H17" s="250"/>
      <c r="Q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174</v>
      </c>
      <c r="N18" s="98"/>
      <c r="O18" s="98"/>
      <c r="Q18" s="251"/>
      <c r="W18" s="251"/>
      <c r="X18" s="251"/>
      <c r="Y18" s="101" t="s">
        <v>176</v>
      </c>
      <c r="Z18" s="101"/>
      <c r="AA18" s="101"/>
      <c r="AB18" s="251"/>
      <c r="AC18" s="251"/>
      <c r="AD18" s="251"/>
      <c r="AE18" s="251"/>
      <c r="AJ18" s="251"/>
      <c r="AK18" s="251"/>
      <c r="AL18" s="251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48.739058070724774</v>
      </c>
      <c r="H19" s="24" t="s">
        <v>100</v>
      </c>
      <c r="L19" s="47" t="s">
        <v>46</v>
      </c>
      <c r="M19" s="96"/>
      <c r="N19" s="96"/>
      <c r="O19" s="34"/>
      <c r="P19" s="34"/>
      <c r="Q19" s="251"/>
      <c r="AE19" s="251"/>
      <c r="AJ19" s="251"/>
      <c r="AK19" s="251"/>
      <c r="AL19" s="251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51"/>
      <c r="W20" s="251"/>
      <c r="X20" s="403" t="s">
        <v>22</v>
      </c>
      <c r="Y20" s="404"/>
      <c r="Z20" s="404"/>
      <c r="AA20" s="405"/>
      <c r="AB20" s="251"/>
      <c r="AC20" s="251"/>
      <c r="AD20" s="251"/>
      <c r="AK20" s="251"/>
      <c r="AL20" s="251"/>
    </row>
    <row r="21" spans="1:38" ht="18">
      <c r="A21" s="89" t="s">
        <v>16</v>
      </c>
      <c r="B21" s="198">
        <v>5</v>
      </c>
      <c r="C21" s="86">
        <f>B21/D21</f>
        <v>2.2727272727272725</v>
      </c>
      <c r="D21" s="86">
        <v>2.2000000000000002</v>
      </c>
      <c r="K21" s="251"/>
      <c r="O21" s="23"/>
      <c r="X21" s="16"/>
      <c r="Y21" s="17"/>
      <c r="Z21" s="18"/>
      <c r="AK21" s="251"/>
      <c r="AL21" s="251"/>
    </row>
    <row r="22" spans="1:38" ht="18">
      <c r="A22" s="84" t="s">
        <v>17</v>
      </c>
      <c r="B22" s="86">
        <f>SUM(B19:B21)</f>
        <v>105.10048999999999</v>
      </c>
      <c r="C22" s="86">
        <f>SUM(C19:C21)</f>
        <v>102.58712822772546</v>
      </c>
      <c r="D22" s="86">
        <f>B22/C22</f>
        <v>1.0244997770743256</v>
      </c>
      <c r="K22" s="251"/>
      <c r="L22" s="36" t="s">
        <v>3</v>
      </c>
      <c r="M22" s="34"/>
      <c r="N22" s="15" t="s">
        <v>18</v>
      </c>
      <c r="O22" s="36" t="s">
        <v>49</v>
      </c>
      <c r="P22" s="73"/>
      <c r="Q22" s="251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85.92</v>
      </c>
      <c r="AD22" s="251" t="s">
        <v>18</v>
      </c>
      <c r="AK22" s="251"/>
      <c r="AL22" s="251"/>
    </row>
    <row r="23" spans="1:38" ht="18">
      <c r="B23" s="87"/>
      <c r="C23" s="87"/>
      <c r="D23" s="87"/>
      <c r="E23" s="87"/>
      <c r="K23" s="251"/>
      <c r="L23" s="36" t="s">
        <v>4</v>
      </c>
      <c r="M23" s="34"/>
      <c r="N23" s="15" t="s">
        <v>18</v>
      </c>
      <c r="O23" s="36" t="s">
        <v>27</v>
      </c>
      <c r="P23" s="34"/>
      <c r="Q23" s="251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0.04/100</f>
        <v>4.0000000000000002E-4</v>
      </c>
      <c r="AD23" s="251" t="s">
        <v>33</v>
      </c>
      <c r="AK23" s="251"/>
      <c r="AL23" s="251"/>
    </row>
    <row r="24" spans="1:38">
      <c r="A24" s="161" t="s">
        <v>160</v>
      </c>
      <c r="B24" s="161"/>
      <c r="K24" s="251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251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3.4368000000000003E-2</v>
      </c>
      <c r="AD24" s="251" t="s">
        <v>18</v>
      </c>
      <c r="AK24" s="251"/>
      <c r="AL24" s="251"/>
    </row>
    <row r="25" spans="1:38">
      <c r="L25" s="67" t="s">
        <v>30</v>
      </c>
      <c r="M25" s="37">
        <f>P23*M24</f>
        <v>0</v>
      </c>
      <c r="N25" s="15" t="s">
        <v>18</v>
      </c>
      <c r="Q25" s="251"/>
      <c r="W25" s="251"/>
      <c r="X25" s="254" t="s">
        <v>30</v>
      </c>
      <c r="Y25" s="255"/>
      <c r="Z25" s="104">
        <f>AC23*Z24</f>
        <v>0</v>
      </c>
      <c r="AA25" s="15" t="s">
        <v>18</v>
      </c>
      <c r="AK25" s="251"/>
      <c r="AL25" s="251"/>
    </row>
    <row r="26" spans="1:38">
      <c r="A26" s="23"/>
      <c r="W26" s="251"/>
      <c r="X26" s="251"/>
      <c r="Y26" s="251"/>
      <c r="Z26" s="251"/>
      <c r="AA26" s="23"/>
      <c r="AL26" s="251"/>
    </row>
    <row r="27" spans="1:38">
      <c r="A27" s="23"/>
      <c r="I27" s="251"/>
      <c r="J27" s="251"/>
      <c r="K27" s="251"/>
      <c r="L27" s="251"/>
      <c r="AD27" s="31">
        <f>AC22+Z24</f>
        <v>85.92</v>
      </c>
      <c r="AE27" s="15">
        <f>AC24+Z25</f>
        <v>3.4368000000000003E-2</v>
      </c>
      <c r="AL27" s="251"/>
    </row>
    <row r="28" spans="1:38" ht="21">
      <c r="D28" s="143" t="s">
        <v>45</v>
      </c>
      <c r="E28" s="142">
        <f>B22-(C41+B44)</f>
        <v>103.50049</v>
      </c>
      <c r="F28" s="15" t="s">
        <v>18</v>
      </c>
      <c r="I28" s="251"/>
      <c r="J28" s="251"/>
      <c r="K28" s="251"/>
      <c r="L28" s="251"/>
    </row>
    <row r="29" spans="1:38">
      <c r="I29" s="251"/>
      <c r="J29" s="251"/>
      <c r="K29" s="251"/>
      <c r="L29" s="251"/>
      <c r="V29" s="251"/>
      <c r="W29" s="251"/>
      <c r="X29" s="251"/>
      <c r="AJ29" s="22"/>
    </row>
    <row r="30" spans="1:38" ht="21">
      <c r="I30" s="102"/>
      <c r="V30" s="251"/>
      <c r="W30" s="200">
        <f>AC22+Z24+AC43+V43</f>
        <v>87.63</v>
      </c>
      <c r="X30" s="251"/>
    </row>
    <row r="31" spans="1:38">
      <c r="V31" s="251"/>
      <c r="W31" s="251"/>
      <c r="X31" s="251"/>
    </row>
    <row r="33" spans="1:55">
      <c r="S33" s="15" t="s">
        <v>101</v>
      </c>
      <c r="T33" s="31">
        <f>P22-W30</f>
        <v>-87.63</v>
      </c>
      <c r="U33" s="15" t="s">
        <v>18</v>
      </c>
    </row>
    <row r="34" spans="1:55">
      <c r="D34" s="251"/>
      <c r="E34" s="251"/>
      <c r="F34" s="251"/>
      <c r="G34" s="251"/>
      <c r="H34" s="251"/>
      <c r="S34" s="15" t="s">
        <v>125</v>
      </c>
      <c r="T34" s="76">
        <f>T33/E28</f>
        <v>-0.84666265831205245</v>
      </c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</row>
    <row r="35" spans="1:55">
      <c r="D35" s="251"/>
      <c r="E35" s="251"/>
      <c r="F35" s="251"/>
      <c r="G35" s="251"/>
      <c r="H35" s="251"/>
      <c r="S35" s="15" t="s">
        <v>126</v>
      </c>
      <c r="T35" s="81">
        <f>T34*B49</f>
        <v>-4.1688673382969004</v>
      </c>
      <c r="U35" s="251" t="s">
        <v>18</v>
      </c>
      <c r="Z35" s="251"/>
    </row>
    <row r="36" spans="1:55">
      <c r="D36" s="251"/>
      <c r="E36" s="251"/>
      <c r="F36" s="251"/>
      <c r="G36" s="251"/>
      <c r="H36" s="200"/>
      <c r="P36" s="253"/>
      <c r="Q36" s="253"/>
      <c r="R36" s="16"/>
      <c r="U36" s="251"/>
      <c r="Z36" s="251"/>
    </row>
    <row r="37" spans="1:55">
      <c r="E37" s="30"/>
      <c r="Z37" s="251"/>
    </row>
    <row r="38" spans="1:55" ht="21">
      <c r="M38" s="98" t="s">
        <v>175</v>
      </c>
      <c r="N38" s="48"/>
      <c r="Z38" s="251"/>
      <c r="AP38" s="251"/>
      <c r="AQ38" s="251"/>
      <c r="AR38" s="251"/>
      <c r="AS38" s="251"/>
      <c r="AT38" s="251"/>
      <c r="AU38" s="251"/>
      <c r="AV38" s="251"/>
      <c r="AW38" s="251"/>
      <c r="AX38" s="251"/>
      <c r="AY38" s="251"/>
      <c r="AZ38" s="251"/>
      <c r="BA38" s="251"/>
      <c r="BB38" s="251"/>
    </row>
    <row r="39" spans="1:55" ht="21">
      <c r="A39" s="392" t="s">
        <v>6</v>
      </c>
      <c r="B39" s="392"/>
      <c r="C39" s="33">
        <v>0.31</v>
      </c>
      <c r="D39" s="15" t="s">
        <v>18</v>
      </c>
      <c r="E39" s="251"/>
      <c r="F39" s="251"/>
      <c r="G39" s="251"/>
      <c r="M39" s="248" t="s">
        <v>20</v>
      </c>
      <c r="N39" s="249"/>
      <c r="Y39" s="101" t="s">
        <v>177</v>
      </c>
      <c r="Z39" s="101"/>
      <c r="AA39" s="101"/>
      <c r="AP39" s="251"/>
      <c r="AQ39" s="251"/>
      <c r="AR39" s="251"/>
      <c r="AS39" s="251"/>
      <c r="AT39" s="251"/>
      <c r="AU39" s="251"/>
      <c r="AV39" s="251"/>
      <c r="AW39" s="251"/>
      <c r="AX39" s="251"/>
      <c r="AY39" s="251"/>
      <c r="AZ39" s="251"/>
      <c r="BA39" s="251"/>
      <c r="BB39" s="251"/>
    </row>
    <row r="40" spans="1:55">
      <c r="A40" s="392" t="s">
        <v>5</v>
      </c>
      <c r="B40" s="392"/>
      <c r="C40" s="33">
        <v>0.5</v>
      </c>
      <c r="D40" s="15" t="s">
        <v>18</v>
      </c>
      <c r="E40" s="251"/>
      <c r="F40" s="251"/>
      <c r="G40" s="251"/>
      <c r="S40" s="251"/>
      <c r="V40" s="251"/>
      <c r="X40" s="403" t="s">
        <v>23</v>
      </c>
      <c r="Y40" s="404"/>
      <c r="Z40" s="404"/>
      <c r="AA40" s="405"/>
      <c r="AB40" s="251"/>
      <c r="AK40" s="251"/>
      <c r="AP40" s="251"/>
      <c r="AQ40" s="251"/>
      <c r="AR40" s="251"/>
      <c r="AS40" s="251"/>
      <c r="AT40" s="251"/>
      <c r="AU40" s="251"/>
      <c r="AV40" s="251"/>
      <c r="AW40" s="251"/>
      <c r="AX40" s="251"/>
      <c r="AY40" s="251"/>
      <c r="AZ40" s="251"/>
      <c r="BA40" s="251"/>
      <c r="BB40" s="251"/>
    </row>
    <row r="41" spans="1:55">
      <c r="A41" s="400" t="s">
        <v>17</v>
      </c>
      <c r="B41" s="401"/>
      <c r="C41" s="91">
        <f>SUM(C39:C40)</f>
        <v>0.81</v>
      </c>
      <c r="D41" s="23" t="s">
        <v>18</v>
      </c>
      <c r="E41" s="251"/>
      <c r="F41" s="251"/>
      <c r="G41" s="251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7.2</v>
      </c>
      <c r="R41" s="251" t="s">
        <v>18</v>
      </c>
      <c r="S41" s="251"/>
      <c r="Z41" s="251"/>
      <c r="AK41" s="251"/>
      <c r="AP41" s="251"/>
      <c r="AQ41" s="251"/>
      <c r="AR41" s="251"/>
      <c r="AS41" s="251"/>
      <c r="AT41" s="251"/>
      <c r="AU41" s="251"/>
      <c r="AV41" s="251"/>
      <c r="AW41" s="251"/>
      <c r="AX41" s="251"/>
      <c r="AY41" s="251"/>
      <c r="AZ41" s="251"/>
      <c r="BA41" s="251"/>
      <c r="BB41" s="251"/>
    </row>
    <row r="42" spans="1:55">
      <c r="C42" s="251"/>
      <c r="D42" s="251"/>
      <c r="E42" s="251"/>
      <c r="F42" s="251"/>
      <c r="G42" s="251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41.55/100</f>
        <v>0.41549999999999998</v>
      </c>
      <c r="R42" s="251" t="s">
        <v>33</v>
      </c>
      <c r="S42" s="251"/>
      <c r="AE42" s="251"/>
      <c r="AF42" s="251"/>
      <c r="AG42" s="251"/>
      <c r="AH42" s="251"/>
      <c r="AI42" s="251"/>
      <c r="AJ42" s="251"/>
      <c r="AK42" s="251"/>
      <c r="AL42" s="251"/>
      <c r="AP42" s="251"/>
      <c r="AQ42" s="251"/>
      <c r="AR42" s="251"/>
      <c r="AS42" s="251"/>
      <c r="AT42" s="251"/>
      <c r="AU42" s="251"/>
      <c r="AV42" s="251"/>
      <c r="AW42" s="251"/>
      <c r="AX42" s="251"/>
      <c r="AY42" s="251"/>
      <c r="AZ42" s="251"/>
      <c r="BA42" s="251"/>
      <c r="BB42" s="251"/>
    </row>
    <row r="43" spans="1:55">
      <c r="A43" s="36" t="s">
        <v>44</v>
      </c>
      <c r="B43" s="33">
        <v>0.79</v>
      </c>
      <c r="C43" s="251" t="s">
        <v>18</v>
      </c>
      <c r="D43" s="251"/>
      <c r="E43" s="251"/>
      <c r="F43" s="251"/>
      <c r="G43" s="251"/>
      <c r="H43" s="252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2.9916</v>
      </c>
      <c r="R43" s="251" t="s">
        <v>18</v>
      </c>
      <c r="S43" s="251"/>
      <c r="U43" s="35" t="s">
        <v>53</v>
      </c>
      <c r="V43" s="33"/>
      <c r="W43" s="251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1.71</v>
      </c>
      <c r="AD43" s="251" t="s">
        <v>18</v>
      </c>
      <c r="AF43" s="251"/>
      <c r="AG43" s="251"/>
      <c r="AH43" s="251"/>
      <c r="AI43" s="251"/>
      <c r="AJ43" s="251"/>
      <c r="AK43" s="251"/>
      <c r="AL43" s="251"/>
      <c r="AP43" s="251"/>
      <c r="AQ43" s="251"/>
      <c r="AR43" s="251"/>
      <c r="AS43" s="251"/>
      <c r="AT43" s="251"/>
      <c r="AU43" s="251"/>
      <c r="AV43" s="251"/>
      <c r="AW43" s="251"/>
      <c r="AX43" s="251"/>
      <c r="AY43" s="251"/>
      <c r="AZ43" s="251"/>
      <c r="BA43" s="251"/>
      <c r="BB43" s="251"/>
    </row>
    <row r="44" spans="1:55">
      <c r="A44" s="92" t="s">
        <v>17</v>
      </c>
      <c r="B44" s="90">
        <f>SUM(B43)</f>
        <v>0.79</v>
      </c>
      <c r="C44" s="251" t="s">
        <v>18</v>
      </c>
      <c r="D44" s="251"/>
      <c r="E44" s="251"/>
      <c r="M44" s="67" t="s">
        <v>30</v>
      </c>
      <c r="N44" s="37">
        <f>Q42*N43</f>
        <v>0</v>
      </c>
      <c r="O44" s="15" t="s">
        <v>18</v>
      </c>
      <c r="U44" s="251"/>
      <c r="V44" s="251"/>
      <c r="W44" s="251"/>
      <c r="X44" s="105" t="s">
        <v>4</v>
      </c>
      <c r="Y44" s="106"/>
      <c r="Z44" s="34"/>
      <c r="AA44" s="15" t="s">
        <v>18</v>
      </c>
      <c r="AB44" s="36" t="s">
        <v>27</v>
      </c>
      <c r="AC44" s="34">
        <f>15.91/100</f>
        <v>0.15909999999999999</v>
      </c>
      <c r="AD44" s="251" t="s">
        <v>33</v>
      </c>
      <c r="AL44" s="251"/>
      <c r="AP44" s="251"/>
      <c r="AQ44" s="251"/>
      <c r="AR44" s="251"/>
      <c r="AS44" s="251"/>
      <c r="AT44" s="251"/>
      <c r="AU44" s="251"/>
      <c r="AV44" s="251"/>
      <c r="AW44" s="251"/>
      <c r="AX44" s="251"/>
      <c r="AY44" s="251"/>
      <c r="AZ44" s="251"/>
      <c r="BA44" s="251"/>
      <c r="BB44" s="251"/>
    </row>
    <row r="45" spans="1:55">
      <c r="C45" s="251"/>
      <c r="D45" s="251"/>
      <c r="E45" s="251"/>
      <c r="U45" s="251"/>
      <c r="V45" s="251"/>
      <c r="W45" s="251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0.272061</v>
      </c>
      <c r="AD45" s="251" t="s">
        <v>18</v>
      </c>
      <c r="AL45" s="251"/>
      <c r="AP45" s="251"/>
      <c r="AQ45" s="251"/>
      <c r="AR45" s="251"/>
      <c r="AS45" s="251"/>
      <c r="AT45" s="251"/>
      <c r="AU45" s="251"/>
      <c r="AV45" s="251"/>
      <c r="AW45" s="251"/>
      <c r="AX45" s="251"/>
      <c r="AY45" s="251"/>
      <c r="AZ45" s="251"/>
      <c r="BA45" s="251"/>
      <c r="BB45" s="251"/>
      <c r="BC45" s="251"/>
    </row>
    <row r="46" spans="1:55">
      <c r="A46" s="15" t="s">
        <v>66</v>
      </c>
      <c r="B46" s="15">
        <f>B43/D22</f>
        <v>0.77110802528040667</v>
      </c>
      <c r="C46" s="251" t="s">
        <v>62</v>
      </c>
      <c r="D46" s="251"/>
      <c r="E46" s="251"/>
      <c r="P46" s="31">
        <f>Q41+N43</f>
        <v>7.2</v>
      </c>
      <c r="Q46" s="15">
        <f>Q43+N44</f>
        <v>2.9916</v>
      </c>
      <c r="X46" s="254" t="s">
        <v>30</v>
      </c>
      <c r="Y46" s="255"/>
      <c r="Z46" s="104">
        <f>AC44*Z45</f>
        <v>0</v>
      </c>
      <c r="AA46" s="15" t="s">
        <v>18</v>
      </c>
      <c r="AF46" s="251"/>
      <c r="AP46" s="251"/>
      <c r="AQ46" s="251"/>
      <c r="AR46" s="251"/>
      <c r="AS46" s="251"/>
      <c r="AT46" s="251"/>
      <c r="AU46" s="251"/>
      <c r="AV46" s="251"/>
      <c r="AW46" s="251"/>
      <c r="AX46" s="251"/>
      <c r="AY46" s="251"/>
      <c r="AZ46" s="251"/>
      <c r="BA46" s="251"/>
      <c r="BB46" s="251"/>
      <c r="BC46" s="251"/>
    </row>
    <row r="47" spans="1:55">
      <c r="A47" s="15" t="s">
        <v>65</v>
      </c>
      <c r="B47" s="15">
        <f>C41/D22</f>
        <v>0.79062974743940428</v>
      </c>
      <c r="C47" s="15" t="s">
        <v>62</v>
      </c>
      <c r="AP47" s="251"/>
      <c r="AQ47" s="251"/>
      <c r="AR47" s="251"/>
      <c r="AS47" s="251"/>
      <c r="AT47" s="251"/>
      <c r="AU47" s="251"/>
      <c r="AV47" s="251"/>
      <c r="AW47" s="251"/>
      <c r="AX47" s="251"/>
      <c r="AY47" s="251"/>
      <c r="AZ47" s="251"/>
      <c r="BA47" s="251"/>
      <c r="BB47" s="251"/>
      <c r="BC47" s="251"/>
    </row>
    <row r="48" spans="1:55">
      <c r="A48" s="15" t="s">
        <v>67</v>
      </c>
      <c r="B48" s="15">
        <f>G19*(B46+B47)/1000</f>
        <v>7.6117627995835241E-2</v>
      </c>
      <c r="C48" s="15" t="s">
        <v>18</v>
      </c>
      <c r="E48" s="160"/>
      <c r="AP48" s="251"/>
      <c r="AQ48" s="251"/>
      <c r="AR48" s="251"/>
      <c r="AS48" s="251"/>
      <c r="AT48" s="251"/>
      <c r="AU48" s="251"/>
      <c r="AV48" s="251"/>
      <c r="AW48" s="251"/>
      <c r="AX48" s="251"/>
      <c r="AY48" s="251"/>
      <c r="AZ48" s="251"/>
      <c r="BA48" s="251"/>
      <c r="BB48" s="251"/>
    </row>
    <row r="49" spans="1:59">
      <c r="A49" s="15" t="s">
        <v>64</v>
      </c>
      <c r="B49" s="74">
        <f>B21-B48</f>
        <v>4.9238823720041651</v>
      </c>
      <c r="C49" s="15" t="s">
        <v>18</v>
      </c>
      <c r="AC49" s="31">
        <f>AC43+Z45</f>
        <v>1.71</v>
      </c>
      <c r="AD49" s="15">
        <f>AC45+Z46</f>
        <v>0.272061</v>
      </c>
      <c r="AP49" s="251"/>
      <c r="AQ49" s="251"/>
      <c r="AR49" s="251"/>
      <c r="AS49" s="251"/>
      <c r="AT49" s="251"/>
      <c r="AU49" s="251"/>
      <c r="AV49" s="379"/>
      <c r="AW49" s="379"/>
      <c r="AX49" s="379"/>
      <c r="AY49" s="379"/>
      <c r="AZ49" s="379"/>
      <c r="BA49" s="251"/>
      <c r="BB49" s="251"/>
    </row>
    <row r="50" spans="1:59">
      <c r="R50" s="251"/>
      <c r="S50" s="15" t="s">
        <v>27</v>
      </c>
      <c r="U50" s="15" t="s">
        <v>40</v>
      </c>
      <c r="W50" s="15" t="s">
        <v>98</v>
      </c>
      <c r="X50" s="74">
        <f>B49</f>
        <v>4.9238823720041651</v>
      </c>
      <c r="Y50" s="15" t="s">
        <v>18</v>
      </c>
      <c r="AP50" s="251"/>
      <c r="AQ50" s="251"/>
      <c r="AR50" s="251"/>
      <c r="AS50" s="251"/>
      <c r="AT50" s="251"/>
      <c r="AU50" s="251"/>
      <c r="AV50" s="251"/>
      <c r="AW50" s="251"/>
      <c r="AX50" s="251"/>
      <c r="AY50" s="251"/>
      <c r="AZ50" s="251"/>
      <c r="BA50" s="251"/>
      <c r="BB50" s="251"/>
    </row>
    <row r="51" spans="1:59">
      <c r="Q51" s="251"/>
      <c r="R51" s="251"/>
      <c r="S51" s="15" t="s">
        <v>34</v>
      </c>
      <c r="T51" s="15">
        <f>AC24+Z25</f>
        <v>3.4368000000000003E-2</v>
      </c>
      <c r="U51" s="76">
        <f>T51/X50</f>
        <v>6.9798580476672142E-3</v>
      </c>
      <c r="AP51" s="251"/>
      <c r="AQ51" s="251"/>
      <c r="AR51" s="251"/>
      <c r="AS51" s="251"/>
      <c r="AT51" s="251"/>
      <c r="AU51" s="251"/>
      <c r="AV51" s="251"/>
      <c r="AW51" s="251"/>
      <c r="AX51" s="251"/>
      <c r="AY51" s="251"/>
      <c r="AZ51" s="251"/>
      <c r="BA51" s="251"/>
      <c r="BB51" s="251"/>
    </row>
    <row r="52" spans="1:59">
      <c r="S52" s="15" t="s">
        <v>35</v>
      </c>
      <c r="T52" s="15">
        <f>AC45+Z46</f>
        <v>0.272061</v>
      </c>
      <c r="U52" s="76">
        <f>T52/X50</f>
        <v>5.5253350800348863E-2</v>
      </c>
      <c r="AP52" s="251"/>
      <c r="AQ52" s="251"/>
      <c r="AR52" s="251"/>
      <c r="AS52" s="251"/>
      <c r="AT52" s="251"/>
      <c r="AU52" s="251"/>
      <c r="AV52" s="251"/>
      <c r="AW52" s="251"/>
      <c r="AX52" s="251"/>
      <c r="AY52" s="251"/>
      <c r="AZ52" s="251"/>
      <c r="BA52" s="251"/>
      <c r="BB52" s="251"/>
    </row>
    <row r="53" spans="1:59"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15" t="s">
        <v>36</v>
      </c>
      <c r="T53" s="251">
        <f>Q43+N44</f>
        <v>2.9916</v>
      </c>
      <c r="U53" s="256">
        <f>T53/X50</f>
        <v>0.60756934751516634</v>
      </c>
      <c r="V53" s="251"/>
      <c r="W53" s="251"/>
      <c r="AN53" s="251"/>
      <c r="AO53" s="251"/>
      <c r="AP53" s="251"/>
      <c r="AQ53" s="251"/>
      <c r="AR53" s="251"/>
      <c r="AS53" s="251"/>
      <c r="AT53" s="251"/>
      <c r="AU53" s="251"/>
      <c r="AV53" s="251"/>
      <c r="AW53" s="251"/>
      <c r="AX53" s="251"/>
      <c r="AY53" s="251"/>
      <c r="AZ53" s="251"/>
      <c r="BA53" s="251"/>
      <c r="BB53" s="251"/>
      <c r="BC53" s="251"/>
      <c r="BD53" s="251"/>
      <c r="BE53" s="251"/>
      <c r="BF53" s="251"/>
      <c r="BG53" s="251"/>
    </row>
    <row r="54" spans="1:59">
      <c r="D54" s="379"/>
      <c r="E54" s="379"/>
      <c r="F54" s="379"/>
      <c r="G54" s="379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15" t="s">
        <v>17</v>
      </c>
      <c r="T54" s="251">
        <f>SUM(T51:T53)</f>
        <v>3.2980290000000001</v>
      </c>
      <c r="U54" s="256">
        <f>SUM(U51:U53)</f>
        <v>0.66980255636318242</v>
      </c>
      <c r="V54" s="251"/>
      <c r="W54" s="251"/>
      <c r="X54" s="251"/>
      <c r="Y54" s="251"/>
      <c r="Z54" s="251"/>
      <c r="AN54" s="251"/>
      <c r="AO54" s="251"/>
      <c r="AP54" s="251"/>
      <c r="AQ54" s="251"/>
      <c r="AR54" s="251"/>
      <c r="AS54" s="251"/>
      <c r="AT54" s="251"/>
      <c r="AU54" s="251"/>
      <c r="AV54" s="251"/>
      <c r="AW54" s="251"/>
      <c r="AX54" s="251"/>
      <c r="AY54" s="251"/>
      <c r="AZ54" s="251"/>
      <c r="BA54" s="251"/>
      <c r="BB54" s="251"/>
      <c r="BC54" s="251"/>
      <c r="BD54" s="251"/>
      <c r="BE54" s="251"/>
      <c r="BF54" s="251"/>
      <c r="BG54" s="251"/>
    </row>
    <row r="55" spans="1:59"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15" t="s">
        <v>37</v>
      </c>
      <c r="T55" s="145">
        <f>X50-T54</f>
        <v>1.625853372004165</v>
      </c>
      <c r="U55" s="256">
        <f>T55/X50</f>
        <v>0.33019744363681758</v>
      </c>
      <c r="V55" s="251"/>
      <c r="W55" s="251"/>
      <c r="X55" s="251"/>
      <c r="Y55" s="251"/>
      <c r="Z55" s="251"/>
      <c r="AN55" s="251"/>
      <c r="AO55" s="251"/>
      <c r="AP55" s="251"/>
      <c r="AQ55" s="251"/>
      <c r="AR55" s="251"/>
      <c r="AS55" s="251"/>
      <c r="AT55" s="251"/>
      <c r="AU55" s="251"/>
      <c r="AV55" s="251"/>
      <c r="AW55" s="251"/>
      <c r="AX55" s="251"/>
      <c r="AY55" s="251"/>
      <c r="AZ55" s="251"/>
      <c r="BA55" s="251"/>
      <c r="BB55" s="251"/>
      <c r="BC55" s="251"/>
      <c r="BD55" s="251"/>
      <c r="BE55" s="251"/>
      <c r="BF55" s="251"/>
      <c r="BG55" s="251"/>
    </row>
    <row r="56" spans="1:59"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T56" s="251"/>
      <c r="U56" s="251"/>
      <c r="V56" s="251"/>
      <c r="W56" s="251"/>
      <c r="X56" s="251"/>
      <c r="Y56" s="251"/>
      <c r="Z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1"/>
      <c r="AX56" s="251"/>
      <c r="AY56" s="251"/>
      <c r="AZ56" s="251"/>
      <c r="BA56" s="251"/>
      <c r="BB56" s="251"/>
      <c r="BC56" s="251"/>
      <c r="BD56" s="251"/>
      <c r="BE56" s="251"/>
      <c r="BF56" s="251"/>
      <c r="BG56" s="251"/>
    </row>
    <row r="57" spans="1:59"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W57" s="251"/>
      <c r="X57" s="251"/>
      <c r="Y57" s="251"/>
      <c r="Z57" s="251"/>
      <c r="AN57" s="251"/>
      <c r="AO57" s="251"/>
      <c r="AP57" s="251"/>
      <c r="AQ57" s="251"/>
      <c r="AR57" s="251"/>
      <c r="AS57" s="251"/>
      <c r="AT57" s="251"/>
      <c r="AU57" s="251"/>
      <c r="AV57" s="251"/>
      <c r="AW57" s="251"/>
      <c r="AX57" s="251"/>
      <c r="AY57" s="251"/>
      <c r="AZ57" s="251"/>
      <c r="BA57" s="251"/>
      <c r="BB57" s="251"/>
      <c r="BC57" s="251"/>
      <c r="BD57" s="251"/>
      <c r="BE57" s="251"/>
      <c r="BF57" s="251"/>
      <c r="BG57" s="251"/>
    </row>
    <row r="58" spans="1:59"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  <c r="AR58" s="251"/>
      <c r="AS58" s="251"/>
      <c r="AT58" s="251"/>
      <c r="AU58" s="251"/>
      <c r="AV58" s="251"/>
      <c r="AW58" s="251"/>
      <c r="AX58" s="251"/>
      <c r="AY58" s="251"/>
      <c r="AZ58" s="251"/>
      <c r="BA58" s="251"/>
      <c r="BB58" s="251"/>
      <c r="BC58" s="251"/>
      <c r="BD58" s="251"/>
      <c r="BE58" s="251"/>
      <c r="BF58" s="251"/>
      <c r="BG58" s="251"/>
    </row>
    <row r="59" spans="1:59"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1"/>
      <c r="AP59" s="251"/>
      <c r="AQ59" s="251"/>
      <c r="AR59" s="251"/>
      <c r="AS59" s="251"/>
      <c r="AT59" s="251"/>
      <c r="AU59" s="251"/>
      <c r="AV59" s="251"/>
      <c r="AW59" s="251"/>
      <c r="AX59" s="251"/>
      <c r="AY59" s="251"/>
      <c r="AZ59" s="251"/>
      <c r="BA59" s="251"/>
      <c r="BB59" s="251"/>
      <c r="BC59" s="251"/>
      <c r="BD59" s="251"/>
      <c r="BE59" s="251"/>
      <c r="BF59" s="251"/>
      <c r="BG59" s="251"/>
    </row>
    <row r="60" spans="1:59"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  <c r="AR60" s="251"/>
      <c r="AS60" s="251"/>
      <c r="AT60" s="251"/>
      <c r="AU60" s="251"/>
      <c r="AV60" s="251"/>
      <c r="AW60" s="251"/>
      <c r="AX60" s="251"/>
      <c r="AY60" s="251"/>
      <c r="AZ60" s="251"/>
      <c r="BA60" s="251"/>
      <c r="BB60" s="251"/>
      <c r="BC60" s="251"/>
      <c r="BD60" s="251"/>
      <c r="BE60" s="251"/>
      <c r="BF60" s="251"/>
      <c r="BG60" s="251"/>
    </row>
    <row r="61" spans="1:59"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  <c r="Z61" s="251"/>
      <c r="AA61" s="251"/>
      <c r="AB61" s="251"/>
      <c r="AC61" s="251"/>
      <c r="AD61" s="251"/>
      <c r="AE61" s="251"/>
      <c r="AF61" s="251"/>
      <c r="AG61" s="251"/>
      <c r="AH61" s="251"/>
      <c r="AI61" s="251"/>
      <c r="AJ61" s="251"/>
      <c r="AK61" s="251"/>
      <c r="AL61" s="251"/>
      <c r="AM61" s="251"/>
      <c r="AN61" s="251"/>
      <c r="AO61" s="251"/>
      <c r="AP61" s="251"/>
      <c r="AQ61" s="251"/>
      <c r="AR61" s="251"/>
      <c r="AS61" s="251"/>
      <c r="AT61" s="251"/>
      <c r="AU61" s="251"/>
      <c r="AV61" s="251"/>
      <c r="AW61" s="251"/>
      <c r="AX61" s="251"/>
      <c r="AY61" s="251"/>
      <c r="AZ61" s="251"/>
      <c r="BA61" s="251"/>
      <c r="BB61" s="251"/>
      <c r="BC61" s="251"/>
      <c r="BD61" s="251"/>
      <c r="BE61" s="251"/>
      <c r="BF61" s="251"/>
      <c r="BG61" s="251"/>
    </row>
    <row r="62" spans="1:59"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1"/>
      <c r="AF62" s="251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  <c r="BA62" s="251"/>
      <c r="BB62" s="251"/>
      <c r="BC62" s="251"/>
      <c r="BD62" s="251"/>
      <c r="BE62" s="251"/>
      <c r="BF62" s="251"/>
      <c r="BG62" s="251"/>
    </row>
    <row r="63" spans="1:59"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  <c r="Z63" s="251"/>
      <c r="AA63" s="251"/>
      <c r="AB63" s="251"/>
      <c r="AC63" s="251"/>
      <c r="AD63" s="251"/>
      <c r="AE63" s="251"/>
      <c r="AF63" s="251"/>
      <c r="AG63" s="251"/>
      <c r="AH63" s="251"/>
      <c r="AI63" s="251"/>
      <c r="AJ63" s="251"/>
      <c r="AK63" s="251"/>
      <c r="AL63" s="251"/>
      <c r="AM63" s="251"/>
      <c r="AN63" s="251"/>
      <c r="AO63" s="251"/>
      <c r="AP63" s="251"/>
      <c r="AQ63" s="251"/>
      <c r="AR63" s="251"/>
      <c r="AS63" s="251"/>
      <c r="AT63" s="251"/>
      <c r="AU63" s="251"/>
      <c r="AV63" s="251"/>
      <c r="AW63" s="251"/>
      <c r="AX63" s="251"/>
      <c r="AY63" s="251"/>
      <c r="AZ63" s="251"/>
      <c r="BA63" s="251"/>
      <c r="BB63" s="251"/>
      <c r="BC63" s="251"/>
      <c r="BD63" s="251"/>
      <c r="BE63" s="251"/>
      <c r="BF63" s="251"/>
      <c r="BG63" s="251"/>
    </row>
    <row r="64" spans="1:59"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  <c r="Z64" s="251"/>
      <c r="AA64" s="251"/>
      <c r="AB64" s="251"/>
      <c r="AC64" s="251"/>
      <c r="AD64" s="251"/>
      <c r="AE64" s="251"/>
      <c r="AF64" s="251"/>
      <c r="AG64" s="251"/>
      <c r="AH64" s="251"/>
      <c r="AI64" s="251"/>
      <c r="AJ64" s="251"/>
      <c r="AK64" s="251"/>
      <c r="AL64" s="251"/>
      <c r="AM64" s="251"/>
      <c r="AN64" s="251"/>
      <c r="AO64" s="251"/>
      <c r="AP64" s="251"/>
      <c r="AQ64" s="251"/>
      <c r="AR64" s="251"/>
      <c r="AS64" s="251"/>
      <c r="AT64" s="251"/>
      <c r="AU64" s="251"/>
      <c r="AV64" s="251"/>
      <c r="AW64" s="251"/>
      <c r="AX64" s="251"/>
      <c r="AY64" s="251"/>
      <c r="AZ64" s="251"/>
      <c r="BA64" s="251"/>
      <c r="BB64" s="251"/>
      <c r="BC64" s="251"/>
      <c r="BD64" s="251"/>
      <c r="BE64" s="251"/>
      <c r="BF64" s="251"/>
      <c r="BG64" s="251"/>
    </row>
    <row r="65" spans="4:59"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251"/>
      <c r="AA65" s="251"/>
      <c r="AB65" s="251"/>
      <c r="AC65" s="251"/>
      <c r="AD65" s="251"/>
      <c r="AE65" s="251"/>
      <c r="AF65" s="251"/>
      <c r="AG65" s="251"/>
      <c r="AH65" s="251"/>
      <c r="AI65" s="251"/>
      <c r="AJ65" s="251"/>
      <c r="AK65" s="251"/>
      <c r="AL65" s="251"/>
      <c r="AM65" s="251"/>
      <c r="AN65" s="251"/>
      <c r="AO65" s="251"/>
      <c r="AP65" s="251"/>
      <c r="AQ65" s="251"/>
      <c r="AR65" s="251"/>
      <c r="AS65" s="251"/>
      <c r="AT65" s="251"/>
      <c r="AU65" s="251"/>
      <c r="AV65" s="251"/>
      <c r="AW65" s="251"/>
      <c r="AX65" s="251"/>
      <c r="AY65" s="251"/>
      <c r="AZ65" s="251"/>
      <c r="BA65" s="251"/>
      <c r="BB65" s="251"/>
      <c r="BC65" s="251"/>
      <c r="BD65" s="251"/>
      <c r="BE65" s="251"/>
      <c r="BF65" s="251"/>
      <c r="BG65" s="251"/>
    </row>
    <row r="66" spans="4:59"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251"/>
      <c r="AD66" s="251"/>
      <c r="AE66" s="251"/>
      <c r="AF66" s="251"/>
      <c r="AG66" s="251"/>
      <c r="AH66" s="251"/>
      <c r="AI66" s="251"/>
      <c r="AJ66" s="251"/>
      <c r="AK66" s="251"/>
      <c r="AL66" s="251"/>
      <c r="AM66" s="251"/>
      <c r="AN66" s="251"/>
      <c r="AO66" s="251"/>
      <c r="AP66" s="251"/>
      <c r="AQ66" s="251"/>
      <c r="AR66" s="251"/>
      <c r="AS66" s="251"/>
      <c r="AT66" s="251"/>
      <c r="AU66" s="251"/>
      <c r="AV66" s="251"/>
      <c r="AW66" s="251"/>
      <c r="AX66" s="251"/>
      <c r="AY66" s="251"/>
      <c r="AZ66" s="251"/>
      <c r="BA66" s="251"/>
      <c r="BB66" s="251"/>
      <c r="BC66" s="251"/>
      <c r="BD66" s="251"/>
      <c r="BE66" s="251"/>
      <c r="BF66" s="251"/>
      <c r="BG66" s="251"/>
    </row>
    <row r="67" spans="4:59"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251"/>
      <c r="AD67" s="251"/>
      <c r="AE67" s="251"/>
      <c r="AF67" s="251"/>
      <c r="AG67" s="251"/>
      <c r="AH67" s="251"/>
      <c r="AI67" s="251"/>
      <c r="AJ67" s="251"/>
      <c r="AK67" s="251"/>
      <c r="AL67" s="251"/>
      <c r="AM67" s="251"/>
      <c r="AN67" s="251"/>
      <c r="AO67" s="251"/>
      <c r="AP67" s="251"/>
      <c r="AQ67" s="251"/>
      <c r="AR67" s="251"/>
      <c r="AS67" s="251"/>
      <c r="AT67" s="251"/>
      <c r="AU67" s="251"/>
      <c r="AV67" s="251"/>
      <c r="AW67" s="251"/>
      <c r="AX67" s="251"/>
      <c r="AY67" s="251"/>
      <c r="AZ67" s="251"/>
      <c r="BA67" s="251"/>
      <c r="BB67" s="251"/>
      <c r="BC67" s="251"/>
      <c r="BD67" s="251"/>
      <c r="BE67" s="251"/>
      <c r="BF67" s="251"/>
      <c r="BG67" s="251"/>
    </row>
    <row r="68" spans="4:59"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251"/>
      <c r="AC68" s="251"/>
      <c r="AD68" s="251"/>
      <c r="AE68" s="251"/>
      <c r="AF68" s="251"/>
      <c r="AG68" s="251"/>
      <c r="AH68" s="251"/>
      <c r="AI68" s="251"/>
      <c r="AJ68" s="251"/>
      <c r="AK68" s="251"/>
      <c r="AL68" s="251"/>
      <c r="AM68" s="251"/>
      <c r="AN68" s="251"/>
      <c r="AO68" s="251"/>
      <c r="AP68" s="251"/>
      <c r="AQ68" s="251"/>
      <c r="AR68" s="251"/>
      <c r="AS68" s="251"/>
      <c r="AT68" s="251"/>
      <c r="AU68" s="251"/>
      <c r="AV68" s="251"/>
      <c r="AW68" s="251"/>
      <c r="AX68" s="251"/>
      <c r="AY68" s="251"/>
      <c r="AZ68" s="251"/>
      <c r="BA68" s="251"/>
      <c r="BB68" s="251"/>
      <c r="BC68" s="251"/>
      <c r="BD68" s="251"/>
      <c r="BE68" s="251"/>
      <c r="BF68" s="251"/>
      <c r="BG68" s="251"/>
    </row>
    <row r="69" spans="4:59"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251"/>
      <c r="AB69" s="251"/>
      <c r="AC69" s="251"/>
      <c r="AD69" s="251"/>
      <c r="AE69" s="251"/>
      <c r="AF69" s="251"/>
      <c r="AG69" s="251"/>
      <c r="AH69" s="251"/>
      <c r="AI69" s="251"/>
      <c r="AJ69" s="251"/>
      <c r="AK69" s="251"/>
      <c r="AL69" s="251"/>
      <c r="AM69" s="251"/>
      <c r="AN69" s="251"/>
      <c r="AO69" s="251"/>
      <c r="AP69" s="251"/>
      <c r="AQ69" s="251"/>
      <c r="AR69" s="251"/>
      <c r="AS69" s="251"/>
      <c r="AT69" s="251"/>
      <c r="AU69" s="251"/>
      <c r="AV69" s="251"/>
      <c r="AW69" s="251"/>
      <c r="AX69" s="251"/>
      <c r="AY69" s="251"/>
      <c r="AZ69" s="251"/>
      <c r="BA69" s="251"/>
      <c r="BB69" s="251"/>
      <c r="BC69" s="251"/>
      <c r="BD69" s="251"/>
      <c r="BE69" s="251"/>
      <c r="BF69" s="251"/>
      <c r="BG69" s="251"/>
    </row>
    <row r="70" spans="4:59"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  <c r="Z70" s="251"/>
      <c r="AA70" s="251"/>
      <c r="AB70" s="251"/>
      <c r="AC70" s="251"/>
      <c r="AD70" s="251"/>
      <c r="AE70" s="251"/>
      <c r="AF70" s="251"/>
      <c r="AG70" s="251"/>
      <c r="AH70" s="251"/>
      <c r="AI70" s="251"/>
      <c r="AJ70" s="251"/>
      <c r="AK70" s="251"/>
      <c r="AL70" s="251"/>
      <c r="AM70" s="251"/>
      <c r="AN70" s="251"/>
      <c r="AO70" s="251"/>
      <c r="AP70" s="251"/>
      <c r="AQ70" s="251"/>
      <c r="AR70" s="251"/>
      <c r="AS70" s="251"/>
      <c r="AT70" s="251"/>
      <c r="AU70" s="251"/>
      <c r="AV70" s="251"/>
      <c r="AW70" s="251"/>
      <c r="AX70" s="251"/>
      <c r="AY70" s="251"/>
      <c r="AZ70" s="251"/>
      <c r="BA70" s="251"/>
      <c r="BB70" s="251"/>
      <c r="BC70" s="251"/>
      <c r="BD70" s="251"/>
      <c r="BE70" s="251"/>
      <c r="BF70" s="251"/>
      <c r="BG70" s="251"/>
    </row>
    <row r="71" spans="4:59"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251"/>
      <c r="AA71" s="251"/>
      <c r="AB71" s="251"/>
      <c r="AC71" s="251"/>
      <c r="AD71" s="251"/>
      <c r="AE71" s="251"/>
      <c r="AF71" s="251"/>
      <c r="AG71" s="251"/>
      <c r="AH71" s="251"/>
      <c r="AI71" s="251"/>
      <c r="AJ71" s="251"/>
      <c r="AK71" s="251"/>
      <c r="AL71" s="251"/>
      <c r="AM71" s="251"/>
      <c r="AN71" s="251"/>
      <c r="AO71" s="251"/>
      <c r="AP71" s="251"/>
      <c r="AQ71" s="251"/>
      <c r="AR71" s="251"/>
      <c r="AS71" s="251"/>
      <c r="AT71" s="251"/>
      <c r="AU71" s="251"/>
      <c r="AV71" s="251"/>
      <c r="AW71" s="251"/>
      <c r="AX71" s="251"/>
      <c r="AY71" s="251"/>
      <c r="AZ71" s="251"/>
      <c r="BA71" s="251"/>
      <c r="BB71" s="251"/>
      <c r="BC71" s="251"/>
      <c r="BD71" s="251"/>
      <c r="BE71" s="251"/>
      <c r="BF71" s="251"/>
      <c r="BG71" s="251"/>
    </row>
    <row r="72" spans="4:59"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  <c r="Z72" s="251"/>
      <c r="AA72" s="251"/>
      <c r="AB72" s="251"/>
      <c r="AC72" s="251"/>
      <c r="AD72" s="251"/>
      <c r="AE72" s="251"/>
      <c r="AF72" s="251"/>
      <c r="AG72" s="251"/>
      <c r="AH72" s="251"/>
      <c r="AI72" s="251"/>
      <c r="AJ72" s="251"/>
      <c r="AK72" s="251"/>
      <c r="AL72" s="251"/>
      <c r="AM72" s="251"/>
      <c r="AN72" s="251"/>
      <c r="AO72" s="251"/>
      <c r="AP72" s="251"/>
      <c r="AQ72" s="251"/>
      <c r="AR72" s="251"/>
      <c r="AS72" s="251"/>
      <c r="AT72" s="251"/>
      <c r="AU72" s="251"/>
      <c r="AV72" s="251"/>
      <c r="AW72" s="379"/>
      <c r="AX72" s="379"/>
      <c r="AY72" s="251"/>
      <c r="AZ72" s="251"/>
      <c r="BA72" s="251"/>
      <c r="BB72" s="251"/>
      <c r="BC72" s="251"/>
      <c r="BD72" s="251"/>
      <c r="BE72" s="251"/>
      <c r="BF72" s="251"/>
      <c r="BG72" s="251"/>
    </row>
    <row r="73" spans="4:59"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  <c r="Z73" s="251"/>
      <c r="AA73" s="251"/>
      <c r="AB73" s="251"/>
      <c r="AC73" s="251"/>
      <c r="AD73" s="251"/>
      <c r="AE73" s="251"/>
      <c r="AF73" s="251"/>
      <c r="AG73" s="251"/>
      <c r="AH73" s="251"/>
      <c r="AI73" s="251"/>
      <c r="AJ73" s="251"/>
      <c r="AK73" s="251"/>
      <c r="AL73" s="251"/>
      <c r="AM73" s="251"/>
      <c r="AN73" s="251"/>
      <c r="AO73" s="251"/>
      <c r="AP73" s="251"/>
      <c r="AQ73" s="251"/>
      <c r="AR73" s="251"/>
      <c r="AS73" s="251"/>
      <c r="AT73" s="251"/>
      <c r="AU73" s="251"/>
      <c r="AV73" s="251"/>
      <c r="AW73" s="251"/>
      <c r="AX73" s="251"/>
      <c r="AY73" s="251"/>
      <c r="AZ73" s="251"/>
      <c r="BA73" s="251"/>
      <c r="BB73" s="251"/>
      <c r="BC73" s="251"/>
      <c r="BD73" s="251"/>
      <c r="BE73" s="251"/>
      <c r="BF73" s="251"/>
      <c r="BG73" s="251"/>
    </row>
    <row r="74" spans="4:59"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  <c r="Z74" s="251"/>
      <c r="AA74" s="251"/>
      <c r="AB74" s="251"/>
      <c r="AC74" s="251"/>
      <c r="AD74" s="251"/>
      <c r="AE74" s="251"/>
      <c r="AF74" s="251"/>
      <c r="AG74" s="251"/>
      <c r="AH74" s="251"/>
      <c r="AI74" s="251"/>
      <c r="AJ74" s="251"/>
      <c r="AK74" s="251"/>
      <c r="AL74" s="251"/>
      <c r="AM74" s="251"/>
      <c r="AN74" s="251"/>
      <c r="AO74" s="251"/>
      <c r="AP74" s="251"/>
      <c r="AQ74" s="251"/>
      <c r="AR74" s="251"/>
      <c r="AS74" s="251"/>
      <c r="AT74" s="251"/>
      <c r="AU74" s="251"/>
      <c r="AV74" s="251"/>
      <c r="AW74" s="251"/>
      <c r="AX74" s="251"/>
      <c r="AY74" s="251"/>
      <c r="AZ74" s="251"/>
      <c r="BA74" s="251"/>
      <c r="BB74" s="251"/>
      <c r="BC74" s="251"/>
      <c r="BD74" s="251"/>
      <c r="BE74" s="251"/>
      <c r="BF74" s="251"/>
      <c r="BG74" s="251"/>
    </row>
    <row r="75" spans="4:59"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  <c r="Z75" s="251"/>
      <c r="AA75" s="251"/>
      <c r="AB75" s="251"/>
      <c r="AC75" s="251"/>
      <c r="AD75" s="251"/>
      <c r="AE75" s="251"/>
      <c r="AF75" s="251"/>
      <c r="AG75" s="251"/>
      <c r="AH75" s="251"/>
      <c r="AI75" s="251"/>
      <c r="AJ75" s="251"/>
      <c r="AK75" s="251"/>
      <c r="AL75" s="251"/>
      <c r="AM75" s="251"/>
      <c r="AN75" s="251"/>
      <c r="AO75" s="251"/>
      <c r="AP75" s="251"/>
      <c r="AQ75" s="251"/>
      <c r="AR75" s="251"/>
      <c r="AS75" s="251"/>
      <c r="AT75" s="251"/>
      <c r="AU75" s="251"/>
      <c r="AV75" s="251"/>
      <c r="AW75" s="251"/>
      <c r="AX75" s="251"/>
      <c r="AY75" s="251"/>
      <c r="AZ75" s="251"/>
      <c r="BA75" s="251"/>
      <c r="BB75" s="251"/>
      <c r="BC75" s="251"/>
      <c r="BD75" s="251"/>
      <c r="BE75" s="251"/>
      <c r="BF75" s="251"/>
      <c r="BG75" s="251"/>
    </row>
    <row r="76" spans="4:59"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  <c r="AB76" s="251"/>
      <c r="AC76" s="251"/>
      <c r="AD76" s="251"/>
      <c r="AE76" s="251"/>
      <c r="AF76" s="251"/>
      <c r="AG76" s="251"/>
      <c r="AH76" s="251"/>
      <c r="AI76" s="251"/>
      <c r="AJ76" s="251"/>
      <c r="AK76" s="251"/>
      <c r="AL76" s="251"/>
      <c r="AM76" s="251"/>
      <c r="AN76" s="251"/>
      <c r="AO76" s="251"/>
      <c r="AP76" s="251"/>
      <c r="AQ76" s="251"/>
      <c r="AR76" s="251"/>
      <c r="AS76" s="251"/>
      <c r="AT76" s="251"/>
      <c r="AU76" s="251"/>
      <c r="AV76" s="251"/>
      <c r="AW76" s="251"/>
      <c r="AX76" s="251"/>
      <c r="AY76" s="251"/>
      <c r="AZ76" s="251"/>
      <c r="BA76" s="251"/>
      <c r="BB76" s="251"/>
      <c r="BC76" s="251"/>
      <c r="BD76" s="251"/>
      <c r="BE76" s="251"/>
      <c r="BF76" s="251"/>
      <c r="BG76" s="251"/>
    </row>
    <row r="77" spans="4:59"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  <c r="AB77" s="251"/>
      <c r="AC77" s="251"/>
      <c r="AD77" s="251"/>
      <c r="AE77" s="251"/>
      <c r="AF77" s="251"/>
      <c r="AG77" s="251"/>
      <c r="AH77" s="251"/>
      <c r="AI77" s="251"/>
      <c r="AJ77" s="251"/>
      <c r="AK77" s="251"/>
      <c r="AL77" s="251"/>
      <c r="AM77" s="251"/>
      <c r="AN77" s="251"/>
      <c r="AO77" s="251"/>
      <c r="AP77" s="251"/>
      <c r="AQ77" s="251"/>
      <c r="AR77" s="251"/>
      <c r="AS77" s="251"/>
      <c r="AT77" s="251"/>
      <c r="AU77" s="251"/>
      <c r="AV77" s="251"/>
      <c r="AW77" s="251"/>
      <c r="AX77" s="251"/>
      <c r="AY77" s="251"/>
      <c r="AZ77" s="251"/>
      <c r="BA77" s="251"/>
      <c r="BB77" s="251"/>
      <c r="BC77" s="251"/>
      <c r="BD77" s="251"/>
      <c r="BE77" s="251"/>
      <c r="BF77" s="251"/>
      <c r="BG77" s="251"/>
    </row>
    <row r="78" spans="4:59"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  <c r="Z78" s="251"/>
      <c r="AA78" s="251"/>
      <c r="AB78" s="251"/>
      <c r="AC78" s="251"/>
      <c r="AD78" s="251"/>
      <c r="AE78" s="251"/>
      <c r="AF78" s="251"/>
      <c r="AG78" s="251"/>
      <c r="AH78" s="251"/>
      <c r="AI78" s="251"/>
      <c r="AJ78" s="251"/>
      <c r="AK78" s="251"/>
      <c r="AL78" s="251"/>
      <c r="AM78" s="251"/>
      <c r="AN78" s="251"/>
      <c r="AO78" s="251"/>
      <c r="AP78" s="251"/>
      <c r="AQ78" s="251"/>
      <c r="AR78" s="251"/>
      <c r="AS78" s="251"/>
      <c r="AT78" s="251"/>
      <c r="AU78" s="251"/>
      <c r="AV78" s="251"/>
      <c r="AW78" s="251"/>
      <c r="AX78" s="251"/>
      <c r="AY78" s="251"/>
      <c r="AZ78" s="251"/>
      <c r="BA78" s="251"/>
      <c r="BB78" s="251"/>
      <c r="BC78" s="251"/>
      <c r="BD78" s="251"/>
      <c r="BE78" s="251"/>
      <c r="BF78" s="251"/>
      <c r="BG78" s="251"/>
    </row>
    <row r="79" spans="4:59"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  <c r="Z79" s="251"/>
      <c r="AA79" s="251"/>
      <c r="AB79" s="251"/>
      <c r="AC79" s="251"/>
      <c r="AD79" s="251"/>
      <c r="AE79" s="251"/>
      <c r="AF79" s="251"/>
      <c r="AG79" s="251"/>
      <c r="AH79" s="251"/>
      <c r="AI79" s="251"/>
      <c r="AJ79" s="251"/>
      <c r="AK79" s="251"/>
      <c r="AL79" s="251"/>
      <c r="AM79" s="251"/>
      <c r="AN79" s="251"/>
      <c r="AO79" s="251"/>
      <c r="AP79" s="251"/>
      <c r="AQ79" s="251"/>
      <c r="AR79" s="251"/>
      <c r="AS79" s="251"/>
      <c r="AT79" s="251"/>
      <c r="AU79" s="251"/>
      <c r="AV79" s="251"/>
      <c r="AW79" s="251"/>
      <c r="AX79" s="251"/>
      <c r="AY79" s="251"/>
      <c r="AZ79" s="251"/>
      <c r="BA79" s="251"/>
      <c r="BB79" s="251"/>
      <c r="BC79" s="251"/>
      <c r="BD79" s="251"/>
      <c r="BE79" s="251"/>
      <c r="BF79" s="251"/>
      <c r="BG79" s="251"/>
    </row>
    <row r="80" spans="4:59"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251"/>
      <c r="AA80" s="251"/>
      <c r="AB80" s="251"/>
      <c r="AC80" s="251"/>
      <c r="AD80" s="251"/>
      <c r="AE80" s="251"/>
      <c r="AF80" s="251"/>
      <c r="AG80" s="251"/>
      <c r="AH80" s="251"/>
      <c r="AI80" s="251"/>
      <c r="AJ80" s="251"/>
      <c r="AK80" s="251"/>
      <c r="AL80" s="251"/>
      <c r="AM80" s="251"/>
      <c r="AN80" s="251"/>
      <c r="AO80" s="251"/>
      <c r="AP80" s="251"/>
      <c r="AQ80" s="251"/>
      <c r="AR80" s="251"/>
      <c r="AS80" s="251"/>
      <c r="AT80" s="251"/>
      <c r="AU80" s="251"/>
      <c r="AV80" s="251"/>
      <c r="AW80" s="251"/>
      <c r="AX80" s="251"/>
      <c r="AY80" s="251"/>
      <c r="AZ80" s="251"/>
      <c r="BA80" s="251"/>
      <c r="BB80" s="251"/>
      <c r="BC80" s="251"/>
      <c r="BD80" s="251"/>
      <c r="BE80" s="251"/>
      <c r="BF80" s="251"/>
      <c r="BG80" s="251"/>
    </row>
    <row r="81" spans="4:59"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51"/>
      <c r="AB81" s="251"/>
      <c r="AC81" s="251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51"/>
      <c r="AO81" s="251"/>
      <c r="AP81" s="251"/>
      <c r="AQ81" s="251"/>
      <c r="AR81" s="251"/>
      <c r="AS81" s="251"/>
      <c r="AT81" s="251"/>
      <c r="AU81" s="251"/>
      <c r="AV81" s="251"/>
      <c r="AW81" s="251"/>
      <c r="AX81" s="251"/>
      <c r="AY81" s="251"/>
      <c r="AZ81" s="251"/>
      <c r="BA81" s="251"/>
      <c r="BB81" s="251"/>
      <c r="BC81" s="251"/>
      <c r="BD81" s="251"/>
      <c r="BE81" s="251"/>
      <c r="BF81" s="251"/>
      <c r="BG81" s="251"/>
    </row>
    <row r="82" spans="4:59"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  <c r="Z82" s="251"/>
      <c r="AA82" s="251"/>
      <c r="AB82" s="251"/>
      <c r="AC82" s="251"/>
      <c r="AD82" s="251"/>
      <c r="AE82" s="251"/>
      <c r="AF82" s="251"/>
      <c r="AG82" s="251"/>
      <c r="AH82" s="251"/>
      <c r="AI82" s="251"/>
      <c r="AJ82" s="251"/>
      <c r="AK82" s="251"/>
      <c r="AL82" s="251"/>
      <c r="AM82" s="251"/>
      <c r="AN82" s="251"/>
      <c r="AO82" s="251"/>
      <c r="AP82" s="251"/>
      <c r="AQ82" s="251"/>
      <c r="AR82" s="251"/>
      <c r="AS82" s="251"/>
      <c r="AT82" s="251"/>
      <c r="AU82" s="251"/>
      <c r="AV82" s="251"/>
      <c r="AW82" s="251"/>
      <c r="AX82" s="251"/>
      <c r="AY82" s="251"/>
      <c r="AZ82" s="251"/>
      <c r="BA82" s="251"/>
      <c r="BB82" s="251"/>
      <c r="BC82" s="251"/>
      <c r="BD82" s="251"/>
      <c r="BE82" s="251"/>
      <c r="BF82" s="251"/>
      <c r="BG82" s="251"/>
    </row>
    <row r="83" spans="4:59"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  <c r="Z83" s="251"/>
      <c r="AA83" s="251"/>
      <c r="AB83" s="251"/>
      <c r="AC83" s="251"/>
      <c r="AD83" s="251"/>
      <c r="AE83" s="251"/>
      <c r="AF83" s="251"/>
      <c r="AG83" s="251"/>
      <c r="AH83" s="251"/>
      <c r="AI83" s="251"/>
      <c r="AJ83" s="251"/>
      <c r="AK83" s="251"/>
      <c r="AL83" s="251"/>
      <c r="AM83" s="251"/>
      <c r="AN83" s="251"/>
      <c r="AO83" s="251"/>
      <c r="AP83" s="251"/>
      <c r="AQ83" s="251"/>
      <c r="AR83" s="251"/>
      <c r="AS83" s="251"/>
      <c r="AT83" s="251"/>
      <c r="AU83" s="251"/>
      <c r="AV83" s="251"/>
      <c r="AW83" s="251"/>
      <c r="AX83" s="251"/>
      <c r="AY83" s="251"/>
      <c r="AZ83" s="251"/>
      <c r="BA83" s="251"/>
      <c r="BB83" s="251"/>
      <c r="BC83" s="251"/>
      <c r="BD83" s="251"/>
      <c r="BE83" s="251"/>
      <c r="BF83" s="251"/>
      <c r="BG83" s="251"/>
    </row>
    <row r="84" spans="4:59"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  <c r="Z84" s="251"/>
      <c r="AA84" s="251"/>
      <c r="AB84" s="251"/>
      <c r="AC84" s="251"/>
      <c r="AD84" s="251"/>
      <c r="AE84" s="251"/>
      <c r="AF84" s="251"/>
      <c r="AG84" s="251"/>
      <c r="AH84" s="251"/>
      <c r="AI84" s="251"/>
      <c r="AJ84" s="251"/>
      <c r="AK84" s="251"/>
      <c r="AL84" s="251"/>
      <c r="AM84" s="251"/>
      <c r="AN84" s="251"/>
      <c r="AO84" s="251"/>
      <c r="AP84" s="251"/>
      <c r="AQ84" s="251"/>
      <c r="AR84" s="251"/>
      <c r="AS84" s="251"/>
      <c r="AT84" s="251"/>
      <c r="AU84" s="251"/>
      <c r="AV84" s="251"/>
      <c r="AW84" s="251"/>
      <c r="AX84" s="251"/>
      <c r="AY84" s="251"/>
      <c r="AZ84" s="251"/>
      <c r="BA84" s="251"/>
      <c r="BB84" s="251"/>
      <c r="BC84" s="251"/>
      <c r="BD84" s="251"/>
      <c r="BE84" s="251"/>
      <c r="BF84" s="251"/>
      <c r="BG84" s="251"/>
    </row>
    <row r="85" spans="4:59"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  <c r="Z85" s="251"/>
      <c r="AA85" s="251"/>
      <c r="AB85" s="251"/>
      <c r="AC85" s="251"/>
      <c r="AD85" s="251"/>
      <c r="AE85" s="251"/>
      <c r="AF85" s="251"/>
      <c r="AG85" s="251"/>
      <c r="AH85" s="251"/>
      <c r="AI85" s="251"/>
      <c r="AJ85" s="251"/>
      <c r="AK85" s="251"/>
      <c r="AL85" s="251"/>
      <c r="AM85" s="251"/>
      <c r="AN85" s="251"/>
      <c r="AO85" s="251"/>
      <c r="AP85" s="251"/>
      <c r="AQ85" s="251"/>
      <c r="AR85" s="251"/>
      <c r="AS85" s="251"/>
      <c r="AT85" s="251"/>
      <c r="AU85" s="251"/>
      <c r="AV85" s="251"/>
      <c r="AW85" s="251"/>
      <c r="AX85" s="251"/>
      <c r="AY85" s="251"/>
      <c r="AZ85" s="251"/>
      <c r="BA85" s="251"/>
      <c r="BB85" s="251"/>
      <c r="BC85" s="251"/>
      <c r="BD85" s="251"/>
      <c r="BE85" s="251"/>
      <c r="BF85" s="251"/>
      <c r="BG85" s="251"/>
    </row>
    <row r="86" spans="4:59"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  <c r="Z86" s="251"/>
      <c r="AA86" s="251"/>
      <c r="AB86" s="251"/>
      <c r="AC86" s="251"/>
      <c r="AD86" s="251"/>
      <c r="AE86" s="251"/>
      <c r="AF86" s="251"/>
      <c r="AG86" s="251"/>
      <c r="AH86" s="251"/>
      <c r="AI86" s="251"/>
      <c r="AJ86" s="251"/>
      <c r="AK86" s="251"/>
      <c r="AL86" s="251"/>
      <c r="AM86" s="251"/>
      <c r="AN86" s="251"/>
      <c r="AO86" s="251"/>
      <c r="AP86" s="251"/>
      <c r="AQ86" s="251"/>
      <c r="AR86" s="251"/>
      <c r="AS86" s="251"/>
      <c r="AT86" s="251"/>
      <c r="AU86" s="251"/>
      <c r="AV86" s="251"/>
      <c r="AW86" s="251"/>
      <c r="AX86" s="251"/>
      <c r="AY86" s="251"/>
      <c r="AZ86" s="251"/>
      <c r="BA86" s="251"/>
      <c r="BB86" s="251"/>
      <c r="BC86" s="251"/>
      <c r="BD86" s="251"/>
      <c r="BE86" s="251"/>
      <c r="BF86" s="251"/>
      <c r="BG86" s="251"/>
    </row>
    <row r="87" spans="4:59"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  <c r="Z87" s="251"/>
      <c r="AA87" s="251"/>
      <c r="AB87" s="251"/>
      <c r="AC87" s="251"/>
      <c r="AD87" s="251"/>
      <c r="AE87" s="251"/>
      <c r="AF87" s="251"/>
      <c r="AG87" s="251"/>
      <c r="AH87" s="251"/>
      <c r="AI87" s="251"/>
      <c r="AJ87" s="251"/>
      <c r="AK87" s="251"/>
      <c r="AL87" s="251"/>
      <c r="AM87" s="251"/>
      <c r="AN87" s="251"/>
      <c r="AO87" s="251"/>
      <c r="AP87" s="251"/>
      <c r="AQ87" s="251"/>
      <c r="AR87" s="251"/>
      <c r="AS87" s="251"/>
      <c r="AT87" s="251"/>
      <c r="AU87" s="251"/>
      <c r="AV87" s="251"/>
      <c r="AW87" s="251"/>
      <c r="AX87" s="251"/>
      <c r="AY87" s="251"/>
      <c r="AZ87" s="251"/>
      <c r="BA87" s="251"/>
      <c r="BB87" s="251"/>
      <c r="BC87" s="251"/>
      <c r="BD87" s="251"/>
      <c r="BE87" s="251"/>
      <c r="BF87" s="251"/>
      <c r="BG87" s="251"/>
    </row>
    <row r="88" spans="4:59"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  <c r="Z88" s="251"/>
      <c r="AA88" s="251"/>
      <c r="AB88" s="251"/>
      <c r="AC88" s="251"/>
      <c r="AD88" s="251"/>
      <c r="AE88" s="251"/>
      <c r="AF88" s="251"/>
      <c r="AG88" s="251"/>
      <c r="AH88" s="251"/>
      <c r="AI88" s="251"/>
      <c r="AJ88" s="251"/>
      <c r="AK88" s="251"/>
      <c r="AL88" s="251"/>
      <c r="AM88" s="251"/>
      <c r="AN88" s="251"/>
      <c r="AO88" s="251"/>
      <c r="AP88" s="251"/>
      <c r="AQ88" s="251"/>
      <c r="AR88" s="251"/>
      <c r="AS88" s="251"/>
      <c r="AT88" s="251"/>
      <c r="AU88" s="251"/>
      <c r="AV88" s="251"/>
      <c r="AW88" s="251"/>
      <c r="AX88" s="251"/>
      <c r="AY88" s="251"/>
      <c r="AZ88" s="251"/>
      <c r="BA88" s="251"/>
      <c r="BB88" s="251"/>
      <c r="BC88" s="251"/>
      <c r="BD88" s="251"/>
      <c r="BE88" s="251"/>
      <c r="BF88" s="251"/>
      <c r="BG88" s="251"/>
    </row>
    <row r="89" spans="4:59"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  <c r="Z89" s="251"/>
      <c r="AA89" s="251"/>
      <c r="AB89" s="251"/>
      <c r="AC89" s="251"/>
      <c r="AD89" s="251"/>
      <c r="AE89" s="251"/>
      <c r="AF89" s="251"/>
      <c r="AG89" s="251"/>
      <c r="AH89" s="251"/>
      <c r="AI89" s="251"/>
      <c r="AJ89" s="251"/>
      <c r="AK89" s="251"/>
      <c r="AL89" s="251"/>
      <c r="AM89" s="251"/>
      <c r="AN89" s="251"/>
      <c r="AO89" s="251"/>
      <c r="AP89" s="251"/>
      <c r="AQ89" s="251"/>
      <c r="AR89" s="251"/>
      <c r="AS89" s="251"/>
      <c r="AT89" s="251"/>
      <c r="AU89" s="251"/>
      <c r="AV89" s="251"/>
      <c r="AW89" s="251"/>
      <c r="AX89" s="251"/>
      <c r="AY89" s="251"/>
      <c r="AZ89" s="251"/>
      <c r="BA89" s="251"/>
      <c r="BB89" s="251"/>
      <c r="BC89" s="251"/>
      <c r="BD89" s="251"/>
      <c r="BE89" s="251"/>
      <c r="BF89" s="251"/>
      <c r="BG89" s="251"/>
    </row>
    <row r="90" spans="4:59"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  <c r="Z90" s="251"/>
      <c r="AA90" s="251"/>
      <c r="AB90" s="251"/>
      <c r="AC90" s="251"/>
      <c r="AD90" s="251"/>
      <c r="AE90" s="251"/>
      <c r="AF90" s="251"/>
      <c r="AG90" s="251"/>
      <c r="AH90" s="251"/>
      <c r="AI90" s="251"/>
      <c r="AJ90" s="251"/>
      <c r="AK90" s="251"/>
      <c r="AL90" s="251"/>
      <c r="AM90" s="251"/>
      <c r="AN90" s="251"/>
      <c r="AO90" s="251"/>
      <c r="AP90" s="251"/>
      <c r="AQ90" s="251"/>
      <c r="AR90" s="251"/>
      <c r="AS90" s="251"/>
      <c r="AT90" s="251"/>
      <c r="AU90" s="251"/>
      <c r="AV90" s="251"/>
      <c r="AW90" s="251"/>
      <c r="AX90" s="251"/>
      <c r="AY90" s="251"/>
      <c r="AZ90" s="251"/>
      <c r="BA90" s="251"/>
      <c r="BB90" s="251"/>
      <c r="BC90" s="251"/>
      <c r="BD90" s="251"/>
      <c r="BE90" s="251"/>
      <c r="BF90" s="251"/>
      <c r="BG90" s="251"/>
    </row>
    <row r="91" spans="4:59"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  <c r="Z91" s="251"/>
      <c r="AA91" s="251"/>
      <c r="AB91" s="251"/>
      <c r="AC91" s="251"/>
      <c r="AD91" s="251"/>
      <c r="AE91" s="251"/>
      <c r="AF91" s="251"/>
      <c r="AG91" s="251"/>
      <c r="AH91" s="251"/>
      <c r="AI91" s="251"/>
      <c r="AJ91" s="251"/>
      <c r="AK91" s="251"/>
      <c r="AL91" s="251"/>
      <c r="AM91" s="251"/>
      <c r="AN91" s="251"/>
      <c r="AO91" s="251"/>
      <c r="AP91" s="251"/>
      <c r="AQ91" s="251"/>
      <c r="AR91" s="251"/>
      <c r="AS91" s="251"/>
      <c r="AT91" s="251"/>
      <c r="AU91" s="251"/>
      <c r="AV91" s="251"/>
      <c r="AW91" s="251"/>
      <c r="AX91" s="251"/>
      <c r="AY91" s="251"/>
      <c r="AZ91" s="251"/>
      <c r="BA91" s="251"/>
      <c r="BB91" s="251"/>
      <c r="BC91" s="251"/>
      <c r="BD91" s="251"/>
      <c r="BE91" s="251"/>
      <c r="BF91" s="251"/>
      <c r="BG91" s="251"/>
    </row>
    <row r="92" spans="4:59"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251"/>
      <c r="AM92" s="251"/>
      <c r="AN92" s="251"/>
      <c r="AO92" s="251"/>
      <c r="AP92" s="251"/>
      <c r="AQ92" s="251"/>
      <c r="AR92" s="251"/>
      <c r="AS92" s="251"/>
      <c r="AT92" s="251"/>
      <c r="AU92" s="251"/>
      <c r="AV92" s="251"/>
      <c r="AW92" s="251"/>
      <c r="AX92" s="251"/>
      <c r="AY92" s="251"/>
      <c r="AZ92" s="251"/>
      <c r="BA92" s="251"/>
      <c r="BB92" s="251"/>
      <c r="BC92" s="251"/>
      <c r="BD92" s="251"/>
      <c r="BE92" s="251"/>
      <c r="BF92" s="251"/>
      <c r="BG92" s="251"/>
    </row>
    <row r="93" spans="4:59"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251"/>
      <c r="AM93" s="251"/>
      <c r="AN93" s="251"/>
      <c r="AO93" s="251"/>
      <c r="AP93" s="251"/>
      <c r="AQ93" s="251"/>
      <c r="AR93" s="251"/>
      <c r="AS93" s="251"/>
      <c r="AT93" s="251"/>
      <c r="AU93" s="251"/>
      <c r="AV93" s="251"/>
      <c r="AW93" s="251"/>
      <c r="AX93" s="251"/>
      <c r="AY93" s="251"/>
      <c r="AZ93" s="251"/>
      <c r="BA93" s="251"/>
      <c r="BB93" s="251"/>
      <c r="BC93" s="251"/>
      <c r="BD93" s="251"/>
      <c r="BE93" s="251"/>
      <c r="BF93" s="251"/>
      <c r="BG93" s="251"/>
    </row>
    <row r="94" spans="4:59"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  <c r="Z94" s="251"/>
      <c r="AA94" s="251"/>
      <c r="AB94" s="251"/>
      <c r="AC94" s="251"/>
      <c r="AD94" s="251"/>
      <c r="AE94" s="251"/>
      <c r="AF94" s="251"/>
      <c r="AG94" s="251"/>
      <c r="AH94" s="251"/>
      <c r="AI94" s="251"/>
      <c r="AJ94" s="251"/>
      <c r="AK94" s="251"/>
      <c r="AL94" s="251"/>
      <c r="AM94" s="251"/>
      <c r="AN94" s="251"/>
      <c r="AO94" s="251"/>
      <c r="AP94" s="251"/>
      <c r="AQ94" s="251"/>
      <c r="AR94" s="251"/>
      <c r="AS94" s="251"/>
      <c r="AT94" s="251"/>
      <c r="AU94" s="251"/>
      <c r="AV94" s="251"/>
      <c r="AW94" s="251"/>
      <c r="AX94" s="251"/>
      <c r="AY94" s="251"/>
      <c r="AZ94" s="251"/>
      <c r="BA94" s="251"/>
      <c r="BB94" s="251"/>
      <c r="BC94" s="251"/>
      <c r="BD94" s="251"/>
      <c r="BE94" s="251"/>
      <c r="BF94" s="251"/>
      <c r="BG94" s="251"/>
    </row>
    <row r="95" spans="4:59"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251"/>
      <c r="AA95" s="251"/>
      <c r="AB95" s="251"/>
      <c r="AC95" s="251"/>
      <c r="AD95" s="251"/>
      <c r="AE95" s="251"/>
      <c r="AF95" s="251"/>
      <c r="AG95" s="251"/>
      <c r="AH95" s="251"/>
      <c r="AI95" s="251"/>
      <c r="AJ95" s="251"/>
      <c r="AK95" s="251"/>
      <c r="AL95" s="251"/>
      <c r="AM95" s="251"/>
      <c r="AN95" s="251"/>
      <c r="AO95" s="251"/>
      <c r="AP95" s="251"/>
      <c r="AQ95" s="251"/>
      <c r="AR95" s="251"/>
      <c r="AS95" s="251"/>
      <c r="AT95" s="251"/>
      <c r="AU95" s="251"/>
      <c r="AV95" s="251"/>
      <c r="AW95" s="251"/>
      <c r="AX95" s="251"/>
      <c r="AY95" s="251"/>
      <c r="AZ95" s="251"/>
      <c r="BA95" s="251"/>
      <c r="BB95" s="251"/>
      <c r="BC95" s="251"/>
      <c r="BD95" s="251"/>
      <c r="BE95" s="251"/>
      <c r="BF95" s="251"/>
      <c r="BG95" s="251"/>
    </row>
    <row r="96" spans="4:59"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  <c r="Z96" s="251"/>
      <c r="AA96" s="251"/>
      <c r="AB96" s="251"/>
      <c r="AC96" s="251"/>
      <c r="AD96" s="251"/>
      <c r="AE96" s="251"/>
      <c r="AF96" s="251"/>
      <c r="AG96" s="251"/>
      <c r="AH96" s="251"/>
      <c r="AI96" s="251"/>
      <c r="AJ96" s="251"/>
      <c r="AK96" s="251"/>
      <c r="AL96" s="251"/>
      <c r="AM96" s="251"/>
      <c r="AN96" s="251"/>
      <c r="AO96" s="251"/>
      <c r="AP96" s="251"/>
      <c r="AQ96" s="251"/>
      <c r="AR96" s="251"/>
      <c r="AS96" s="251"/>
      <c r="AT96" s="251"/>
      <c r="AU96" s="251"/>
      <c r="AV96" s="251"/>
      <c r="AW96" s="251"/>
      <c r="AX96" s="251"/>
      <c r="AY96" s="251"/>
      <c r="AZ96" s="251"/>
      <c r="BA96" s="251"/>
      <c r="BB96" s="251"/>
      <c r="BC96" s="251"/>
      <c r="BD96" s="251"/>
      <c r="BE96" s="251"/>
      <c r="BF96" s="251"/>
      <c r="BG96" s="251"/>
    </row>
    <row r="97" spans="4:59"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  <c r="Z97" s="251"/>
      <c r="AA97" s="251"/>
      <c r="AB97" s="251"/>
      <c r="AC97" s="251"/>
      <c r="AD97" s="251"/>
      <c r="AE97" s="251"/>
      <c r="AF97" s="251"/>
      <c r="AG97" s="251"/>
      <c r="AH97" s="251"/>
      <c r="AI97" s="251"/>
      <c r="AJ97" s="251"/>
      <c r="AK97" s="251"/>
      <c r="AL97" s="251"/>
      <c r="AM97" s="251"/>
      <c r="AN97" s="251"/>
      <c r="AO97" s="251"/>
      <c r="AP97" s="251"/>
      <c r="AQ97" s="251"/>
      <c r="AR97" s="251"/>
      <c r="AS97" s="251"/>
      <c r="AT97" s="251"/>
      <c r="AU97" s="251"/>
      <c r="AV97" s="251"/>
      <c r="AW97" s="251"/>
      <c r="AX97" s="251"/>
      <c r="AY97" s="251"/>
      <c r="AZ97" s="251"/>
      <c r="BA97" s="251"/>
      <c r="BB97" s="251"/>
      <c r="BC97" s="251"/>
      <c r="BD97" s="251"/>
      <c r="BE97" s="251"/>
      <c r="BF97" s="251"/>
      <c r="BG97" s="251"/>
    </row>
    <row r="98" spans="4:59"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251"/>
      <c r="AK98" s="251"/>
      <c r="AL98" s="251"/>
      <c r="AM98" s="251"/>
      <c r="AN98" s="251"/>
      <c r="AO98" s="251"/>
      <c r="AP98" s="251"/>
      <c r="AQ98" s="251"/>
      <c r="AR98" s="251"/>
      <c r="AS98" s="251"/>
      <c r="AT98" s="251"/>
      <c r="AU98" s="251"/>
      <c r="AV98" s="251"/>
      <c r="AW98" s="251"/>
      <c r="AX98" s="251"/>
      <c r="AY98" s="251"/>
      <c r="AZ98" s="251"/>
      <c r="BA98" s="251"/>
      <c r="BB98" s="251"/>
      <c r="BC98" s="251"/>
      <c r="BD98" s="251"/>
      <c r="BE98" s="251"/>
      <c r="BF98" s="251"/>
      <c r="BG98" s="251"/>
    </row>
    <row r="99" spans="4:59"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251"/>
      <c r="AD99" s="251"/>
      <c r="AE99" s="251"/>
      <c r="AF99" s="251"/>
      <c r="AG99" s="251"/>
      <c r="AH99" s="251"/>
      <c r="AI99" s="251"/>
      <c r="AJ99" s="251"/>
      <c r="AK99" s="251"/>
      <c r="AL99" s="251"/>
      <c r="AM99" s="251"/>
      <c r="AN99" s="251"/>
      <c r="AO99" s="251"/>
      <c r="AP99" s="251"/>
      <c r="AQ99" s="251"/>
      <c r="AR99" s="251"/>
      <c r="AS99" s="251"/>
      <c r="AT99" s="251"/>
      <c r="AU99" s="251"/>
      <c r="AV99" s="251"/>
      <c r="AW99" s="251"/>
      <c r="AX99" s="251"/>
      <c r="AY99" s="251"/>
      <c r="AZ99" s="251"/>
      <c r="BA99" s="251"/>
      <c r="BB99" s="251"/>
      <c r="BC99" s="251"/>
      <c r="BD99" s="251"/>
      <c r="BE99" s="251"/>
      <c r="BF99" s="251"/>
      <c r="BG99" s="251"/>
    </row>
    <row r="100" spans="4:59"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  <c r="Z100" s="251"/>
      <c r="AA100" s="251"/>
      <c r="AB100" s="251"/>
      <c r="AC100" s="251"/>
      <c r="AD100" s="251"/>
      <c r="AE100" s="251"/>
      <c r="AF100" s="251"/>
      <c r="AG100" s="251"/>
      <c r="AH100" s="251"/>
      <c r="AI100" s="251"/>
      <c r="AJ100" s="251"/>
      <c r="AK100" s="251"/>
      <c r="AL100" s="251"/>
      <c r="AM100" s="251"/>
      <c r="AN100" s="251"/>
      <c r="AO100" s="251"/>
      <c r="AP100" s="251"/>
      <c r="AQ100" s="251"/>
      <c r="AR100" s="251"/>
      <c r="AS100" s="251"/>
      <c r="AT100" s="251"/>
      <c r="AU100" s="251"/>
      <c r="AV100" s="251"/>
      <c r="AW100" s="251"/>
      <c r="AX100" s="251"/>
      <c r="AY100" s="251"/>
      <c r="AZ100" s="251"/>
      <c r="BA100" s="251"/>
      <c r="BB100" s="251"/>
      <c r="BC100" s="251"/>
      <c r="BD100" s="251"/>
      <c r="BE100" s="251"/>
      <c r="BF100" s="251"/>
      <c r="BG100" s="251"/>
    </row>
    <row r="101" spans="4:59"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51"/>
      <c r="AI101" s="251"/>
      <c r="AJ101" s="251"/>
      <c r="AK101" s="251"/>
      <c r="AL101" s="251"/>
      <c r="AM101" s="251"/>
      <c r="AN101" s="251"/>
      <c r="AO101" s="251"/>
      <c r="AP101" s="251"/>
      <c r="AQ101" s="251"/>
      <c r="AR101" s="251"/>
      <c r="AS101" s="251"/>
      <c r="AT101" s="251"/>
      <c r="AU101" s="251"/>
      <c r="AV101" s="251"/>
      <c r="AW101" s="251"/>
      <c r="AX101" s="251"/>
      <c r="AY101" s="251"/>
      <c r="AZ101" s="251"/>
      <c r="BA101" s="251"/>
      <c r="BB101" s="251"/>
      <c r="BC101" s="251"/>
      <c r="BD101" s="251"/>
      <c r="BE101" s="251"/>
      <c r="BF101" s="251"/>
      <c r="BG101" s="251"/>
    </row>
    <row r="102" spans="4:59"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51"/>
      <c r="AU102" s="251"/>
      <c r="AV102" s="251"/>
      <c r="AW102" s="251"/>
      <c r="AX102" s="251"/>
      <c r="AY102" s="251"/>
      <c r="AZ102" s="251"/>
      <c r="BA102" s="251"/>
      <c r="BB102" s="251"/>
      <c r="BC102" s="251"/>
      <c r="BD102" s="251"/>
      <c r="BE102" s="251"/>
      <c r="BF102" s="251"/>
      <c r="BG102" s="251"/>
    </row>
    <row r="103" spans="4:59"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1"/>
      <c r="AI103" s="251"/>
      <c r="AJ103" s="251"/>
      <c r="AK103" s="251"/>
      <c r="AL103" s="251"/>
      <c r="AM103" s="251"/>
      <c r="AN103" s="251"/>
      <c r="AO103" s="251"/>
      <c r="AP103" s="251"/>
      <c r="AQ103" s="251"/>
      <c r="AR103" s="251"/>
      <c r="AS103" s="251"/>
      <c r="AT103" s="251"/>
      <c r="AU103" s="251"/>
      <c r="AV103" s="251"/>
      <c r="AW103" s="251"/>
      <c r="AX103" s="251"/>
      <c r="AY103" s="251"/>
      <c r="AZ103" s="251"/>
      <c r="BA103" s="251"/>
      <c r="BB103" s="251"/>
      <c r="BC103" s="251"/>
      <c r="BD103" s="251"/>
      <c r="BE103" s="251"/>
      <c r="BF103" s="251"/>
      <c r="BG103" s="251"/>
    </row>
    <row r="104" spans="4:59"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  <c r="Z104" s="251"/>
      <c r="AA104" s="251"/>
      <c r="AB104" s="251"/>
      <c r="AC104" s="251"/>
      <c r="AD104" s="251"/>
      <c r="AE104" s="251"/>
      <c r="AF104" s="251"/>
      <c r="AG104" s="251"/>
      <c r="AH104" s="251"/>
      <c r="AI104" s="251"/>
      <c r="AJ104" s="251"/>
      <c r="AK104" s="251"/>
      <c r="AL104" s="251"/>
      <c r="AM104" s="251"/>
      <c r="AN104" s="251"/>
      <c r="AO104" s="251"/>
      <c r="AP104" s="251"/>
      <c r="AQ104" s="251"/>
      <c r="AR104" s="251"/>
      <c r="AS104" s="251"/>
      <c r="AT104" s="251"/>
      <c r="AU104" s="251"/>
      <c r="AV104" s="251"/>
      <c r="AW104" s="251"/>
      <c r="AX104" s="251"/>
      <c r="AY104" s="251"/>
      <c r="AZ104" s="251"/>
      <c r="BA104" s="251"/>
      <c r="BB104" s="251"/>
      <c r="BC104" s="251"/>
      <c r="BD104" s="251"/>
      <c r="BE104" s="251"/>
      <c r="BF104" s="251"/>
      <c r="BG104" s="251"/>
    </row>
    <row r="105" spans="4:59"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  <c r="Z105" s="251"/>
      <c r="AA105" s="251"/>
      <c r="AB105" s="251"/>
      <c r="AC105" s="251"/>
      <c r="AD105" s="251"/>
      <c r="AE105" s="251"/>
      <c r="AF105" s="251"/>
      <c r="AG105" s="251"/>
      <c r="AH105" s="251"/>
      <c r="AI105" s="251"/>
      <c r="AJ105" s="251"/>
      <c r="AK105" s="251"/>
      <c r="AL105" s="251"/>
      <c r="AM105" s="251"/>
      <c r="AN105" s="251"/>
      <c r="AO105" s="251"/>
      <c r="AP105" s="251"/>
      <c r="AQ105" s="251"/>
      <c r="AR105" s="251"/>
      <c r="AS105" s="251"/>
      <c r="AT105" s="251"/>
      <c r="AU105" s="251"/>
      <c r="AV105" s="251"/>
      <c r="AW105" s="251"/>
      <c r="AX105" s="251"/>
      <c r="AY105" s="251"/>
      <c r="AZ105" s="251"/>
      <c r="BA105" s="251"/>
      <c r="BB105" s="251"/>
      <c r="BC105" s="251"/>
      <c r="BD105" s="251"/>
      <c r="BE105" s="251"/>
      <c r="BF105" s="251"/>
      <c r="BG105" s="251"/>
    </row>
    <row r="106" spans="4:59"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251"/>
      <c r="AM106" s="251"/>
      <c r="AN106" s="251"/>
      <c r="AO106" s="251"/>
      <c r="AP106" s="251"/>
      <c r="AQ106" s="251"/>
      <c r="AR106" s="251"/>
      <c r="AS106" s="251"/>
      <c r="AT106" s="251"/>
      <c r="AU106" s="251"/>
      <c r="AV106" s="251"/>
      <c r="AW106" s="251"/>
      <c r="AX106" s="251"/>
      <c r="AY106" s="251"/>
      <c r="AZ106" s="251"/>
      <c r="BA106" s="251"/>
      <c r="BB106" s="251"/>
      <c r="BC106" s="251"/>
      <c r="BD106" s="251"/>
      <c r="BE106" s="251"/>
      <c r="BF106" s="251"/>
      <c r="BG106" s="251"/>
    </row>
    <row r="107" spans="4:59"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  <c r="Z107" s="251"/>
      <c r="AA107" s="251"/>
      <c r="AB107" s="251"/>
      <c r="AC107" s="251"/>
      <c r="AD107" s="251"/>
      <c r="AE107" s="251"/>
      <c r="AF107" s="251"/>
      <c r="AG107" s="251"/>
      <c r="AH107" s="251"/>
      <c r="AI107" s="251"/>
      <c r="AJ107" s="251"/>
      <c r="AK107" s="251"/>
      <c r="AL107" s="251"/>
      <c r="AM107" s="251"/>
      <c r="AN107" s="251"/>
      <c r="AO107" s="251"/>
      <c r="AP107" s="251"/>
      <c r="AQ107" s="251"/>
      <c r="AR107" s="251"/>
      <c r="AS107" s="251"/>
      <c r="AT107" s="251"/>
      <c r="AU107" s="251"/>
      <c r="AV107" s="251"/>
      <c r="AW107" s="251"/>
      <c r="AX107" s="251"/>
      <c r="AY107" s="251"/>
      <c r="AZ107" s="251"/>
      <c r="BA107" s="251"/>
      <c r="BB107" s="251"/>
      <c r="BC107" s="251"/>
      <c r="BD107" s="251"/>
      <c r="BE107" s="251"/>
      <c r="BF107" s="251"/>
      <c r="BG107" s="251"/>
    </row>
    <row r="108" spans="4:59"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1"/>
      <c r="AG108" s="251"/>
      <c r="AH108" s="251"/>
      <c r="AI108" s="251"/>
      <c r="AJ108" s="251"/>
      <c r="AK108" s="251"/>
      <c r="AL108" s="251"/>
      <c r="AM108" s="251"/>
      <c r="AN108" s="251"/>
      <c r="AO108" s="251"/>
      <c r="AP108" s="251"/>
      <c r="AQ108" s="251"/>
      <c r="AR108" s="251"/>
      <c r="AS108" s="251"/>
      <c r="AT108" s="251"/>
      <c r="AU108" s="251"/>
      <c r="AV108" s="251"/>
      <c r="AW108" s="251"/>
      <c r="AX108" s="251"/>
      <c r="AY108" s="251"/>
      <c r="AZ108" s="251"/>
      <c r="BA108" s="251"/>
      <c r="BB108" s="251"/>
      <c r="BC108" s="251"/>
      <c r="BD108" s="251"/>
      <c r="BE108" s="251"/>
      <c r="BF108" s="251"/>
      <c r="BG108" s="251"/>
    </row>
    <row r="109" spans="4:59"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  <c r="Z109" s="251"/>
      <c r="AA109" s="251"/>
      <c r="AB109" s="251"/>
      <c r="AC109" s="251"/>
      <c r="AD109" s="251"/>
      <c r="AE109" s="251"/>
      <c r="AF109" s="251"/>
      <c r="AG109" s="251"/>
      <c r="AH109" s="251"/>
      <c r="AI109" s="251"/>
      <c r="AJ109" s="251"/>
      <c r="AK109" s="251"/>
      <c r="AL109" s="251"/>
      <c r="AM109" s="251"/>
      <c r="AN109" s="251"/>
      <c r="AO109" s="251"/>
      <c r="AP109" s="251"/>
      <c r="AQ109" s="251"/>
      <c r="AR109" s="251"/>
      <c r="AS109" s="251"/>
      <c r="AT109" s="251"/>
      <c r="AU109" s="251"/>
      <c r="AV109" s="251"/>
      <c r="AW109" s="251"/>
      <c r="AX109" s="251"/>
      <c r="AY109" s="251"/>
      <c r="AZ109" s="251"/>
      <c r="BA109" s="251"/>
      <c r="BB109" s="251"/>
      <c r="BC109" s="251"/>
      <c r="BD109" s="251"/>
      <c r="BE109" s="251"/>
      <c r="BF109" s="251"/>
      <c r="BG109" s="251"/>
    </row>
    <row r="110" spans="4:59"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251"/>
      <c r="AM110" s="251"/>
      <c r="AN110" s="251"/>
      <c r="AO110" s="251"/>
      <c r="AP110" s="251"/>
      <c r="AQ110" s="251"/>
      <c r="AR110" s="251"/>
      <c r="AS110" s="251"/>
      <c r="AT110" s="251"/>
      <c r="AU110" s="251"/>
      <c r="AV110" s="251"/>
      <c r="AW110" s="251"/>
      <c r="AX110" s="251"/>
      <c r="AY110" s="251"/>
      <c r="AZ110" s="251"/>
      <c r="BA110" s="251"/>
      <c r="BB110" s="251"/>
      <c r="BC110" s="251"/>
      <c r="BD110" s="251"/>
      <c r="BE110" s="251"/>
      <c r="BF110" s="251"/>
      <c r="BG110" s="251"/>
    </row>
    <row r="111" spans="4:59"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  <c r="Z111" s="251"/>
      <c r="AA111" s="251"/>
      <c r="AB111" s="251"/>
      <c r="AC111" s="251"/>
      <c r="AD111" s="251"/>
      <c r="AE111" s="251"/>
      <c r="AF111" s="251"/>
      <c r="AG111" s="251"/>
      <c r="AH111" s="251"/>
      <c r="AI111" s="251"/>
      <c r="AJ111" s="251"/>
      <c r="AK111" s="251"/>
      <c r="AL111" s="251"/>
      <c r="AM111" s="251"/>
      <c r="AN111" s="251"/>
      <c r="AO111" s="251"/>
      <c r="AP111" s="251"/>
      <c r="AQ111" s="251"/>
      <c r="AR111" s="251"/>
      <c r="AS111" s="251"/>
      <c r="AT111" s="251"/>
      <c r="AU111" s="251"/>
      <c r="AV111" s="251"/>
      <c r="AW111" s="251"/>
      <c r="AX111" s="251"/>
      <c r="AY111" s="251"/>
      <c r="AZ111" s="251"/>
      <c r="BA111" s="251"/>
      <c r="BB111" s="251"/>
      <c r="BC111" s="251"/>
      <c r="BD111" s="251"/>
      <c r="BE111" s="251"/>
      <c r="BF111" s="251"/>
      <c r="BG111" s="251"/>
    </row>
    <row r="112" spans="4:59"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  <c r="Z112" s="251"/>
      <c r="AA112" s="251"/>
      <c r="AB112" s="251"/>
      <c r="AC112" s="251"/>
      <c r="AD112" s="251"/>
      <c r="AE112" s="251"/>
      <c r="AF112" s="251"/>
      <c r="AG112" s="251"/>
      <c r="AH112" s="251"/>
      <c r="AI112" s="251"/>
      <c r="AJ112" s="251"/>
      <c r="AK112" s="251"/>
      <c r="AL112" s="251"/>
      <c r="AM112" s="251"/>
      <c r="AN112" s="251"/>
      <c r="AO112" s="251"/>
      <c r="AP112" s="251"/>
      <c r="AQ112" s="251"/>
      <c r="AR112" s="251"/>
      <c r="AS112" s="251"/>
      <c r="AT112" s="251"/>
      <c r="AU112" s="251"/>
      <c r="AV112" s="251"/>
      <c r="AW112" s="251"/>
      <c r="AX112" s="251"/>
      <c r="AY112" s="251"/>
      <c r="AZ112" s="251"/>
      <c r="BA112" s="251"/>
      <c r="BB112" s="251"/>
      <c r="BC112" s="251"/>
      <c r="BD112" s="251"/>
      <c r="BE112" s="251"/>
      <c r="BF112" s="251"/>
      <c r="BG112" s="251"/>
    </row>
    <row r="113" spans="4:61"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  <c r="Z113" s="251"/>
      <c r="AA113" s="251"/>
      <c r="AB113" s="251"/>
      <c r="AC113" s="251"/>
      <c r="AD113" s="251"/>
      <c r="AE113" s="251"/>
      <c r="AF113" s="251"/>
      <c r="AG113" s="251"/>
      <c r="AH113" s="251"/>
      <c r="AI113" s="251"/>
      <c r="AJ113" s="251"/>
      <c r="AK113" s="251"/>
      <c r="AL113" s="251"/>
      <c r="AM113" s="251"/>
      <c r="AN113" s="251"/>
      <c r="AO113" s="251"/>
      <c r="AP113" s="251"/>
      <c r="AQ113" s="251"/>
      <c r="AR113" s="251"/>
      <c r="AS113" s="251"/>
      <c r="AT113" s="251"/>
      <c r="AU113" s="251"/>
      <c r="AV113" s="251"/>
      <c r="AW113" s="251"/>
      <c r="AX113" s="251"/>
      <c r="AY113" s="251"/>
      <c r="AZ113" s="251"/>
      <c r="BA113" s="251"/>
      <c r="BB113" s="251"/>
      <c r="BC113" s="251"/>
      <c r="BD113" s="251"/>
      <c r="BE113" s="251"/>
      <c r="BF113" s="251"/>
      <c r="BG113" s="251"/>
    </row>
    <row r="114" spans="4:61"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  <c r="Z114" s="251"/>
      <c r="AA114" s="251"/>
      <c r="AB114" s="251"/>
      <c r="AC114" s="251"/>
      <c r="AD114" s="251"/>
      <c r="AE114" s="251"/>
      <c r="AF114" s="251"/>
      <c r="AG114" s="251"/>
      <c r="AH114" s="251"/>
      <c r="AI114" s="251"/>
      <c r="AJ114" s="251"/>
      <c r="AK114" s="251"/>
      <c r="AL114" s="251"/>
      <c r="AM114" s="251"/>
      <c r="AN114" s="251"/>
      <c r="AO114" s="251"/>
      <c r="AP114" s="251"/>
      <c r="AQ114" s="251"/>
      <c r="AR114" s="251"/>
      <c r="AS114" s="251"/>
      <c r="AT114" s="251"/>
      <c r="AU114" s="251"/>
      <c r="AV114" s="251"/>
      <c r="AW114" s="251"/>
      <c r="AX114" s="251"/>
      <c r="AY114" s="251"/>
      <c r="AZ114" s="251"/>
      <c r="BA114" s="251"/>
      <c r="BB114" s="251"/>
      <c r="BC114" s="251"/>
      <c r="BD114" s="251"/>
      <c r="BE114" s="251"/>
      <c r="BF114" s="251"/>
      <c r="BG114" s="251"/>
    </row>
    <row r="115" spans="4:61"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  <c r="Z115" s="251"/>
      <c r="AA115" s="251"/>
      <c r="AB115" s="251"/>
      <c r="AC115" s="251"/>
      <c r="AD115" s="251"/>
      <c r="AE115" s="251"/>
      <c r="AF115" s="251"/>
      <c r="AG115" s="251"/>
      <c r="AH115" s="251"/>
      <c r="AI115" s="251"/>
      <c r="AJ115" s="251"/>
      <c r="AK115" s="251"/>
      <c r="AL115" s="251"/>
      <c r="AM115" s="251"/>
      <c r="AN115" s="251"/>
      <c r="AO115" s="251"/>
      <c r="AP115" s="251"/>
      <c r="AQ115" s="251"/>
      <c r="AR115" s="251"/>
      <c r="AS115" s="251"/>
      <c r="AT115" s="251"/>
      <c r="AU115" s="251"/>
      <c r="AV115" s="251"/>
      <c r="AW115" s="251"/>
      <c r="AX115" s="251"/>
      <c r="AY115" s="251"/>
      <c r="AZ115" s="251"/>
      <c r="BA115" s="251"/>
      <c r="BB115" s="251"/>
      <c r="BC115" s="251"/>
      <c r="BD115" s="251"/>
      <c r="BE115" s="251"/>
      <c r="BF115" s="251"/>
      <c r="BG115" s="251"/>
      <c r="BH115" s="27"/>
      <c r="BI115" s="27"/>
    </row>
    <row r="116" spans="4:61"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  <c r="Z116" s="251"/>
      <c r="AA116" s="251"/>
      <c r="AB116" s="251"/>
      <c r="AC116" s="251"/>
      <c r="AD116" s="251"/>
      <c r="AE116" s="251"/>
      <c r="AF116" s="251"/>
      <c r="AG116" s="251"/>
      <c r="AH116" s="251"/>
      <c r="AI116" s="251"/>
      <c r="AJ116" s="251"/>
      <c r="AK116" s="251"/>
      <c r="AL116" s="251"/>
      <c r="AM116" s="251"/>
      <c r="AN116" s="251"/>
      <c r="AO116" s="251"/>
      <c r="AP116" s="251"/>
      <c r="AQ116" s="251"/>
      <c r="AR116" s="251"/>
      <c r="AS116" s="251"/>
      <c r="AT116" s="251"/>
      <c r="AU116" s="251"/>
      <c r="AV116" s="251"/>
      <c r="AW116" s="251"/>
      <c r="AX116" s="251"/>
      <c r="AY116" s="251"/>
      <c r="AZ116" s="251"/>
      <c r="BA116" s="251"/>
      <c r="BB116" s="251"/>
      <c r="BC116" s="251"/>
      <c r="BD116" s="251"/>
      <c r="BE116" s="251"/>
      <c r="BF116" s="251"/>
      <c r="BG116" s="251"/>
      <c r="BI116" s="22"/>
    </row>
    <row r="117" spans="4:61"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  <c r="Z117" s="251"/>
      <c r="AA117" s="251"/>
      <c r="AB117" s="251"/>
      <c r="AC117" s="251"/>
      <c r="AD117" s="251"/>
      <c r="AE117" s="251"/>
      <c r="AF117" s="251"/>
      <c r="AG117" s="251"/>
      <c r="AH117" s="251"/>
      <c r="AI117" s="251"/>
      <c r="AJ117" s="251"/>
      <c r="AK117" s="251"/>
      <c r="AL117" s="251"/>
      <c r="AM117" s="251"/>
      <c r="AN117" s="251"/>
      <c r="AO117" s="251"/>
      <c r="AP117" s="251"/>
      <c r="AQ117" s="251"/>
      <c r="AR117" s="251"/>
      <c r="AS117" s="251"/>
      <c r="AT117" s="251"/>
      <c r="AU117" s="251"/>
      <c r="AV117" s="251"/>
      <c r="AW117" s="251"/>
      <c r="AX117" s="251"/>
      <c r="AY117" s="251"/>
      <c r="AZ117" s="251"/>
      <c r="BA117" s="251"/>
      <c r="BB117" s="251"/>
      <c r="BC117" s="251"/>
      <c r="BD117" s="251"/>
      <c r="BE117" s="251"/>
      <c r="BF117" s="251"/>
      <c r="BG117" s="251"/>
    </row>
    <row r="118" spans="4:61"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251"/>
      <c r="AC118" s="251"/>
      <c r="AD118" s="251"/>
      <c r="AE118" s="251"/>
      <c r="AF118" s="251"/>
      <c r="AG118" s="251"/>
      <c r="AH118" s="251"/>
      <c r="AI118" s="251"/>
      <c r="AJ118" s="251"/>
      <c r="AK118" s="251"/>
      <c r="AL118" s="251"/>
      <c r="AM118" s="251"/>
      <c r="AN118" s="251"/>
      <c r="AO118" s="251"/>
      <c r="AP118" s="251"/>
      <c r="AQ118" s="251"/>
      <c r="AR118" s="251"/>
      <c r="AS118" s="251"/>
      <c r="AT118" s="251"/>
      <c r="AU118" s="251"/>
      <c r="AV118" s="251"/>
      <c r="AW118" s="251"/>
      <c r="AX118" s="251"/>
      <c r="AY118" s="251"/>
      <c r="AZ118" s="251"/>
      <c r="BA118" s="251"/>
      <c r="BB118" s="251"/>
      <c r="BC118" s="251"/>
      <c r="BD118" s="251"/>
      <c r="BE118" s="251"/>
      <c r="BF118" s="251"/>
      <c r="BG118" s="251"/>
      <c r="BH118" s="56"/>
    </row>
    <row r="119" spans="4:61"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  <c r="AA119" s="251"/>
      <c r="AB119" s="251"/>
      <c r="AC119" s="251"/>
      <c r="AD119" s="251"/>
      <c r="AE119" s="251"/>
      <c r="AF119" s="251"/>
      <c r="AG119" s="251"/>
      <c r="AH119" s="251"/>
      <c r="AI119" s="251"/>
      <c r="AJ119" s="251"/>
      <c r="AK119" s="251"/>
      <c r="AL119" s="251"/>
      <c r="AM119" s="251"/>
      <c r="AN119" s="251"/>
      <c r="AO119" s="251"/>
      <c r="AP119" s="251"/>
      <c r="AQ119" s="251"/>
      <c r="AR119" s="251"/>
      <c r="AS119" s="251"/>
      <c r="AT119" s="251"/>
      <c r="AU119" s="251"/>
      <c r="AV119" s="251"/>
      <c r="AW119" s="251"/>
      <c r="AX119" s="251"/>
      <c r="AY119" s="251"/>
      <c r="AZ119" s="251"/>
      <c r="BA119" s="251"/>
      <c r="BB119" s="251"/>
      <c r="BC119" s="251"/>
      <c r="BD119" s="251"/>
      <c r="BE119" s="251"/>
      <c r="BF119" s="251"/>
      <c r="BG119" s="251"/>
    </row>
    <row r="120" spans="4:61"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  <c r="Z120" s="251"/>
      <c r="AA120" s="251"/>
      <c r="AB120" s="251"/>
      <c r="AC120" s="251"/>
      <c r="AD120" s="251"/>
      <c r="AE120" s="251"/>
      <c r="AF120" s="251"/>
      <c r="AG120" s="251"/>
      <c r="AH120" s="251"/>
      <c r="AI120" s="251"/>
      <c r="AJ120" s="251"/>
      <c r="AK120" s="251"/>
      <c r="AL120" s="251"/>
      <c r="AM120" s="251"/>
      <c r="AN120" s="251"/>
      <c r="AO120" s="251"/>
      <c r="AP120" s="251"/>
      <c r="AQ120" s="251"/>
      <c r="AR120" s="251"/>
      <c r="AS120" s="251"/>
      <c r="AT120" s="251"/>
      <c r="AU120" s="251"/>
      <c r="AV120" s="251"/>
      <c r="AW120" s="251"/>
      <c r="AX120" s="251"/>
      <c r="AY120" s="251"/>
      <c r="AZ120" s="251"/>
      <c r="BA120" s="251"/>
      <c r="BB120" s="251"/>
      <c r="BC120" s="251"/>
      <c r="BD120" s="251"/>
      <c r="BE120" s="251"/>
      <c r="BF120" s="251"/>
      <c r="BG120" s="251"/>
    </row>
    <row r="121" spans="4:61"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  <c r="Z121" s="251"/>
      <c r="AA121" s="251"/>
      <c r="AB121" s="251"/>
      <c r="AC121" s="251"/>
      <c r="AD121" s="251"/>
      <c r="AE121" s="251"/>
      <c r="AF121" s="251"/>
      <c r="AG121" s="251"/>
      <c r="AH121" s="251"/>
      <c r="AI121" s="251"/>
      <c r="AJ121" s="251"/>
      <c r="AK121" s="251"/>
      <c r="AL121" s="251"/>
      <c r="AM121" s="251"/>
      <c r="AN121" s="251"/>
      <c r="AO121" s="251"/>
      <c r="AP121" s="251"/>
      <c r="AQ121" s="251"/>
      <c r="AR121" s="251"/>
      <c r="AS121" s="251"/>
      <c r="AT121" s="251"/>
      <c r="AU121" s="251"/>
      <c r="AV121" s="251"/>
      <c r="AW121" s="251"/>
      <c r="AX121" s="251"/>
      <c r="AY121" s="251"/>
      <c r="AZ121" s="251"/>
      <c r="BA121" s="251"/>
      <c r="BB121" s="251"/>
      <c r="BC121" s="251"/>
      <c r="BD121" s="251"/>
      <c r="BE121" s="251"/>
      <c r="BF121" s="251"/>
      <c r="BG121" s="251"/>
    </row>
    <row r="122" spans="4:61"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  <c r="Z122" s="251"/>
      <c r="AA122" s="251"/>
      <c r="AB122" s="251"/>
      <c r="AC122" s="251"/>
      <c r="AD122" s="251"/>
      <c r="AE122" s="251"/>
      <c r="AF122" s="251"/>
      <c r="AG122" s="251"/>
      <c r="AH122" s="251"/>
      <c r="AI122" s="251"/>
      <c r="AJ122" s="251"/>
      <c r="AK122" s="251"/>
      <c r="AL122" s="251"/>
      <c r="AM122" s="251"/>
      <c r="AN122" s="251"/>
      <c r="AO122" s="251"/>
      <c r="AP122" s="251"/>
      <c r="AQ122" s="251"/>
      <c r="AR122" s="251"/>
      <c r="AS122" s="251"/>
      <c r="AT122" s="251"/>
      <c r="AU122" s="251"/>
      <c r="AV122" s="379"/>
      <c r="AW122" s="379"/>
      <c r="AX122" s="251"/>
      <c r="AY122" s="251"/>
      <c r="AZ122" s="251"/>
      <c r="BA122" s="251"/>
      <c r="BB122" s="251"/>
      <c r="BC122" s="251"/>
      <c r="BD122" s="251"/>
      <c r="BE122" s="251"/>
      <c r="BF122" s="251"/>
      <c r="BG122" s="251"/>
    </row>
    <row r="123" spans="4:61"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  <c r="Z123" s="251"/>
      <c r="AA123" s="251"/>
      <c r="AB123" s="251"/>
      <c r="AC123" s="251"/>
      <c r="AD123" s="251"/>
      <c r="AE123" s="251"/>
      <c r="AF123" s="251"/>
      <c r="AG123" s="251"/>
      <c r="AH123" s="251"/>
      <c r="AI123" s="251"/>
      <c r="AJ123" s="251"/>
      <c r="AK123" s="251"/>
      <c r="AL123" s="251"/>
      <c r="AM123" s="251"/>
      <c r="AN123" s="251"/>
      <c r="AO123" s="251"/>
      <c r="AP123" s="251"/>
      <c r="AQ123" s="251"/>
      <c r="AR123" s="251"/>
      <c r="AS123" s="251"/>
      <c r="AT123" s="251"/>
      <c r="AU123" s="251"/>
      <c r="AV123" s="251"/>
      <c r="AW123" s="251"/>
      <c r="AX123" s="251"/>
      <c r="AY123" s="251"/>
      <c r="AZ123" s="251"/>
      <c r="BA123" s="251"/>
      <c r="BB123" s="251"/>
      <c r="BC123" s="251"/>
      <c r="BD123" s="251"/>
      <c r="BE123" s="251"/>
      <c r="BF123" s="251"/>
      <c r="BG123" s="251"/>
    </row>
    <row r="124" spans="4:61"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251"/>
      <c r="AA124" s="251"/>
      <c r="AB124" s="251"/>
      <c r="AC124" s="251"/>
      <c r="AD124" s="251"/>
      <c r="AE124" s="251"/>
      <c r="AF124" s="251"/>
      <c r="AG124" s="251"/>
      <c r="AH124" s="251"/>
      <c r="AI124" s="251"/>
      <c r="AJ124" s="251"/>
      <c r="AK124" s="251"/>
      <c r="AL124" s="251"/>
      <c r="AM124" s="251"/>
      <c r="AN124" s="251"/>
      <c r="AO124" s="251"/>
      <c r="AP124" s="251"/>
      <c r="AQ124" s="251"/>
      <c r="AR124" s="251"/>
      <c r="AS124" s="251"/>
      <c r="AT124" s="251"/>
      <c r="AU124" s="251"/>
      <c r="AV124" s="251"/>
      <c r="AW124" s="251"/>
      <c r="AX124" s="251"/>
      <c r="AY124" s="251"/>
      <c r="AZ124" s="251"/>
      <c r="BA124" s="251"/>
      <c r="BB124" s="251"/>
      <c r="BC124" s="251"/>
      <c r="BD124" s="251"/>
      <c r="BE124" s="251"/>
      <c r="BF124" s="251"/>
      <c r="BG124" s="251"/>
    </row>
    <row r="125" spans="4:61">
      <c r="AR125" s="251"/>
    </row>
    <row r="126" spans="4:61">
      <c r="AR126" s="251"/>
      <c r="AT126" s="251"/>
    </row>
    <row r="127" spans="4:61">
      <c r="AR127" s="251"/>
    </row>
    <row r="128" spans="4:61">
      <c r="AR128" s="251"/>
      <c r="AS128" s="251"/>
      <c r="AT128" s="251"/>
      <c r="AU128" s="251"/>
      <c r="AV128" s="251"/>
      <c r="AW128" s="251"/>
      <c r="AX128" s="251"/>
      <c r="AY128" s="251"/>
      <c r="AZ128" s="251"/>
      <c r="BA128" s="251"/>
      <c r="BB128" s="251"/>
      <c r="BC128" s="251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N28" zoomScale="80" zoomScaleNormal="80" workbookViewId="0">
      <selection activeCell="V46" sqref="V46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</row>
    <row r="2" spans="9:38">
      <c r="AK2" s="257"/>
      <c r="AL2" s="257"/>
    </row>
    <row r="3" spans="9:38">
      <c r="AK3" s="257"/>
      <c r="AL3" s="257"/>
    </row>
    <row r="4" spans="9:38">
      <c r="AK4" s="257"/>
      <c r="AL4" s="257"/>
    </row>
    <row r="5" spans="9:38" ht="21" customHeight="1">
      <c r="I5" s="262"/>
      <c r="AK5" s="257"/>
      <c r="AL5" s="257"/>
    </row>
    <row r="6" spans="9:38">
      <c r="I6" s="257"/>
      <c r="AK6" s="257"/>
      <c r="AL6" s="257"/>
    </row>
    <row r="7" spans="9:38" ht="15.75" customHeight="1">
      <c r="I7" s="257"/>
      <c r="AK7" s="257"/>
      <c r="AL7" s="257"/>
    </row>
    <row r="8" spans="9:38">
      <c r="I8" s="257"/>
      <c r="AK8" s="257"/>
      <c r="AL8" s="257"/>
    </row>
    <row r="9" spans="9:38">
      <c r="I9" s="257"/>
      <c r="AK9" s="257"/>
      <c r="AL9" s="257"/>
    </row>
    <row r="10" spans="9:38">
      <c r="I10" s="257"/>
      <c r="AK10" s="257"/>
      <c r="AL10" s="257"/>
    </row>
    <row r="11" spans="9:38">
      <c r="AK11" s="257"/>
      <c r="AL11" s="257"/>
    </row>
    <row r="12" spans="9:38">
      <c r="AK12" s="257"/>
      <c r="AL12" s="257"/>
    </row>
    <row r="13" spans="9:38">
      <c r="AK13" s="257"/>
      <c r="AL13" s="257"/>
    </row>
    <row r="14" spans="9:38">
      <c r="Q14" s="22"/>
      <c r="T14" s="257"/>
      <c r="U14" s="257"/>
      <c r="V14" s="257"/>
      <c r="W14" s="257"/>
      <c r="AA14" s="257"/>
      <c r="AB14" s="257"/>
      <c r="AC14" s="257"/>
      <c r="AD14" s="257"/>
      <c r="AE14" s="257"/>
      <c r="AF14" s="257"/>
      <c r="AG14" s="257"/>
      <c r="AH14" s="257"/>
      <c r="AI14" s="257"/>
      <c r="AJ14" s="257"/>
      <c r="AK14" s="257"/>
      <c r="AL14" s="257"/>
    </row>
    <row r="15" spans="9:38">
      <c r="T15" s="257"/>
      <c r="U15" s="257"/>
      <c r="V15" s="257"/>
      <c r="W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</row>
    <row r="16" spans="9:38" ht="21">
      <c r="AB16" s="102"/>
      <c r="AC16" s="257"/>
      <c r="AD16" s="257"/>
      <c r="AE16" s="257"/>
      <c r="AF16" s="257"/>
      <c r="AG16" s="257"/>
      <c r="AH16" s="257"/>
      <c r="AI16" s="257"/>
      <c r="AJ16" s="257"/>
      <c r="AK16" s="257"/>
    </row>
    <row r="17" spans="1:38">
      <c r="H17" s="262"/>
      <c r="Q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57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178</v>
      </c>
      <c r="N18" s="98"/>
      <c r="O18" s="98"/>
      <c r="Q18" s="257"/>
      <c r="W18" s="257"/>
      <c r="X18" s="257"/>
      <c r="Y18" s="101" t="s">
        <v>181</v>
      </c>
      <c r="Z18" s="101"/>
      <c r="AA18" s="101"/>
      <c r="AB18" s="257"/>
      <c r="AC18" s="257"/>
      <c r="AD18" s="257"/>
      <c r="AE18" s="257"/>
      <c r="AJ18" s="257"/>
      <c r="AK18" s="257"/>
      <c r="AL18" s="257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48.739058070724774</v>
      </c>
      <c r="H19" s="24" t="s">
        <v>100</v>
      </c>
      <c r="L19" s="47" t="s">
        <v>46</v>
      </c>
      <c r="M19" s="96"/>
      <c r="N19" s="96"/>
      <c r="O19" s="34"/>
      <c r="P19" s="34"/>
      <c r="Q19" s="257"/>
      <c r="AE19" s="257"/>
      <c r="AJ19" s="257"/>
      <c r="AK19" s="257"/>
      <c r="AL19" s="257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57"/>
      <c r="W20" s="257"/>
      <c r="X20" s="403" t="s">
        <v>22</v>
      </c>
      <c r="Y20" s="404"/>
      <c r="Z20" s="404"/>
      <c r="AA20" s="405"/>
      <c r="AB20" s="257"/>
      <c r="AC20" s="257"/>
      <c r="AD20" s="257"/>
      <c r="AK20" s="257"/>
      <c r="AL20" s="257"/>
    </row>
    <row r="21" spans="1:38" ht="18">
      <c r="A21" s="89" t="s">
        <v>16</v>
      </c>
      <c r="B21" s="198">
        <v>5</v>
      </c>
      <c r="C21" s="86">
        <f>B21/D21</f>
        <v>2.2727272727272725</v>
      </c>
      <c r="D21" s="86">
        <v>2.2000000000000002</v>
      </c>
      <c r="K21" s="257"/>
      <c r="O21" s="23"/>
      <c r="X21" s="16"/>
      <c r="Y21" s="17"/>
      <c r="Z21" s="18"/>
      <c r="AK21" s="257"/>
      <c r="AL21" s="257"/>
    </row>
    <row r="22" spans="1:38" ht="18">
      <c r="A22" s="84" t="s">
        <v>17</v>
      </c>
      <c r="B22" s="86">
        <f>SUM(B19:B21)</f>
        <v>105.10048999999999</v>
      </c>
      <c r="C22" s="86">
        <f>SUM(C19:C21)</f>
        <v>102.58712822772546</v>
      </c>
      <c r="D22" s="86">
        <f>B22/C22</f>
        <v>1.0244997770743256</v>
      </c>
      <c r="K22" s="257"/>
      <c r="L22" s="36" t="s">
        <v>3</v>
      </c>
      <c r="M22" s="34"/>
      <c r="N22" s="15" t="s">
        <v>18</v>
      </c>
      <c r="O22" s="36" t="s">
        <v>49</v>
      </c>
      <c r="P22" s="73"/>
      <c r="Q22" s="257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78.48</v>
      </c>
      <c r="AD22" s="257" t="s">
        <v>18</v>
      </c>
      <c r="AK22" s="257"/>
      <c r="AL22" s="257"/>
    </row>
    <row r="23" spans="1:38" ht="18">
      <c r="B23" s="87"/>
      <c r="C23" s="87"/>
      <c r="D23" s="87"/>
      <c r="E23" s="87"/>
      <c r="K23" s="257"/>
      <c r="L23" s="36" t="s">
        <v>4</v>
      </c>
      <c r="M23" s="34"/>
      <c r="N23" s="15" t="s">
        <v>18</v>
      </c>
      <c r="O23" s="36" t="s">
        <v>27</v>
      </c>
      <c r="P23" s="34"/>
      <c r="Q23" s="257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0.05/100</f>
        <v>5.0000000000000001E-4</v>
      </c>
      <c r="AD23" s="257" t="s">
        <v>33</v>
      </c>
      <c r="AK23" s="257"/>
      <c r="AL23" s="257"/>
    </row>
    <row r="24" spans="1:38">
      <c r="A24" s="161" t="s">
        <v>160</v>
      </c>
      <c r="B24" s="161"/>
      <c r="K24" s="257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257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3.9240000000000004E-2</v>
      </c>
      <c r="AD24" s="257" t="s">
        <v>18</v>
      </c>
      <c r="AK24" s="257"/>
      <c r="AL24" s="257"/>
    </row>
    <row r="25" spans="1:38">
      <c r="L25" s="67" t="s">
        <v>30</v>
      </c>
      <c r="M25" s="37">
        <f>P23*M24</f>
        <v>0</v>
      </c>
      <c r="N25" s="15" t="s">
        <v>18</v>
      </c>
      <c r="Q25" s="257"/>
      <c r="W25" s="257"/>
      <c r="X25" s="263" t="s">
        <v>30</v>
      </c>
      <c r="Y25" s="264"/>
      <c r="Z25" s="104">
        <f>AC23*Z24</f>
        <v>0</v>
      </c>
      <c r="AA25" s="15" t="s">
        <v>18</v>
      </c>
      <c r="AK25" s="257"/>
      <c r="AL25" s="257"/>
    </row>
    <row r="26" spans="1:38">
      <c r="A26" s="23"/>
      <c r="W26" s="257"/>
      <c r="X26" s="257"/>
      <c r="Y26" s="257"/>
      <c r="Z26" s="257"/>
      <c r="AA26" s="23"/>
      <c r="AL26" s="257"/>
    </row>
    <row r="27" spans="1:38">
      <c r="A27" s="23"/>
      <c r="I27" s="257"/>
      <c r="J27" s="257"/>
      <c r="K27" s="257"/>
      <c r="L27" s="257"/>
      <c r="AD27" s="31">
        <f>AC22+Z24</f>
        <v>78.48</v>
      </c>
      <c r="AE27" s="15">
        <f>AC24+Z25</f>
        <v>3.9240000000000004E-2</v>
      </c>
      <c r="AL27" s="257"/>
    </row>
    <row r="28" spans="1:38" ht="21">
      <c r="D28" s="143" t="s">
        <v>45</v>
      </c>
      <c r="E28" s="142">
        <f>B22-(C41+B44)</f>
        <v>103.67048999999999</v>
      </c>
      <c r="F28" s="15" t="s">
        <v>18</v>
      </c>
      <c r="I28" s="257"/>
      <c r="J28" s="257"/>
      <c r="K28" s="257"/>
      <c r="L28" s="257"/>
    </row>
    <row r="29" spans="1:38">
      <c r="I29" s="257"/>
      <c r="J29" s="257"/>
      <c r="K29" s="257"/>
      <c r="L29" s="257"/>
      <c r="V29" s="257"/>
      <c r="W29" s="257"/>
      <c r="X29" s="257"/>
      <c r="AJ29" s="22"/>
    </row>
    <row r="30" spans="1:38" ht="21">
      <c r="I30" s="102"/>
      <c r="V30" s="257"/>
      <c r="W30" s="200">
        <f>AC22+Z24+AC43+V43</f>
        <v>79.910000000000011</v>
      </c>
      <c r="X30" s="257"/>
    </row>
    <row r="31" spans="1:38">
      <c r="V31" s="257"/>
      <c r="W31" s="257"/>
      <c r="X31" s="257"/>
    </row>
    <row r="33" spans="1:55">
      <c r="S33" s="15" t="s">
        <v>101</v>
      </c>
      <c r="T33" s="31">
        <f>P22-W30</f>
        <v>-79.910000000000011</v>
      </c>
      <c r="U33" s="15" t="s">
        <v>18</v>
      </c>
    </row>
    <row r="34" spans="1:55">
      <c r="D34" s="257"/>
      <c r="E34" s="257"/>
      <c r="F34" s="257"/>
      <c r="G34" s="257"/>
      <c r="H34" s="257"/>
      <c r="S34" s="15" t="s">
        <v>125</v>
      </c>
      <c r="T34" s="76">
        <f>T33/E28</f>
        <v>-0.77080758468489941</v>
      </c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</row>
    <row r="35" spans="1:55">
      <c r="D35" s="257"/>
      <c r="E35" s="257"/>
      <c r="F35" s="257"/>
      <c r="G35" s="257"/>
      <c r="H35" s="257"/>
      <c r="S35" s="15" t="s">
        <v>126</v>
      </c>
      <c r="T35" s="81">
        <f>T34*B49</f>
        <v>-3.8015997832169965</v>
      </c>
      <c r="U35" s="257" t="s">
        <v>18</v>
      </c>
      <c r="Z35" s="257"/>
    </row>
    <row r="36" spans="1:55">
      <c r="D36" s="257"/>
      <c r="E36" s="257"/>
      <c r="F36" s="257"/>
      <c r="G36" s="257"/>
      <c r="H36" s="200"/>
      <c r="P36" s="258"/>
      <c r="Q36" s="258"/>
      <c r="R36" s="16"/>
      <c r="U36" s="257"/>
      <c r="Z36" s="257"/>
    </row>
    <row r="37" spans="1:55">
      <c r="E37" s="30"/>
      <c r="Z37" s="257"/>
    </row>
    <row r="38" spans="1:55" ht="21">
      <c r="M38" s="98" t="s">
        <v>179</v>
      </c>
      <c r="N38" s="48"/>
      <c r="Z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257"/>
      <c r="BA38" s="257"/>
      <c r="BB38" s="257"/>
    </row>
    <row r="39" spans="1:55" ht="21">
      <c r="A39" s="392" t="s">
        <v>6</v>
      </c>
      <c r="B39" s="392"/>
      <c r="C39" s="33">
        <v>0.31</v>
      </c>
      <c r="D39" s="15" t="s">
        <v>18</v>
      </c>
      <c r="E39" s="257"/>
      <c r="F39" s="257"/>
      <c r="G39" s="257"/>
      <c r="M39" s="260" t="s">
        <v>20</v>
      </c>
      <c r="N39" s="261"/>
      <c r="Y39" s="101" t="s">
        <v>180</v>
      </c>
      <c r="Z39" s="101"/>
      <c r="AA39" s="101"/>
      <c r="AP39" s="257"/>
      <c r="AQ39" s="257"/>
      <c r="AR39" s="257"/>
      <c r="AS39" s="257"/>
      <c r="AT39" s="257"/>
      <c r="AU39" s="257"/>
      <c r="AV39" s="257"/>
      <c r="AW39" s="257"/>
      <c r="AX39" s="257"/>
      <c r="AY39" s="257"/>
      <c r="AZ39" s="257"/>
      <c r="BA39" s="257"/>
      <c r="BB39" s="257"/>
    </row>
    <row r="40" spans="1:55">
      <c r="A40" s="392" t="s">
        <v>5</v>
      </c>
      <c r="B40" s="392"/>
      <c r="C40" s="33">
        <v>0.5</v>
      </c>
      <c r="D40" s="15" t="s">
        <v>18</v>
      </c>
      <c r="E40" s="257"/>
      <c r="F40" s="257"/>
      <c r="G40" s="257"/>
      <c r="S40" s="257"/>
      <c r="V40" s="257"/>
      <c r="X40" s="403" t="s">
        <v>23</v>
      </c>
      <c r="Y40" s="404"/>
      <c r="Z40" s="404"/>
      <c r="AA40" s="405"/>
      <c r="AB40" s="257"/>
      <c r="AK40" s="257"/>
      <c r="AP40" s="257"/>
      <c r="AQ40" s="257"/>
      <c r="AR40" s="257"/>
      <c r="AS40" s="257"/>
      <c r="AT40" s="257"/>
      <c r="AU40" s="257"/>
      <c r="AV40" s="257"/>
      <c r="AW40" s="257"/>
      <c r="AX40" s="257"/>
      <c r="AY40" s="257"/>
      <c r="AZ40" s="257"/>
      <c r="BA40" s="257"/>
      <c r="BB40" s="257"/>
    </row>
    <row r="41" spans="1:55">
      <c r="A41" s="400" t="s">
        <v>17</v>
      </c>
      <c r="B41" s="401"/>
      <c r="C41" s="91">
        <f>SUM(C39:C40)</f>
        <v>0.81</v>
      </c>
      <c r="D41" s="23" t="s">
        <v>18</v>
      </c>
      <c r="E41" s="257"/>
      <c r="F41" s="257"/>
      <c r="G41" s="257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7.91</v>
      </c>
      <c r="R41" s="257" t="s">
        <v>18</v>
      </c>
      <c r="S41" s="257"/>
      <c r="Z41" s="257"/>
      <c r="AK41" s="257"/>
      <c r="AP41" s="257"/>
      <c r="AQ41" s="257"/>
      <c r="AR41" s="257"/>
      <c r="AS41" s="257"/>
      <c r="AT41" s="257"/>
      <c r="AU41" s="257"/>
      <c r="AV41" s="257"/>
      <c r="AW41" s="257"/>
      <c r="AX41" s="257"/>
      <c r="AY41" s="257"/>
      <c r="AZ41" s="257"/>
      <c r="BA41" s="257"/>
      <c r="BB41" s="257"/>
    </row>
    <row r="42" spans="1:55">
      <c r="C42" s="257"/>
      <c r="D42" s="257"/>
      <c r="E42" s="257"/>
      <c r="F42" s="257"/>
      <c r="G42" s="257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39.03/100</f>
        <v>0.39030000000000004</v>
      </c>
      <c r="R42" s="257" t="s">
        <v>33</v>
      </c>
      <c r="S42" s="257"/>
      <c r="AE42" s="257"/>
      <c r="AF42" s="257"/>
      <c r="AG42" s="257"/>
      <c r="AH42" s="257"/>
      <c r="AI42" s="257"/>
      <c r="AJ42" s="257"/>
      <c r="AK42" s="257"/>
      <c r="AL42" s="257"/>
      <c r="AP42" s="257"/>
      <c r="AQ42" s="257"/>
      <c r="AR42" s="257"/>
      <c r="AS42" s="257"/>
      <c r="AT42" s="257"/>
      <c r="AU42" s="257"/>
      <c r="AV42" s="257"/>
      <c r="AW42" s="257"/>
      <c r="AX42" s="257"/>
      <c r="AY42" s="257"/>
      <c r="AZ42" s="257"/>
      <c r="BA42" s="257"/>
      <c r="BB42" s="257"/>
    </row>
    <row r="43" spans="1:55">
      <c r="A43" s="36" t="s">
        <v>44</v>
      </c>
      <c r="B43" s="33">
        <v>0.62</v>
      </c>
      <c r="C43" s="257" t="s">
        <v>18</v>
      </c>
      <c r="D43" s="257"/>
      <c r="E43" s="257"/>
      <c r="F43" s="257"/>
      <c r="G43" s="257"/>
      <c r="H43" s="259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3.0872730000000002</v>
      </c>
      <c r="R43" s="257" t="s">
        <v>18</v>
      </c>
      <c r="S43" s="257"/>
      <c r="U43" s="35" t="s">
        <v>53</v>
      </c>
      <c r="V43" s="33"/>
      <c r="W43" s="257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1.43</v>
      </c>
      <c r="AD43" s="257" t="s">
        <v>18</v>
      </c>
      <c r="AF43" s="257"/>
      <c r="AG43" s="257"/>
      <c r="AH43" s="257"/>
      <c r="AI43" s="257"/>
      <c r="AJ43" s="257"/>
      <c r="AK43" s="257"/>
      <c r="AL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</row>
    <row r="44" spans="1:55">
      <c r="A44" s="92" t="s">
        <v>17</v>
      </c>
      <c r="B44" s="90">
        <f>SUM(B43)</f>
        <v>0.62</v>
      </c>
      <c r="C44" s="257" t="s">
        <v>18</v>
      </c>
      <c r="D44" s="257"/>
      <c r="E44" s="257"/>
      <c r="M44" s="67" t="s">
        <v>30</v>
      </c>
      <c r="N44" s="37">
        <f>Q42*N43</f>
        <v>0</v>
      </c>
      <c r="O44" s="15" t="s">
        <v>18</v>
      </c>
      <c r="U44" s="257"/>
      <c r="V44" s="257"/>
      <c r="W44" s="257"/>
      <c r="X44" s="105" t="s">
        <v>4</v>
      </c>
      <c r="Y44" s="106"/>
      <c r="Z44" s="34"/>
      <c r="AA44" s="15" t="s">
        <v>18</v>
      </c>
      <c r="AB44" s="36" t="s">
        <v>27</v>
      </c>
      <c r="AC44" s="34">
        <f>16.09/100</f>
        <v>0.16089999999999999</v>
      </c>
      <c r="AD44" s="257" t="s">
        <v>33</v>
      </c>
      <c r="AL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</row>
    <row r="45" spans="1:55">
      <c r="C45" s="257"/>
      <c r="D45" s="257"/>
      <c r="E45" s="257"/>
      <c r="U45" s="257"/>
      <c r="V45" s="257"/>
      <c r="W45" s="257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0.23008699999999996</v>
      </c>
      <c r="AD45" s="257" t="s">
        <v>18</v>
      </c>
      <c r="AL45" s="257"/>
      <c r="AP45" s="257"/>
      <c r="AQ45" s="257"/>
      <c r="AR45" s="257"/>
      <c r="AS45" s="257"/>
      <c r="AT45" s="257"/>
      <c r="AU45" s="257"/>
      <c r="AV45" s="257"/>
      <c r="AW45" s="257"/>
      <c r="AX45" s="257"/>
      <c r="AY45" s="257"/>
      <c r="AZ45" s="257"/>
      <c r="BA45" s="257"/>
      <c r="BB45" s="257"/>
      <c r="BC45" s="257"/>
    </row>
    <row r="46" spans="1:55">
      <c r="A46" s="15" t="s">
        <v>66</v>
      </c>
      <c r="B46" s="15">
        <f>B43/D22</f>
        <v>0.60517338692892675</v>
      </c>
      <c r="C46" s="257" t="s">
        <v>62</v>
      </c>
      <c r="D46" s="257"/>
      <c r="E46" s="257"/>
      <c r="P46" s="31">
        <f>Q41+N43</f>
        <v>7.91</v>
      </c>
      <c r="Q46" s="15">
        <f>Q43+N44</f>
        <v>3.0872730000000002</v>
      </c>
      <c r="X46" s="263" t="s">
        <v>30</v>
      </c>
      <c r="Y46" s="264"/>
      <c r="Z46" s="104">
        <f>AC44*Z45</f>
        <v>0</v>
      </c>
      <c r="AA46" s="15" t="s">
        <v>18</v>
      </c>
      <c r="AF46" s="257"/>
      <c r="AP46" s="257"/>
      <c r="AQ46" s="257"/>
      <c r="AR46" s="257"/>
      <c r="AS46" s="257"/>
      <c r="AT46" s="257"/>
      <c r="AU46" s="257"/>
      <c r="AV46" s="257"/>
      <c r="AW46" s="257"/>
      <c r="AX46" s="257"/>
      <c r="AY46" s="257"/>
      <c r="AZ46" s="257"/>
      <c r="BA46" s="257"/>
      <c r="BB46" s="257"/>
      <c r="BC46" s="257"/>
    </row>
    <row r="47" spans="1:55">
      <c r="A47" s="15" t="s">
        <v>65</v>
      </c>
      <c r="B47" s="15">
        <f>C41/D22</f>
        <v>0.79062974743940428</v>
      </c>
      <c r="C47" s="15" t="s">
        <v>62</v>
      </c>
      <c r="AP47" s="257"/>
      <c r="AQ47" s="257"/>
      <c r="AR47" s="257"/>
      <c r="AS47" s="257"/>
      <c r="AT47" s="257"/>
      <c r="AU47" s="257"/>
      <c r="AV47" s="257"/>
      <c r="AW47" s="257"/>
      <c r="AX47" s="257"/>
      <c r="AY47" s="257"/>
      <c r="AZ47" s="257"/>
      <c r="BA47" s="257"/>
      <c r="BB47" s="257"/>
      <c r="BC47" s="257"/>
    </row>
    <row r="48" spans="1:55">
      <c r="A48" s="15" t="s">
        <v>67</v>
      </c>
      <c r="B48" s="15">
        <f>G19*(B46+B47)/1000</f>
        <v>6.8030130021277738E-2</v>
      </c>
      <c r="C48" s="15" t="s">
        <v>18</v>
      </c>
      <c r="E48" s="160"/>
      <c r="AP48" s="257"/>
      <c r="AQ48" s="257"/>
      <c r="AR48" s="257"/>
      <c r="AS48" s="257"/>
      <c r="AT48" s="257"/>
      <c r="AU48" s="257"/>
      <c r="AV48" s="257"/>
      <c r="AW48" s="257"/>
      <c r="AX48" s="257"/>
      <c r="AY48" s="257"/>
      <c r="AZ48" s="257"/>
      <c r="BA48" s="257"/>
      <c r="BB48" s="257"/>
    </row>
    <row r="49" spans="1:59">
      <c r="A49" s="15" t="s">
        <v>64</v>
      </c>
      <c r="B49" s="74">
        <f>B21-B48</f>
        <v>4.9319698699787224</v>
      </c>
      <c r="C49" s="15" t="s">
        <v>18</v>
      </c>
      <c r="AC49" s="31">
        <f>AC43+Z45</f>
        <v>1.43</v>
      </c>
      <c r="AD49" s="15">
        <f>AC45+Z46</f>
        <v>0.23008699999999996</v>
      </c>
      <c r="AP49" s="257"/>
      <c r="AQ49" s="257"/>
      <c r="AR49" s="257"/>
      <c r="AS49" s="257"/>
      <c r="AT49" s="257"/>
      <c r="AU49" s="257"/>
      <c r="AV49" s="379"/>
      <c r="AW49" s="379"/>
      <c r="AX49" s="379"/>
      <c r="AY49" s="379"/>
      <c r="AZ49" s="379"/>
      <c r="BA49" s="257"/>
      <c r="BB49" s="257"/>
    </row>
    <row r="50" spans="1:59">
      <c r="R50" s="257"/>
      <c r="S50" s="15" t="s">
        <v>27</v>
      </c>
      <c r="U50" s="15" t="s">
        <v>40</v>
      </c>
      <c r="W50" s="15" t="s">
        <v>98</v>
      </c>
      <c r="X50" s="74">
        <f>B49</f>
        <v>4.9319698699787224</v>
      </c>
      <c r="Y50" s="15" t="s">
        <v>18</v>
      </c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</row>
    <row r="51" spans="1:59">
      <c r="Q51" s="257"/>
      <c r="R51" s="257"/>
      <c r="S51" s="15" t="s">
        <v>34</v>
      </c>
      <c r="T51" s="15">
        <f>AC24+Z25</f>
        <v>3.9240000000000004E-2</v>
      </c>
      <c r="U51" s="76">
        <f>T51/X50</f>
        <v>7.9562529850104886E-3</v>
      </c>
      <c r="AP51" s="257"/>
      <c r="AQ51" s="257"/>
      <c r="AR51" s="257"/>
      <c r="AS51" s="257"/>
      <c r="AT51" s="257"/>
      <c r="AU51" s="257"/>
      <c r="AV51" s="257"/>
      <c r="AW51" s="257"/>
      <c r="AX51" s="257"/>
      <c r="AY51" s="257"/>
      <c r="AZ51" s="257"/>
      <c r="BA51" s="257"/>
      <c r="BB51" s="257"/>
    </row>
    <row r="52" spans="1:59">
      <c r="S52" s="15" t="s">
        <v>35</v>
      </c>
      <c r="T52" s="15">
        <f>AC45+Z46</f>
        <v>0.23008699999999996</v>
      </c>
      <c r="U52" s="76">
        <f>T52/X50</f>
        <v>4.6652150371103665E-2</v>
      </c>
      <c r="AP52" s="257"/>
      <c r="AQ52" s="257"/>
      <c r="AR52" s="257"/>
      <c r="AS52" s="257"/>
      <c r="AT52" s="257"/>
      <c r="AU52" s="257"/>
      <c r="AV52" s="257"/>
      <c r="AW52" s="257"/>
      <c r="AX52" s="257"/>
      <c r="AY52" s="257"/>
      <c r="AZ52" s="257"/>
      <c r="BA52" s="257"/>
      <c r="BB52" s="257"/>
    </row>
    <row r="53" spans="1:59"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15" t="s">
        <v>36</v>
      </c>
      <c r="T53" s="257">
        <f>Q43+N44</f>
        <v>3.0872730000000002</v>
      </c>
      <c r="U53" s="265">
        <f>T53/X50</f>
        <v>0.62597158567258626</v>
      </c>
      <c r="V53" s="257"/>
      <c r="W53" s="257"/>
      <c r="AN53" s="257"/>
      <c r="AO53" s="257"/>
      <c r="AP53" s="257"/>
      <c r="AQ53" s="257"/>
      <c r="AR53" s="257"/>
      <c r="AS53" s="257"/>
      <c r="AT53" s="257"/>
      <c r="AU53" s="257"/>
      <c r="AV53" s="257"/>
      <c r="AW53" s="257"/>
      <c r="AX53" s="257"/>
      <c r="AY53" s="257"/>
      <c r="AZ53" s="257"/>
      <c r="BA53" s="257"/>
      <c r="BB53" s="257"/>
      <c r="BC53" s="257"/>
      <c r="BD53" s="257"/>
      <c r="BE53" s="257"/>
      <c r="BF53" s="257"/>
      <c r="BG53" s="257"/>
    </row>
    <row r="54" spans="1:59">
      <c r="D54" s="379"/>
      <c r="E54" s="379"/>
      <c r="F54" s="379"/>
      <c r="G54" s="379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15" t="s">
        <v>17</v>
      </c>
      <c r="T54" s="257">
        <f>SUM(T51:T53)</f>
        <v>3.3566000000000003</v>
      </c>
      <c r="U54" s="265">
        <f>SUM(U51:U53)</f>
        <v>0.68057998902870043</v>
      </c>
      <c r="V54" s="257"/>
      <c r="W54" s="257"/>
      <c r="X54" s="257"/>
      <c r="Y54" s="257"/>
      <c r="Z54" s="257"/>
      <c r="AN54" s="257"/>
      <c r="AO54" s="257"/>
      <c r="AP54" s="257"/>
      <c r="AQ54" s="257"/>
      <c r="AR54" s="257"/>
      <c r="AS54" s="257"/>
      <c r="AT54" s="257"/>
      <c r="AU54" s="257"/>
      <c r="AV54" s="257"/>
      <c r="AW54" s="257"/>
      <c r="AX54" s="257"/>
      <c r="AY54" s="257"/>
      <c r="AZ54" s="257"/>
      <c r="BA54" s="257"/>
      <c r="BB54" s="257"/>
      <c r="BC54" s="257"/>
      <c r="BD54" s="257"/>
      <c r="BE54" s="257"/>
      <c r="BF54" s="257"/>
      <c r="BG54" s="257"/>
    </row>
    <row r="55" spans="1:59"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15" t="s">
        <v>37</v>
      </c>
      <c r="T55" s="145">
        <f>X50-T54</f>
        <v>1.5753698699787222</v>
      </c>
      <c r="U55" s="265">
        <f>T55/X50</f>
        <v>0.31942001097129952</v>
      </c>
      <c r="V55" s="257"/>
      <c r="W55" s="257"/>
      <c r="X55" s="257"/>
      <c r="Y55" s="257"/>
      <c r="Z55" s="257"/>
      <c r="AN55" s="257"/>
      <c r="AO55" s="257"/>
      <c r="AP55" s="257"/>
      <c r="AQ55" s="257"/>
      <c r="AR55" s="257"/>
      <c r="AS55" s="257"/>
      <c r="AT55" s="257"/>
      <c r="AU55" s="257"/>
      <c r="AV55" s="257"/>
      <c r="AW55" s="257"/>
      <c r="AX55" s="257"/>
      <c r="AY55" s="257"/>
      <c r="AZ55" s="257"/>
      <c r="BA55" s="257"/>
      <c r="BB55" s="257"/>
      <c r="BC55" s="257"/>
      <c r="BD55" s="257"/>
      <c r="BE55" s="257"/>
      <c r="BF55" s="257"/>
      <c r="BG55" s="257"/>
    </row>
    <row r="56" spans="1:59"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T56" s="257"/>
      <c r="U56" s="257"/>
      <c r="V56" s="257"/>
      <c r="W56" s="257"/>
      <c r="X56" s="257"/>
      <c r="Y56" s="257"/>
      <c r="Z56" s="257"/>
      <c r="AN56" s="257"/>
      <c r="AO56" s="257"/>
      <c r="AP56" s="257"/>
      <c r="AQ56" s="257"/>
      <c r="AR56" s="257"/>
      <c r="AS56" s="257"/>
      <c r="AT56" s="257"/>
      <c r="AU56" s="257"/>
      <c r="AV56" s="257"/>
      <c r="AW56" s="257"/>
      <c r="AX56" s="257"/>
      <c r="AY56" s="257"/>
      <c r="AZ56" s="257"/>
      <c r="BA56" s="257"/>
      <c r="BB56" s="257"/>
      <c r="BC56" s="257"/>
      <c r="BD56" s="257"/>
      <c r="BE56" s="257"/>
      <c r="BF56" s="257"/>
      <c r="BG56" s="257"/>
    </row>
    <row r="57" spans="1:59"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W57" s="257"/>
      <c r="X57" s="257"/>
      <c r="Y57" s="257"/>
      <c r="Z57" s="257"/>
      <c r="AN57" s="257"/>
      <c r="AO57" s="257"/>
      <c r="AP57" s="257"/>
      <c r="AQ57" s="257"/>
      <c r="AR57" s="257"/>
      <c r="AS57" s="257"/>
      <c r="AT57" s="257"/>
      <c r="AU57" s="257"/>
      <c r="AV57" s="257"/>
      <c r="AW57" s="257"/>
      <c r="AX57" s="257"/>
      <c r="AY57" s="257"/>
      <c r="AZ57" s="257"/>
      <c r="BA57" s="257"/>
      <c r="BB57" s="257"/>
      <c r="BC57" s="257"/>
      <c r="BD57" s="257"/>
      <c r="BE57" s="257"/>
      <c r="BF57" s="257"/>
      <c r="BG57" s="257"/>
    </row>
    <row r="58" spans="1:59"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7"/>
      <c r="Y58" s="257"/>
      <c r="Z58" s="257"/>
      <c r="AA58" s="257"/>
      <c r="AB58" s="257"/>
      <c r="AC58" s="257"/>
      <c r="AD58" s="257"/>
      <c r="AE58" s="257"/>
      <c r="AF58" s="257"/>
      <c r="AG58" s="257"/>
      <c r="AH58" s="257"/>
      <c r="AI58" s="257"/>
      <c r="AJ58" s="257"/>
      <c r="AK58" s="257"/>
      <c r="AL58" s="257"/>
      <c r="AM58" s="257"/>
      <c r="AN58" s="257"/>
      <c r="AO58" s="257"/>
      <c r="AP58" s="257"/>
      <c r="AQ58" s="257"/>
      <c r="AR58" s="257"/>
      <c r="AS58" s="257"/>
      <c r="AT58" s="257"/>
      <c r="AU58" s="257"/>
      <c r="AV58" s="257"/>
      <c r="AW58" s="257"/>
      <c r="AX58" s="257"/>
      <c r="AY58" s="257"/>
      <c r="AZ58" s="257"/>
      <c r="BA58" s="257"/>
      <c r="BB58" s="257"/>
      <c r="BC58" s="257"/>
      <c r="BD58" s="257"/>
      <c r="BE58" s="257"/>
      <c r="BF58" s="257"/>
      <c r="BG58" s="257"/>
    </row>
    <row r="59" spans="1:59"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  <c r="AI59" s="257"/>
      <c r="AJ59" s="257"/>
      <c r="AK59" s="257"/>
      <c r="AL59" s="257"/>
      <c r="AM59" s="257"/>
      <c r="AN59" s="257"/>
      <c r="AO59" s="257"/>
      <c r="AP59" s="257"/>
      <c r="AQ59" s="257"/>
      <c r="AR59" s="257"/>
      <c r="AS59" s="257"/>
      <c r="AT59" s="257"/>
      <c r="AU59" s="257"/>
      <c r="AV59" s="257"/>
      <c r="AW59" s="257"/>
      <c r="AX59" s="257"/>
      <c r="AY59" s="257"/>
      <c r="AZ59" s="257"/>
      <c r="BA59" s="257"/>
      <c r="BB59" s="257"/>
      <c r="BC59" s="257"/>
      <c r="BD59" s="257"/>
      <c r="BE59" s="257"/>
      <c r="BF59" s="257"/>
      <c r="BG59" s="257"/>
    </row>
    <row r="60" spans="1:59"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257"/>
      <c r="AL60" s="257"/>
      <c r="AM60" s="257"/>
      <c r="AN60" s="257"/>
      <c r="AO60" s="257"/>
      <c r="AP60" s="257"/>
      <c r="AQ60" s="257"/>
      <c r="AR60" s="257"/>
      <c r="AS60" s="257"/>
      <c r="AT60" s="257"/>
      <c r="AU60" s="257"/>
      <c r="AV60" s="257"/>
      <c r="AW60" s="257"/>
      <c r="AX60" s="257"/>
      <c r="AY60" s="257"/>
      <c r="AZ60" s="257"/>
      <c r="BA60" s="257"/>
      <c r="BB60" s="257"/>
      <c r="BC60" s="257"/>
      <c r="BD60" s="257"/>
      <c r="BE60" s="257"/>
      <c r="BF60" s="257"/>
      <c r="BG60" s="257"/>
    </row>
    <row r="61" spans="1:59"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7"/>
      <c r="AI61" s="257"/>
      <c r="AJ61" s="257"/>
      <c r="AK61" s="257"/>
      <c r="AL61" s="257"/>
      <c r="AM61" s="257"/>
      <c r="AN61" s="257"/>
      <c r="AO61" s="257"/>
      <c r="AP61" s="257"/>
      <c r="AQ61" s="257"/>
      <c r="AR61" s="257"/>
      <c r="AS61" s="257"/>
      <c r="AT61" s="257"/>
      <c r="AU61" s="257"/>
      <c r="AV61" s="257"/>
      <c r="AW61" s="257"/>
      <c r="AX61" s="257"/>
      <c r="AY61" s="257"/>
      <c r="AZ61" s="257"/>
      <c r="BA61" s="257"/>
      <c r="BB61" s="257"/>
      <c r="BC61" s="257"/>
      <c r="BD61" s="257"/>
      <c r="BE61" s="257"/>
      <c r="BF61" s="257"/>
      <c r="BG61" s="257"/>
    </row>
    <row r="62" spans="1:59"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  <c r="AF62" s="257"/>
      <c r="AG62" s="257"/>
      <c r="AH62" s="257"/>
      <c r="AI62" s="257"/>
      <c r="AJ62" s="257"/>
      <c r="AK62" s="257"/>
      <c r="AL62" s="257"/>
      <c r="AM62" s="257"/>
      <c r="AN62" s="257"/>
      <c r="AO62" s="257"/>
      <c r="AP62" s="257"/>
      <c r="AQ62" s="257"/>
      <c r="AR62" s="257"/>
      <c r="AS62" s="257"/>
      <c r="AT62" s="257"/>
      <c r="AU62" s="257"/>
      <c r="AV62" s="257"/>
      <c r="AW62" s="257"/>
      <c r="AX62" s="257"/>
      <c r="AY62" s="257"/>
      <c r="AZ62" s="257"/>
      <c r="BA62" s="257"/>
      <c r="BB62" s="257"/>
      <c r="BC62" s="257"/>
      <c r="BD62" s="257"/>
      <c r="BE62" s="257"/>
      <c r="BF62" s="257"/>
      <c r="BG62" s="257"/>
    </row>
    <row r="63" spans="1:59">
      <c r="D63" s="257"/>
      <c r="E63" s="257"/>
      <c r="F63" s="257"/>
      <c r="G63" s="257"/>
      <c r="H63" s="257"/>
      <c r="I63" s="257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  <c r="AF63" s="257"/>
      <c r="AG63" s="257"/>
      <c r="AH63" s="257"/>
      <c r="AI63" s="257"/>
      <c r="AJ63" s="257"/>
      <c r="AK63" s="257"/>
      <c r="AL63" s="257"/>
      <c r="AM63" s="257"/>
      <c r="AN63" s="257"/>
      <c r="AO63" s="257"/>
      <c r="AP63" s="257"/>
      <c r="AQ63" s="257"/>
      <c r="AR63" s="257"/>
      <c r="AS63" s="257"/>
      <c r="AT63" s="257"/>
      <c r="AU63" s="257"/>
      <c r="AV63" s="257"/>
      <c r="AW63" s="257"/>
      <c r="AX63" s="257"/>
      <c r="AY63" s="257"/>
      <c r="AZ63" s="257"/>
      <c r="BA63" s="257"/>
      <c r="BB63" s="257"/>
      <c r="BC63" s="257"/>
      <c r="BD63" s="257"/>
      <c r="BE63" s="257"/>
      <c r="BF63" s="257"/>
      <c r="BG63" s="257"/>
    </row>
    <row r="64" spans="1:59">
      <c r="D64" s="257"/>
      <c r="E64" s="257"/>
      <c r="F64" s="257"/>
      <c r="G64" s="257"/>
      <c r="H64" s="257"/>
      <c r="I64" s="257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  <c r="AJ64" s="257"/>
      <c r="AK64" s="257"/>
      <c r="AL64" s="257"/>
      <c r="AM64" s="257"/>
      <c r="AN64" s="257"/>
      <c r="AO64" s="257"/>
      <c r="AP64" s="257"/>
      <c r="AQ64" s="257"/>
      <c r="AR64" s="257"/>
      <c r="AS64" s="257"/>
      <c r="AT64" s="257"/>
      <c r="AU64" s="257"/>
      <c r="AV64" s="257"/>
      <c r="AW64" s="257"/>
      <c r="AX64" s="257"/>
      <c r="AY64" s="257"/>
      <c r="AZ64" s="257"/>
      <c r="BA64" s="257"/>
      <c r="BB64" s="257"/>
      <c r="BC64" s="257"/>
      <c r="BD64" s="257"/>
      <c r="BE64" s="257"/>
      <c r="BF64" s="257"/>
      <c r="BG64" s="257"/>
    </row>
    <row r="65" spans="4:59">
      <c r="D65" s="257"/>
      <c r="E65" s="257"/>
      <c r="F65" s="257"/>
      <c r="G65" s="257"/>
      <c r="H65" s="257"/>
      <c r="I65" s="257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  <c r="AF65" s="257"/>
      <c r="AG65" s="257"/>
      <c r="AH65" s="257"/>
      <c r="AI65" s="257"/>
      <c r="AJ65" s="257"/>
      <c r="AK65" s="257"/>
      <c r="AL65" s="257"/>
      <c r="AM65" s="257"/>
      <c r="AN65" s="257"/>
      <c r="AO65" s="257"/>
      <c r="AP65" s="257"/>
      <c r="AQ65" s="257"/>
      <c r="AR65" s="257"/>
      <c r="AS65" s="257"/>
      <c r="AT65" s="257"/>
      <c r="AU65" s="257"/>
      <c r="AV65" s="257"/>
      <c r="AW65" s="257"/>
      <c r="AX65" s="257"/>
      <c r="AY65" s="257"/>
      <c r="AZ65" s="257"/>
      <c r="BA65" s="257"/>
      <c r="BB65" s="257"/>
      <c r="BC65" s="257"/>
      <c r="BD65" s="257"/>
      <c r="BE65" s="257"/>
      <c r="BF65" s="257"/>
      <c r="BG65" s="257"/>
    </row>
    <row r="66" spans="4:59">
      <c r="D66" s="257"/>
      <c r="E66" s="257"/>
      <c r="F66" s="257"/>
      <c r="G66" s="257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257"/>
      <c r="AG66" s="257"/>
      <c r="AH66" s="257"/>
      <c r="AI66" s="257"/>
      <c r="AJ66" s="257"/>
      <c r="AK66" s="257"/>
      <c r="AL66" s="257"/>
      <c r="AM66" s="257"/>
      <c r="AN66" s="257"/>
      <c r="AO66" s="257"/>
      <c r="AP66" s="257"/>
      <c r="AQ66" s="257"/>
      <c r="AR66" s="257"/>
      <c r="AS66" s="257"/>
      <c r="AT66" s="257"/>
      <c r="AU66" s="257"/>
      <c r="AV66" s="257"/>
      <c r="AW66" s="257"/>
      <c r="AX66" s="257"/>
      <c r="AY66" s="257"/>
      <c r="AZ66" s="257"/>
      <c r="BA66" s="257"/>
      <c r="BB66" s="257"/>
      <c r="BC66" s="257"/>
      <c r="BD66" s="257"/>
      <c r="BE66" s="257"/>
      <c r="BF66" s="257"/>
      <c r="BG66" s="257"/>
    </row>
    <row r="67" spans="4:59"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  <c r="AF67" s="257"/>
      <c r="AG67" s="257"/>
      <c r="AH67" s="257"/>
      <c r="AI67" s="257"/>
      <c r="AJ67" s="257"/>
      <c r="AK67" s="257"/>
      <c r="AL67" s="257"/>
      <c r="AM67" s="257"/>
      <c r="AN67" s="257"/>
      <c r="AO67" s="257"/>
      <c r="AP67" s="257"/>
      <c r="AQ67" s="257"/>
      <c r="AR67" s="257"/>
      <c r="AS67" s="257"/>
      <c r="AT67" s="257"/>
      <c r="AU67" s="257"/>
      <c r="AV67" s="257"/>
      <c r="AW67" s="257"/>
      <c r="AX67" s="257"/>
      <c r="AY67" s="257"/>
      <c r="AZ67" s="257"/>
      <c r="BA67" s="257"/>
      <c r="BB67" s="257"/>
      <c r="BC67" s="257"/>
      <c r="BD67" s="257"/>
      <c r="BE67" s="257"/>
      <c r="BF67" s="257"/>
      <c r="BG67" s="257"/>
    </row>
    <row r="68" spans="4:59"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  <c r="AF68" s="257"/>
      <c r="AG68" s="257"/>
      <c r="AH68" s="257"/>
      <c r="AI68" s="257"/>
      <c r="AJ68" s="257"/>
      <c r="AK68" s="257"/>
      <c r="AL68" s="257"/>
      <c r="AM68" s="257"/>
      <c r="AN68" s="257"/>
      <c r="AO68" s="257"/>
      <c r="AP68" s="257"/>
      <c r="AQ68" s="257"/>
      <c r="AR68" s="257"/>
      <c r="AS68" s="257"/>
      <c r="AT68" s="257"/>
      <c r="AU68" s="257"/>
      <c r="AV68" s="257"/>
      <c r="AW68" s="257"/>
      <c r="AX68" s="257"/>
      <c r="AY68" s="257"/>
      <c r="AZ68" s="257"/>
      <c r="BA68" s="257"/>
      <c r="BB68" s="257"/>
      <c r="BC68" s="257"/>
      <c r="BD68" s="257"/>
      <c r="BE68" s="257"/>
      <c r="BF68" s="257"/>
      <c r="BG68" s="257"/>
    </row>
    <row r="69" spans="4:59"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  <c r="AA69" s="257"/>
      <c r="AB69" s="257"/>
      <c r="AC69" s="257"/>
      <c r="AD69" s="257"/>
      <c r="AE69" s="257"/>
      <c r="AF69" s="257"/>
      <c r="AG69" s="257"/>
      <c r="AH69" s="257"/>
      <c r="AI69" s="257"/>
      <c r="AJ69" s="257"/>
      <c r="AK69" s="257"/>
      <c r="AL69" s="257"/>
      <c r="AM69" s="257"/>
      <c r="AN69" s="257"/>
      <c r="AO69" s="257"/>
      <c r="AP69" s="257"/>
      <c r="AQ69" s="257"/>
      <c r="AR69" s="257"/>
      <c r="AS69" s="257"/>
      <c r="AT69" s="257"/>
      <c r="AU69" s="257"/>
      <c r="AV69" s="257"/>
      <c r="AW69" s="257"/>
      <c r="AX69" s="257"/>
      <c r="AY69" s="257"/>
      <c r="AZ69" s="257"/>
      <c r="BA69" s="257"/>
      <c r="BB69" s="257"/>
      <c r="BC69" s="257"/>
      <c r="BD69" s="257"/>
      <c r="BE69" s="257"/>
      <c r="BF69" s="257"/>
      <c r="BG69" s="257"/>
    </row>
    <row r="70" spans="4:59"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257"/>
      <c r="AG70" s="257"/>
      <c r="AH70" s="257"/>
      <c r="AI70" s="257"/>
      <c r="AJ70" s="257"/>
      <c r="AK70" s="257"/>
      <c r="AL70" s="257"/>
      <c r="AM70" s="257"/>
      <c r="AN70" s="257"/>
      <c r="AO70" s="257"/>
      <c r="AP70" s="257"/>
      <c r="AQ70" s="257"/>
      <c r="AR70" s="257"/>
      <c r="AS70" s="257"/>
      <c r="AT70" s="257"/>
      <c r="AU70" s="257"/>
      <c r="AV70" s="257"/>
      <c r="AW70" s="257"/>
      <c r="AX70" s="257"/>
      <c r="AY70" s="257"/>
      <c r="AZ70" s="257"/>
      <c r="BA70" s="257"/>
      <c r="BB70" s="257"/>
      <c r="BC70" s="257"/>
      <c r="BD70" s="257"/>
      <c r="BE70" s="257"/>
      <c r="BF70" s="257"/>
      <c r="BG70" s="257"/>
    </row>
    <row r="71" spans="4:59"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257"/>
      <c r="AH71" s="257"/>
      <c r="AI71" s="257"/>
      <c r="AJ71" s="257"/>
      <c r="AK71" s="257"/>
      <c r="AL71" s="257"/>
      <c r="AM71" s="257"/>
      <c r="AN71" s="257"/>
      <c r="AO71" s="257"/>
      <c r="AP71" s="257"/>
      <c r="AQ71" s="257"/>
      <c r="AR71" s="257"/>
      <c r="AS71" s="257"/>
      <c r="AT71" s="257"/>
      <c r="AU71" s="257"/>
      <c r="AV71" s="257"/>
      <c r="AW71" s="257"/>
      <c r="AX71" s="257"/>
      <c r="AY71" s="257"/>
      <c r="AZ71" s="257"/>
      <c r="BA71" s="257"/>
      <c r="BB71" s="257"/>
      <c r="BC71" s="257"/>
      <c r="BD71" s="257"/>
      <c r="BE71" s="257"/>
      <c r="BF71" s="257"/>
      <c r="BG71" s="257"/>
    </row>
    <row r="72" spans="4:59">
      <c r="D72" s="257"/>
      <c r="E72" s="257"/>
      <c r="F72" s="257"/>
      <c r="G72" s="257"/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  <c r="AF72" s="257"/>
      <c r="AG72" s="257"/>
      <c r="AH72" s="257"/>
      <c r="AI72" s="257"/>
      <c r="AJ72" s="257"/>
      <c r="AK72" s="257"/>
      <c r="AL72" s="257"/>
      <c r="AM72" s="257"/>
      <c r="AN72" s="257"/>
      <c r="AO72" s="257"/>
      <c r="AP72" s="257"/>
      <c r="AQ72" s="257"/>
      <c r="AR72" s="257"/>
      <c r="AS72" s="257"/>
      <c r="AT72" s="257"/>
      <c r="AU72" s="257"/>
      <c r="AV72" s="257"/>
      <c r="AW72" s="379"/>
      <c r="AX72" s="379"/>
      <c r="AY72" s="257"/>
      <c r="AZ72" s="257"/>
      <c r="BA72" s="257"/>
      <c r="BB72" s="257"/>
      <c r="BC72" s="257"/>
      <c r="BD72" s="257"/>
      <c r="BE72" s="257"/>
      <c r="BF72" s="257"/>
      <c r="BG72" s="257"/>
    </row>
    <row r="73" spans="4:59"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57"/>
      <c r="AG73" s="257"/>
      <c r="AH73" s="257"/>
      <c r="AI73" s="257"/>
      <c r="AJ73" s="257"/>
      <c r="AK73" s="257"/>
      <c r="AL73" s="257"/>
      <c r="AM73" s="257"/>
      <c r="AN73" s="257"/>
      <c r="AO73" s="257"/>
      <c r="AP73" s="257"/>
      <c r="AQ73" s="257"/>
      <c r="AR73" s="257"/>
      <c r="AS73" s="257"/>
      <c r="AT73" s="257"/>
      <c r="AU73" s="257"/>
      <c r="AV73" s="257"/>
      <c r="AW73" s="257"/>
      <c r="AX73" s="257"/>
      <c r="AY73" s="257"/>
      <c r="AZ73" s="257"/>
      <c r="BA73" s="257"/>
      <c r="BB73" s="257"/>
      <c r="BC73" s="257"/>
      <c r="BD73" s="257"/>
      <c r="BE73" s="257"/>
      <c r="BF73" s="257"/>
      <c r="BG73" s="257"/>
    </row>
    <row r="74" spans="4:59">
      <c r="D74" s="257"/>
      <c r="E74" s="257"/>
      <c r="F74" s="257"/>
      <c r="G74" s="257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7"/>
      <c r="AH74" s="257"/>
      <c r="AI74" s="257"/>
      <c r="AJ74" s="257"/>
      <c r="AK74" s="257"/>
      <c r="AL74" s="257"/>
      <c r="AM74" s="257"/>
      <c r="AN74" s="257"/>
      <c r="AO74" s="257"/>
      <c r="AP74" s="257"/>
      <c r="AQ74" s="257"/>
      <c r="AR74" s="257"/>
      <c r="AS74" s="257"/>
      <c r="AT74" s="257"/>
      <c r="AU74" s="257"/>
      <c r="AV74" s="257"/>
      <c r="AW74" s="257"/>
      <c r="AX74" s="257"/>
      <c r="AY74" s="257"/>
      <c r="AZ74" s="257"/>
      <c r="BA74" s="257"/>
      <c r="BB74" s="257"/>
      <c r="BC74" s="257"/>
      <c r="BD74" s="257"/>
      <c r="BE74" s="257"/>
      <c r="BF74" s="257"/>
      <c r="BG74" s="257"/>
    </row>
    <row r="75" spans="4:59"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  <c r="AF75" s="257"/>
      <c r="AG75" s="257"/>
      <c r="AH75" s="257"/>
      <c r="AI75" s="257"/>
      <c r="AJ75" s="257"/>
      <c r="AK75" s="257"/>
      <c r="AL75" s="257"/>
      <c r="AM75" s="257"/>
      <c r="AN75" s="257"/>
      <c r="AO75" s="257"/>
      <c r="AP75" s="257"/>
      <c r="AQ75" s="257"/>
      <c r="AR75" s="257"/>
      <c r="AS75" s="257"/>
      <c r="AT75" s="257"/>
      <c r="AU75" s="257"/>
      <c r="AV75" s="257"/>
      <c r="AW75" s="257"/>
      <c r="AX75" s="257"/>
      <c r="AY75" s="257"/>
      <c r="AZ75" s="257"/>
      <c r="BA75" s="257"/>
      <c r="BB75" s="257"/>
      <c r="BC75" s="257"/>
      <c r="BD75" s="257"/>
      <c r="BE75" s="257"/>
      <c r="BF75" s="257"/>
      <c r="BG75" s="257"/>
    </row>
    <row r="76" spans="4:59">
      <c r="D76" s="257"/>
      <c r="E76" s="257"/>
      <c r="F76" s="257"/>
      <c r="G76" s="257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257"/>
      <c r="AG76" s="257"/>
      <c r="AH76" s="257"/>
      <c r="AI76" s="257"/>
      <c r="AJ76" s="257"/>
      <c r="AK76" s="257"/>
      <c r="AL76" s="257"/>
      <c r="AM76" s="257"/>
      <c r="AN76" s="257"/>
      <c r="AO76" s="257"/>
      <c r="AP76" s="257"/>
      <c r="AQ76" s="257"/>
      <c r="AR76" s="257"/>
      <c r="AS76" s="257"/>
      <c r="AT76" s="257"/>
      <c r="AU76" s="257"/>
      <c r="AV76" s="257"/>
      <c r="AW76" s="257"/>
      <c r="AX76" s="257"/>
      <c r="AY76" s="257"/>
      <c r="AZ76" s="257"/>
      <c r="BA76" s="257"/>
      <c r="BB76" s="257"/>
      <c r="BC76" s="257"/>
      <c r="BD76" s="257"/>
      <c r="BE76" s="257"/>
      <c r="BF76" s="257"/>
      <c r="BG76" s="257"/>
    </row>
    <row r="77" spans="4:59"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  <c r="AF77" s="257"/>
      <c r="AG77" s="257"/>
      <c r="AH77" s="257"/>
      <c r="AI77" s="257"/>
      <c r="AJ77" s="257"/>
      <c r="AK77" s="257"/>
      <c r="AL77" s="257"/>
      <c r="AM77" s="257"/>
      <c r="AN77" s="257"/>
      <c r="AO77" s="257"/>
      <c r="AP77" s="257"/>
      <c r="AQ77" s="257"/>
      <c r="AR77" s="257"/>
      <c r="AS77" s="257"/>
      <c r="AT77" s="257"/>
      <c r="AU77" s="257"/>
      <c r="AV77" s="257"/>
      <c r="AW77" s="257"/>
      <c r="AX77" s="257"/>
      <c r="AY77" s="257"/>
      <c r="AZ77" s="257"/>
      <c r="BA77" s="257"/>
      <c r="BB77" s="257"/>
      <c r="BC77" s="257"/>
      <c r="BD77" s="257"/>
      <c r="BE77" s="257"/>
      <c r="BF77" s="257"/>
      <c r="BG77" s="257"/>
    </row>
    <row r="78" spans="4:59"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57"/>
      <c r="AG78" s="257"/>
      <c r="AH78" s="257"/>
      <c r="AI78" s="257"/>
      <c r="AJ78" s="257"/>
      <c r="AK78" s="257"/>
      <c r="AL78" s="257"/>
      <c r="AM78" s="257"/>
      <c r="AN78" s="257"/>
      <c r="AO78" s="257"/>
      <c r="AP78" s="257"/>
      <c r="AQ78" s="257"/>
      <c r="AR78" s="257"/>
      <c r="AS78" s="257"/>
      <c r="AT78" s="257"/>
      <c r="AU78" s="257"/>
      <c r="AV78" s="257"/>
      <c r="AW78" s="257"/>
      <c r="AX78" s="257"/>
      <c r="AY78" s="257"/>
      <c r="AZ78" s="257"/>
      <c r="BA78" s="257"/>
      <c r="BB78" s="257"/>
      <c r="BC78" s="257"/>
      <c r="BD78" s="257"/>
      <c r="BE78" s="257"/>
      <c r="BF78" s="257"/>
      <c r="BG78" s="257"/>
    </row>
    <row r="79" spans="4:59"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  <c r="AF79" s="257"/>
      <c r="AG79" s="257"/>
      <c r="AH79" s="257"/>
      <c r="AI79" s="257"/>
      <c r="AJ79" s="257"/>
      <c r="AK79" s="257"/>
      <c r="AL79" s="257"/>
      <c r="AM79" s="257"/>
      <c r="AN79" s="257"/>
      <c r="AO79" s="257"/>
      <c r="AP79" s="257"/>
      <c r="AQ79" s="257"/>
      <c r="AR79" s="257"/>
      <c r="AS79" s="257"/>
      <c r="AT79" s="257"/>
      <c r="AU79" s="257"/>
      <c r="AV79" s="257"/>
      <c r="AW79" s="257"/>
      <c r="AX79" s="257"/>
      <c r="AY79" s="257"/>
      <c r="AZ79" s="257"/>
      <c r="BA79" s="257"/>
      <c r="BB79" s="257"/>
      <c r="BC79" s="257"/>
      <c r="BD79" s="257"/>
      <c r="BE79" s="257"/>
      <c r="BF79" s="257"/>
      <c r="BG79" s="257"/>
    </row>
    <row r="80" spans="4:59"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  <c r="AF80" s="257"/>
      <c r="AG80" s="257"/>
      <c r="AH80" s="257"/>
      <c r="AI80" s="257"/>
      <c r="AJ80" s="257"/>
      <c r="AK80" s="257"/>
      <c r="AL80" s="257"/>
      <c r="AM80" s="257"/>
      <c r="AN80" s="257"/>
      <c r="AO80" s="257"/>
      <c r="AP80" s="257"/>
      <c r="AQ80" s="257"/>
      <c r="AR80" s="257"/>
      <c r="AS80" s="257"/>
      <c r="AT80" s="257"/>
      <c r="AU80" s="257"/>
      <c r="AV80" s="257"/>
      <c r="AW80" s="257"/>
      <c r="AX80" s="257"/>
      <c r="AY80" s="257"/>
      <c r="AZ80" s="257"/>
      <c r="BA80" s="257"/>
      <c r="BB80" s="257"/>
      <c r="BC80" s="257"/>
      <c r="BD80" s="257"/>
      <c r="BE80" s="257"/>
      <c r="BF80" s="257"/>
      <c r="BG80" s="257"/>
    </row>
    <row r="81" spans="4:59"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257"/>
      <c r="AG81" s="257"/>
      <c r="AH81" s="257"/>
      <c r="AI81" s="257"/>
      <c r="AJ81" s="257"/>
      <c r="AK81" s="257"/>
      <c r="AL81" s="257"/>
      <c r="AM81" s="257"/>
      <c r="AN81" s="257"/>
      <c r="AO81" s="257"/>
      <c r="AP81" s="257"/>
      <c r="AQ81" s="257"/>
      <c r="AR81" s="257"/>
      <c r="AS81" s="257"/>
      <c r="AT81" s="257"/>
      <c r="AU81" s="257"/>
      <c r="AV81" s="257"/>
      <c r="AW81" s="257"/>
      <c r="AX81" s="257"/>
      <c r="AY81" s="257"/>
      <c r="AZ81" s="257"/>
      <c r="BA81" s="257"/>
      <c r="BB81" s="257"/>
      <c r="BC81" s="257"/>
      <c r="BD81" s="257"/>
      <c r="BE81" s="257"/>
      <c r="BF81" s="257"/>
      <c r="BG81" s="257"/>
    </row>
    <row r="82" spans="4:59"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  <c r="AF82" s="257"/>
      <c r="AG82" s="257"/>
      <c r="AH82" s="257"/>
      <c r="AI82" s="257"/>
      <c r="AJ82" s="257"/>
      <c r="AK82" s="257"/>
      <c r="AL82" s="257"/>
      <c r="AM82" s="257"/>
      <c r="AN82" s="257"/>
      <c r="AO82" s="257"/>
      <c r="AP82" s="257"/>
      <c r="AQ82" s="257"/>
      <c r="AR82" s="257"/>
      <c r="AS82" s="257"/>
      <c r="AT82" s="257"/>
      <c r="AU82" s="257"/>
      <c r="AV82" s="257"/>
      <c r="AW82" s="257"/>
      <c r="AX82" s="257"/>
      <c r="AY82" s="257"/>
      <c r="AZ82" s="257"/>
      <c r="BA82" s="257"/>
      <c r="BB82" s="257"/>
      <c r="BC82" s="257"/>
      <c r="BD82" s="257"/>
      <c r="BE82" s="257"/>
      <c r="BF82" s="257"/>
      <c r="BG82" s="257"/>
    </row>
    <row r="83" spans="4:59">
      <c r="D83" s="257"/>
      <c r="E83" s="257"/>
      <c r="F83" s="257"/>
      <c r="G83" s="257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  <c r="AF83" s="257"/>
      <c r="AG83" s="257"/>
      <c r="AH83" s="257"/>
      <c r="AI83" s="257"/>
      <c r="AJ83" s="257"/>
      <c r="AK83" s="257"/>
      <c r="AL83" s="257"/>
      <c r="AM83" s="257"/>
      <c r="AN83" s="257"/>
      <c r="AO83" s="257"/>
      <c r="AP83" s="257"/>
      <c r="AQ83" s="257"/>
      <c r="AR83" s="257"/>
      <c r="AS83" s="257"/>
      <c r="AT83" s="257"/>
      <c r="AU83" s="257"/>
      <c r="AV83" s="257"/>
      <c r="AW83" s="257"/>
      <c r="AX83" s="257"/>
      <c r="AY83" s="257"/>
      <c r="AZ83" s="257"/>
      <c r="BA83" s="257"/>
      <c r="BB83" s="257"/>
      <c r="BC83" s="257"/>
      <c r="BD83" s="257"/>
      <c r="BE83" s="257"/>
      <c r="BF83" s="257"/>
      <c r="BG83" s="257"/>
    </row>
    <row r="84" spans="4:59">
      <c r="D84" s="257"/>
      <c r="E84" s="257"/>
      <c r="F84" s="257"/>
      <c r="G84" s="257"/>
      <c r="H84" s="257"/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  <c r="AF84" s="257"/>
      <c r="AG84" s="257"/>
      <c r="AH84" s="257"/>
      <c r="AI84" s="257"/>
      <c r="AJ84" s="257"/>
      <c r="AK84" s="257"/>
      <c r="AL84" s="257"/>
      <c r="AM84" s="257"/>
      <c r="AN84" s="257"/>
      <c r="AO84" s="257"/>
      <c r="AP84" s="257"/>
      <c r="AQ84" s="257"/>
      <c r="AR84" s="257"/>
      <c r="AS84" s="257"/>
      <c r="AT84" s="257"/>
      <c r="AU84" s="257"/>
      <c r="AV84" s="257"/>
      <c r="AW84" s="257"/>
      <c r="AX84" s="257"/>
      <c r="AY84" s="257"/>
      <c r="AZ84" s="257"/>
      <c r="BA84" s="257"/>
      <c r="BB84" s="257"/>
      <c r="BC84" s="257"/>
      <c r="BD84" s="257"/>
      <c r="BE84" s="257"/>
      <c r="BF84" s="257"/>
      <c r="BG84" s="257"/>
    </row>
    <row r="85" spans="4:59"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257"/>
      <c r="AH85" s="257"/>
      <c r="AI85" s="257"/>
      <c r="AJ85" s="257"/>
      <c r="AK85" s="257"/>
      <c r="AL85" s="257"/>
      <c r="AM85" s="257"/>
      <c r="AN85" s="257"/>
      <c r="AO85" s="257"/>
      <c r="AP85" s="257"/>
      <c r="AQ85" s="257"/>
      <c r="AR85" s="257"/>
      <c r="AS85" s="257"/>
      <c r="AT85" s="257"/>
      <c r="AU85" s="257"/>
      <c r="AV85" s="257"/>
      <c r="AW85" s="257"/>
      <c r="AX85" s="257"/>
      <c r="AY85" s="257"/>
      <c r="AZ85" s="257"/>
      <c r="BA85" s="257"/>
      <c r="BB85" s="257"/>
      <c r="BC85" s="257"/>
      <c r="BD85" s="257"/>
      <c r="BE85" s="257"/>
      <c r="BF85" s="257"/>
      <c r="BG85" s="257"/>
    </row>
    <row r="86" spans="4:59"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257"/>
      <c r="AH86" s="257"/>
      <c r="AI86" s="257"/>
      <c r="AJ86" s="257"/>
      <c r="AK86" s="257"/>
      <c r="AL86" s="257"/>
      <c r="AM86" s="257"/>
      <c r="AN86" s="257"/>
      <c r="AO86" s="257"/>
      <c r="AP86" s="257"/>
      <c r="AQ86" s="257"/>
      <c r="AR86" s="257"/>
      <c r="AS86" s="257"/>
      <c r="AT86" s="257"/>
      <c r="AU86" s="257"/>
      <c r="AV86" s="257"/>
      <c r="AW86" s="257"/>
      <c r="AX86" s="257"/>
      <c r="AY86" s="257"/>
      <c r="AZ86" s="257"/>
      <c r="BA86" s="257"/>
      <c r="BB86" s="257"/>
      <c r="BC86" s="257"/>
      <c r="BD86" s="257"/>
      <c r="BE86" s="257"/>
      <c r="BF86" s="257"/>
      <c r="BG86" s="257"/>
    </row>
    <row r="87" spans="4:59">
      <c r="D87" s="257"/>
      <c r="E87" s="257"/>
      <c r="F87" s="257"/>
      <c r="G87" s="257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  <c r="AF87" s="257"/>
      <c r="AG87" s="257"/>
      <c r="AH87" s="257"/>
      <c r="AI87" s="257"/>
      <c r="AJ87" s="257"/>
      <c r="AK87" s="257"/>
      <c r="AL87" s="257"/>
      <c r="AM87" s="257"/>
      <c r="AN87" s="257"/>
      <c r="AO87" s="257"/>
      <c r="AP87" s="257"/>
      <c r="AQ87" s="257"/>
      <c r="AR87" s="257"/>
      <c r="AS87" s="257"/>
      <c r="AT87" s="257"/>
      <c r="AU87" s="257"/>
      <c r="AV87" s="257"/>
      <c r="AW87" s="257"/>
      <c r="AX87" s="257"/>
      <c r="AY87" s="257"/>
      <c r="AZ87" s="257"/>
      <c r="BA87" s="257"/>
      <c r="BB87" s="257"/>
      <c r="BC87" s="257"/>
      <c r="BD87" s="257"/>
      <c r="BE87" s="257"/>
      <c r="BF87" s="257"/>
      <c r="BG87" s="257"/>
    </row>
    <row r="88" spans="4:59">
      <c r="D88" s="257"/>
      <c r="E88" s="257"/>
      <c r="F88" s="257"/>
      <c r="G88" s="257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  <c r="AF88" s="257"/>
      <c r="AG88" s="257"/>
      <c r="AH88" s="257"/>
      <c r="AI88" s="257"/>
      <c r="AJ88" s="257"/>
      <c r="AK88" s="257"/>
      <c r="AL88" s="257"/>
      <c r="AM88" s="257"/>
      <c r="AN88" s="257"/>
      <c r="AO88" s="257"/>
      <c r="AP88" s="257"/>
      <c r="AQ88" s="257"/>
      <c r="AR88" s="257"/>
      <c r="AS88" s="257"/>
      <c r="AT88" s="257"/>
      <c r="AU88" s="257"/>
      <c r="AV88" s="257"/>
      <c r="AW88" s="257"/>
      <c r="AX88" s="257"/>
      <c r="AY88" s="257"/>
      <c r="AZ88" s="257"/>
      <c r="BA88" s="257"/>
      <c r="BB88" s="257"/>
      <c r="BC88" s="257"/>
      <c r="BD88" s="257"/>
      <c r="BE88" s="257"/>
      <c r="BF88" s="257"/>
      <c r="BG88" s="257"/>
    </row>
    <row r="89" spans="4:59">
      <c r="D89" s="257"/>
      <c r="E89" s="257"/>
      <c r="F89" s="257"/>
      <c r="G89" s="257"/>
      <c r="H89" s="257"/>
      <c r="I89" s="257"/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  <c r="AA89" s="257"/>
      <c r="AB89" s="257"/>
      <c r="AC89" s="257"/>
      <c r="AD89" s="257"/>
      <c r="AE89" s="257"/>
      <c r="AF89" s="257"/>
      <c r="AG89" s="257"/>
      <c r="AH89" s="257"/>
      <c r="AI89" s="257"/>
      <c r="AJ89" s="257"/>
      <c r="AK89" s="257"/>
      <c r="AL89" s="257"/>
      <c r="AM89" s="257"/>
      <c r="AN89" s="257"/>
      <c r="AO89" s="257"/>
      <c r="AP89" s="257"/>
      <c r="AQ89" s="257"/>
      <c r="AR89" s="257"/>
      <c r="AS89" s="257"/>
      <c r="AT89" s="257"/>
      <c r="AU89" s="257"/>
      <c r="AV89" s="257"/>
      <c r="AW89" s="257"/>
      <c r="AX89" s="257"/>
      <c r="AY89" s="257"/>
      <c r="AZ89" s="257"/>
      <c r="BA89" s="257"/>
      <c r="BB89" s="257"/>
      <c r="BC89" s="257"/>
      <c r="BD89" s="257"/>
      <c r="BE89" s="257"/>
      <c r="BF89" s="257"/>
      <c r="BG89" s="257"/>
    </row>
    <row r="90" spans="4:59">
      <c r="D90" s="257"/>
      <c r="E90" s="257"/>
      <c r="F90" s="257"/>
      <c r="G90" s="257"/>
      <c r="H90" s="257"/>
      <c r="I90" s="257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  <c r="AF90" s="257"/>
      <c r="AG90" s="257"/>
      <c r="AH90" s="257"/>
      <c r="AI90" s="257"/>
      <c r="AJ90" s="257"/>
      <c r="AK90" s="257"/>
      <c r="AL90" s="257"/>
      <c r="AM90" s="257"/>
      <c r="AN90" s="257"/>
      <c r="AO90" s="257"/>
      <c r="AP90" s="257"/>
      <c r="AQ90" s="257"/>
      <c r="AR90" s="257"/>
      <c r="AS90" s="257"/>
      <c r="AT90" s="257"/>
      <c r="AU90" s="257"/>
      <c r="AV90" s="257"/>
      <c r="AW90" s="257"/>
      <c r="AX90" s="257"/>
      <c r="AY90" s="257"/>
      <c r="AZ90" s="257"/>
      <c r="BA90" s="257"/>
      <c r="BB90" s="257"/>
      <c r="BC90" s="257"/>
      <c r="BD90" s="257"/>
      <c r="BE90" s="257"/>
      <c r="BF90" s="257"/>
      <c r="BG90" s="257"/>
    </row>
    <row r="91" spans="4:59"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  <c r="AA91" s="257"/>
      <c r="AB91" s="257"/>
      <c r="AC91" s="257"/>
      <c r="AD91" s="257"/>
      <c r="AE91" s="257"/>
      <c r="AF91" s="257"/>
      <c r="AG91" s="257"/>
      <c r="AH91" s="257"/>
      <c r="AI91" s="257"/>
      <c r="AJ91" s="257"/>
      <c r="AK91" s="257"/>
      <c r="AL91" s="257"/>
      <c r="AM91" s="257"/>
      <c r="AN91" s="257"/>
      <c r="AO91" s="257"/>
      <c r="AP91" s="257"/>
      <c r="AQ91" s="257"/>
      <c r="AR91" s="257"/>
      <c r="AS91" s="257"/>
      <c r="AT91" s="257"/>
      <c r="AU91" s="257"/>
      <c r="AV91" s="257"/>
      <c r="AW91" s="257"/>
      <c r="AX91" s="257"/>
      <c r="AY91" s="257"/>
      <c r="AZ91" s="257"/>
      <c r="BA91" s="257"/>
      <c r="BB91" s="257"/>
      <c r="BC91" s="257"/>
      <c r="BD91" s="257"/>
      <c r="BE91" s="257"/>
      <c r="BF91" s="257"/>
      <c r="BG91" s="257"/>
    </row>
    <row r="92" spans="4:59">
      <c r="D92" s="257"/>
      <c r="E92" s="257"/>
      <c r="F92" s="257"/>
      <c r="G92" s="257"/>
      <c r="H92" s="257"/>
      <c r="I92" s="257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  <c r="AF92" s="257"/>
      <c r="AG92" s="257"/>
      <c r="AH92" s="257"/>
      <c r="AI92" s="257"/>
      <c r="AJ92" s="257"/>
      <c r="AK92" s="257"/>
      <c r="AL92" s="257"/>
      <c r="AM92" s="257"/>
      <c r="AN92" s="257"/>
      <c r="AO92" s="257"/>
      <c r="AP92" s="257"/>
      <c r="AQ92" s="257"/>
      <c r="AR92" s="257"/>
      <c r="AS92" s="257"/>
      <c r="AT92" s="257"/>
      <c r="AU92" s="257"/>
      <c r="AV92" s="257"/>
      <c r="AW92" s="257"/>
      <c r="AX92" s="257"/>
      <c r="AY92" s="257"/>
      <c r="AZ92" s="257"/>
      <c r="BA92" s="257"/>
      <c r="BB92" s="257"/>
      <c r="BC92" s="257"/>
      <c r="BD92" s="257"/>
      <c r="BE92" s="257"/>
      <c r="BF92" s="257"/>
      <c r="BG92" s="257"/>
    </row>
    <row r="93" spans="4:59">
      <c r="D93" s="257"/>
      <c r="E93" s="257"/>
      <c r="F93" s="257"/>
      <c r="G93" s="257"/>
      <c r="H93" s="257"/>
      <c r="I93" s="257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  <c r="AA93" s="257"/>
      <c r="AB93" s="257"/>
      <c r="AC93" s="257"/>
      <c r="AD93" s="257"/>
      <c r="AE93" s="257"/>
      <c r="AF93" s="257"/>
      <c r="AG93" s="257"/>
      <c r="AH93" s="257"/>
      <c r="AI93" s="257"/>
      <c r="AJ93" s="257"/>
      <c r="AK93" s="257"/>
      <c r="AL93" s="257"/>
      <c r="AM93" s="257"/>
      <c r="AN93" s="257"/>
      <c r="AO93" s="257"/>
      <c r="AP93" s="257"/>
      <c r="AQ93" s="257"/>
      <c r="AR93" s="257"/>
      <c r="AS93" s="257"/>
      <c r="AT93" s="257"/>
      <c r="AU93" s="257"/>
      <c r="AV93" s="257"/>
      <c r="AW93" s="257"/>
      <c r="AX93" s="257"/>
      <c r="AY93" s="257"/>
      <c r="AZ93" s="257"/>
      <c r="BA93" s="257"/>
      <c r="BB93" s="257"/>
      <c r="BC93" s="257"/>
      <c r="BD93" s="257"/>
      <c r="BE93" s="257"/>
      <c r="BF93" s="257"/>
      <c r="BG93" s="257"/>
    </row>
    <row r="94" spans="4:59"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  <c r="AF94" s="257"/>
      <c r="AG94" s="257"/>
      <c r="AH94" s="257"/>
      <c r="AI94" s="257"/>
      <c r="AJ94" s="257"/>
      <c r="AK94" s="257"/>
      <c r="AL94" s="257"/>
      <c r="AM94" s="257"/>
      <c r="AN94" s="257"/>
      <c r="AO94" s="257"/>
      <c r="AP94" s="257"/>
      <c r="AQ94" s="257"/>
      <c r="AR94" s="257"/>
      <c r="AS94" s="257"/>
      <c r="AT94" s="257"/>
      <c r="AU94" s="257"/>
      <c r="AV94" s="257"/>
      <c r="AW94" s="257"/>
      <c r="AX94" s="257"/>
      <c r="AY94" s="257"/>
      <c r="AZ94" s="257"/>
      <c r="BA94" s="257"/>
      <c r="BB94" s="257"/>
      <c r="BC94" s="257"/>
      <c r="BD94" s="257"/>
      <c r="BE94" s="257"/>
      <c r="BF94" s="257"/>
      <c r="BG94" s="257"/>
    </row>
    <row r="95" spans="4:59"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  <c r="AA95" s="257"/>
      <c r="AB95" s="257"/>
      <c r="AC95" s="257"/>
      <c r="AD95" s="257"/>
      <c r="AE95" s="257"/>
      <c r="AF95" s="257"/>
      <c r="AG95" s="257"/>
      <c r="AH95" s="257"/>
      <c r="AI95" s="257"/>
      <c r="AJ95" s="257"/>
      <c r="AK95" s="257"/>
      <c r="AL95" s="257"/>
      <c r="AM95" s="257"/>
      <c r="AN95" s="257"/>
      <c r="AO95" s="257"/>
      <c r="AP95" s="257"/>
      <c r="AQ95" s="257"/>
      <c r="AR95" s="257"/>
      <c r="AS95" s="257"/>
      <c r="AT95" s="257"/>
      <c r="AU95" s="257"/>
      <c r="AV95" s="257"/>
      <c r="AW95" s="257"/>
      <c r="AX95" s="257"/>
      <c r="AY95" s="257"/>
      <c r="AZ95" s="257"/>
      <c r="BA95" s="257"/>
      <c r="BB95" s="257"/>
      <c r="BC95" s="257"/>
      <c r="BD95" s="257"/>
      <c r="BE95" s="257"/>
      <c r="BF95" s="257"/>
      <c r="BG95" s="257"/>
    </row>
    <row r="96" spans="4:59"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  <c r="AA96" s="257"/>
      <c r="AB96" s="257"/>
      <c r="AC96" s="257"/>
      <c r="AD96" s="257"/>
      <c r="AE96" s="257"/>
      <c r="AF96" s="257"/>
      <c r="AG96" s="257"/>
      <c r="AH96" s="257"/>
      <c r="AI96" s="257"/>
      <c r="AJ96" s="257"/>
      <c r="AK96" s="257"/>
      <c r="AL96" s="257"/>
      <c r="AM96" s="257"/>
      <c r="AN96" s="257"/>
      <c r="AO96" s="257"/>
      <c r="AP96" s="257"/>
      <c r="AQ96" s="257"/>
      <c r="AR96" s="257"/>
      <c r="AS96" s="257"/>
      <c r="AT96" s="257"/>
      <c r="AU96" s="257"/>
      <c r="AV96" s="257"/>
      <c r="AW96" s="257"/>
      <c r="AX96" s="257"/>
      <c r="AY96" s="257"/>
      <c r="AZ96" s="257"/>
      <c r="BA96" s="257"/>
      <c r="BB96" s="257"/>
      <c r="BC96" s="257"/>
      <c r="BD96" s="257"/>
      <c r="BE96" s="257"/>
      <c r="BF96" s="257"/>
      <c r="BG96" s="257"/>
    </row>
    <row r="97" spans="4:59"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  <c r="AF97" s="257"/>
      <c r="AG97" s="257"/>
      <c r="AH97" s="257"/>
      <c r="AI97" s="257"/>
      <c r="AJ97" s="257"/>
      <c r="AK97" s="257"/>
      <c r="AL97" s="257"/>
      <c r="AM97" s="257"/>
      <c r="AN97" s="257"/>
      <c r="AO97" s="257"/>
      <c r="AP97" s="257"/>
      <c r="AQ97" s="257"/>
      <c r="AR97" s="257"/>
      <c r="AS97" s="257"/>
      <c r="AT97" s="257"/>
      <c r="AU97" s="257"/>
      <c r="AV97" s="257"/>
      <c r="AW97" s="257"/>
      <c r="AX97" s="257"/>
      <c r="AY97" s="257"/>
      <c r="AZ97" s="257"/>
      <c r="BA97" s="257"/>
      <c r="BB97" s="257"/>
      <c r="BC97" s="257"/>
      <c r="BD97" s="257"/>
      <c r="BE97" s="257"/>
      <c r="BF97" s="257"/>
      <c r="BG97" s="257"/>
    </row>
    <row r="98" spans="4:59"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7"/>
      <c r="AF98" s="257"/>
      <c r="AG98" s="257"/>
      <c r="AH98" s="257"/>
      <c r="AI98" s="257"/>
      <c r="AJ98" s="257"/>
      <c r="AK98" s="257"/>
      <c r="AL98" s="257"/>
      <c r="AM98" s="257"/>
      <c r="AN98" s="257"/>
      <c r="AO98" s="257"/>
      <c r="AP98" s="257"/>
      <c r="AQ98" s="257"/>
      <c r="AR98" s="257"/>
      <c r="AS98" s="257"/>
      <c r="AT98" s="257"/>
      <c r="AU98" s="257"/>
      <c r="AV98" s="257"/>
      <c r="AW98" s="257"/>
      <c r="AX98" s="257"/>
      <c r="AY98" s="257"/>
      <c r="AZ98" s="257"/>
      <c r="BA98" s="257"/>
      <c r="BB98" s="257"/>
      <c r="BC98" s="257"/>
      <c r="BD98" s="257"/>
      <c r="BE98" s="257"/>
      <c r="BF98" s="257"/>
      <c r="BG98" s="257"/>
    </row>
    <row r="99" spans="4:59"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  <c r="AF99" s="257"/>
      <c r="AG99" s="257"/>
      <c r="AH99" s="257"/>
      <c r="AI99" s="257"/>
      <c r="AJ99" s="257"/>
      <c r="AK99" s="257"/>
      <c r="AL99" s="257"/>
      <c r="AM99" s="257"/>
      <c r="AN99" s="257"/>
      <c r="AO99" s="257"/>
      <c r="AP99" s="257"/>
      <c r="AQ99" s="257"/>
      <c r="AR99" s="257"/>
      <c r="AS99" s="257"/>
      <c r="AT99" s="257"/>
      <c r="AU99" s="257"/>
      <c r="AV99" s="257"/>
      <c r="AW99" s="257"/>
      <c r="AX99" s="257"/>
      <c r="AY99" s="257"/>
      <c r="AZ99" s="257"/>
      <c r="BA99" s="257"/>
      <c r="BB99" s="257"/>
      <c r="BC99" s="257"/>
      <c r="BD99" s="257"/>
      <c r="BE99" s="257"/>
      <c r="BF99" s="257"/>
      <c r="BG99" s="257"/>
    </row>
    <row r="100" spans="4:59">
      <c r="D100" s="257"/>
      <c r="E100" s="257"/>
      <c r="F100" s="257"/>
      <c r="G100" s="257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  <c r="AF100" s="257"/>
      <c r="AG100" s="257"/>
      <c r="AH100" s="257"/>
      <c r="AI100" s="257"/>
      <c r="AJ100" s="257"/>
      <c r="AK100" s="257"/>
      <c r="AL100" s="257"/>
      <c r="AM100" s="257"/>
      <c r="AN100" s="257"/>
      <c r="AO100" s="257"/>
      <c r="AP100" s="257"/>
      <c r="AQ100" s="257"/>
      <c r="AR100" s="257"/>
      <c r="AS100" s="257"/>
      <c r="AT100" s="257"/>
      <c r="AU100" s="257"/>
      <c r="AV100" s="257"/>
      <c r="AW100" s="257"/>
      <c r="AX100" s="257"/>
      <c r="AY100" s="257"/>
      <c r="AZ100" s="257"/>
      <c r="BA100" s="257"/>
      <c r="BB100" s="257"/>
      <c r="BC100" s="257"/>
      <c r="BD100" s="257"/>
      <c r="BE100" s="257"/>
      <c r="BF100" s="257"/>
      <c r="BG100" s="257"/>
    </row>
    <row r="101" spans="4:59"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  <c r="AF101" s="257"/>
      <c r="AG101" s="257"/>
      <c r="AH101" s="257"/>
      <c r="AI101" s="257"/>
      <c r="AJ101" s="257"/>
      <c r="AK101" s="257"/>
      <c r="AL101" s="257"/>
      <c r="AM101" s="257"/>
      <c r="AN101" s="257"/>
      <c r="AO101" s="257"/>
      <c r="AP101" s="257"/>
      <c r="AQ101" s="257"/>
      <c r="AR101" s="257"/>
      <c r="AS101" s="257"/>
      <c r="AT101" s="257"/>
      <c r="AU101" s="257"/>
      <c r="AV101" s="257"/>
      <c r="AW101" s="257"/>
      <c r="AX101" s="257"/>
      <c r="AY101" s="257"/>
      <c r="AZ101" s="257"/>
      <c r="BA101" s="257"/>
      <c r="BB101" s="257"/>
      <c r="BC101" s="257"/>
      <c r="BD101" s="257"/>
      <c r="BE101" s="257"/>
      <c r="BF101" s="257"/>
      <c r="BG101" s="257"/>
    </row>
    <row r="102" spans="4:59"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  <c r="AF102" s="257"/>
      <c r="AG102" s="257"/>
      <c r="AH102" s="257"/>
      <c r="AI102" s="257"/>
      <c r="AJ102" s="257"/>
      <c r="AK102" s="257"/>
      <c r="AL102" s="257"/>
      <c r="AM102" s="257"/>
      <c r="AN102" s="257"/>
      <c r="AO102" s="257"/>
      <c r="AP102" s="257"/>
      <c r="AQ102" s="257"/>
      <c r="AR102" s="257"/>
      <c r="AS102" s="257"/>
      <c r="AT102" s="257"/>
      <c r="AU102" s="257"/>
      <c r="AV102" s="257"/>
      <c r="AW102" s="257"/>
      <c r="AX102" s="257"/>
      <c r="AY102" s="257"/>
      <c r="AZ102" s="257"/>
      <c r="BA102" s="257"/>
      <c r="BB102" s="257"/>
      <c r="BC102" s="257"/>
      <c r="BD102" s="257"/>
      <c r="BE102" s="257"/>
      <c r="BF102" s="257"/>
      <c r="BG102" s="257"/>
    </row>
    <row r="103" spans="4:59">
      <c r="D103" s="257"/>
      <c r="E103" s="257"/>
      <c r="F103" s="257"/>
      <c r="G103" s="257"/>
      <c r="H103" s="257"/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  <c r="AA103" s="257"/>
      <c r="AB103" s="257"/>
      <c r="AC103" s="257"/>
      <c r="AD103" s="257"/>
      <c r="AE103" s="257"/>
      <c r="AF103" s="257"/>
      <c r="AG103" s="257"/>
      <c r="AH103" s="257"/>
      <c r="AI103" s="257"/>
      <c r="AJ103" s="257"/>
      <c r="AK103" s="257"/>
      <c r="AL103" s="257"/>
      <c r="AM103" s="257"/>
      <c r="AN103" s="257"/>
      <c r="AO103" s="257"/>
      <c r="AP103" s="257"/>
      <c r="AQ103" s="257"/>
      <c r="AR103" s="257"/>
      <c r="AS103" s="257"/>
      <c r="AT103" s="257"/>
      <c r="AU103" s="257"/>
      <c r="AV103" s="257"/>
      <c r="AW103" s="257"/>
      <c r="AX103" s="257"/>
      <c r="AY103" s="257"/>
      <c r="AZ103" s="257"/>
      <c r="BA103" s="257"/>
      <c r="BB103" s="257"/>
      <c r="BC103" s="257"/>
      <c r="BD103" s="257"/>
      <c r="BE103" s="257"/>
      <c r="BF103" s="257"/>
      <c r="BG103" s="257"/>
    </row>
    <row r="104" spans="4:59">
      <c r="D104" s="257"/>
      <c r="E104" s="257"/>
      <c r="F104" s="257"/>
      <c r="G104" s="257"/>
      <c r="H104" s="257"/>
      <c r="I104" s="257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7"/>
      <c r="AF104" s="257"/>
      <c r="AG104" s="257"/>
      <c r="AH104" s="257"/>
      <c r="AI104" s="257"/>
      <c r="AJ104" s="257"/>
      <c r="AK104" s="257"/>
      <c r="AL104" s="257"/>
      <c r="AM104" s="257"/>
      <c r="AN104" s="257"/>
      <c r="AO104" s="257"/>
      <c r="AP104" s="257"/>
      <c r="AQ104" s="257"/>
      <c r="AR104" s="257"/>
      <c r="AS104" s="257"/>
      <c r="AT104" s="257"/>
      <c r="AU104" s="257"/>
      <c r="AV104" s="257"/>
      <c r="AW104" s="257"/>
      <c r="AX104" s="257"/>
      <c r="AY104" s="257"/>
      <c r="AZ104" s="257"/>
      <c r="BA104" s="257"/>
      <c r="BB104" s="257"/>
      <c r="BC104" s="257"/>
      <c r="BD104" s="257"/>
      <c r="BE104" s="257"/>
      <c r="BF104" s="257"/>
      <c r="BG104" s="257"/>
    </row>
    <row r="105" spans="4:59">
      <c r="D105" s="257"/>
      <c r="E105" s="257"/>
      <c r="F105" s="257"/>
      <c r="G105" s="257"/>
      <c r="H105" s="257"/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  <c r="AF105" s="257"/>
      <c r="AG105" s="257"/>
      <c r="AH105" s="257"/>
      <c r="AI105" s="257"/>
      <c r="AJ105" s="257"/>
      <c r="AK105" s="257"/>
      <c r="AL105" s="257"/>
      <c r="AM105" s="257"/>
      <c r="AN105" s="257"/>
      <c r="AO105" s="257"/>
      <c r="AP105" s="257"/>
      <c r="AQ105" s="257"/>
      <c r="AR105" s="257"/>
      <c r="AS105" s="257"/>
      <c r="AT105" s="257"/>
      <c r="AU105" s="257"/>
      <c r="AV105" s="257"/>
      <c r="AW105" s="257"/>
      <c r="AX105" s="257"/>
      <c r="AY105" s="257"/>
      <c r="AZ105" s="257"/>
      <c r="BA105" s="257"/>
      <c r="BB105" s="257"/>
      <c r="BC105" s="257"/>
      <c r="BD105" s="257"/>
      <c r="BE105" s="257"/>
      <c r="BF105" s="257"/>
      <c r="BG105" s="257"/>
    </row>
    <row r="106" spans="4:59">
      <c r="D106" s="257"/>
      <c r="E106" s="257"/>
      <c r="F106" s="257"/>
      <c r="G106" s="257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  <c r="AA106" s="257"/>
      <c r="AB106" s="257"/>
      <c r="AC106" s="257"/>
      <c r="AD106" s="257"/>
      <c r="AE106" s="257"/>
      <c r="AF106" s="257"/>
      <c r="AG106" s="257"/>
      <c r="AH106" s="257"/>
      <c r="AI106" s="257"/>
      <c r="AJ106" s="257"/>
      <c r="AK106" s="257"/>
      <c r="AL106" s="257"/>
      <c r="AM106" s="257"/>
      <c r="AN106" s="257"/>
      <c r="AO106" s="257"/>
      <c r="AP106" s="257"/>
      <c r="AQ106" s="257"/>
      <c r="AR106" s="257"/>
      <c r="AS106" s="257"/>
      <c r="AT106" s="257"/>
      <c r="AU106" s="257"/>
      <c r="AV106" s="257"/>
      <c r="AW106" s="257"/>
      <c r="AX106" s="257"/>
      <c r="AY106" s="257"/>
      <c r="AZ106" s="257"/>
      <c r="BA106" s="257"/>
      <c r="BB106" s="257"/>
      <c r="BC106" s="257"/>
      <c r="BD106" s="257"/>
      <c r="BE106" s="257"/>
      <c r="BF106" s="257"/>
      <c r="BG106" s="257"/>
    </row>
    <row r="107" spans="4:59">
      <c r="D107" s="257"/>
      <c r="E107" s="257"/>
      <c r="F107" s="257"/>
      <c r="G107" s="257"/>
      <c r="H107" s="257"/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  <c r="AA107" s="257"/>
      <c r="AB107" s="257"/>
      <c r="AC107" s="257"/>
      <c r="AD107" s="257"/>
      <c r="AE107" s="257"/>
      <c r="AF107" s="257"/>
      <c r="AG107" s="257"/>
      <c r="AH107" s="257"/>
      <c r="AI107" s="257"/>
      <c r="AJ107" s="257"/>
      <c r="AK107" s="257"/>
      <c r="AL107" s="257"/>
      <c r="AM107" s="257"/>
      <c r="AN107" s="257"/>
      <c r="AO107" s="257"/>
      <c r="AP107" s="257"/>
      <c r="AQ107" s="257"/>
      <c r="AR107" s="257"/>
      <c r="AS107" s="257"/>
      <c r="AT107" s="257"/>
      <c r="AU107" s="257"/>
      <c r="AV107" s="257"/>
      <c r="AW107" s="257"/>
      <c r="AX107" s="257"/>
      <c r="AY107" s="257"/>
      <c r="AZ107" s="257"/>
      <c r="BA107" s="257"/>
      <c r="BB107" s="257"/>
      <c r="BC107" s="257"/>
      <c r="BD107" s="257"/>
      <c r="BE107" s="257"/>
      <c r="BF107" s="257"/>
      <c r="BG107" s="257"/>
    </row>
    <row r="108" spans="4:59"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  <c r="AF108" s="257"/>
      <c r="AG108" s="257"/>
      <c r="AH108" s="257"/>
      <c r="AI108" s="257"/>
      <c r="AJ108" s="257"/>
      <c r="AK108" s="257"/>
      <c r="AL108" s="257"/>
      <c r="AM108" s="257"/>
      <c r="AN108" s="257"/>
      <c r="AO108" s="257"/>
      <c r="AP108" s="257"/>
      <c r="AQ108" s="257"/>
      <c r="AR108" s="257"/>
      <c r="AS108" s="257"/>
      <c r="AT108" s="257"/>
      <c r="AU108" s="257"/>
      <c r="AV108" s="257"/>
      <c r="AW108" s="257"/>
      <c r="AX108" s="257"/>
      <c r="AY108" s="257"/>
      <c r="AZ108" s="257"/>
      <c r="BA108" s="257"/>
      <c r="BB108" s="257"/>
      <c r="BC108" s="257"/>
      <c r="BD108" s="257"/>
      <c r="BE108" s="257"/>
      <c r="BF108" s="257"/>
      <c r="BG108" s="257"/>
    </row>
    <row r="109" spans="4:59"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  <c r="AA109" s="257"/>
      <c r="AB109" s="257"/>
      <c r="AC109" s="257"/>
      <c r="AD109" s="257"/>
      <c r="AE109" s="257"/>
      <c r="AF109" s="257"/>
      <c r="AG109" s="257"/>
      <c r="AH109" s="257"/>
      <c r="AI109" s="257"/>
      <c r="AJ109" s="257"/>
      <c r="AK109" s="257"/>
      <c r="AL109" s="257"/>
      <c r="AM109" s="257"/>
      <c r="AN109" s="257"/>
      <c r="AO109" s="257"/>
      <c r="AP109" s="257"/>
      <c r="AQ109" s="257"/>
      <c r="AR109" s="257"/>
      <c r="AS109" s="257"/>
      <c r="AT109" s="257"/>
      <c r="AU109" s="257"/>
      <c r="AV109" s="257"/>
      <c r="AW109" s="257"/>
      <c r="AX109" s="257"/>
      <c r="AY109" s="257"/>
      <c r="AZ109" s="257"/>
      <c r="BA109" s="257"/>
      <c r="BB109" s="257"/>
      <c r="BC109" s="257"/>
      <c r="BD109" s="257"/>
      <c r="BE109" s="257"/>
      <c r="BF109" s="257"/>
      <c r="BG109" s="257"/>
    </row>
    <row r="110" spans="4:59"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7"/>
      <c r="AQ110" s="257"/>
      <c r="AR110" s="257"/>
      <c r="AS110" s="257"/>
      <c r="AT110" s="257"/>
      <c r="AU110" s="257"/>
      <c r="AV110" s="257"/>
      <c r="AW110" s="257"/>
      <c r="AX110" s="257"/>
      <c r="AY110" s="257"/>
      <c r="AZ110" s="257"/>
      <c r="BA110" s="257"/>
      <c r="BB110" s="257"/>
      <c r="BC110" s="257"/>
      <c r="BD110" s="257"/>
      <c r="BE110" s="257"/>
      <c r="BF110" s="257"/>
      <c r="BG110" s="257"/>
    </row>
    <row r="111" spans="4:59"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  <c r="AJ111" s="257"/>
      <c r="AK111" s="257"/>
      <c r="AL111" s="257"/>
      <c r="AM111" s="257"/>
      <c r="AN111" s="257"/>
      <c r="AO111" s="257"/>
      <c r="AP111" s="257"/>
      <c r="AQ111" s="257"/>
      <c r="AR111" s="257"/>
      <c r="AS111" s="257"/>
      <c r="AT111" s="257"/>
      <c r="AU111" s="257"/>
      <c r="AV111" s="257"/>
      <c r="AW111" s="257"/>
      <c r="AX111" s="257"/>
      <c r="AY111" s="257"/>
      <c r="AZ111" s="257"/>
      <c r="BA111" s="257"/>
      <c r="BB111" s="257"/>
      <c r="BC111" s="257"/>
      <c r="BD111" s="257"/>
      <c r="BE111" s="257"/>
      <c r="BF111" s="257"/>
      <c r="BG111" s="257"/>
    </row>
    <row r="112" spans="4:59">
      <c r="D112" s="257"/>
      <c r="E112" s="257"/>
      <c r="F112" s="257"/>
      <c r="G112" s="257"/>
      <c r="H112" s="257"/>
      <c r="I112" s="257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  <c r="AA112" s="257"/>
      <c r="AB112" s="257"/>
      <c r="AC112" s="257"/>
      <c r="AD112" s="257"/>
      <c r="AE112" s="257"/>
      <c r="AF112" s="257"/>
      <c r="AG112" s="257"/>
      <c r="AH112" s="257"/>
      <c r="AI112" s="257"/>
      <c r="AJ112" s="257"/>
      <c r="AK112" s="257"/>
      <c r="AL112" s="257"/>
      <c r="AM112" s="257"/>
      <c r="AN112" s="257"/>
      <c r="AO112" s="257"/>
      <c r="AP112" s="257"/>
      <c r="AQ112" s="257"/>
      <c r="AR112" s="257"/>
      <c r="AS112" s="257"/>
      <c r="AT112" s="257"/>
      <c r="AU112" s="257"/>
      <c r="AV112" s="257"/>
      <c r="AW112" s="257"/>
      <c r="AX112" s="257"/>
      <c r="AY112" s="257"/>
      <c r="AZ112" s="257"/>
      <c r="BA112" s="257"/>
      <c r="BB112" s="257"/>
      <c r="BC112" s="257"/>
      <c r="BD112" s="257"/>
      <c r="BE112" s="257"/>
      <c r="BF112" s="257"/>
      <c r="BG112" s="257"/>
    </row>
    <row r="113" spans="4:61">
      <c r="D113" s="257"/>
      <c r="E113" s="257"/>
      <c r="F113" s="257"/>
      <c r="G113" s="257"/>
      <c r="H113" s="257"/>
      <c r="I113" s="257"/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  <c r="AA113" s="257"/>
      <c r="AB113" s="257"/>
      <c r="AC113" s="257"/>
      <c r="AD113" s="257"/>
      <c r="AE113" s="257"/>
      <c r="AF113" s="257"/>
      <c r="AG113" s="257"/>
      <c r="AH113" s="257"/>
      <c r="AI113" s="257"/>
      <c r="AJ113" s="257"/>
      <c r="AK113" s="257"/>
      <c r="AL113" s="257"/>
      <c r="AM113" s="257"/>
      <c r="AN113" s="257"/>
      <c r="AO113" s="257"/>
      <c r="AP113" s="257"/>
      <c r="AQ113" s="257"/>
      <c r="AR113" s="257"/>
      <c r="AS113" s="257"/>
      <c r="AT113" s="257"/>
      <c r="AU113" s="257"/>
      <c r="AV113" s="257"/>
      <c r="AW113" s="257"/>
      <c r="AX113" s="257"/>
      <c r="AY113" s="257"/>
      <c r="AZ113" s="257"/>
      <c r="BA113" s="257"/>
      <c r="BB113" s="257"/>
      <c r="BC113" s="257"/>
      <c r="BD113" s="257"/>
      <c r="BE113" s="257"/>
      <c r="BF113" s="257"/>
      <c r="BG113" s="257"/>
    </row>
    <row r="114" spans="4:61">
      <c r="D114" s="257"/>
      <c r="E114" s="257"/>
      <c r="F114" s="257"/>
      <c r="G114" s="257"/>
      <c r="H114" s="257"/>
      <c r="I114" s="257"/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  <c r="AA114" s="257"/>
      <c r="AB114" s="257"/>
      <c r="AC114" s="257"/>
      <c r="AD114" s="257"/>
      <c r="AE114" s="257"/>
      <c r="AF114" s="257"/>
      <c r="AG114" s="257"/>
      <c r="AH114" s="257"/>
      <c r="AI114" s="257"/>
      <c r="AJ114" s="257"/>
      <c r="AK114" s="257"/>
      <c r="AL114" s="257"/>
      <c r="AM114" s="257"/>
      <c r="AN114" s="257"/>
      <c r="AO114" s="257"/>
      <c r="AP114" s="257"/>
      <c r="AQ114" s="257"/>
      <c r="AR114" s="257"/>
      <c r="AS114" s="257"/>
      <c r="AT114" s="257"/>
      <c r="AU114" s="257"/>
      <c r="AV114" s="257"/>
      <c r="AW114" s="257"/>
      <c r="AX114" s="257"/>
      <c r="AY114" s="257"/>
      <c r="AZ114" s="257"/>
      <c r="BA114" s="257"/>
      <c r="BB114" s="257"/>
      <c r="BC114" s="257"/>
      <c r="BD114" s="257"/>
      <c r="BE114" s="257"/>
      <c r="BF114" s="257"/>
      <c r="BG114" s="257"/>
    </row>
    <row r="115" spans="4:61">
      <c r="D115" s="257"/>
      <c r="E115" s="257"/>
      <c r="F115" s="257"/>
      <c r="G115" s="257"/>
      <c r="H115" s="257"/>
      <c r="I115" s="257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  <c r="AA115" s="257"/>
      <c r="AB115" s="257"/>
      <c r="AC115" s="257"/>
      <c r="AD115" s="257"/>
      <c r="AE115" s="257"/>
      <c r="AF115" s="257"/>
      <c r="AG115" s="257"/>
      <c r="AH115" s="257"/>
      <c r="AI115" s="257"/>
      <c r="AJ115" s="257"/>
      <c r="AK115" s="257"/>
      <c r="AL115" s="257"/>
      <c r="AM115" s="257"/>
      <c r="AN115" s="257"/>
      <c r="AO115" s="257"/>
      <c r="AP115" s="257"/>
      <c r="AQ115" s="257"/>
      <c r="AR115" s="257"/>
      <c r="AS115" s="257"/>
      <c r="AT115" s="257"/>
      <c r="AU115" s="257"/>
      <c r="AV115" s="257"/>
      <c r="AW115" s="257"/>
      <c r="AX115" s="257"/>
      <c r="AY115" s="257"/>
      <c r="AZ115" s="257"/>
      <c r="BA115" s="257"/>
      <c r="BB115" s="257"/>
      <c r="BC115" s="257"/>
      <c r="BD115" s="257"/>
      <c r="BE115" s="257"/>
      <c r="BF115" s="257"/>
      <c r="BG115" s="257"/>
      <c r="BH115" s="27"/>
      <c r="BI115" s="27"/>
    </row>
    <row r="116" spans="4:61"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  <c r="AA116" s="257"/>
      <c r="AB116" s="257"/>
      <c r="AC116" s="257"/>
      <c r="AD116" s="257"/>
      <c r="AE116" s="257"/>
      <c r="AF116" s="257"/>
      <c r="AG116" s="257"/>
      <c r="AH116" s="257"/>
      <c r="AI116" s="257"/>
      <c r="AJ116" s="257"/>
      <c r="AK116" s="257"/>
      <c r="AL116" s="257"/>
      <c r="AM116" s="257"/>
      <c r="AN116" s="257"/>
      <c r="AO116" s="257"/>
      <c r="AP116" s="257"/>
      <c r="AQ116" s="257"/>
      <c r="AR116" s="257"/>
      <c r="AS116" s="257"/>
      <c r="AT116" s="257"/>
      <c r="AU116" s="257"/>
      <c r="AV116" s="257"/>
      <c r="AW116" s="257"/>
      <c r="AX116" s="257"/>
      <c r="AY116" s="257"/>
      <c r="AZ116" s="257"/>
      <c r="BA116" s="257"/>
      <c r="BB116" s="257"/>
      <c r="BC116" s="257"/>
      <c r="BD116" s="257"/>
      <c r="BE116" s="257"/>
      <c r="BF116" s="257"/>
      <c r="BG116" s="257"/>
      <c r="BI116" s="22"/>
    </row>
    <row r="117" spans="4:61">
      <c r="D117" s="257"/>
      <c r="E117" s="257"/>
      <c r="F117" s="257"/>
      <c r="G117" s="257"/>
      <c r="H117" s="257"/>
      <c r="I117" s="257"/>
      <c r="J117" s="257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  <c r="AA117" s="257"/>
      <c r="AB117" s="257"/>
      <c r="AC117" s="257"/>
      <c r="AD117" s="257"/>
      <c r="AE117" s="257"/>
      <c r="AF117" s="257"/>
      <c r="AG117" s="257"/>
      <c r="AH117" s="257"/>
      <c r="AI117" s="257"/>
      <c r="AJ117" s="257"/>
      <c r="AK117" s="257"/>
      <c r="AL117" s="257"/>
      <c r="AM117" s="257"/>
      <c r="AN117" s="257"/>
      <c r="AO117" s="257"/>
      <c r="AP117" s="257"/>
      <c r="AQ117" s="257"/>
      <c r="AR117" s="257"/>
      <c r="AS117" s="257"/>
      <c r="AT117" s="257"/>
      <c r="AU117" s="257"/>
      <c r="AV117" s="257"/>
      <c r="AW117" s="257"/>
      <c r="AX117" s="257"/>
      <c r="AY117" s="257"/>
      <c r="AZ117" s="257"/>
      <c r="BA117" s="257"/>
      <c r="BB117" s="257"/>
      <c r="BC117" s="257"/>
      <c r="BD117" s="257"/>
      <c r="BE117" s="257"/>
      <c r="BF117" s="257"/>
      <c r="BG117" s="257"/>
    </row>
    <row r="118" spans="4:61"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  <c r="AF118" s="257"/>
      <c r="AG118" s="257"/>
      <c r="AH118" s="257"/>
      <c r="AI118" s="257"/>
      <c r="AJ118" s="257"/>
      <c r="AK118" s="257"/>
      <c r="AL118" s="257"/>
      <c r="AM118" s="257"/>
      <c r="AN118" s="257"/>
      <c r="AO118" s="257"/>
      <c r="AP118" s="257"/>
      <c r="AQ118" s="257"/>
      <c r="AR118" s="257"/>
      <c r="AS118" s="257"/>
      <c r="AT118" s="257"/>
      <c r="AU118" s="257"/>
      <c r="AV118" s="257"/>
      <c r="AW118" s="257"/>
      <c r="AX118" s="257"/>
      <c r="AY118" s="257"/>
      <c r="AZ118" s="257"/>
      <c r="BA118" s="257"/>
      <c r="BB118" s="257"/>
      <c r="BC118" s="257"/>
      <c r="BD118" s="257"/>
      <c r="BE118" s="257"/>
      <c r="BF118" s="257"/>
      <c r="BG118" s="257"/>
      <c r="BH118" s="56"/>
    </row>
    <row r="119" spans="4:61">
      <c r="D119" s="257"/>
      <c r="E119" s="257"/>
      <c r="F119" s="257"/>
      <c r="G119" s="257"/>
      <c r="H119" s="257"/>
      <c r="I119" s="257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  <c r="AA119" s="257"/>
      <c r="AB119" s="257"/>
      <c r="AC119" s="257"/>
      <c r="AD119" s="257"/>
      <c r="AE119" s="257"/>
      <c r="AF119" s="257"/>
      <c r="AG119" s="257"/>
      <c r="AH119" s="257"/>
      <c r="AI119" s="257"/>
      <c r="AJ119" s="257"/>
      <c r="AK119" s="257"/>
      <c r="AL119" s="257"/>
      <c r="AM119" s="257"/>
      <c r="AN119" s="257"/>
      <c r="AO119" s="257"/>
      <c r="AP119" s="257"/>
      <c r="AQ119" s="257"/>
      <c r="AR119" s="257"/>
      <c r="AS119" s="257"/>
      <c r="AT119" s="257"/>
      <c r="AU119" s="257"/>
      <c r="AV119" s="257"/>
      <c r="AW119" s="257"/>
      <c r="AX119" s="257"/>
      <c r="AY119" s="257"/>
      <c r="AZ119" s="257"/>
      <c r="BA119" s="257"/>
      <c r="BB119" s="257"/>
      <c r="BC119" s="257"/>
      <c r="BD119" s="257"/>
      <c r="BE119" s="257"/>
      <c r="BF119" s="257"/>
      <c r="BG119" s="257"/>
    </row>
    <row r="120" spans="4:61">
      <c r="D120" s="257"/>
      <c r="E120" s="257"/>
      <c r="F120" s="257"/>
      <c r="G120" s="257"/>
      <c r="H120" s="257"/>
      <c r="I120" s="257"/>
      <c r="J120" s="257"/>
      <c r="K120" s="257"/>
      <c r="L120" s="257"/>
      <c r="M120" s="257"/>
      <c r="N120" s="257"/>
      <c r="O120" s="257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  <c r="AF120" s="257"/>
      <c r="AG120" s="257"/>
      <c r="AH120" s="257"/>
      <c r="AI120" s="257"/>
      <c r="AJ120" s="257"/>
      <c r="AK120" s="257"/>
      <c r="AL120" s="257"/>
      <c r="AM120" s="257"/>
      <c r="AN120" s="257"/>
      <c r="AO120" s="257"/>
      <c r="AP120" s="257"/>
      <c r="AQ120" s="257"/>
      <c r="AR120" s="257"/>
      <c r="AS120" s="257"/>
      <c r="AT120" s="257"/>
      <c r="AU120" s="257"/>
      <c r="AV120" s="257"/>
      <c r="AW120" s="257"/>
      <c r="AX120" s="257"/>
      <c r="AY120" s="257"/>
      <c r="AZ120" s="257"/>
      <c r="BA120" s="257"/>
      <c r="BB120" s="257"/>
      <c r="BC120" s="257"/>
      <c r="BD120" s="257"/>
      <c r="BE120" s="257"/>
      <c r="BF120" s="257"/>
      <c r="BG120" s="257"/>
    </row>
    <row r="121" spans="4:61"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  <c r="AA121" s="257"/>
      <c r="AB121" s="257"/>
      <c r="AC121" s="257"/>
      <c r="AD121" s="257"/>
      <c r="AE121" s="257"/>
      <c r="AF121" s="257"/>
      <c r="AG121" s="257"/>
      <c r="AH121" s="257"/>
      <c r="AI121" s="257"/>
      <c r="AJ121" s="257"/>
      <c r="AK121" s="257"/>
      <c r="AL121" s="257"/>
      <c r="AM121" s="257"/>
      <c r="AN121" s="257"/>
      <c r="AO121" s="257"/>
      <c r="AP121" s="257"/>
      <c r="AQ121" s="257"/>
      <c r="AR121" s="257"/>
      <c r="AS121" s="257"/>
      <c r="AT121" s="257"/>
      <c r="AU121" s="257"/>
      <c r="AV121" s="257"/>
      <c r="AW121" s="257"/>
      <c r="AX121" s="257"/>
      <c r="AY121" s="257"/>
      <c r="AZ121" s="257"/>
      <c r="BA121" s="257"/>
      <c r="BB121" s="257"/>
      <c r="BC121" s="257"/>
      <c r="BD121" s="257"/>
      <c r="BE121" s="257"/>
      <c r="BF121" s="257"/>
      <c r="BG121" s="257"/>
    </row>
    <row r="122" spans="4:61"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7"/>
      <c r="AE122" s="257"/>
      <c r="AF122" s="257"/>
      <c r="AG122" s="257"/>
      <c r="AH122" s="257"/>
      <c r="AI122" s="257"/>
      <c r="AJ122" s="257"/>
      <c r="AK122" s="257"/>
      <c r="AL122" s="257"/>
      <c r="AM122" s="257"/>
      <c r="AN122" s="257"/>
      <c r="AO122" s="257"/>
      <c r="AP122" s="257"/>
      <c r="AQ122" s="257"/>
      <c r="AR122" s="257"/>
      <c r="AS122" s="257"/>
      <c r="AT122" s="257"/>
      <c r="AU122" s="257"/>
      <c r="AV122" s="379"/>
      <c r="AW122" s="379"/>
      <c r="AX122" s="257"/>
      <c r="AY122" s="257"/>
      <c r="AZ122" s="257"/>
      <c r="BA122" s="257"/>
      <c r="BB122" s="257"/>
      <c r="BC122" s="257"/>
      <c r="BD122" s="257"/>
      <c r="BE122" s="257"/>
      <c r="BF122" s="257"/>
      <c r="BG122" s="257"/>
    </row>
    <row r="123" spans="4:61"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  <c r="AB123" s="257"/>
      <c r="AC123" s="257"/>
      <c r="AD123" s="257"/>
      <c r="AE123" s="257"/>
      <c r="AF123" s="257"/>
      <c r="AG123" s="257"/>
      <c r="AH123" s="257"/>
      <c r="AI123" s="257"/>
      <c r="AJ123" s="257"/>
      <c r="AK123" s="257"/>
      <c r="AL123" s="257"/>
      <c r="AM123" s="257"/>
      <c r="AN123" s="257"/>
      <c r="AO123" s="257"/>
      <c r="AP123" s="257"/>
      <c r="AQ123" s="257"/>
      <c r="AR123" s="257"/>
      <c r="AS123" s="257"/>
      <c r="AT123" s="257"/>
      <c r="AU123" s="257"/>
      <c r="AV123" s="257"/>
      <c r="AW123" s="257"/>
      <c r="AX123" s="257"/>
      <c r="AY123" s="257"/>
      <c r="AZ123" s="257"/>
      <c r="BA123" s="257"/>
      <c r="BB123" s="257"/>
      <c r="BC123" s="257"/>
      <c r="BD123" s="257"/>
      <c r="BE123" s="257"/>
      <c r="BF123" s="257"/>
      <c r="BG123" s="257"/>
    </row>
    <row r="124" spans="4:61"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  <c r="AA124" s="257"/>
      <c r="AB124" s="257"/>
      <c r="AC124" s="257"/>
      <c r="AD124" s="257"/>
      <c r="AE124" s="257"/>
      <c r="AF124" s="257"/>
      <c r="AG124" s="257"/>
      <c r="AH124" s="257"/>
      <c r="AI124" s="257"/>
      <c r="AJ124" s="257"/>
      <c r="AK124" s="257"/>
      <c r="AL124" s="257"/>
      <c r="AM124" s="257"/>
      <c r="AN124" s="257"/>
      <c r="AO124" s="257"/>
      <c r="AP124" s="257"/>
      <c r="AQ124" s="257"/>
      <c r="AR124" s="257"/>
      <c r="AS124" s="257"/>
      <c r="AT124" s="257"/>
      <c r="AU124" s="257"/>
      <c r="AV124" s="257"/>
      <c r="AW124" s="257"/>
      <c r="AX124" s="257"/>
      <c r="AY124" s="257"/>
      <c r="AZ124" s="257"/>
      <c r="BA124" s="257"/>
      <c r="BB124" s="257"/>
      <c r="BC124" s="257"/>
      <c r="BD124" s="257"/>
      <c r="BE124" s="257"/>
      <c r="BF124" s="257"/>
      <c r="BG124" s="257"/>
    </row>
    <row r="125" spans="4:61">
      <c r="AR125" s="257"/>
    </row>
    <row r="126" spans="4:61">
      <c r="AR126" s="257"/>
      <c r="AT126" s="257"/>
    </row>
    <row r="127" spans="4:61">
      <c r="AR127" s="257"/>
    </row>
    <row r="128" spans="4:61">
      <c r="AR128" s="257"/>
      <c r="AS128" s="257"/>
      <c r="AT128" s="257"/>
      <c r="AU128" s="257"/>
      <c r="AV128" s="257"/>
      <c r="AW128" s="257"/>
      <c r="AX128" s="257"/>
      <c r="AY128" s="257"/>
      <c r="AZ128" s="257"/>
      <c r="BA128" s="257"/>
      <c r="BB128" s="257"/>
      <c r="BC128" s="257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M29" zoomScale="80" zoomScaleNormal="80" workbookViewId="0">
      <selection activeCell="AC44" sqref="AC44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</row>
    <row r="2" spans="9:38">
      <c r="AK2" s="279"/>
      <c r="AL2" s="279"/>
    </row>
    <row r="3" spans="9:38">
      <c r="AK3" s="279"/>
      <c r="AL3" s="279"/>
    </row>
    <row r="4" spans="9:38">
      <c r="AK4" s="279"/>
      <c r="AL4" s="279"/>
    </row>
    <row r="5" spans="9:38" ht="21" customHeight="1">
      <c r="I5" s="284"/>
      <c r="AK5" s="279"/>
      <c r="AL5" s="279"/>
    </row>
    <row r="6" spans="9:38">
      <c r="I6" s="279"/>
      <c r="AK6" s="279"/>
      <c r="AL6" s="279"/>
    </row>
    <row r="7" spans="9:38" ht="15.75" customHeight="1">
      <c r="I7" s="279"/>
      <c r="AK7" s="279"/>
      <c r="AL7" s="279"/>
    </row>
    <row r="8" spans="9:38">
      <c r="I8" s="279"/>
      <c r="AK8" s="279"/>
      <c r="AL8" s="279"/>
    </row>
    <row r="9" spans="9:38">
      <c r="I9" s="279"/>
      <c r="AK9" s="279"/>
      <c r="AL9" s="279"/>
    </row>
    <row r="10" spans="9:38">
      <c r="I10" s="279"/>
      <c r="AK10" s="279"/>
      <c r="AL10" s="279"/>
    </row>
    <row r="11" spans="9:38">
      <c r="AK11" s="279"/>
      <c r="AL11" s="279"/>
    </row>
    <row r="12" spans="9:38">
      <c r="AK12" s="279"/>
      <c r="AL12" s="279"/>
    </row>
    <row r="13" spans="9:38">
      <c r="AK13" s="279"/>
      <c r="AL13" s="279"/>
    </row>
    <row r="14" spans="9:38">
      <c r="Q14" s="22"/>
      <c r="T14" s="279"/>
      <c r="U14" s="279"/>
      <c r="V14" s="279"/>
      <c r="W14" s="279"/>
      <c r="AA14" s="279"/>
      <c r="AB14" s="279"/>
      <c r="AC14" s="279"/>
      <c r="AD14" s="279"/>
      <c r="AE14" s="279"/>
      <c r="AF14" s="279"/>
      <c r="AG14" s="279"/>
      <c r="AH14" s="279"/>
      <c r="AI14" s="279"/>
      <c r="AJ14" s="279"/>
      <c r="AK14" s="279"/>
      <c r="AL14" s="279"/>
    </row>
    <row r="15" spans="9:38">
      <c r="T15" s="279"/>
      <c r="U15" s="279"/>
      <c r="V15" s="279"/>
      <c r="W15" s="279"/>
      <c r="Y15" s="279"/>
      <c r="Z15" s="279"/>
      <c r="AA15" s="279"/>
      <c r="AB15" s="279"/>
      <c r="AC15" s="279"/>
      <c r="AD15" s="279"/>
      <c r="AE15" s="279"/>
      <c r="AF15" s="279"/>
      <c r="AG15" s="279"/>
      <c r="AH15" s="279"/>
      <c r="AI15" s="279"/>
      <c r="AJ15" s="279"/>
      <c r="AK15" s="279"/>
    </row>
    <row r="16" spans="9:38" ht="21">
      <c r="AB16" s="102"/>
      <c r="AC16" s="279"/>
      <c r="AD16" s="279"/>
      <c r="AE16" s="279"/>
      <c r="AF16" s="279"/>
      <c r="AG16" s="279"/>
      <c r="AH16" s="279"/>
      <c r="AI16" s="279"/>
      <c r="AJ16" s="279"/>
      <c r="AK16" s="279"/>
    </row>
    <row r="17" spans="1:38">
      <c r="H17" s="284"/>
      <c r="Q17" s="279"/>
      <c r="W17" s="279"/>
      <c r="X17" s="279"/>
      <c r="Y17" s="279"/>
      <c r="Z17" s="279"/>
      <c r="AA17" s="279"/>
      <c r="AB17" s="279"/>
      <c r="AC17" s="279"/>
      <c r="AD17" s="279"/>
      <c r="AE17" s="279"/>
      <c r="AF17" s="279"/>
      <c r="AG17" s="279"/>
      <c r="AH17" s="279"/>
      <c r="AI17" s="279"/>
      <c r="AJ17" s="279"/>
      <c r="AK17" s="279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189</v>
      </c>
      <c r="N18" s="98"/>
      <c r="O18" s="98"/>
      <c r="Q18" s="279"/>
      <c r="W18" s="279"/>
      <c r="X18" s="279"/>
      <c r="Y18" s="101" t="s">
        <v>191</v>
      </c>
      <c r="Z18" s="101"/>
      <c r="AA18" s="101"/>
      <c r="AB18" s="279"/>
      <c r="AC18" s="279"/>
      <c r="AD18" s="279"/>
      <c r="AE18" s="279"/>
      <c r="AJ18" s="279"/>
      <c r="AK18" s="279"/>
      <c r="AL18" s="279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279"/>
      <c r="AE19" s="279"/>
      <c r="AJ19" s="279"/>
      <c r="AK19" s="279"/>
      <c r="AL19" s="279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79"/>
      <c r="W20" s="279"/>
      <c r="X20" s="403" t="s">
        <v>22</v>
      </c>
      <c r="Y20" s="404"/>
      <c r="Z20" s="404"/>
      <c r="AA20" s="405"/>
      <c r="AB20" s="279"/>
      <c r="AC20" s="279"/>
      <c r="AD20" s="279"/>
      <c r="AK20" s="279"/>
      <c r="AL20" s="279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279"/>
      <c r="O21" s="23"/>
      <c r="X21" s="16"/>
      <c r="Y21" s="17"/>
      <c r="Z21" s="18"/>
      <c r="AK21" s="279"/>
      <c r="AL21" s="279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279"/>
      <c r="L22" s="36" t="s">
        <v>3</v>
      </c>
      <c r="M22" s="34"/>
      <c r="N22" s="15" t="s">
        <v>18</v>
      </c>
      <c r="O22" s="36" t="s">
        <v>49</v>
      </c>
      <c r="P22" s="73"/>
      <c r="Q22" s="279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81.81</v>
      </c>
      <c r="AD22" s="279" t="s">
        <v>18</v>
      </c>
      <c r="AK22" s="279"/>
      <c r="AL22" s="279"/>
    </row>
    <row r="23" spans="1:38" ht="18">
      <c r="B23" s="87"/>
      <c r="C23" s="87"/>
      <c r="D23" s="87"/>
      <c r="E23" s="87"/>
      <c r="K23" s="279"/>
      <c r="L23" s="36" t="s">
        <v>4</v>
      </c>
      <c r="M23" s="34"/>
      <c r="N23" s="15" t="s">
        <v>18</v>
      </c>
      <c r="O23" s="36" t="s">
        <v>27</v>
      </c>
      <c r="P23" s="34"/>
      <c r="Q23" s="279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0.06/100</f>
        <v>5.9999999999999995E-4</v>
      </c>
      <c r="AD23" s="279" t="s">
        <v>33</v>
      </c>
      <c r="AK23" s="279"/>
      <c r="AL23" s="279"/>
    </row>
    <row r="24" spans="1:38">
      <c r="A24" s="161" t="s">
        <v>160</v>
      </c>
      <c r="B24" s="161"/>
      <c r="K24" s="279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279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4.9085999999999998E-2</v>
      </c>
      <c r="AD24" s="279" t="s">
        <v>18</v>
      </c>
      <c r="AK24" s="279"/>
      <c r="AL24" s="279"/>
    </row>
    <row r="25" spans="1:38">
      <c r="L25" s="67" t="s">
        <v>30</v>
      </c>
      <c r="M25" s="37">
        <f>P23*M24</f>
        <v>0</v>
      </c>
      <c r="N25" s="15" t="s">
        <v>18</v>
      </c>
      <c r="Q25" s="279"/>
      <c r="W25" s="279"/>
      <c r="X25" s="285" t="s">
        <v>30</v>
      </c>
      <c r="Y25" s="286"/>
      <c r="Z25" s="104">
        <f>AC23*Z24</f>
        <v>0</v>
      </c>
      <c r="AA25" s="15" t="s">
        <v>18</v>
      </c>
      <c r="AK25" s="279"/>
      <c r="AL25" s="279"/>
    </row>
    <row r="26" spans="1:38">
      <c r="A26" s="23"/>
      <c r="W26" s="279"/>
      <c r="X26" s="279"/>
      <c r="Y26" s="279"/>
      <c r="Z26" s="279"/>
      <c r="AA26" s="23"/>
      <c r="AL26" s="279"/>
    </row>
    <row r="27" spans="1:38">
      <c r="A27" s="23"/>
      <c r="I27" s="279"/>
      <c r="J27" s="279"/>
      <c r="K27" s="279"/>
      <c r="L27" s="279"/>
      <c r="AD27" s="31">
        <f>AC22+Z24</f>
        <v>81.81</v>
      </c>
      <c r="AE27" s="15">
        <f>AC24+Z25</f>
        <v>4.9085999999999998E-2</v>
      </c>
      <c r="AL27" s="279"/>
    </row>
    <row r="28" spans="1:38" ht="21">
      <c r="D28" s="143" t="s">
        <v>45</v>
      </c>
      <c r="E28" s="142">
        <f>B22-(C41+B44)</f>
        <v>108.67048999999999</v>
      </c>
      <c r="F28" s="15" t="s">
        <v>18</v>
      </c>
      <c r="I28" s="279"/>
      <c r="J28" s="279"/>
      <c r="K28" s="279"/>
      <c r="L28" s="279"/>
    </row>
    <row r="29" spans="1:38">
      <c r="I29" s="279"/>
      <c r="J29" s="279"/>
      <c r="K29" s="279"/>
      <c r="L29" s="279"/>
      <c r="V29" s="279"/>
      <c r="W29" s="279"/>
      <c r="X29" s="279"/>
      <c r="AJ29" s="22"/>
    </row>
    <row r="30" spans="1:38" ht="21">
      <c r="I30" s="102"/>
      <c r="V30" s="279"/>
      <c r="W30" s="200">
        <f>AC22+Z24+AC43+V43</f>
        <v>82.89</v>
      </c>
      <c r="X30" s="279"/>
    </row>
    <row r="31" spans="1:38">
      <c r="V31" s="279"/>
      <c r="W31" s="279"/>
      <c r="X31" s="279"/>
    </row>
    <row r="33" spans="1:55">
      <c r="S33" s="15" t="s">
        <v>101</v>
      </c>
      <c r="T33" s="31">
        <f>P22-W30</f>
        <v>-82.89</v>
      </c>
      <c r="U33" s="15" t="s">
        <v>18</v>
      </c>
    </row>
    <row r="34" spans="1:55">
      <c r="D34" s="279"/>
      <c r="E34" s="279"/>
      <c r="F34" s="279"/>
      <c r="G34" s="279"/>
      <c r="H34" s="279"/>
      <c r="S34" s="15" t="s">
        <v>125</v>
      </c>
      <c r="T34" s="76">
        <f>T33/E28</f>
        <v>-0.76276457389674057</v>
      </c>
      <c r="Z34" s="279"/>
      <c r="AA34" s="279"/>
      <c r="AB34" s="279"/>
      <c r="AC34" s="279"/>
      <c r="AD34" s="279"/>
      <c r="AE34" s="279"/>
      <c r="AF34" s="279"/>
      <c r="AG34" s="279"/>
      <c r="AH34" s="279"/>
      <c r="AI34" s="279"/>
      <c r="AJ34" s="279"/>
    </row>
    <row r="35" spans="1:55">
      <c r="D35" s="279"/>
      <c r="E35" s="279"/>
      <c r="F35" s="279"/>
      <c r="G35" s="279"/>
      <c r="H35" s="279"/>
      <c r="S35" s="15" t="s">
        <v>126</v>
      </c>
      <c r="T35" s="81">
        <f>T34*B49</f>
        <v>-7.5285768482955895</v>
      </c>
      <c r="U35" s="279" t="s">
        <v>18</v>
      </c>
      <c r="Z35" s="279"/>
    </row>
    <row r="36" spans="1:55">
      <c r="D36" s="279"/>
      <c r="E36" s="279"/>
      <c r="F36" s="279"/>
      <c r="G36" s="279"/>
      <c r="H36" s="200"/>
      <c r="P36" s="280"/>
      <c r="Q36" s="280"/>
      <c r="R36" s="16"/>
      <c r="U36" s="279"/>
      <c r="Z36" s="279"/>
    </row>
    <row r="37" spans="1:55">
      <c r="E37" s="30"/>
      <c r="Z37" s="279"/>
    </row>
    <row r="38" spans="1:55" ht="21">
      <c r="M38" s="98" t="s">
        <v>190</v>
      </c>
      <c r="N38" s="48"/>
      <c r="Z38" s="279"/>
      <c r="AP38" s="279"/>
      <c r="AQ38" s="279"/>
      <c r="AR38" s="279"/>
      <c r="AS38" s="279"/>
      <c r="AT38" s="279"/>
      <c r="AU38" s="279"/>
      <c r="AV38" s="279"/>
      <c r="AW38" s="279"/>
      <c r="AX38" s="279"/>
      <c r="AY38" s="279"/>
      <c r="AZ38" s="279"/>
      <c r="BA38" s="279"/>
      <c r="BB38" s="279"/>
    </row>
    <row r="39" spans="1:55" ht="21">
      <c r="A39" s="392" t="s">
        <v>6</v>
      </c>
      <c r="B39" s="392"/>
      <c r="C39" s="33">
        <v>0.31</v>
      </c>
      <c r="D39" s="15" t="s">
        <v>18</v>
      </c>
      <c r="E39" s="279"/>
      <c r="F39" s="279"/>
      <c r="G39" s="279"/>
      <c r="M39" s="282" t="s">
        <v>20</v>
      </c>
      <c r="N39" s="283"/>
      <c r="Y39" s="101" t="s">
        <v>192</v>
      </c>
      <c r="Z39" s="101"/>
      <c r="AA39" s="101"/>
      <c r="AP39" s="279"/>
      <c r="AQ39" s="279"/>
      <c r="AR39" s="279"/>
      <c r="AS39" s="279"/>
      <c r="AT39" s="279"/>
      <c r="AU39" s="279"/>
      <c r="AV39" s="279"/>
      <c r="AW39" s="279"/>
      <c r="AX39" s="279"/>
      <c r="AY39" s="279"/>
      <c r="AZ39" s="279"/>
      <c r="BA39" s="279"/>
      <c r="BB39" s="279"/>
    </row>
    <row r="40" spans="1:55">
      <c r="A40" s="392" t="s">
        <v>5</v>
      </c>
      <c r="B40" s="392"/>
      <c r="C40" s="33">
        <v>0.5</v>
      </c>
      <c r="D40" s="15" t="s">
        <v>18</v>
      </c>
      <c r="E40" s="279"/>
      <c r="F40" s="279"/>
      <c r="G40" s="279"/>
      <c r="S40" s="279"/>
      <c r="V40" s="279"/>
      <c r="X40" s="403" t="s">
        <v>23</v>
      </c>
      <c r="Y40" s="404"/>
      <c r="Z40" s="404"/>
      <c r="AA40" s="405"/>
      <c r="AB40" s="279"/>
      <c r="AK40" s="279"/>
      <c r="AP40" s="279"/>
      <c r="AQ40" s="279"/>
      <c r="AR40" s="279"/>
      <c r="AS40" s="279"/>
      <c r="AT40" s="279"/>
      <c r="AU40" s="279"/>
      <c r="AV40" s="279"/>
      <c r="AW40" s="279"/>
      <c r="AX40" s="279"/>
      <c r="AY40" s="279"/>
      <c r="AZ40" s="279"/>
      <c r="BA40" s="279"/>
      <c r="BB40" s="279"/>
    </row>
    <row r="41" spans="1:55">
      <c r="A41" s="400" t="s">
        <v>17</v>
      </c>
      <c r="B41" s="401"/>
      <c r="C41" s="91">
        <f>SUM(C39:C40)</f>
        <v>0.81</v>
      </c>
      <c r="D41" s="23" t="s">
        <v>18</v>
      </c>
      <c r="E41" s="279"/>
      <c r="F41" s="279"/>
      <c r="G41" s="279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13.62</v>
      </c>
      <c r="R41" s="279" t="s">
        <v>18</v>
      </c>
      <c r="S41" s="279"/>
      <c r="Z41" s="279"/>
      <c r="AK41" s="279"/>
      <c r="AP41" s="279"/>
      <c r="AQ41" s="279"/>
      <c r="AR41" s="279"/>
      <c r="AS41" s="279"/>
      <c r="AT41" s="279"/>
      <c r="AU41" s="279"/>
      <c r="AV41" s="279"/>
      <c r="AW41" s="279"/>
      <c r="AX41" s="279"/>
      <c r="AY41" s="279"/>
      <c r="AZ41" s="279"/>
      <c r="BA41" s="279"/>
      <c r="BB41" s="279"/>
    </row>
    <row r="42" spans="1:55">
      <c r="C42" s="279"/>
      <c r="D42" s="279"/>
      <c r="E42" s="279"/>
      <c r="F42" s="279"/>
      <c r="G42" s="279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58.22/100</f>
        <v>0.58219999999999994</v>
      </c>
      <c r="R42" s="279" t="s">
        <v>33</v>
      </c>
      <c r="S42" s="279"/>
      <c r="AE42" s="279"/>
      <c r="AF42" s="279"/>
      <c r="AG42" s="279"/>
      <c r="AH42" s="279"/>
      <c r="AI42" s="279"/>
      <c r="AJ42" s="279"/>
      <c r="AK42" s="279"/>
      <c r="AL42" s="279"/>
      <c r="AP42" s="279"/>
      <c r="AQ42" s="279"/>
      <c r="AR42" s="279"/>
      <c r="AS42" s="279"/>
      <c r="AT42" s="279"/>
      <c r="AU42" s="279"/>
      <c r="AV42" s="279"/>
      <c r="AW42" s="279"/>
      <c r="AX42" s="279"/>
      <c r="AY42" s="279"/>
      <c r="AZ42" s="279"/>
      <c r="BA42" s="279"/>
      <c r="BB42" s="279"/>
    </row>
    <row r="43" spans="1:55">
      <c r="A43" s="36" t="s">
        <v>44</v>
      </c>
      <c r="B43" s="33">
        <v>0.62</v>
      </c>
      <c r="C43" s="279" t="s">
        <v>18</v>
      </c>
      <c r="D43" s="279"/>
      <c r="E43" s="279"/>
      <c r="F43" s="279"/>
      <c r="G43" s="279"/>
      <c r="H43" s="281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7.9295639999999992</v>
      </c>
      <c r="R43" s="279" t="s">
        <v>18</v>
      </c>
      <c r="S43" s="279"/>
      <c r="U43" s="35" t="s">
        <v>53</v>
      </c>
      <c r="V43" s="33"/>
      <c r="W43" s="279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1.08</v>
      </c>
      <c r="AD43" s="279" t="s">
        <v>18</v>
      </c>
      <c r="AF43" s="279"/>
      <c r="AG43" s="279"/>
      <c r="AH43" s="279"/>
      <c r="AI43" s="279"/>
      <c r="AJ43" s="279"/>
      <c r="AK43" s="279"/>
      <c r="AL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</row>
    <row r="44" spans="1:55">
      <c r="A44" s="92" t="s">
        <v>17</v>
      </c>
      <c r="B44" s="90">
        <f>SUM(B43)</f>
        <v>0.62</v>
      </c>
      <c r="C44" s="279" t="s">
        <v>18</v>
      </c>
      <c r="D44" s="279"/>
      <c r="E44" s="279"/>
      <c r="M44" s="67" t="s">
        <v>30</v>
      </c>
      <c r="N44" s="37">
        <f>Q42*N43</f>
        <v>0</v>
      </c>
      <c r="O44" s="15" t="s">
        <v>18</v>
      </c>
      <c r="U44" s="279"/>
      <c r="V44" s="279"/>
      <c r="W44" s="279"/>
      <c r="X44" s="105" t="s">
        <v>4</v>
      </c>
      <c r="Y44" s="106"/>
      <c r="Z44" s="34"/>
      <c r="AA44" s="15" t="s">
        <v>18</v>
      </c>
      <c r="AB44" s="36" t="s">
        <v>27</v>
      </c>
      <c r="AC44" s="34">
        <f>32.71/100</f>
        <v>0.3271</v>
      </c>
      <c r="AD44" s="279" t="s">
        <v>33</v>
      </c>
      <c r="AL44" s="279"/>
      <c r="AP44" s="279"/>
      <c r="AQ44" s="279"/>
      <c r="AR44" s="279"/>
      <c r="AS44" s="279"/>
      <c r="AT44" s="279"/>
      <c r="AU44" s="279"/>
      <c r="AV44" s="279"/>
      <c r="AW44" s="279"/>
      <c r="AX44" s="279"/>
      <c r="AY44" s="279"/>
      <c r="AZ44" s="279"/>
      <c r="BA44" s="279"/>
      <c r="BB44" s="279"/>
    </row>
    <row r="45" spans="1:55">
      <c r="C45" s="279"/>
      <c r="D45" s="279"/>
      <c r="E45" s="279"/>
      <c r="U45" s="279"/>
      <c r="V45" s="279"/>
      <c r="W45" s="279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0.35326800000000003</v>
      </c>
      <c r="AD45" s="279" t="s">
        <v>18</v>
      </c>
      <c r="AL45" s="279"/>
      <c r="AP45" s="279"/>
      <c r="AQ45" s="279"/>
      <c r="AR45" s="279"/>
      <c r="AS45" s="279"/>
      <c r="AT45" s="279"/>
      <c r="AU45" s="279"/>
      <c r="AV45" s="279"/>
      <c r="AW45" s="279"/>
      <c r="AX45" s="279"/>
      <c r="AY45" s="279"/>
      <c r="AZ45" s="279"/>
      <c r="BA45" s="279"/>
      <c r="BB45" s="279"/>
      <c r="BC45" s="279"/>
    </row>
    <row r="46" spans="1:55">
      <c r="A46" s="15" t="s">
        <v>66</v>
      </c>
      <c r="B46" s="15">
        <f>B43/D22</f>
        <v>0.5904888380631248</v>
      </c>
      <c r="C46" s="279" t="s">
        <v>62</v>
      </c>
      <c r="D46" s="279"/>
      <c r="E46" s="279"/>
      <c r="P46" s="31">
        <f>Q41+N43</f>
        <v>13.62</v>
      </c>
      <c r="Q46" s="15">
        <f>Q43+N44</f>
        <v>7.9295639999999992</v>
      </c>
      <c r="X46" s="285" t="s">
        <v>30</v>
      </c>
      <c r="Y46" s="286"/>
      <c r="Z46" s="104">
        <f>AC44*Z45</f>
        <v>0</v>
      </c>
      <c r="AA46" s="15" t="s">
        <v>18</v>
      </c>
      <c r="AF46" s="279"/>
      <c r="AP46" s="279"/>
      <c r="AQ46" s="279"/>
      <c r="AR46" s="279"/>
      <c r="AS46" s="279"/>
      <c r="AT46" s="279"/>
      <c r="AU46" s="279"/>
      <c r="AV46" s="279"/>
      <c r="AW46" s="279"/>
      <c r="AX46" s="279"/>
      <c r="AY46" s="279"/>
      <c r="AZ46" s="279"/>
      <c r="BA46" s="279"/>
      <c r="BB46" s="279"/>
      <c r="BC46" s="279"/>
    </row>
    <row r="47" spans="1:55">
      <c r="A47" s="15" t="s">
        <v>65</v>
      </c>
      <c r="B47" s="15">
        <f>C41/D22</f>
        <v>0.77144509488892121</v>
      </c>
      <c r="C47" s="15" t="s">
        <v>62</v>
      </c>
      <c r="AP47" s="279"/>
      <c r="AQ47" s="279"/>
      <c r="AR47" s="279"/>
      <c r="AS47" s="279"/>
      <c r="AT47" s="279"/>
      <c r="AU47" s="279"/>
      <c r="AV47" s="279"/>
      <c r="AW47" s="279"/>
      <c r="AX47" s="279"/>
      <c r="AY47" s="279"/>
      <c r="AZ47" s="279"/>
      <c r="BA47" s="279"/>
      <c r="BB47" s="279"/>
      <c r="BC47" s="279"/>
    </row>
    <row r="48" spans="1:55">
      <c r="A48" s="15" t="s">
        <v>67</v>
      </c>
      <c r="B48" s="15">
        <f>G19*(B46+B47)/1000</f>
        <v>0.12988134748537447</v>
      </c>
      <c r="C48" s="15" t="s">
        <v>18</v>
      </c>
      <c r="E48" s="160"/>
      <c r="AP48" s="279"/>
      <c r="AQ48" s="279"/>
      <c r="AR48" s="279"/>
      <c r="AS48" s="279"/>
      <c r="AT48" s="279"/>
      <c r="AU48" s="279"/>
      <c r="AV48" s="279"/>
      <c r="AW48" s="279"/>
      <c r="AX48" s="279"/>
      <c r="AY48" s="279"/>
      <c r="AZ48" s="279"/>
      <c r="BA48" s="279"/>
      <c r="BB48" s="279"/>
    </row>
    <row r="49" spans="1:59">
      <c r="A49" s="15" t="s">
        <v>64</v>
      </c>
      <c r="B49" s="74">
        <f>B21-B48</f>
        <v>9.8701186525146252</v>
      </c>
      <c r="C49" s="15" t="s">
        <v>18</v>
      </c>
      <c r="AC49" s="31">
        <f>AC43+Z45</f>
        <v>1.08</v>
      </c>
      <c r="AD49" s="15">
        <f>AC45+Z46</f>
        <v>0.35326800000000003</v>
      </c>
      <c r="AP49" s="279"/>
      <c r="AQ49" s="279"/>
      <c r="AR49" s="279"/>
      <c r="AS49" s="279"/>
      <c r="AT49" s="279"/>
      <c r="AU49" s="279"/>
      <c r="AV49" s="379"/>
      <c r="AW49" s="379"/>
      <c r="AX49" s="379"/>
      <c r="AY49" s="379"/>
      <c r="AZ49" s="379"/>
      <c r="BA49" s="279"/>
      <c r="BB49" s="279"/>
    </row>
    <row r="50" spans="1:59">
      <c r="R50" s="279"/>
      <c r="S50" s="15" t="s">
        <v>27</v>
      </c>
      <c r="U50" s="15" t="s">
        <v>40</v>
      </c>
      <c r="W50" s="15" t="s">
        <v>98</v>
      </c>
      <c r="X50" s="74">
        <f>B49</f>
        <v>9.8701186525146252</v>
      </c>
      <c r="Y50" s="15" t="s">
        <v>18</v>
      </c>
      <c r="AP50" s="279"/>
      <c r="AQ50" s="279"/>
      <c r="AR50" s="279"/>
      <c r="AS50" s="279"/>
      <c r="AT50" s="279"/>
      <c r="AU50" s="279"/>
      <c r="AV50" s="279"/>
      <c r="AW50" s="279"/>
      <c r="AX50" s="279"/>
      <c r="AY50" s="279"/>
      <c r="AZ50" s="279"/>
      <c r="BA50" s="279"/>
      <c r="BB50" s="279"/>
    </row>
    <row r="51" spans="1:59">
      <c r="Q51" s="279"/>
      <c r="R51" s="279"/>
      <c r="S51" s="15" t="s">
        <v>34</v>
      </c>
      <c r="T51" s="15">
        <f>AC24+Z25</f>
        <v>4.9085999999999998E-2</v>
      </c>
      <c r="U51" s="76">
        <f>T51/X50</f>
        <v>4.9731924942456778E-3</v>
      </c>
      <c r="AP51" s="279"/>
      <c r="AQ51" s="279"/>
      <c r="AR51" s="279"/>
      <c r="AS51" s="279"/>
      <c r="AT51" s="279"/>
      <c r="AU51" s="279"/>
      <c r="AV51" s="279"/>
      <c r="AW51" s="279"/>
      <c r="AX51" s="279"/>
      <c r="AY51" s="279"/>
      <c r="AZ51" s="279"/>
      <c r="BA51" s="279"/>
      <c r="BB51" s="279"/>
    </row>
    <row r="52" spans="1:59">
      <c r="S52" s="15" t="s">
        <v>35</v>
      </c>
      <c r="T52" s="15">
        <f>AC45+Z46</f>
        <v>0.35326800000000003</v>
      </c>
      <c r="U52" s="76">
        <f>T52/X50</f>
        <v>3.5791666993790133E-2</v>
      </c>
      <c r="AP52" s="279"/>
      <c r="AQ52" s="279"/>
      <c r="AR52" s="279"/>
      <c r="AS52" s="279"/>
      <c r="AT52" s="279"/>
      <c r="AU52" s="279"/>
      <c r="AV52" s="279"/>
      <c r="AW52" s="279"/>
      <c r="AX52" s="279"/>
      <c r="AY52" s="279"/>
      <c r="AZ52" s="279"/>
      <c r="BA52" s="279"/>
      <c r="BB52" s="279"/>
    </row>
    <row r="53" spans="1:59">
      <c r="D53" s="279"/>
      <c r="E53" s="279"/>
      <c r="F53" s="279"/>
      <c r="G53" s="279"/>
      <c r="H53" s="279"/>
      <c r="I53" s="279"/>
      <c r="J53" s="279"/>
      <c r="K53" s="279"/>
      <c r="L53" s="279"/>
      <c r="M53" s="279"/>
      <c r="N53" s="279"/>
      <c r="O53" s="279"/>
      <c r="P53" s="279"/>
      <c r="Q53" s="279"/>
      <c r="R53" s="279"/>
      <c r="S53" s="15" t="s">
        <v>36</v>
      </c>
      <c r="T53" s="279">
        <f>Q43+N44</f>
        <v>7.9295639999999992</v>
      </c>
      <c r="U53" s="287">
        <f>T53/X50</f>
        <v>0.80339094991322846</v>
      </c>
      <c r="V53" s="279"/>
      <c r="W53" s="279"/>
      <c r="AN53" s="279"/>
      <c r="AO53" s="279"/>
      <c r="AP53" s="279"/>
      <c r="AQ53" s="279"/>
      <c r="AR53" s="279"/>
      <c r="AS53" s="279"/>
      <c r="AT53" s="279"/>
      <c r="AU53" s="279"/>
      <c r="AV53" s="279"/>
      <c r="AW53" s="279"/>
      <c r="AX53" s="279"/>
      <c r="AY53" s="279"/>
      <c r="AZ53" s="279"/>
      <c r="BA53" s="279"/>
      <c r="BB53" s="279"/>
      <c r="BC53" s="279"/>
      <c r="BD53" s="279"/>
      <c r="BE53" s="279"/>
      <c r="BF53" s="279"/>
      <c r="BG53" s="279"/>
    </row>
    <row r="54" spans="1:59">
      <c r="D54" s="379"/>
      <c r="E54" s="379"/>
      <c r="F54" s="379"/>
      <c r="G54" s="379"/>
      <c r="H54" s="279"/>
      <c r="I54" s="279"/>
      <c r="J54" s="279"/>
      <c r="K54" s="279"/>
      <c r="L54" s="279"/>
      <c r="M54" s="279"/>
      <c r="N54" s="279"/>
      <c r="O54" s="279"/>
      <c r="P54" s="279"/>
      <c r="Q54" s="279"/>
      <c r="R54" s="279"/>
      <c r="S54" s="15" t="s">
        <v>17</v>
      </c>
      <c r="T54" s="279">
        <f>SUM(T51:T53)</f>
        <v>8.3319179999999999</v>
      </c>
      <c r="U54" s="287">
        <f>SUM(U51:U53)</f>
        <v>0.84415580940126422</v>
      </c>
      <c r="V54" s="279"/>
      <c r="W54" s="279"/>
      <c r="X54" s="279"/>
      <c r="Y54" s="279"/>
      <c r="Z54" s="279"/>
      <c r="AN54" s="279"/>
      <c r="AO54" s="279"/>
      <c r="AP54" s="279"/>
      <c r="AQ54" s="279"/>
      <c r="AR54" s="279"/>
      <c r="AS54" s="279"/>
      <c r="AT54" s="279"/>
      <c r="AU54" s="279"/>
      <c r="AV54" s="279"/>
      <c r="AW54" s="279"/>
      <c r="AX54" s="279"/>
      <c r="AY54" s="279"/>
      <c r="AZ54" s="279"/>
      <c r="BA54" s="279"/>
      <c r="BB54" s="279"/>
      <c r="BC54" s="279"/>
      <c r="BD54" s="279"/>
      <c r="BE54" s="279"/>
      <c r="BF54" s="279"/>
      <c r="BG54" s="279"/>
    </row>
    <row r="55" spans="1:59">
      <c r="D55" s="279"/>
      <c r="E55" s="279"/>
      <c r="F55" s="279"/>
      <c r="G55" s="279"/>
      <c r="H55" s="279"/>
      <c r="I55" s="279"/>
      <c r="J55" s="279"/>
      <c r="K55" s="279"/>
      <c r="L55" s="279"/>
      <c r="M55" s="279"/>
      <c r="N55" s="279"/>
      <c r="O55" s="279"/>
      <c r="P55" s="279"/>
      <c r="Q55" s="279"/>
      <c r="R55" s="279"/>
      <c r="S55" s="15" t="s">
        <v>37</v>
      </c>
      <c r="T55" s="145">
        <f>X50-T54</f>
        <v>1.5382006525146252</v>
      </c>
      <c r="U55" s="287">
        <f>T55/X50</f>
        <v>0.15584419059873567</v>
      </c>
      <c r="V55" s="279"/>
      <c r="W55" s="279"/>
      <c r="X55" s="279"/>
      <c r="Y55" s="279"/>
      <c r="Z55" s="279"/>
      <c r="AN55" s="279"/>
      <c r="AO55" s="279"/>
      <c r="AP55" s="279"/>
      <c r="AQ55" s="279"/>
      <c r="AR55" s="279"/>
      <c r="AS55" s="279"/>
      <c r="AT55" s="279"/>
      <c r="AU55" s="279"/>
      <c r="AV55" s="279"/>
      <c r="AW55" s="279"/>
      <c r="AX55" s="279"/>
      <c r="AY55" s="279"/>
      <c r="AZ55" s="279"/>
      <c r="BA55" s="279"/>
      <c r="BB55" s="279"/>
      <c r="BC55" s="279"/>
      <c r="BD55" s="279"/>
      <c r="BE55" s="279"/>
      <c r="BF55" s="279"/>
      <c r="BG55" s="279"/>
    </row>
    <row r="56" spans="1:59">
      <c r="D56" s="279"/>
      <c r="E56" s="279"/>
      <c r="F56" s="279"/>
      <c r="G56" s="279"/>
      <c r="H56" s="279"/>
      <c r="I56" s="279"/>
      <c r="J56" s="279"/>
      <c r="K56" s="279"/>
      <c r="L56" s="279"/>
      <c r="M56" s="279"/>
      <c r="N56" s="279"/>
      <c r="O56" s="279"/>
      <c r="P56" s="279"/>
      <c r="Q56" s="279"/>
      <c r="R56" s="279"/>
      <c r="T56" s="279"/>
      <c r="U56" s="279"/>
      <c r="V56" s="279"/>
      <c r="W56" s="279"/>
      <c r="X56" s="279"/>
      <c r="Y56" s="279"/>
      <c r="Z56" s="279"/>
      <c r="AN56" s="279"/>
      <c r="AO56" s="279"/>
      <c r="AP56" s="279"/>
      <c r="AQ56" s="279"/>
      <c r="AR56" s="279"/>
      <c r="AS56" s="279"/>
      <c r="AT56" s="279"/>
      <c r="AU56" s="279"/>
      <c r="AV56" s="279"/>
      <c r="AW56" s="279"/>
      <c r="AX56" s="279"/>
      <c r="AY56" s="279"/>
      <c r="AZ56" s="279"/>
      <c r="BA56" s="279"/>
      <c r="BB56" s="279"/>
      <c r="BC56" s="279"/>
      <c r="BD56" s="279"/>
      <c r="BE56" s="279"/>
      <c r="BF56" s="279"/>
      <c r="BG56" s="279"/>
    </row>
    <row r="57" spans="1:59">
      <c r="D57" s="279"/>
      <c r="E57" s="279"/>
      <c r="F57" s="279"/>
      <c r="G57" s="279"/>
      <c r="H57" s="279"/>
      <c r="I57" s="279"/>
      <c r="J57" s="279"/>
      <c r="K57" s="279"/>
      <c r="L57" s="279"/>
      <c r="M57" s="279"/>
      <c r="N57" s="279"/>
      <c r="O57" s="279"/>
      <c r="P57" s="279"/>
      <c r="Q57" s="279"/>
      <c r="R57" s="279"/>
      <c r="W57" s="279"/>
      <c r="X57" s="279"/>
      <c r="Y57" s="279"/>
      <c r="Z57" s="279"/>
      <c r="AN57" s="279"/>
      <c r="AO57" s="279"/>
      <c r="AP57" s="279"/>
      <c r="AQ57" s="279"/>
      <c r="AR57" s="279"/>
      <c r="AS57" s="279"/>
      <c r="AT57" s="279"/>
      <c r="AU57" s="279"/>
      <c r="AV57" s="279"/>
      <c r="AW57" s="279"/>
      <c r="AX57" s="279"/>
      <c r="AY57" s="279"/>
      <c r="AZ57" s="279"/>
      <c r="BA57" s="279"/>
      <c r="BB57" s="279"/>
      <c r="BC57" s="279"/>
      <c r="BD57" s="279"/>
      <c r="BE57" s="279"/>
      <c r="BF57" s="279"/>
      <c r="BG57" s="279"/>
    </row>
    <row r="58" spans="1:59">
      <c r="D58" s="279"/>
      <c r="E58" s="279"/>
      <c r="F58" s="279"/>
      <c r="G58" s="279"/>
      <c r="H58" s="279"/>
      <c r="I58" s="279"/>
      <c r="J58" s="279"/>
      <c r="K58" s="279"/>
      <c r="L58" s="279"/>
      <c r="M58" s="279"/>
      <c r="N58" s="279"/>
      <c r="O58" s="279"/>
      <c r="P58" s="279"/>
      <c r="Q58" s="279"/>
      <c r="R58" s="279"/>
      <c r="S58" s="279"/>
      <c r="T58" s="279"/>
      <c r="U58" s="279"/>
      <c r="V58" s="279"/>
      <c r="W58" s="279"/>
      <c r="X58" s="279"/>
      <c r="Y58" s="279"/>
      <c r="Z58" s="279"/>
      <c r="AA58" s="279"/>
      <c r="AB58" s="279"/>
      <c r="AC58" s="279"/>
      <c r="AD58" s="279"/>
      <c r="AE58" s="279"/>
      <c r="AF58" s="279"/>
      <c r="AG58" s="279"/>
      <c r="AH58" s="279"/>
      <c r="AI58" s="279"/>
      <c r="AJ58" s="279"/>
      <c r="AK58" s="279"/>
      <c r="AL58" s="279"/>
      <c r="AM58" s="279"/>
      <c r="AN58" s="279"/>
      <c r="AO58" s="279"/>
      <c r="AP58" s="279"/>
      <c r="AQ58" s="279"/>
      <c r="AR58" s="279"/>
      <c r="AS58" s="279"/>
      <c r="AT58" s="279"/>
      <c r="AU58" s="279"/>
      <c r="AV58" s="279"/>
      <c r="AW58" s="279"/>
      <c r="AX58" s="279"/>
      <c r="AY58" s="279"/>
      <c r="AZ58" s="279"/>
      <c r="BA58" s="279"/>
      <c r="BB58" s="279"/>
      <c r="BC58" s="279"/>
      <c r="BD58" s="279"/>
      <c r="BE58" s="279"/>
      <c r="BF58" s="279"/>
      <c r="BG58" s="279"/>
    </row>
    <row r="59" spans="1:59">
      <c r="D59" s="279"/>
      <c r="E59" s="279"/>
      <c r="F59" s="279"/>
      <c r="G59" s="279"/>
      <c r="H59" s="279"/>
      <c r="I59" s="279"/>
      <c r="J59" s="279"/>
      <c r="K59" s="279"/>
      <c r="L59" s="279"/>
      <c r="M59" s="279"/>
      <c r="N59" s="279"/>
      <c r="O59" s="279"/>
      <c r="P59" s="279"/>
      <c r="Q59" s="279"/>
      <c r="R59" s="279"/>
      <c r="S59" s="279"/>
      <c r="T59" s="279"/>
      <c r="U59" s="279"/>
      <c r="V59" s="279"/>
      <c r="W59" s="279"/>
      <c r="X59" s="279"/>
      <c r="Y59" s="279"/>
      <c r="Z59" s="279"/>
      <c r="AA59" s="279"/>
      <c r="AB59" s="279"/>
      <c r="AC59" s="279"/>
      <c r="AD59" s="279"/>
      <c r="AE59" s="279"/>
      <c r="AF59" s="279"/>
      <c r="AG59" s="279"/>
      <c r="AH59" s="279"/>
      <c r="AI59" s="279"/>
      <c r="AJ59" s="279"/>
      <c r="AK59" s="279"/>
      <c r="AL59" s="279"/>
      <c r="AM59" s="279"/>
      <c r="AN59" s="279"/>
      <c r="AO59" s="279"/>
      <c r="AP59" s="279"/>
      <c r="AQ59" s="279"/>
      <c r="AR59" s="279"/>
      <c r="AS59" s="279"/>
      <c r="AT59" s="279"/>
      <c r="AU59" s="279"/>
      <c r="AV59" s="279"/>
      <c r="AW59" s="279"/>
      <c r="AX59" s="279"/>
      <c r="AY59" s="279"/>
      <c r="AZ59" s="279"/>
      <c r="BA59" s="279"/>
      <c r="BB59" s="279"/>
      <c r="BC59" s="279"/>
      <c r="BD59" s="279"/>
      <c r="BE59" s="279"/>
      <c r="BF59" s="279"/>
      <c r="BG59" s="279"/>
    </row>
    <row r="60" spans="1:59">
      <c r="D60" s="279"/>
      <c r="E60" s="279"/>
      <c r="F60" s="279"/>
      <c r="G60" s="279"/>
      <c r="H60" s="279"/>
      <c r="I60" s="279"/>
      <c r="J60" s="279"/>
      <c r="K60" s="279"/>
      <c r="L60" s="279"/>
      <c r="M60" s="279"/>
      <c r="N60" s="279"/>
      <c r="O60" s="279"/>
      <c r="P60" s="279"/>
      <c r="Q60" s="279"/>
      <c r="R60" s="279"/>
      <c r="S60" s="279"/>
      <c r="T60" s="279"/>
      <c r="U60" s="279"/>
      <c r="V60" s="279"/>
      <c r="W60" s="279"/>
      <c r="X60" s="279"/>
      <c r="Y60" s="279"/>
      <c r="Z60" s="279"/>
      <c r="AA60" s="279"/>
      <c r="AB60" s="279"/>
      <c r="AC60" s="279"/>
      <c r="AD60" s="279"/>
      <c r="AE60" s="279"/>
      <c r="AF60" s="279"/>
      <c r="AG60" s="279"/>
      <c r="AH60" s="279"/>
      <c r="AI60" s="279"/>
      <c r="AJ60" s="279"/>
      <c r="AK60" s="279"/>
      <c r="AL60" s="279"/>
      <c r="AM60" s="279"/>
      <c r="AN60" s="279"/>
      <c r="AO60" s="279"/>
      <c r="AP60" s="279"/>
      <c r="AQ60" s="279"/>
      <c r="AR60" s="279"/>
      <c r="AS60" s="279"/>
      <c r="AT60" s="279"/>
      <c r="AU60" s="279"/>
      <c r="AV60" s="279"/>
      <c r="AW60" s="279"/>
      <c r="AX60" s="279"/>
      <c r="AY60" s="279"/>
      <c r="AZ60" s="279"/>
      <c r="BA60" s="279"/>
      <c r="BB60" s="279"/>
      <c r="BC60" s="279"/>
      <c r="BD60" s="279"/>
      <c r="BE60" s="279"/>
      <c r="BF60" s="279"/>
      <c r="BG60" s="279"/>
    </row>
    <row r="61" spans="1:59"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79"/>
      <c r="R61" s="279"/>
      <c r="S61" s="279"/>
      <c r="T61" s="279"/>
      <c r="U61" s="279"/>
      <c r="V61" s="279"/>
      <c r="W61" s="279"/>
      <c r="X61" s="279"/>
      <c r="Y61" s="279"/>
      <c r="Z61" s="279"/>
      <c r="AA61" s="279"/>
      <c r="AB61" s="279"/>
      <c r="AC61" s="279"/>
      <c r="AD61" s="279"/>
      <c r="AE61" s="279"/>
      <c r="AF61" s="279"/>
      <c r="AG61" s="279"/>
      <c r="AH61" s="279"/>
      <c r="AI61" s="279"/>
      <c r="AJ61" s="279"/>
      <c r="AK61" s="279"/>
      <c r="AL61" s="279"/>
      <c r="AM61" s="279"/>
      <c r="AN61" s="279"/>
      <c r="AO61" s="279"/>
      <c r="AP61" s="279"/>
      <c r="AQ61" s="279"/>
      <c r="AR61" s="279"/>
      <c r="AS61" s="279"/>
      <c r="AT61" s="279"/>
      <c r="AU61" s="279"/>
      <c r="AV61" s="279"/>
      <c r="AW61" s="279"/>
      <c r="AX61" s="279"/>
      <c r="AY61" s="279"/>
      <c r="AZ61" s="279"/>
      <c r="BA61" s="279"/>
      <c r="BB61" s="279"/>
      <c r="BC61" s="279"/>
      <c r="BD61" s="279"/>
      <c r="BE61" s="279"/>
      <c r="BF61" s="279"/>
      <c r="BG61" s="279"/>
    </row>
    <row r="62" spans="1:59"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  <c r="AA62" s="279"/>
      <c r="AB62" s="279"/>
      <c r="AC62" s="279"/>
      <c r="AD62" s="279"/>
      <c r="AE62" s="279"/>
      <c r="AF62" s="279"/>
      <c r="AG62" s="279"/>
      <c r="AH62" s="279"/>
      <c r="AI62" s="279"/>
      <c r="AJ62" s="279"/>
      <c r="AK62" s="279"/>
      <c r="AL62" s="279"/>
      <c r="AM62" s="279"/>
      <c r="AN62" s="279"/>
      <c r="AO62" s="279"/>
      <c r="AP62" s="279"/>
      <c r="AQ62" s="279"/>
      <c r="AR62" s="279"/>
      <c r="AS62" s="279"/>
      <c r="AT62" s="279"/>
      <c r="AU62" s="279"/>
      <c r="AV62" s="279"/>
      <c r="AW62" s="279"/>
      <c r="AX62" s="279"/>
      <c r="AY62" s="279"/>
      <c r="AZ62" s="279"/>
      <c r="BA62" s="279"/>
      <c r="BB62" s="279"/>
      <c r="BC62" s="279"/>
      <c r="BD62" s="279"/>
      <c r="BE62" s="279"/>
      <c r="BF62" s="279"/>
      <c r="BG62" s="279"/>
    </row>
    <row r="63" spans="1:59">
      <c r="D63" s="279"/>
      <c r="E63" s="279"/>
      <c r="F63" s="279"/>
      <c r="G63" s="279"/>
      <c r="H63" s="279"/>
      <c r="I63" s="279"/>
      <c r="J63" s="279"/>
      <c r="K63" s="279"/>
      <c r="L63" s="279"/>
      <c r="M63" s="279"/>
      <c r="N63" s="279"/>
      <c r="O63" s="279"/>
      <c r="P63" s="279"/>
      <c r="Q63" s="279"/>
      <c r="R63" s="279"/>
      <c r="S63" s="279"/>
      <c r="T63" s="279"/>
      <c r="U63" s="279"/>
      <c r="V63" s="279"/>
      <c r="W63" s="279"/>
      <c r="X63" s="279"/>
      <c r="Y63" s="279"/>
      <c r="Z63" s="279"/>
      <c r="AA63" s="279"/>
      <c r="AB63" s="279"/>
      <c r="AC63" s="279"/>
      <c r="AD63" s="279"/>
      <c r="AE63" s="279"/>
      <c r="AF63" s="279"/>
      <c r="AG63" s="279"/>
      <c r="AH63" s="279"/>
      <c r="AI63" s="279"/>
      <c r="AJ63" s="279"/>
      <c r="AK63" s="279"/>
      <c r="AL63" s="279"/>
      <c r="AM63" s="279"/>
      <c r="AN63" s="279"/>
      <c r="AO63" s="279"/>
      <c r="AP63" s="279"/>
      <c r="AQ63" s="279"/>
      <c r="AR63" s="279"/>
      <c r="AS63" s="279"/>
      <c r="AT63" s="279"/>
      <c r="AU63" s="279"/>
      <c r="AV63" s="279"/>
      <c r="AW63" s="279"/>
      <c r="AX63" s="279"/>
      <c r="AY63" s="279"/>
      <c r="AZ63" s="279"/>
      <c r="BA63" s="279"/>
      <c r="BB63" s="279"/>
      <c r="BC63" s="279"/>
      <c r="BD63" s="279"/>
      <c r="BE63" s="279"/>
      <c r="BF63" s="279"/>
      <c r="BG63" s="279"/>
    </row>
    <row r="64" spans="1:59">
      <c r="D64" s="279"/>
      <c r="E64" s="279"/>
      <c r="F64" s="279"/>
      <c r="G64" s="279"/>
      <c r="H64" s="279"/>
      <c r="I64" s="279"/>
      <c r="J64" s="279"/>
      <c r="K64" s="279"/>
      <c r="L64" s="279"/>
      <c r="M64" s="279"/>
      <c r="N64" s="279"/>
      <c r="O64" s="279"/>
      <c r="P64" s="279"/>
      <c r="Q64" s="279"/>
      <c r="R64" s="279"/>
      <c r="S64" s="279"/>
      <c r="T64" s="279"/>
      <c r="U64" s="279"/>
      <c r="V64" s="279"/>
      <c r="W64" s="279"/>
      <c r="X64" s="279"/>
      <c r="Y64" s="279"/>
      <c r="Z64" s="279"/>
      <c r="AA64" s="279"/>
      <c r="AB64" s="279"/>
      <c r="AC64" s="279"/>
      <c r="AD64" s="279"/>
      <c r="AE64" s="279"/>
      <c r="AF64" s="279"/>
      <c r="AG64" s="279"/>
      <c r="AH64" s="279"/>
      <c r="AI64" s="279"/>
      <c r="AJ64" s="279"/>
      <c r="AK64" s="279"/>
      <c r="AL64" s="279"/>
      <c r="AM64" s="279"/>
      <c r="AN64" s="279"/>
      <c r="AO64" s="279"/>
      <c r="AP64" s="279"/>
      <c r="AQ64" s="279"/>
      <c r="AR64" s="279"/>
      <c r="AS64" s="279"/>
      <c r="AT64" s="279"/>
      <c r="AU64" s="279"/>
      <c r="AV64" s="279"/>
      <c r="AW64" s="279"/>
      <c r="AX64" s="279"/>
      <c r="AY64" s="279"/>
      <c r="AZ64" s="279"/>
      <c r="BA64" s="279"/>
      <c r="BB64" s="279"/>
      <c r="BC64" s="279"/>
      <c r="BD64" s="279"/>
      <c r="BE64" s="279"/>
      <c r="BF64" s="279"/>
      <c r="BG64" s="279"/>
    </row>
    <row r="65" spans="4:59">
      <c r="D65" s="279"/>
      <c r="E65" s="279"/>
      <c r="F65" s="279"/>
      <c r="G65" s="279"/>
      <c r="H65" s="279"/>
      <c r="I65" s="279"/>
      <c r="J65" s="279"/>
      <c r="K65" s="279"/>
      <c r="L65" s="279"/>
      <c r="M65" s="279"/>
      <c r="N65" s="279"/>
      <c r="O65" s="279"/>
      <c r="P65" s="279"/>
      <c r="Q65" s="279"/>
      <c r="R65" s="279"/>
      <c r="S65" s="279"/>
      <c r="T65" s="279"/>
      <c r="U65" s="279"/>
      <c r="V65" s="279"/>
      <c r="W65" s="279"/>
      <c r="X65" s="279"/>
      <c r="Y65" s="279"/>
      <c r="Z65" s="279"/>
      <c r="AA65" s="279"/>
      <c r="AB65" s="279"/>
      <c r="AC65" s="279"/>
      <c r="AD65" s="279"/>
      <c r="AE65" s="279"/>
      <c r="AF65" s="279"/>
      <c r="AG65" s="279"/>
      <c r="AH65" s="279"/>
      <c r="AI65" s="279"/>
      <c r="AJ65" s="279"/>
      <c r="AK65" s="279"/>
      <c r="AL65" s="279"/>
      <c r="AM65" s="279"/>
      <c r="AN65" s="279"/>
      <c r="AO65" s="279"/>
      <c r="AP65" s="279"/>
      <c r="AQ65" s="279"/>
      <c r="AR65" s="279"/>
      <c r="AS65" s="279"/>
      <c r="AT65" s="279"/>
      <c r="AU65" s="279"/>
      <c r="AV65" s="279"/>
      <c r="AW65" s="279"/>
      <c r="AX65" s="279"/>
      <c r="AY65" s="279"/>
      <c r="AZ65" s="279"/>
      <c r="BA65" s="279"/>
      <c r="BB65" s="279"/>
      <c r="BC65" s="279"/>
      <c r="BD65" s="279"/>
      <c r="BE65" s="279"/>
      <c r="BF65" s="279"/>
      <c r="BG65" s="279"/>
    </row>
    <row r="66" spans="4:59">
      <c r="D66" s="279"/>
      <c r="E66" s="279"/>
      <c r="F66" s="279"/>
      <c r="G66" s="279"/>
      <c r="H66" s="279"/>
      <c r="I66" s="279"/>
      <c r="J66" s="279"/>
      <c r="K66" s="279"/>
      <c r="L66" s="279"/>
      <c r="M66" s="279"/>
      <c r="N66" s="279"/>
      <c r="O66" s="279"/>
      <c r="P66" s="279"/>
      <c r="Q66" s="279"/>
      <c r="R66" s="279"/>
      <c r="S66" s="279"/>
      <c r="T66" s="279"/>
      <c r="U66" s="279"/>
      <c r="V66" s="279"/>
      <c r="W66" s="279"/>
      <c r="X66" s="279"/>
      <c r="Y66" s="279"/>
      <c r="Z66" s="279"/>
      <c r="AA66" s="279"/>
      <c r="AB66" s="279"/>
      <c r="AC66" s="279"/>
      <c r="AD66" s="279"/>
      <c r="AE66" s="279"/>
      <c r="AF66" s="279"/>
      <c r="AG66" s="279"/>
      <c r="AH66" s="279"/>
      <c r="AI66" s="279"/>
      <c r="AJ66" s="279"/>
      <c r="AK66" s="279"/>
      <c r="AL66" s="279"/>
      <c r="AM66" s="279"/>
      <c r="AN66" s="279"/>
      <c r="AO66" s="279"/>
      <c r="AP66" s="279"/>
      <c r="AQ66" s="279"/>
      <c r="AR66" s="279"/>
      <c r="AS66" s="279"/>
      <c r="AT66" s="279"/>
      <c r="AU66" s="279"/>
      <c r="AV66" s="279"/>
      <c r="AW66" s="279"/>
      <c r="AX66" s="279"/>
      <c r="AY66" s="279"/>
      <c r="AZ66" s="279"/>
      <c r="BA66" s="279"/>
      <c r="BB66" s="279"/>
      <c r="BC66" s="279"/>
      <c r="BD66" s="279"/>
      <c r="BE66" s="279"/>
      <c r="BF66" s="279"/>
      <c r="BG66" s="279"/>
    </row>
    <row r="67" spans="4:59">
      <c r="D67" s="279"/>
      <c r="E67" s="279"/>
      <c r="F67" s="279"/>
      <c r="G67" s="279"/>
      <c r="H67" s="279"/>
      <c r="I67" s="279"/>
      <c r="J67" s="279"/>
      <c r="K67" s="279"/>
      <c r="L67" s="279"/>
      <c r="M67" s="279"/>
      <c r="N67" s="279"/>
      <c r="O67" s="279"/>
      <c r="P67" s="279"/>
      <c r="Q67" s="279"/>
      <c r="R67" s="279"/>
      <c r="S67" s="279"/>
      <c r="T67" s="279"/>
      <c r="U67" s="279"/>
      <c r="V67" s="279"/>
      <c r="W67" s="279"/>
      <c r="X67" s="279"/>
      <c r="Y67" s="279"/>
      <c r="Z67" s="279"/>
      <c r="AA67" s="279"/>
      <c r="AB67" s="279"/>
      <c r="AC67" s="279"/>
      <c r="AD67" s="279"/>
      <c r="AE67" s="279"/>
      <c r="AF67" s="279"/>
      <c r="AG67" s="279"/>
      <c r="AH67" s="279"/>
      <c r="AI67" s="279"/>
      <c r="AJ67" s="279"/>
      <c r="AK67" s="279"/>
      <c r="AL67" s="279"/>
      <c r="AM67" s="279"/>
      <c r="AN67" s="279"/>
      <c r="AO67" s="279"/>
      <c r="AP67" s="279"/>
      <c r="AQ67" s="279"/>
      <c r="AR67" s="279"/>
      <c r="AS67" s="279"/>
      <c r="AT67" s="279"/>
      <c r="AU67" s="279"/>
      <c r="AV67" s="279"/>
      <c r="AW67" s="279"/>
      <c r="AX67" s="279"/>
      <c r="AY67" s="279"/>
      <c r="AZ67" s="279"/>
      <c r="BA67" s="279"/>
      <c r="BB67" s="279"/>
      <c r="BC67" s="279"/>
      <c r="BD67" s="279"/>
      <c r="BE67" s="279"/>
      <c r="BF67" s="279"/>
      <c r="BG67" s="279"/>
    </row>
    <row r="68" spans="4:59">
      <c r="D68" s="279"/>
      <c r="E68" s="279"/>
      <c r="F68" s="279"/>
      <c r="G68" s="279"/>
      <c r="H68" s="279"/>
      <c r="I68" s="279"/>
      <c r="J68" s="279"/>
      <c r="K68" s="279"/>
      <c r="L68" s="279"/>
      <c r="M68" s="279"/>
      <c r="N68" s="279"/>
      <c r="O68" s="279"/>
      <c r="P68" s="279"/>
      <c r="Q68" s="279"/>
      <c r="R68" s="279"/>
      <c r="S68" s="279"/>
      <c r="T68" s="279"/>
      <c r="U68" s="279"/>
      <c r="V68" s="279"/>
      <c r="W68" s="279"/>
      <c r="X68" s="279"/>
      <c r="Y68" s="279"/>
      <c r="Z68" s="279"/>
      <c r="AA68" s="279"/>
      <c r="AB68" s="279"/>
      <c r="AC68" s="279"/>
      <c r="AD68" s="279"/>
      <c r="AE68" s="279"/>
      <c r="AF68" s="279"/>
      <c r="AG68" s="279"/>
      <c r="AH68" s="279"/>
      <c r="AI68" s="279"/>
      <c r="AJ68" s="279"/>
      <c r="AK68" s="279"/>
      <c r="AL68" s="279"/>
      <c r="AM68" s="279"/>
      <c r="AN68" s="279"/>
      <c r="AO68" s="279"/>
      <c r="AP68" s="279"/>
      <c r="AQ68" s="279"/>
      <c r="AR68" s="279"/>
      <c r="AS68" s="279"/>
      <c r="AT68" s="279"/>
      <c r="AU68" s="279"/>
      <c r="AV68" s="279"/>
      <c r="AW68" s="279"/>
      <c r="AX68" s="279"/>
      <c r="AY68" s="279"/>
      <c r="AZ68" s="279"/>
      <c r="BA68" s="279"/>
      <c r="BB68" s="279"/>
      <c r="BC68" s="279"/>
      <c r="BD68" s="279"/>
      <c r="BE68" s="279"/>
      <c r="BF68" s="279"/>
      <c r="BG68" s="279"/>
    </row>
    <row r="69" spans="4:59">
      <c r="D69" s="279"/>
      <c r="E69" s="279"/>
      <c r="F69" s="279"/>
      <c r="G69" s="279"/>
      <c r="H69" s="279"/>
      <c r="I69" s="279"/>
      <c r="J69" s="279"/>
      <c r="K69" s="279"/>
      <c r="L69" s="279"/>
      <c r="M69" s="279"/>
      <c r="N69" s="279"/>
      <c r="O69" s="279"/>
      <c r="P69" s="279"/>
      <c r="Q69" s="279"/>
      <c r="R69" s="279"/>
      <c r="S69" s="279"/>
      <c r="T69" s="279"/>
      <c r="U69" s="279"/>
      <c r="V69" s="279"/>
      <c r="W69" s="279"/>
      <c r="X69" s="279"/>
      <c r="Y69" s="279"/>
      <c r="Z69" s="279"/>
      <c r="AA69" s="279"/>
      <c r="AB69" s="279"/>
      <c r="AC69" s="279"/>
      <c r="AD69" s="279"/>
      <c r="AE69" s="279"/>
      <c r="AF69" s="279"/>
      <c r="AG69" s="279"/>
      <c r="AH69" s="279"/>
      <c r="AI69" s="279"/>
      <c r="AJ69" s="279"/>
      <c r="AK69" s="279"/>
      <c r="AL69" s="279"/>
      <c r="AM69" s="279"/>
      <c r="AN69" s="279"/>
      <c r="AO69" s="279"/>
      <c r="AP69" s="279"/>
      <c r="AQ69" s="279"/>
      <c r="AR69" s="279"/>
      <c r="AS69" s="279"/>
      <c r="AT69" s="279"/>
      <c r="AU69" s="279"/>
      <c r="AV69" s="279"/>
      <c r="AW69" s="279"/>
      <c r="AX69" s="279"/>
      <c r="AY69" s="279"/>
      <c r="AZ69" s="279"/>
      <c r="BA69" s="279"/>
      <c r="BB69" s="279"/>
      <c r="BC69" s="279"/>
      <c r="BD69" s="279"/>
      <c r="BE69" s="279"/>
      <c r="BF69" s="279"/>
      <c r="BG69" s="279"/>
    </row>
    <row r="70" spans="4:59">
      <c r="D70" s="279"/>
      <c r="E70" s="279"/>
      <c r="F70" s="279"/>
      <c r="G70" s="279"/>
      <c r="H70" s="279"/>
      <c r="I70" s="279"/>
      <c r="J70" s="279"/>
      <c r="K70" s="279"/>
      <c r="L70" s="279"/>
      <c r="M70" s="279"/>
      <c r="N70" s="279"/>
      <c r="O70" s="279"/>
      <c r="P70" s="279"/>
      <c r="Q70" s="279"/>
      <c r="R70" s="279"/>
      <c r="S70" s="279"/>
      <c r="T70" s="279"/>
      <c r="U70" s="279"/>
      <c r="V70" s="279"/>
      <c r="W70" s="279"/>
      <c r="X70" s="279"/>
      <c r="Y70" s="279"/>
      <c r="Z70" s="279"/>
      <c r="AA70" s="279"/>
      <c r="AB70" s="279"/>
      <c r="AC70" s="279"/>
      <c r="AD70" s="279"/>
      <c r="AE70" s="279"/>
      <c r="AF70" s="279"/>
      <c r="AG70" s="279"/>
      <c r="AH70" s="279"/>
      <c r="AI70" s="279"/>
      <c r="AJ70" s="279"/>
      <c r="AK70" s="279"/>
      <c r="AL70" s="279"/>
      <c r="AM70" s="279"/>
      <c r="AN70" s="279"/>
      <c r="AO70" s="279"/>
      <c r="AP70" s="279"/>
      <c r="AQ70" s="279"/>
      <c r="AR70" s="279"/>
      <c r="AS70" s="279"/>
      <c r="AT70" s="279"/>
      <c r="AU70" s="279"/>
      <c r="AV70" s="279"/>
      <c r="AW70" s="279"/>
      <c r="AX70" s="279"/>
      <c r="AY70" s="279"/>
      <c r="AZ70" s="279"/>
      <c r="BA70" s="279"/>
      <c r="BB70" s="279"/>
      <c r="BC70" s="279"/>
      <c r="BD70" s="279"/>
      <c r="BE70" s="279"/>
      <c r="BF70" s="279"/>
      <c r="BG70" s="279"/>
    </row>
    <row r="71" spans="4:59">
      <c r="D71" s="279"/>
      <c r="E71" s="279"/>
      <c r="F71" s="279"/>
      <c r="G71" s="279"/>
      <c r="H71" s="279"/>
      <c r="I71" s="279"/>
      <c r="J71" s="279"/>
      <c r="K71" s="279"/>
      <c r="L71" s="279"/>
      <c r="M71" s="279"/>
      <c r="N71" s="279"/>
      <c r="O71" s="279"/>
      <c r="P71" s="279"/>
      <c r="Q71" s="279"/>
      <c r="R71" s="279"/>
      <c r="S71" s="279"/>
      <c r="T71" s="279"/>
      <c r="U71" s="279"/>
      <c r="V71" s="279"/>
      <c r="W71" s="279"/>
      <c r="X71" s="279"/>
      <c r="Y71" s="279"/>
      <c r="Z71" s="279"/>
      <c r="AA71" s="279"/>
      <c r="AB71" s="279"/>
      <c r="AC71" s="279"/>
      <c r="AD71" s="279"/>
      <c r="AE71" s="279"/>
      <c r="AF71" s="279"/>
      <c r="AG71" s="279"/>
      <c r="AH71" s="279"/>
      <c r="AI71" s="279"/>
      <c r="AJ71" s="279"/>
      <c r="AK71" s="279"/>
      <c r="AL71" s="279"/>
      <c r="AM71" s="279"/>
      <c r="AN71" s="279"/>
      <c r="AO71" s="279"/>
      <c r="AP71" s="279"/>
      <c r="AQ71" s="279"/>
      <c r="AR71" s="279"/>
      <c r="AS71" s="279"/>
      <c r="AT71" s="279"/>
      <c r="AU71" s="279"/>
      <c r="AV71" s="279"/>
      <c r="AW71" s="279"/>
      <c r="AX71" s="279"/>
      <c r="AY71" s="279"/>
      <c r="AZ71" s="279"/>
      <c r="BA71" s="279"/>
      <c r="BB71" s="279"/>
      <c r="BC71" s="279"/>
      <c r="BD71" s="279"/>
      <c r="BE71" s="279"/>
      <c r="BF71" s="279"/>
      <c r="BG71" s="279"/>
    </row>
    <row r="72" spans="4:59"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279"/>
      <c r="S72" s="279"/>
      <c r="T72" s="279"/>
      <c r="U72" s="279"/>
      <c r="V72" s="279"/>
      <c r="W72" s="279"/>
      <c r="X72" s="279"/>
      <c r="Y72" s="279"/>
      <c r="Z72" s="279"/>
      <c r="AA72" s="279"/>
      <c r="AB72" s="279"/>
      <c r="AC72" s="279"/>
      <c r="AD72" s="279"/>
      <c r="AE72" s="279"/>
      <c r="AF72" s="279"/>
      <c r="AG72" s="279"/>
      <c r="AH72" s="279"/>
      <c r="AI72" s="279"/>
      <c r="AJ72" s="279"/>
      <c r="AK72" s="279"/>
      <c r="AL72" s="279"/>
      <c r="AM72" s="279"/>
      <c r="AN72" s="279"/>
      <c r="AO72" s="279"/>
      <c r="AP72" s="279"/>
      <c r="AQ72" s="279"/>
      <c r="AR72" s="279"/>
      <c r="AS72" s="279"/>
      <c r="AT72" s="279"/>
      <c r="AU72" s="279"/>
      <c r="AV72" s="279"/>
      <c r="AW72" s="379"/>
      <c r="AX72" s="379"/>
      <c r="AY72" s="279"/>
      <c r="AZ72" s="279"/>
      <c r="BA72" s="279"/>
      <c r="BB72" s="279"/>
      <c r="BC72" s="279"/>
      <c r="BD72" s="279"/>
      <c r="BE72" s="279"/>
      <c r="BF72" s="279"/>
      <c r="BG72" s="279"/>
    </row>
    <row r="73" spans="4:59"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79"/>
      <c r="P73" s="279"/>
      <c r="Q73" s="279"/>
      <c r="R73" s="279"/>
      <c r="S73" s="279"/>
      <c r="T73" s="279"/>
      <c r="U73" s="279"/>
      <c r="V73" s="279"/>
      <c r="W73" s="279"/>
      <c r="X73" s="279"/>
      <c r="Y73" s="279"/>
      <c r="Z73" s="279"/>
      <c r="AA73" s="279"/>
      <c r="AB73" s="279"/>
      <c r="AC73" s="279"/>
      <c r="AD73" s="279"/>
      <c r="AE73" s="279"/>
      <c r="AF73" s="279"/>
      <c r="AG73" s="279"/>
      <c r="AH73" s="279"/>
      <c r="AI73" s="279"/>
      <c r="AJ73" s="279"/>
      <c r="AK73" s="279"/>
      <c r="AL73" s="279"/>
      <c r="AM73" s="279"/>
      <c r="AN73" s="279"/>
      <c r="AO73" s="279"/>
      <c r="AP73" s="279"/>
      <c r="AQ73" s="279"/>
      <c r="AR73" s="279"/>
      <c r="AS73" s="279"/>
      <c r="AT73" s="279"/>
      <c r="AU73" s="279"/>
      <c r="AV73" s="279"/>
      <c r="AW73" s="279"/>
      <c r="AX73" s="279"/>
      <c r="AY73" s="279"/>
      <c r="AZ73" s="279"/>
      <c r="BA73" s="279"/>
      <c r="BB73" s="279"/>
      <c r="BC73" s="279"/>
      <c r="BD73" s="279"/>
      <c r="BE73" s="279"/>
      <c r="BF73" s="279"/>
      <c r="BG73" s="279"/>
    </row>
    <row r="74" spans="4:59"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  <c r="AA74" s="279"/>
      <c r="AB74" s="279"/>
      <c r="AC74" s="279"/>
      <c r="AD74" s="279"/>
      <c r="AE74" s="279"/>
      <c r="AF74" s="279"/>
      <c r="AG74" s="279"/>
      <c r="AH74" s="279"/>
      <c r="AI74" s="279"/>
      <c r="AJ74" s="279"/>
      <c r="AK74" s="279"/>
      <c r="AL74" s="279"/>
      <c r="AM74" s="279"/>
      <c r="AN74" s="279"/>
      <c r="AO74" s="279"/>
      <c r="AP74" s="279"/>
      <c r="AQ74" s="279"/>
      <c r="AR74" s="279"/>
      <c r="AS74" s="279"/>
      <c r="AT74" s="279"/>
      <c r="AU74" s="279"/>
      <c r="AV74" s="279"/>
      <c r="AW74" s="279"/>
      <c r="AX74" s="279"/>
      <c r="AY74" s="279"/>
      <c r="AZ74" s="279"/>
      <c r="BA74" s="279"/>
      <c r="BB74" s="279"/>
      <c r="BC74" s="279"/>
      <c r="BD74" s="279"/>
      <c r="BE74" s="279"/>
      <c r="BF74" s="279"/>
      <c r="BG74" s="279"/>
    </row>
    <row r="75" spans="4:59">
      <c r="D75" s="279"/>
      <c r="E75" s="279"/>
      <c r="F75" s="279"/>
      <c r="G75" s="279"/>
      <c r="H75" s="279"/>
      <c r="I75" s="279"/>
      <c r="J75" s="279"/>
      <c r="K75" s="279"/>
      <c r="L75" s="279"/>
      <c r="M75" s="279"/>
      <c r="N75" s="279"/>
      <c r="O75" s="279"/>
      <c r="P75" s="279"/>
      <c r="Q75" s="279"/>
      <c r="R75" s="279"/>
      <c r="S75" s="279"/>
      <c r="T75" s="279"/>
      <c r="U75" s="279"/>
      <c r="V75" s="279"/>
      <c r="W75" s="279"/>
      <c r="X75" s="279"/>
      <c r="Y75" s="279"/>
      <c r="Z75" s="279"/>
      <c r="AA75" s="279"/>
      <c r="AB75" s="279"/>
      <c r="AC75" s="279"/>
      <c r="AD75" s="279"/>
      <c r="AE75" s="279"/>
      <c r="AF75" s="279"/>
      <c r="AG75" s="279"/>
      <c r="AH75" s="279"/>
      <c r="AI75" s="279"/>
      <c r="AJ75" s="279"/>
      <c r="AK75" s="279"/>
      <c r="AL75" s="279"/>
      <c r="AM75" s="279"/>
      <c r="AN75" s="279"/>
      <c r="AO75" s="279"/>
      <c r="AP75" s="279"/>
      <c r="AQ75" s="279"/>
      <c r="AR75" s="279"/>
      <c r="AS75" s="279"/>
      <c r="AT75" s="279"/>
      <c r="AU75" s="279"/>
      <c r="AV75" s="279"/>
      <c r="AW75" s="279"/>
      <c r="AX75" s="279"/>
      <c r="AY75" s="279"/>
      <c r="AZ75" s="279"/>
      <c r="BA75" s="279"/>
      <c r="BB75" s="279"/>
      <c r="BC75" s="279"/>
      <c r="BD75" s="279"/>
      <c r="BE75" s="279"/>
      <c r="BF75" s="279"/>
      <c r="BG75" s="279"/>
    </row>
    <row r="76" spans="4:59"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79"/>
      <c r="P76" s="279"/>
      <c r="Q76" s="279"/>
      <c r="R76" s="279"/>
      <c r="S76" s="279"/>
      <c r="T76" s="279"/>
      <c r="U76" s="279"/>
      <c r="V76" s="279"/>
      <c r="W76" s="279"/>
      <c r="X76" s="279"/>
      <c r="Y76" s="279"/>
      <c r="Z76" s="279"/>
      <c r="AA76" s="279"/>
      <c r="AB76" s="279"/>
      <c r="AC76" s="279"/>
      <c r="AD76" s="279"/>
      <c r="AE76" s="279"/>
      <c r="AF76" s="279"/>
      <c r="AG76" s="279"/>
      <c r="AH76" s="279"/>
      <c r="AI76" s="279"/>
      <c r="AJ76" s="279"/>
      <c r="AK76" s="279"/>
      <c r="AL76" s="279"/>
      <c r="AM76" s="279"/>
      <c r="AN76" s="279"/>
      <c r="AO76" s="279"/>
      <c r="AP76" s="279"/>
      <c r="AQ76" s="279"/>
      <c r="AR76" s="279"/>
      <c r="AS76" s="279"/>
      <c r="AT76" s="279"/>
      <c r="AU76" s="279"/>
      <c r="AV76" s="279"/>
      <c r="AW76" s="279"/>
      <c r="AX76" s="279"/>
      <c r="AY76" s="279"/>
      <c r="AZ76" s="279"/>
      <c r="BA76" s="279"/>
      <c r="BB76" s="279"/>
      <c r="BC76" s="279"/>
      <c r="BD76" s="279"/>
      <c r="BE76" s="279"/>
      <c r="BF76" s="279"/>
      <c r="BG76" s="279"/>
    </row>
    <row r="77" spans="4:59">
      <c r="D77" s="279"/>
      <c r="E77" s="279"/>
      <c r="F77" s="279"/>
      <c r="G77" s="279"/>
      <c r="H77" s="279"/>
      <c r="I77" s="279"/>
      <c r="J77" s="279"/>
      <c r="K77" s="279"/>
      <c r="L77" s="279"/>
      <c r="M77" s="279"/>
      <c r="N77" s="279"/>
      <c r="O77" s="279"/>
      <c r="P77" s="279"/>
      <c r="Q77" s="279"/>
      <c r="R77" s="279"/>
      <c r="S77" s="279"/>
      <c r="T77" s="279"/>
      <c r="U77" s="279"/>
      <c r="V77" s="279"/>
      <c r="W77" s="279"/>
      <c r="X77" s="279"/>
      <c r="Y77" s="279"/>
      <c r="Z77" s="279"/>
      <c r="AA77" s="279"/>
      <c r="AB77" s="279"/>
      <c r="AC77" s="279"/>
      <c r="AD77" s="279"/>
      <c r="AE77" s="279"/>
      <c r="AF77" s="279"/>
      <c r="AG77" s="279"/>
      <c r="AH77" s="279"/>
      <c r="AI77" s="279"/>
      <c r="AJ77" s="279"/>
      <c r="AK77" s="279"/>
      <c r="AL77" s="279"/>
      <c r="AM77" s="279"/>
      <c r="AN77" s="279"/>
      <c r="AO77" s="279"/>
      <c r="AP77" s="279"/>
      <c r="AQ77" s="279"/>
      <c r="AR77" s="279"/>
      <c r="AS77" s="279"/>
      <c r="AT77" s="279"/>
      <c r="AU77" s="279"/>
      <c r="AV77" s="279"/>
      <c r="AW77" s="279"/>
      <c r="AX77" s="279"/>
      <c r="AY77" s="279"/>
      <c r="AZ77" s="279"/>
      <c r="BA77" s="279"/>
      <c r="BB77" s="279"/>
      <c r="BC77" s="279"/>
      <c r="BD77" s="279"/>
      <c r="BE77" s="279"/>
      <c r="BF77" s="279"/>
      <c r="BG77" s="279"/>
    </row>
    <row r="78" spans="4:59">
      <c r="D78" s="279"/>
      <c r="E78" s="279"/>
      <c r="F78" s="279"/>
      <c r="G78" s="279"/>
      <c r="H78" s="279"/>
      <c r="I78" s="279"/>
      <c r="J78" s="279"/>
      <c r="K78" s="279"/>
      <c r="L78" s="279"/>
      <c r="M78" s="279"/>
      <c r="N78" s="279"/>
      <c r="O78" s="279"/>
      <c r="P78" s="279"/>
      <c r="Q78" s="279"/>
      <c r="R78" s="279"/>
      <c r="S78" s="279"/>
      <c r="T78" s="279"/>
      <c r="U78" s="279"/>
      <c r="V78" s="279"/>
      <c r="W78" s="279"/>
      <c r="X78" s="279"/>
      <c r="Y78" s="279"/>
      <c r="Z78" s="279"/>
      <c r="AA78" s="279"/>
      <c r="AB78" s="279"/>
      <c r="AC78" s="279"/>
      <c r="AD78" s="279"/>
      <c r="AE78" s="279"/>
      <c r="AF78" s="279"/>
      <c r="AG78" s="279"/>
      <c r="AH78" s="279"/>
      <c r="AI78" s="279"/>
      <c r="AJ78" s="279"/>
      <c r="AK78" s="279"/>
      <c r="AL78" s="279"/>
      <c r="AM78" s="279"/>
      <c r="AN78" s="279"/>
      <c r="AO78" s="279"/>
      <c r="AP78" s="279"/>
      <c r="AQ78" s="279"/>
      <c r="AR78" s="279"/>
      <c r="AS78" s="279"/>
      <c r="AT78" s="279"/>
      <c r="AU78" s="279"/>
      <c r="AV78" s="279"/>
      <c r="AW78" s="279"/>
      <c r="AX78" s="279"/>
      <c r="AY78" s="279"/>
      <c r="AZ78" s="279"/>
      <c r="BA78" s="279"/>
      <c r="BB78" s="279"/>
      <c r="BC78" s="279"/>
      <c r="BD78" s="279"/>
      <c r="BE78" s="279"/>
      <c r="BF78" s="279"/>
      <c r="BG78" s="279"/>
    </row>
    <row r="79" spans="4:59">
      <c r="D79" s="279"/>
      <c r="E79" s="279"/>
      <c r="F79" s="279"/>
      <c r="G79" s="279"/>
      <c r="H79" s="279"/>
      <c r="I79" s="279"/>
      <c r="J79" s="279"/>
      <c r="K79" s="279"/>
      <c r="L79" s="279"/>
      <c r="M79" s="279"/>
      <c r="N79" s="279"/>
      <c r="O79" s="279"/>
      <c r="P79" s="279"/>
      <c r="Q79" s="279"/>
      <c r="R79" s="279"/>
      <c r="S79" s="279"/>
      <c r="T79" s="279"/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  <c r="AY79" s="279"/>
      <c r="AZ79" s="279"/>
      <c r="BA79" s="279"/>
      <c r="BB79" s="279"/>
      <c r="BC79" s="279"/>
      <c r="BD79" s="279"/>
      <c r="BE79" s="279"/>
      <c r="BF79" s="279"/>
      <c r="BG79" s="279"/>
    </row>
    <row r="80" spans="4:59">
      <c r="D80" s="279"/>
      <c r="E80" s="279"/>
      <c r="F80" s="279"/>
      <c r="G80" s="279"/>
      <c r="H80" s="279"/>
      <c r="I80" s="279"/>
      <c r="J80" s="279"/>
      <c r="K80" s="279"/>
      <c r="L80" s="279"/>
      <c r="M80" s="279"/>
      <c r="N80" s="279"/>
      <c r="O80" s="279"/>
      <c r="P80" s="279"/>
      <c r="Q80" s="279"/>
      <c r="R80" s="279"/>
      <c r="S80" s="279"/>
      <c r="T80" s="279"/>
      <c r="U80" s="279"/>
      <c r="V80" s="279"/>
      <c r="W80" s="279"/>
      <c r="X80" s="279"/>
      <c r="Y80" s="279"/>
      <c r="Z80" s="279"/>
      <c r="AA80" s="279"/>
      <c r="AB80" s="279"/>
      <c r="AC80" s="279"/>
      <c r="AD80" s="279"/>
      <c r="AE80" s="279"/>
      <c r="AF80" s="279"/>
      <c r="AG80" s="279"/>
      <c r="AH80" s="279"/>
      <c r="AI80" s="279"/>
      <c r="AJ80" s="279"/>
      <c r="AK80" s="279"/>
      <c r="AL80" s="279"/>
      <c r="AM80" s="279"/>
      <c r="AN80" s="279"/>
      <c r="AO80" s="279"/>
      <c r="AP80" s="279"/>
      <c r="AQ80" s="279"/>
      <c r="AR80" s="279"/>
      <c r="AS80" s="279"/>
      <c r="AT80" s="279"/>
      <c r="AU80" s="279"/>
      <c r="AV80" s="279"/>
      <c r="AW80" s="279"/>
      <c r="AX80" s="279"/>
      <c r="AY80" s="279"/>
      <c r="AZ80" s="279"/>
      <c r="BA80" s="279"/>
      <c r="BB80" s="279"/>
      <c r="BC80" s="279"/>
      <c r="BD80" s="279"/>
      <c r="BE80" s="279"/>
      <c r="BF80" s="279"/>
      <c r="BG80" s="279"/>
    </row>
    <row r="81" spans="4:59"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79"/>
      <c r="P81" s="279"/>
      <c r="Q81" s="279"/>
      <c r="R81" s="279"/>
      <c r="S81" s="279"/>
      <c r="T81" s="279"/>
      <c r="U81" s="279"/>
      <c r="V81" s="279"/>
      <c r="W81" s="279"/>
      <c r="X81" s="279"/>
      <c r="Y81" s="279"/>
      <c r="Z81" s="279"/>
      <c r="AA81" s="279"/>
      <c r="AB81" s="279"/>
      <c r="AC81" s="279"/>
      <c r="AD81" s="279"/>
      <c r="AE81" s="279"/>
      <c r="AF81" s="279"/>
      <c r="AG81" s="279"/>
      <c r="AH81" s="279"/>
      <c r="AI81" s="279"/>
      <c r="AJ81" s="279"/>
      <c r="AK81" s="279"/>
      <c r="AL81" s="279"/>
      <c r="AM81" s="279"/>
      <c r="AN81" s="279"/>
      <c r="AO81" s="279"/>
      <c r="AP81" s="279"/>
      <c r="AQ81" s="279"/>
      <c r="AR81" s="279"/>
      <c r="AS81" s="279"/>
      <c r="AT81" s="279"/>
      <c r="AU81" s="279"/>
      <c r="AV81" s="279"/>
      <c r="AW81" s="279"/>
      <c r="AX81" s="279"/>
      <c r="AY81" s="279"/>
      <c r="AZ81" s="279"/>
      <c r="BA81" s="279"/>
      <c r="BB81" s="279"/>
      <c r="BC81" s="279"/>
      <c r="BD81" s="279"/>
      <c r="BE81" s="279"/>
      <c r="BF81" s="279"/>
      <c r="BG81" s="279"/>
    </row>
    <row r="82" spans="4:59">
      <c r="D82" s="279"/>
      <c r="E82" s="279"/>
      <c r="F82" s="279"/>
      <c r="G82" s="279"/>
      <c r="H82" s="279"/>
      <c r="I82" s="279"/>
      <c r="J82" s="279"/>
      <c r="K82" s="279"/>
      <c r="L82" s="279"/>
      <c r="M82" s="279"/>
      <c r="N82" s="279"/>
      <c r="O82" s="279"/>
      <c r="P82" s="279"/>
      <c r="Q82" s="279"/>
      <c r="R82" s="279"/>
      <c r="S82" s="279"/>
      <c r="T82" s="279"/>
      <c r="U82" s="279"/>
      <c r="V82" s="279"/>
      <c r="W82" s="279"/>
      <c r="X82" s="279"/>
      <c r="Y82" s="279"/>
      <c r="Z82" s="279"/>
      <c r="AA82" s="279"/>
      <c r="AB82" s="279"/>
      <c r="AC82" s="279"/>
      <c r="AD82" s="279"/>
      <c r="AE82" s="279"/>
      <c r="AF82" s="279"/>
      <c r="AG82" s="279"/>
      <c r="AH82" s="279"/>
      <c r="AI82" s="279"/>
      <c r="AJ82" s="279"/>
      <c r="AK82" s="279"/>
      <c r="AL82" s="279"/>
      <c r="AM82" s="279"/>
      <c r="AN82" s="279"/>
      <c r="AO82" s="279"/>
      <c r="AP82" s="279"/>
      <c r="AQ82" s="279"/>
      <c r="AR82" s="279"/>
      <c r="AS82" s="279"/>
      <c r="AT82" s="279"/>
      <c r="AU82" s="279"/>
      <c r="AV82" s="279"/>
      <c r="AW82" s="279"/>
      <c r="AX82" s="279"/>
      <c r="AY82" s="279"/>
      <c r="AZ82" s="279"/>
      <c r="BA82" s="279"/>
      <c r="BB82" s="279"/>
      <c r="BC82" s="279"/>
      <c r="BD82" s="279"/>
      <c r="BE82" s="279"/>
      <c r="BF82" s="279"/>
      <c r="BG82" s="279"/>
    </row>
    <row r="83" spans="4:59">
      <c r="D83" s="279"/>
      <c r="E83" s="279"/>
      <c r="F83" s="279"/>
      <c r="G83" s="279"/>
      <c r="H83" s="279"/>
      <c r="I83" s="279"/>
      <c r="J83" s="279"/>
      <c r="K83" s="279"/>
      <c r="L83" s="279"/>
      <c r="M83" s="279"/>
      <c r="N83" s="279"/>
      <c r="O83" s="279"/>
      <c r="P83" s="279"/>
      <c r="Q83" s="279"/>
      <c r="R83" s="279"/>
      <c r="S83" s="279"/>
      <c r="T83" s="279"/>
      <c r="U83" s="279"/>
      <c r="V83" s="279"/>
      <c r="W83" s="279"/>
      <c r="X83" s="279"/>
      <c r="Y83" s="279"/>
      <c r="Z83" s="279"/>
      <c r="AA83" s="279"/>
      <c r="AB83" s="279"/>
      <c r="AC83" s="279"/>
      <c r="AD83" s="279"/>
      <c r="AE83" s="279"/>
      <c r="AF83" s="279"/>
      <c r="AG83" s="279"/>
      <c r="AH83" s="279"/>
      <c r="AI83" s="279"/>
      <c r="AJ83" s="279"/>
      <c r="AK83" s="279"/>
      <c r="AL83" s="279"/>
      <c r="AM83" s="279"/>
      <c r="AN83" s="279"/>
      <c r="AO83" s="279"/>
      <c r="AP83" s="279"/>
      <c r="AQ83" s="279"/>
      <c r="AR83" s="279"/>
      <c r="AS83" s="279"/>
      <c r="AT83" s="279"/>
      <c r="AU83" s="279"/>
      <c r="AV83" s="279"/>
      <c r="AW83" s="279"/>
      <c r="AX83" s="279"/>
      <c r="AY83" s="279"/>
      <c r="AZ83" s="279"/>
      <c r="BA83" s="279"/>
      <c r="BB83" s="279"/>
      <c r="BC83" s="279"/>
      <c r="BD83" s="279"/>
      <c r="BE83" s="279"/>
      <c r="BF83" s="279"/>
      <c r="BG83" s="279"/>
    </row>
    <row r="84" spans="4:59">
      <c r="D84" s="279"/>
      <c r="E84" s="279"/>
      <c r="F84" s="279"/>
      <c r="G84" s="279"/>
      <c r="H84" s="279"/>
      <c r="I84" s="279"/>
      <c r="J84" s="279"/>
      <c r="K84" s="279"/>
      <c r="L84" s="279"/>
      <c r="M84" s="279"/>
      <c r="N84" s="279"/>
      <c r="O84" s="279"/>
      <c r="P84" s="279"/>
      <c r="Q84" s="279"/>
      <c r="R84" s="279"/>
      <c r="S84" s="279"/>
      <c r="T84" s="279"/>
      <c r="U84" s="279"/>
      <c r="V84" s="279"/>
      <c r="W84" s="279"/>
      <c r="X84" s="279"/>
      <c r="Y84" s="279"/>
      <c r="Z84" s="279"/>
      <c r="AA84" s="279"/>
      <c r="AB84" s="279"/>
      <c r="AC84" s="279"/>
      <c r="AD84" s="279"/>
      <c r="AE84" s="279"/>
      <c r="AF84" s="279"/>
      <c r="AG84" s="279"/>
      <c r="AH84" s="279"/>
      <c r="AI84" s="279"/>
      <c r="AJ84" s="279"/>
      <c r="AK84" s="279"/>
      <c r="AL84" s="279"/>
      <c r="AM84" s="279"/>
      <c r="AN84" s="279"/>
      <c r="AO84" s="279"/>
      <c r="AP84" s="279"/>
      <c r="AQ84" s="279"/>
      <c r="AR84" s="279"/>
      <c r="AS84" s="279"/>
      <c r="AT84" s="279"/>
      <c r="AU84" s="279"/>
      <c r="AV84" s="279"/>
      <c r="AW84" s="279"/>
      <c r="AX84" s="279"/>
      <c r="AY84" s="279"/>
      <c r="AZ84" s="279"/>
      <c r="BA84" s="279"/>
      <c r="BB84" s="279"/>
      <c r="BC84" s="279"/>
      <c r="BD84" s="279"/>
      <c r="BE84" s="279"/>
      <c r="BF84" s="279"/>
      <c r="BG84" s="279"/>
    </row>
    <row r="85" spans="4:59"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/>
      <c r="S85" s="279"/>
      <c r="T85" s="279"/>
      <c r="U85" s="279"/>
      <c r="V85" s="279"/>
      <c r="W85" s="279"/>
      <c r="X85" s="279"/>
      <c r="Y85" s="279"/>
      <c r="Z85" s="279"/>
      <c r="AA85" s="279"/>
      <c r="AB85" s="279"/>
      <c r="AC85" s="279"/>
      <c r="AD85" s="279"/>
      <c r="AE85" s="279"/>
      <c r="AF85" s="279"/>
      <c r="AG85" s="279"/>
      <c r="AH85" s="279"/>
      <c r="AI85" s="279"/>
      <c r="AJ85" s="279"/>
      <c r="AK85" s="279"/>
      <c r="AL85" s="279"/>
      <c r="AM85" s="279"/>
      <c r="AN85" s="279"/>
      <c r="AO85" s="279"/>
      <c r="AP85" s="279"/>
      <c r="AQ85" s="279"/>
      <c r="AR85" s="279"/>
      <c r="AS85" s="279"/>
      <c r="AT85" s="279"/>
      <c r="AU85" s="279"/>
      <c r="AV85" s="279"/>
      <c r="AW85" s="279"/>
      <c r="AX85" s="279"/>
      <c r="AY85" s="279"/>
      <c r="AZ85" s="279"/>
      <c r="BA85" s="279"/>
      <c r="BB85" s="279"/>
      <c r="BC85" s="279"/>
      <c r="BD85" s="279"/>
      <c r="BE85" s="279"/>
      <c r="BF85" s="279"/>
      <c r="BG85" s="279"/>
    </row>
    <row r="86" spans="4:59">
      <c r="D86" s="279"/>
      <c r="E86" s="279"/>
      <c r="F86" s="279"/>
      <c r="G86" s="279"/>
      <c r="H86" s="279"/>
      <c r="I86" s="279"/>
      <c r="J86" s="279"/>
      <c r="K86" s="279"/>
      <c r="L86" s="279"/>
      <c r="M86" s="279"/>
      <c r="N86" s="279"/>
      <c r="O86" s="279"/>
      <c r="P86" s="279"/>
      <c r="Q86" s="279"/>
      <c r="R86" s="279"/>
      <c r="S86" s="279"/>
      <c r="T86" s="279"/>
      <c r="U86" s="279"/>
      <c r="V86" s="279"/>
      <c r="W86" s="279"/>
      <c r="X86" s="279"/>
      <c r="Y86" s="279"/>
      <c r="Z86" s="279"/>
      <c r="AA86" s="279"/>
      <c r="AB86" s="279"/>
      <c r="AC86" s="279"/>
      <c r="AD86" s="279"/>
      <c r="AE86" s="279"/>
      <c r="AF86" s="279"/>
      <c r="AG86" s="279"/>
      <c r="AH86" s="279"/>
      <c r="AI86" s="279"/>
      <c r="AJ86" s="279"/>
      <c r="AK86" s="279"/>
      <c r="AL86" s="279"/>
      <c r="AM86" s="279"/>
      <c r="AN86" s="279"/>
      <c r="AO86" s="279"/>
      <c r="AP86" s="279"/>
      <c r="AQ86" s="279"/>
      <c r="AR86" s="279"/>
      <c r="AS86" s="279"/>
      <c r="AT86" s="279"/>
      <c r="AU86" s="279"/>
      <c r="AV86" s="279"/>
      <c r="AW86" s="279"/>
      <c r="AX86" s="279"/>
      <c r="AY86" s="279"/>
      <c r="AZ86" s="279"/>
      <c r="BA86" s="279"/>
      <c r="BB86" s="279"/>
      <c r="BC86" s="279"/>
      <c r="BD86" s="279"/>
      <c r="BE86" s="279"/>
      <c r="BF86" s="279"/>
      <c r="BG86" s="279"/>
    </row>
    <row r="87" spans="4:59">
      <c r="D87" s="279"/>
      <c r="E87" s="279"/>
      <c r="F87" s="279"/>
      <c r="G87" s="279"/>
      <c r="H87" s="279"/>
      <c r="I87" s="279"/>
      <c r="J87" s="279"/>
      <c r="K87" s="279"/>
      <c r="L87" s="279"/>
      <c r="M87" s="279"/>
      <c r="N87" s="279"/>
      <c r="O87" s="279"/>
      <c r="P87" s="279"/>
      <c r="Q87" s="279"/>
      <c r="R87" s="279"/>
      <c r="S87" s="279"/>
      <c r="T87" s="279"/>
      <c r="U87" s="279"/>
      <c r="V87" s="279"/>
      <c r="W87" s="279"/>
      <c r="X87" s="279"/>
      <c r="Y87" s="279"/>
      <c r="Z87" s="279"/>
      <c r="AA87" s="279"/>
      <c r="AB87" s="279"/>
      <c r="AC87" s="279"/>
      <c r="AD87" s="279"/>
      <c r="AE87" s="279"/>
      <c r="AF87" s="279"/>
      <c r="AG87" s="279"/>
      <c r="AH87" s="279"/>
      <c r="AI87" s="279"/>
      <c r="AJ87" s="279"/>
      <c r="AK87" s="279"/>
      <c r="AL87" s="279"/>
      <c r="AM87" s="279"/>
      <c r="AN87" s="279"/>
      <c r="AO87" s="279"/>
      <c r="AP87" s="279"/>
      <c r="AQ87" s="279"/>
      <c r="AR87" s="279"/>
      <c r="AS87" s="279"/>
      <c r="AT87" s="279"/>
      <c r="AU87" s="279"/>
      <c r="AV87" s="279"/>
      <c r="AW87" s="279"/>
      <c r="AX87" s="279"/>
      <c r="AY87" s="279"/>
      <c r="AZ87" s="279"/>
      <c r="BA87" s="279"/>
      <c r="BB87" s="279"/>
      <c r="BC87" s="279"/>
      <c r="BD87" s="279"/>
      <c r="BE87" s="279"/>
      <c r="BF87" s="279"/>
      <c r="BG87" s="279"/>
    </row>
    <row r="88" spans="4:59">
      <c r="D88" s="279"/>
      <c r="E88" s="279"/>
      <c r="F88" s="279"/>
      <c r="G88" s="279"/>
      <c r="H88" s="279"/>
      <c r="I88" s="279"/>
      <c r="J88" s="279"/>
      <c r="K88" s="279"/>
      <c r="L88" s="279"/>
      <c r="M88" s="279"/>
      <c r="N88" s="279"/>
      <c r="O88" s="279"/>
      <c r="P88" s="279"/>
      <c r="Q88" s="279"/>
      <c r="R88" s="279"/>
      <c r="S88" s="279"/>
      <c r="T88" s="279"/>
      <c r="U88" s="279"/>
      <c r="V88" s="279"/>
      <c r="W88" s="279"/>
      <c r="X88" s="279"/>
      <c r="Y88" s="279"/>
      <c r="Z88" s="279"/>
      <c r="AA88" s="279"/>
      <c r="AB88" s="279"/>
      <c r="AC88" s="279"/>
      <c r="AD88" s="279"/>
      <c r="AE88" s="279"/>
      <c r="AF88" s="279"/>
      <c r="AG88" s="279"/>
      <c r="AH88" s="279"/>
      <c r="AI88" s="279"/>
      <c r="AJ88" s="279"/>
      <c r="AK88" s="279"/>
      <c r="AL88" s="279"/>
      <c r="AM88" s="279"/>
      <c r="AN88" s="279"/>
      <c r="AO88" s="279"/>
      <c r="AP88" s="279"/>
      <c r="AQ88" s="279"/>
      <c r="AR88" s="279"/>
      <c r="AS88" s="279"/>
      <c r="AT88" s="279"/>
      <c r="AU88" s="279"/>
      <c r="AV88" s="279"/>
      <c r="AW88" s="279"/>
      <c r="AX88" s="279"/>
      <c r="AY88" s="279"/>
      <c r="AZ88" s="279"/>
      <c r="BA88" s="279"/>
      <c r="BB88" s="279"/>
      <c r="BC88" s="279"/>
      <c r="BD88" s="279"/>
      <c r="BE88" s="279"/>
      <c r="BF88" s="279"/>
      <c r="BG88" s="279"/>
    </row>
    <row r="89" spans="4:59"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79"/>
      <c r="P89" s="279"/>
      <c r="Q89" s="279"/>
      <c r="R89" s="279"/>
      <c r="S89" s="279"/>
      <c r="T89" s="279"/>
      <c r="U89" s="279"/>
      <c r="V89" s="279"/>
      <c r="W89" s="279"/>
      <c r="X89" s="279"/>
      <c r="Y89" s="279"/>
      <c r="Z89" s="279"/>
      <c r="AA89" s="279"/>
      <c r="AB89" s="279"/>
      <c r="AC89" s="279"/>
      <c r="AD89" s="279"/>
      <c r="AE89" s="279"/>
      <c r="AF89" s="279"/>
      <c r="AG89" s="279"/>
      <c r="AH89" s="279"/>
      <c r="AI89" s="279"/>
      <c r="AJ89" s="279"/>
      <c r="AK89" s="279"/>
      <c r="AL89" s="279"/>
      <c r="AM89" s="279"/>
      <c r="AN89" s="279"/>
      <c r="AO89" s="279"/>
      <c r="AP89" s="279"/>
      <c r="AQ89" s="279"/>
      <c r="AR89" s="279"/>
      <c r="AS89" s="279"/>
      <c r="AT89" s="279"/>
      <c r="AU89" s="279"/>
      <c r="AV89" s="279"/>
      <c r="AW89" s="279"/>
      <c r="AX89" s="279"/>
      <c r="AY89" s="279"/>
      <c r="AZ89" s="279"/>
      <c r="BA89" s="279"/>
      <c r="BB89" s="279"/>
      <c r="BC89" s="279"/>
      <c r="BD89" s="279"/>
      <c r="BE89" s="279"/>
      <c r="BF89" s="279"/>
      <c r="BG89" s="279"/>
    </row>
    <row r="90" spans="4:59">
      <c r="D90" s="279"/>
      <c r="E90" s="279"/>
      <c r="F90" s="279"/>
      <c r="G90" s="279"/>
      <c r="H90" s="279"/>
      <c r="I90" s="279"/>
      <c r="J90" s="279"/>
      <c r="K90" s="279"/>
      <c r="L90" s="279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  <c r="AA90" s="279"/>
      <c r="AB90" s="279"/>
      <c r="AC90" s="279"/>
      <c r="AD90" s="279"/>
      <c r="AE90" s="279"/>
      <c r="AF90" s="279"/>
      <c r="AG90" s="279"/>
      <c r="AH90" s="279"/>
      <c r="AI90" s="279"/>
      <c r="AJ90" s="279"/>
      <c r="AK90" s="279"/>
      <c r="AL90" s="279"/>
      <c r="AM90" s="279"/>
      <c r="AN90" s="279"/>
      <c r="AO90" s="279"/>
      <c r="AP90" s="279"/>
      <c r="AQ90" s="279"/>
      <c r="AR90" s="279"/>
      <c r="AS90" s="279"/>
      <c r="AT90" s="279"/>
      <c r="AU90" s="279"/>
      <c r="AV90" s="279"/>
      <c r="AW90" s="279"/>
      <c r="AX90" s="279"/>
      <c r="AY90" s="279"/>
      <c r="AZ90" s="279"/>
      <c r="BA90" s="279"/>
      <c r="BB90" s="279"/>
      <c r="BC90" s="279"/>
      <c r="BD90" s="279"/>
      <c r="BE90" s="279"/>
      <c r="BF90" s="279"/>
      <c r="BG90" s="279"/>
    </row>
    <row r="91" spans="4:59">
      <c r="D91" s="279"/>
      <c r="E91" s="279"/>
      <c r="F91" s="279"/>
      <c r="G91" s="279"/>
      <c r="H91" s="279"/>
      <c r="I91" s="279"/>
      <c r="J91" s="279"/>
      <c r="K91" s="279"/>
      <c r="L91" s="279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  <c r="AA91" s="279"/>
      <c r="AB91" s="279"/>
      <c r="AC91" s="279"/>
      <c r="AD91" s="279"/>
      <c r="AE91" s="279"/>
      <c r="AF91" s="279"/>
      <c r="AG91" s="279"/>
      <c r="AH91" s="279"/>
      <c r="AI91" s="279"/>
      <c r="AJ91" s="279"/>
      <c r="AK91" s="279"/>
      <c r="AL91" s="279"/>
      <c r="AM91" s="279"/>
      <c r="AN91" s="279"/>
      <c r="AO91" s="279"/>
      <c r="AP91" s="279"/>
      <c r="AQ91" s="279"/>
      <c r="AR91" s="279"/>
      <c r="AS91" s="279"/>
      <c r="AT91" s="279"/>
      <c r="AU91" s="279"/>
      <c r="AV91" s="279"/>
      <c r="AW91" s="279"/>
      <c r="AX91" s="279"/>
      <c r="AY91" s="279"/>
      <c r="AZ91" s="279"/>
      <c r="BA91" s="279"/>
      <c r="BB91" s="279"/>
      <c r="BC91" s="279"/>
      <c r="BD91" s="279"/>
      <c r="BE91" s="279"/>
      <c r="BF91" s="279"/>
      <c r="BG91" s="279"/>
    </row>
    <row r="92" spans="4:59">
      <c r="D92" s="279"/>
      <c r="E92" s="279"/>
      <c r="F92" s="279"/>
      <c r="G92" s="279"/>
      <c r="H92" s="279"/>
      <c r="I92" s="279"/>
      <c r="J92" s="279"/>
      <c r="K92" s="279"/>
      <c r="L92" s="279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  <c r="AA92" s="279"/>
      <c r="AB92" s="279"/>
      <c r="AC92" s="279"/>
      <c r="AD92" s="279"/>
      <c r="AE92" s="279"/>
      <c r="AF92" s="279"/>
      <c r="AG92" s="279"/>
      <c r="AH92" s="279"/>
      <c r="AI92" s="279"/>
      <c r="AJ92" s="279"/>
      <c r="AK92" s="279"/>
      <c r="AL92" s="279"/>
      <c r="AM92" s="279"/>
      <c r="AN92" s="279"/>
      <c r="AO92" s="279"/>
      <c r="AP92" s="279"/>
      <c r="AQ92" s="279"/>
      <c r="AR92" s="279"/>
      <c r="AS92" s="279"/>
      <c r="AT92" s="279"/>
      <c r="AU92" s="279"/>
      <c r="AV92" s="279"/>
      <c r="AW92" s="279"/>
      <c r="AX92" s="279"/>
      <c r="AY92" s="279"/>
      <c r="AZ92" s="279"/>
      <c r="BA92" s="279"/>
      <c r="BB92" s="279"/>
      <c r="BC92" s="279"/>
      <c r="BD92" s="279"/>
      <c r="BE92" s="279"/>
      <c r="BF92" s="279"/>
      <c r="BG92" s="279"/>
    </row>
    <row r="93" spans="4:59">
      <c r="D93" s="279"/>
      <c r="E93" s="279"/>
      <c r="F93" s="279"/>
      <c r="G93" s="279"/>
      <c r="H93" s="279"/>
      <c r="I93" s="279"/>
      <c r="J93" s="279"/>
      <c r="K93" s="279"/>
      <c r="L93" s="279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  <c r="AA93" s="279"/>
      <c r="AB93" s="279"/>
      <c r="AC93" s="279"/>
      <c r="AD93" s="279"/>
      <c r="AE93" s="279"/>
      <c r="AF93" s="279"/>
      <c r="AG93" s="279"/>
      <c r="AH93" s="279"/>
      <c r="AI93" s="279"/>
      <c r="AJ93" s="279"/>
      <c r="AK93" s="279"/>
      <c r="AL93" s="279"/>
      <c r="AM93" s="279"/>
      <c r="AN93" s="279"/>
      <c r="AO93" s="279"/>
      <c r="AP93" s="279"/>
      <c r="AQ93" s="279"/>
      <c r="AR93" s="279"/>
      <c r="AS93" s="279"/>
      <c r="AT93" s="279"/>
      <c r="AU93" s="279"/>
      <c r="AV93" s="279"/>
      <c r="AW93" s="279"/>
      <c r="AX93" s="279"/>
      <c r="AY93" s="279"/>
      <c r="AZ93" s="279"/>
      <c r="BA93" s="279"/>
      <c r="BB93" s="279"/>
      <c r="BC93" s="279"/>
      <c r="BD93" s="279"/>
      <c r="BE93" s="279"/>
      <c r="BF93" s="279"/>
      <c r="BG93" s="279"/>
    </row>
    <row r="94" spans="4:59">
      <c r="D94" s="279"/>
      <c r="E94" s="279"/>
      <c r="F94" s="279"/>
      <c r="G94" s="279"/>
      <c r="H94" s="279"/>
      <c r="I94" s="279"/>
      <c r="J94" s="279"/>
      <c r="K94" s="279"/>
      <c r="L94" s="279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79"/>
      <c r="AM94" s="279"/>
      <c r="AN94" s="279"/>
      <c r="AO94" s="279"/>
      <c r="AP94" s="279"/>
      <c r="AQ94" s="279"/>
      <c r="AR94" s="279"/>
      <c r="AS94" s="279"/>
      <c r="AT94" s="279"/>
      <c r="AU94" s="279"/>
      <c r="AV94" s="279"/>
      <c r="AW94" s="279"/>
      <c r="AX94" s="279"/>
      <c r="AY94" s="279"/>
      <c r="AZ94" s="279"/>
      <c r="BA94" s="279"/>
      <c r="BB94" s="279"/>
      <c r="BC94" s="279"/>
      <c r="BD94" s="279"/>
      <c r="BE94" s="279"/>
      <c r="BF94" s="279"/>
      <c r="BG94" s="279"/>
    </row>
    <row r="95" spans="4:59">
      <c r="D95" s="279"/>
      <c r="E95" s="279"/>
      <c r="F95" s="279"/>
      <c r="G95" s="279"/>
      <c r="H95" s="279"/>
      <c r="I95" s="279"/>
      <c r="J95" s="279"/>
      <c r="K95" s="279"/>
      <c r="L95" s="279"/>
      <c r="M95" s="279"/>
      <c r="N95" s="279"/>
      <c r="O95" s="279"/>
      <c r="P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  <c r="AA95" s="279"/>
      <c r="AB95" s="279"/>
      <c r="AC95" s="279"/>
      <c r="AD95" s="279"/>
      <c r="AE95" s="279"/>
      <c r="AF95" s="279"/>
      <c r="AG95" s="279"/>
      <c r="AH95" s="279"/>
      <c r="AI95" s="279"/>
      <c r="AJ95" s="279"/>
      <c r="AK95" s="279"/>
      <c r="AL95" s="279"/>
      <c r="AM95" s="279"/>
      <c r="AN95" s="279"/>
      <c r="AO95" s="279"/>
      <c r="AP95" s="279"/>
      <c r="AQ95" s="279"/>
      <c r="AR95" s="279"/>
      <c r="AS95" s="279"/>
      <c r="AT95" s="279"/>
      <c r="AU95" s="279"/>
      <c r="AV95" s="279"/>
      <c r="AW95" s="279"/>
      <c r="AX95" s="279"/>
      <c r="AY95" s="279"/>
      <c r="AZ95" s="279"/>
      <c r="BA95" s="279"/>
      <c r="BB95" s="279"/>
      <c r="BC95" s="279"/>
      <c r="BD95" s="279"/>
      <c r="BE95" s="279"/>
      <c r="BF95" s="279"/>
      <c r="BG95" s="279"/>
    </row>
    <row r="96" spans="4:59">
      <c r="D96" s="279"/>
      <c r="E96" s="279"/>
      <c r="F96" s="279"/>
      <c r="G96" s="279"/>
      <c r="H96" s="279"/>
      <c r="I96" s="279"/>
      <c r="J96" s="279"/>
      <c r="K96" s="279"/>
      <c r="L96" s="279"/>
      <c r="M96" s="279"/>
      <c r="N96" s="279"/>
      <c r="O96" s="279"/>
      <c r="P96" s="279"/>
      <c r="Q96" s="279"/>
      <c r="R96" s="279"/>
      <c r="S96" s="279"/>
      <c r="T96" s="279"/>
      <c r="U96" s="279"/>
      <c r="V96" s="279"/>
      <c r="W96" s="279"/>
      <c r="X96" s="279"/>
      <c r="Y96" s="279"/>
      <c r="Z96" s="279"/>
      <c r="AA96" s="279"/>
      <c r="AB96" s="279"/>
      <c r="AC96" s="279"/>
      <c r="AD96" s="279"/>
      <c r="AE96" s="279"/>
      <c r="AF96" s="279"/>
      <c r="AG96" s="279"/>
      <c r="AH96" s="279"/>
      <c r="AI96" s="279"/>
      <c r="AJ96" s="279"/>
      <c r="AK96" s="279"/>
      <c r="AL96" s="279"/>
      <c r="AM96" s="279"/>
      <c r="AN96" s="279"/>
      <c r="AO96" s="279"/>
      <c r="AP96" s="279"/>
      <c r="AQ96" s="279"/>
      <c r="AR96" s="279"/>
      <c r="AS96" s="279"/>
      <c r="AT96" s="279"/>
      <c r="AU96" s="279"/>
      <c r="AV96" s="279"/>
      <c r="AW96" s="279"/>
      <c r="AX96" s="279"/>
      <c r="AY96" s="279"/>
      <c r="AZ96" s="279"/>
      <c r="BA96" s="279"/>
      <c r="BB96" s="279"/>
      <c r="BC96" s="279"/>
      <c r="BD96" s="279"/>
      <c r="BE96" s="279"/>
      <c r="BF96" s="279"/>
      <c r="BG96" s="279"/>
    </row>
    <row r="97" spans="4:59">
      <c r="D97" s="279"/>
      <c r="E97" s="279"/>
      <c r="F97" s="279"/>
      <c r="G97" s="279"/>
      <c r="H97" s="279"/>
      <c r="I97" s="279"/>
      <c r="J97" s="279"/>
      <c r="K97" s="279"/>
      <c r="L97" s="279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  <c r="AA97" s="279"/>
      <c r="AB97" s="279"/>
      <c r="AC97" s="279"/>
      <c r="AD97" s="279"/>
      <c r="AE97" s="279"/>
      <c r="AF97" s="279"/>
      <c r="AG97" s="279"/>
      <c r="AH97" s="279"/>
      <c r="AI97" s="279"/>
      <c r="AJ97" s="279"/>
      <c r="AK97" s="279"/>
      <c r="AL97" s="279"/>
      <c r="AM97" s="279"/>
      <c r="AN97" s="279"/>
      <c r="AO97" s="279"/>
      <c r="AP97" s="279"/>
      <c r="AQ97" s="279"/>
      <c r="AR97" s="279"/>
      <c r="AS97" s="279"/>
      <c r="AT97" s="279"/>
      <c r="AU97" s="279"/>
      <c r="AV97" s="279"/>
      <c r="AW97" s="279"/>
      <c r="AX97" s="279"/>
      <c r="AY97" s="279"/>
      <c r="AZ97" s="279"/>
      <c r="BA97" s="279"/>
      <c r="BB97" s="279"/>
      <c r="BC97" s="279"/>
      <c r="BD97" s="279"/>
      <c r="BE97" s="279"/>
      <c r="BF97" s="279"/>
      <c r="BG97" s="279"/>
    </row>
    <row r="98" spans="4:59">
      <c r="D98" s="279"/>
      <c r="E98" s="279"/>
      <c r="F98" s="279"/>
      <c r="G98" s="279"/>
      <c r="H98" s="279"/>
      <c r="I98" s="279"/>
      <c r="J98" s="279"/>
      <c r="K98" s="279"/>
      <c r="L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  <c r="AA98" s="279"/>
      <c r="AB98" s="279"/>
      <c r="AC98" s="279"/>
      <c r="AD98" s="279"/>
      <c r="AE98" s="279"/>
      <c r="AF98" s="279"/>
      <c r="AG98" s="279"/>
      <c r="AH98" s="279"/>
      <c r="AI98" s="279"/>
      <c r="AJ98" s="279"/>
      <c r="AK98" s="279"/>
      <c r="AL98" s="279"/>
      <c r="AM98" s="279"/>
      <c r="AN98" s="279"/>
      <c r="AO98" s="279"/>
      <c r="AP98" s="279"/>
      <c r="AQ98" s="279"/>
      <c r="AR98" s="279"/>
      <c r="AS98" s="279"/>
      <c r="AT98" s="279"/>
      <c r="AU98" s="279"/>
      <c r="AV98" s="279"/>
      <c r="AW98" s="279"/>
      <c r="AX98" s="279"/>
      <c r="AY98" s="279"/>
      <c r="AZ98" s="279"/>
      <c r="BA98" s="279"/>
      <c r="BB98" s="279"/>
      <c r="BC98" s="279"/>
      <c r="BD98" s="279"/>
      <c r="BE98" s="279"/>
      <c r="BF98" s="279"/>
      <c r="BG98" s="279"/>
    </row>
    <row r="99" spans="4:59">
      <c r="D99" s="279"/>
      <c r="E99" s="279"/>
      <c r="F99" s="279"/>
      <c r="G99" s="279"/>
      <c r="H99" s="279"/>
      <c r="I99" s="279"/>
      <c r="J99" s="279"/>
      <c r="K99" s="279"/>
      <c r="L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  <c r="AA99" s="279"/>
      <c r="AB99" s="279"/>
      <c r="AC99" s="279"/>
      <c r="AD99" s="279"/>
      <c r="AE99" s="279"/>
      <c r="AF99" s="279"/>
      <c r="AG99" s="279"/>
      <c r="AH99" s="279"/>
      <c r="AI99" s="279"/>
      <c r="AJ99" s="279"/>
      <c r="AK99" s="279"/>
      <c r="AL99" s="279"/>
      <c r="AM99" s="279"/>
      <c r="AN99" s="279"/>
      <c r="AO99" s="279"/>
      <c r="AP99" s="279"/>
      <c r="AQ99" s="279"/>
      <c r="AR99" s="279"/>
      <c r="AS99" s="279"/>
      <c r="AT99" s="279"/>
      <c r="AU99" s="279"/>
      <c r="AV99" s="279"/>
      <c r="AW99" s="279"/>
      <c r="AX99" s="279"/>
      <c r="AY99" s="279"/>
      <c r="AZ99" s="279"/>
      <c r="BA99" s="279"/>
      <c r="BB99" s="279"/>
      <c r="BC99" s="279"/>
      <c r="BD99" s="279"/>
      <c r="BE99" s="279"/>
      <c r="BF99" s="279"/>
      <c r="BG99" s="279"/>
    </row>
    <row r="100" spans="4:59"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  <c r="AA100" s="279"/>
      <c r="AB100" s="279"/>
      <c r="AC100" s="279"/>
      <c r="AD100" s="279"/>
      <c r="AE100" s="279"/>
      <c r="AF100" s="279"/>
      <c r="AG100" s="279"/>
      <c r="AH100" s="279"/>
      <c r="AI100" s="279"/>
      <c r="AJ100" s="279"/>
      <c r="AK100" s="279"/>
      <c r="AL100" s="279"/>
      <c r="AM100" s="279"/>
      <c r="AN100" s="279"/>
      <c r="AO100" s="279"/>
      <c r="AP100" s="279"/>
      <c r="AQ100" s="279"/>
      <c r="AR100" s="279"/>
      <c r="AS100" s="279"/>
      <c r="AT100" s="279"/>
      <c r="AU100" s="279"/>
      <c r="AV100" s="279"/>
      <c r="AW100" s="279"/>
      <c r="AX100" s="279"/>
      <c r="AY100" s="279"/>
      <c r="AZ100" s="279"/>
      <c r="BA100" s="279"/>
      <c r="BB100" s="279"/>
      <c r="BC100" s="279"/>
      <c r="BD100" s="279"/>
      <c r="BE100" s="279"/>
      <c r="BF100" s="279"/>
      <c r="BG100" s="279"/>
    </row>
    <row r="101" spans="4:59"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  <c r="AA101" s="279"/>
      <c r="AB101" s="279"/>
      <c r="AC101" s="279"/>
      <c r="AD101" s="279"/>
      <c r="AE101" s="279"/>
      <c r="AF101" s="279"/>
      <c r="AG101" s="279"/>
      <c r="AH101" s="279"/>
      <c r="AI101" s="279"/>
      <c r="AJ101" s="279"/>
      <c r="AK101" s="279"/>
      <c r="AL101" s="279"/>
      <c r="AM101" s="279"/>
      <c r="AN101" s="279"/>
      <c r="AO101" s="279"/>
      <c r="AP101" s="279"/>
      <c r="AQ101" s="279"/>
      <c r="AR101" s="279"/>
      <c r="AS101" s="279"/>
      <c r="AT101" s="279"/>
      <c r="AU101" s="279"/>
      <c r="AV101" s="279"/>
      <c r="AW101" s="279"/>
      <c r="AX101" s="279"/>
      <c r="AY101" s="279"/>
      <c r="AZ101" s="279"/>
      <c r="BA101" s="279"/>
      <c r="BB101" s="279"/>
      <c r="BC101" s="279"/>
      <c r="BD101" s="279"/>
      <c r="BE101" s="279"/>
      <c r="BF101" s="279"/>
      <c r="BG101" s="279"/>
    </row>
    <row r="102" spans="4:59">
      <c r="D102" s="279"/>
      <c r="E102" s="279"/>
      <c r="F102" s="279"/>
      <c r="G102" s="279"/>
      <c r="H102" s="279"/>
      <c r="I102" s="279"/>
      <c r="J102" s="279"/>
      <c r="K102" s="279"/>
      <c r="L102" s="279"/>
      <c r="M102" s="279"/>
      <c r="N102" s="279"/>
      <c r="O102" s="279"/>
      <c r="P102" s="279"/>
      <c r="Q102" s="279"/>
      <c r="R102" s="279"/>
      <c r="S102" s="279"/>
      <c r="T102" s="279"/>
      <c r="U102" s="279"/>
      <c r="V102" s="279"/>
      <c r="W102" s="279"/>
      <c r="X102" s="279"/>
      <c r="Y102" s="279"/>
      <c r="Z102" s="279"/>
      <c r="AA102" s="279"/>
      <c r="AB102" s="279"/>
      <c r="AC102" s="279"/>
      <c r="AD102" s="279"/>
      <c r="AE102" s="279"/>
      <c r="AF102" s="279"/>
      <c r="AG102" s="279"/>
      <c r="AH102" s="279"/>
      <c r="AI102" s="279"/>
      <c r="AJ102" s="279"/>
      <c r="AK102" s="279"/>
      <c r="AL102" s="279"/>
      <c r="AM102" s="279"/>
      <c r="AN102" s="279"/>
      <c r="AO102" s="279"/>
      <c r="AP102" s="279"/>
      <c r="AQ102" s="279"/>
      <c r="AR102" s="279"/>
      <c r="AS102" s="279"/>
      <c r="AT102" s="279"/>
      <c r="AU102" s="279"/>
      <c r="AV102" s="279"/>
      <c r="AW102" s="279"/>
      <c r="AX102" s="279"/>
      <c r="AY102" s="279"/>
      <c r="AZ102" s="279"/>
      <c r="BA102" s="279"/>
      <c r="BB102" s="279"/>
      <c r="BC102" s="279"/>
      <c r="BD102" s="279"/>
      <c r="BE102" s="279"/>
      <c r="BF102" s="279"/>
      <c r="BG102" s="279"/>
    </row>
    <row r="103" spans="4:59">
      <c r="D103" s="279"/>
      <c r="E103" s="279"/>
      <c r="F103" s="279"/>
      <c r="G103" s="279"/>
      <c r="H103" s="279"/>
      <c r="I103" s="279"/>
      <c r="J103" s="279"/>
      <c r="K103" s="279"/>
      <c r="L103" s="279"/>
      <c r="M103" s="279"/>
      <c r="N103" s="279"/>
      <c r="O103" s="279"/>
      <c r="P103" s="279"/>
      <c r="Q103" s="279"/>
      <c r="R103" s="279"/>
      <c r="S103" s="279"/>
      <c r="T103" s="279"/>
      <c r="U103" s="279"/>
      <c r="V103" s="279"/>
      <c r="W103" s="279"/>
      <c r="X103" s="279"/>
      <c r="Y103" s="279"/>
      <c r="Z103" s="279"/>
      <c r="AA103" s="279"/>
      <c r="AB103" s="279"/>
      <c r="AC103" s="279"/>
      <c r="AD103" s="279"/>
      <c r="AE103" s="279"/>
      <c r="AF103" s="279"/>
      <c r="AG103" s="279"/>
      <c r="AH103" s="279"/>
      <c r="AI103" s="279"/>
      <c r="AJ103" s="279"/>
      <c r="AK103" s="279"/>
      <c r="AL103" s="279"/>
      <c r="AM103" s="279"/>
      <c r="AN103" s="279"/>
      <c r="AO103" s="279"/>
      <c r="AP103" s="279"/>
      <c r="AQ103" s="279"/>
      <c r="AR103" s="279"/>
      <c r="AS103" s="279"/>
      <c r="AT103" s="279"/>
      <c r="AU103" s="279"/>
      <c r="AV103" s="279"/>
      <c r="AW103" s="279"/>
      <c r="AX103" s="279"/>
      <c r="AY103" s="279"/>
      <c r="AZ103" s="279"/>
      <c r="BA103" s="279"/>
      <c r="BB103" s="279"/>
      <c r="BC103" s="279"/>
      <c r="BD103" s="279"/>
      <c r="BE103" s="279"/>
      <c r="BF103" s="279"/>
      <c r="BG103" s="279"/>
    </row>
    <row r="104" spans="4:59">
      <c r="D104" s="279"/>
      <c r="E104" s="279"/>
      <c r="F104" s="279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  <c r="AA104" s="279"/>
      <c r="AB104" s="279"/>
      <c r="AC104" s="279"/>
      <c r="AD104" s="279"/>
      <c r="AE104" s="279"/>
      <c r="AF104" s="279"/>
      <c r="AG104" s="279"/>
      <c r="AH104" s="279"/>
      <c r="AI104" s="279"/>
      <c r="AJ104" s="279"/>
      <c r="AK104" s="279"/>
      <c r="AL104" s="279"/>
      <c r="AM104" s="279"/>
      <c r="AN104" s="279"/>
      <c r="AO104" s="279"/>
      <c r="AP104" s="279"/>
      <c r="AQ104" s="279"/>
      <c r="AR104" s="279"/>
      <c r="AS104" s="279"/>
      <c r="AT104" s="279"/>
      <c r="AU104" s="279"/>
      <c r="AV104" s="279"/>
      <c r="AW104" s="279"/>
      <c r="AX104" s="279"/>
      <c r="AY104" s="279"/>
      <c r="AZ104" s="279"/>
      <c r="BA104" s="279"/>
      <c r="BB104" s="279"/>
      <c r="BC104" s="279"/>
      <c r="BD104" s="279"/>
      <c r="BE104" s="279"/>
      <c r="BF104" s="279"/>
      <c r="BG104" s="279"/>
    </row>
    <row r="105" spans="4:59">
      <c r="D105" s="279"/>
      <c r="E105" s="279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  <c r="AA105" s="279"/>
      <c r="AB105" s="279"/>
      <c r="AC105" s="279"/>
      <c r="AD105" s="279"/>
      <c r="AE105" s="279"/>
      <c r="AF105" s="279"/>
      <c r="AG105" s="279"/>
      <c r="AH105" s="279"/>
      <c r="AI105" s="279"/>
      <c r="AJ105" s="279"/>
      <c r="AK105" s="279"/>
      <c r="AL105" s="279"/>
      <c r="AM105" s="279"/>
      <c r="AN105" s="279"/>
      <c r="AO105" s="279"/>
      <c r="AP105" s="279"/>
      <c r="AQ105" s="279"/>
      <c r="AR105" s="279"/>
      <c r="AS105" s="279"/>
      <c r="AT105" s="279"/>
      <c r="AU105" s="279"/>
      <c r="AV105" s="279"/>
      <c r="AW105" s="279"/>
      <c r="AX105" s="279"/>
      <c r="AY105" s="279"/>
      <c r="AZ105" s="279"/>
      <c r="BA105" s="279"/>
      <c r="BB105" s="279"/>
      <c r="BC105" s="279"/>
      <c r="BD105" s="279"/>
      <c r="BE105" s="279"/>
      <c r="BF105" s="279"/>
      <c r="BG105" s="279"/>
    </row>
    <row r="106" spans="4:59">
      <c r="D106" s="279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  <c r="AA106" s="279"/>
      <c r="AB106" s="279"/>
      <c r="AC106" s="279"/>
      <c r="AD106" s="279"/>
      <c r="AE106" s="279"/>
      <c r="AF106" s="279"/>
      <c r="AG106" s="279"/>
      <c r="AH106" s="279"/>
      <c r="AI106" s="279"/>
      <c r="AJ106" s="279"/>
      <c r="AK106" s="279"/>
      <c r="AL106" s="279"/>
      <c r="AM106" s="279"/>
      <c r="AN106" s="279"/>
      <c r="AO106" s="279"/>
      <c r="AP106" s="279"/>
      <c r="AQ106" s="279"/>
      <c r="AR106" s="279"/>
      <c r="AS106" s="279"/>
      <c r="AT106" s="279"/>
      <c r="AU106" s="279"/>
      <c r="AV106" s="279"/>
      <c r="AW106" s="279"/>
      <c r="AX106" s="279"/>
      <c r="AY106" s="279"/>
      <c r="AZ106" s="279"/>
      <c r="BA106" s="279"/>
      <c r="BB106" s="279"/>
      <c r="BC106" s="279"/>
      <c r="BD106" s="279"/>
      <c r="BE106" s="279"/>
      <c r="BF106" s="279"/>
      <c r="BG106" s="279"/>
    </row>
    <row r="107" spans="4:59">
      <c r="D107" s="279"/>
      <c r="E107" s="279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  <c r="AA107" s="279"/>
      <c r="AB107" s="279"/>
      <c r="AC107" s="279"/>
      <c r="AD107" s="279"/>
      <c r="AE107" s="279"/>
      <c r="AF107" s="279"/>
      <c r="AG107" s="279"/>
      <c r="AH107" s="279"/>
      <c r="AI107" s="279"/>
      <c r="AJ107" s="279"/>
      <c r="AK107" s="279"/>
      <c r="AL107" s="279"/>
      <c r="AM107" s="279"/>
      <c r="AN107" s="279"/>
      <c r="AO107" s="279"/>
      <c r="AP107" s="279"/>
      <c r="AQ107" s="279"/>
      <c r="AR107" s="279"/>
      <c r="AS107" s="279"/>
      <c r="AT107" s="279"/>
      <c r="AU107" s="279"/>
      <c r="AV107" s="279"/>
      <c r="AW107" s="279"/>
      <c r="AX107" s="279"/>
      <c r="AY107" s="279"/>
      <c r="AZ107" s="279"/>
      <c r="BA107" s="279"/>
      <c r="BB107" s="279"/>
      <c r="BC107" s="279"/>
      <c r="BD107" s="279"/>
      <c r="BE107" s="279"/>
      <c r="BF107" s="279"/>
      <c r="BG107" s="279"/>
    </row>
    <row r="108" spans="4:59"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  <c r="AA108" s="279"/>
      <c r="AB108" s="279"/>
      <c r="AC108" s="279"/>
      <c r="AD108" s="279"/>
      <c r="AE108" s="279"/>
      <c r="AF108" s="279"/>
      <c r="AG108" s="279"/>
      <c r="AH108" s="279"/>
      <c r="AI108" s="279"/>
      <c r="AJ108" s="279"/>
      <c r="AK108" s="279"/>
      <c r="AL108" s="279"/>
      <c r="AM108" s="279"/>
      <c r="AN108" s="279"/>
      <c r="AO108" s="279"/>
      <c r="AP108" s="279"/>
      <c r="AQ108" s="279"/>
      <c r="AR108" s="279"/>
      <c r="AS108" s="279"/>
      <c r="AT108" s="279"/>
      <c r="AU108" s="279"/>
      <c r="AV108" s="279"/>
      <c r="AW108" s="279"/>
      <c r="AX108" s="279"/>
      <c r="AY108" s="279"/>
      <c r="AZ108" s="279"/>
      <c r="BA108" s="279"/>
      <c r="BB108" s="279"/>
      <c r="BC108" s="279"/>
      <c r="BD108" s="279"/>
      <c r="BE108" s="279"/>
      <c r="BF108" s="279"/>
      <c r="BG108" s="279"/>
    </row>
    <row r="109" spans="4:59"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  <c r="AA109" s="279"/>
      <c r="AB109" s="279"/>
      <c r="AC109" s="279"/>
      <c r="AD109" s="279"/>
      <c r="AE109" s="279"/>
      <c r="AF109" s="279"/>
      <c r="AG109" s="279"/>
      <c r="AH109" s="279"/>
      <c r="AI109" s="279"/>
      <c r="AJ109" s="279"/>
      <c r="AK109" s="279"/>
      <c r="AL109" s="279"/>
      <c r="AM109" s="279"/>
      <c r="AN109" s="279"/>
      <c r="AO109" s="279"/>
      <c r="AP109" s="279"/>
      <c r="AQ109" s="279"/>
      <c r="AR109" s="279"/>
      <c r="AS109" s="279"/>
      <c r="AT109" s="279"/>
      <c r="AU109" s="279"/>
      <c r="AV109" s="279"/>
      <c r="AW109" s="279"/>
      <c r="AX109" s="279"/>
      <c r="AY109" s="279"/>
      <c r="AZ109" s="279"/>
      <c r="BA109" s="279"/>
      <c r="BB109" s="279"/>
      <c r="BC109" s="279"/>
      <c r="BD109" s="279"/>
      <c r="BE109" s="279"/>
      <c r="BF109" s="279"/>
      <c r="BG109" s="279"/>
    </row>
    <row r="110" spans="4:59"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  <c r="AA110" s="279"/>
      <c r="AB110" s="279"/>
      <c r="AC110" s="279"/>
      <c r="AD110" s="279"/>
      <c r="AE110" s="279"/>
      <c r="AF110" s="279"/>
      <c r="AG110" s="279"/>
      <c r="AH110" s="279"/>
      <c r="AI110" s="279"/>
      <c r="AJ110" s="279"/>
      <c r="AK110" s="279"/>
      <c r="AL110" s="279"/>
      <c r="AM110" s="279"/>
      <c r="AN110" s="279"/>
      <c r="AO110" s="279"/>
      <c r="AP110" s="279"/>
      <c r="AQ110" s="279"/>
      <c r="AR110" s="279"/>
      <c r="AS110" s="279"/>
      <c r="AT110" s="279"/>
      <c r="AU110" s="279"/>
      <c r="AV110" s="279"/>
      <c r="AW110" s="279"/>
      <c r="AX110" s="279"/>
      <c r="AY110" s="279"/>
      <c r="AZ110" s="279"/>
      <c r="BA110" s="279"/>
      <c r="BB110" s="279"/>
      <c r="BC110" s="279"/>
      <c r="BD110" s="279"/>
      <c r="BE110" s="279"/>
      <c r="BF110" s="279"/>
      <c r="BG110" s="279"/>
    </row>
    <row r="111" spans="4:59"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  <c r="AA111" s="279"/>
      <c r="AB111" s="279"/>
      <c r="AC111" s="279"/>
      <c r="AD111" s="279"/>
      <c r="AE111" s="279"/>
      <c r="AF111" s="279"/>
      <c r="AG111" s="279"/>
      <c r="AH111" s="279"/>
      <c r="AI111" s="279"/>
      <c r="AJ111" s="279"/>
      <c r="AK111" s="279"/>
      <c r="AL111" s="279"/>
      <c r="AM111" s="279"/>
      <c r="AN111" s="279"/>
      <c r="AO111" s="279"/>
      <c r="AP111" s="279"/>
      <c r="AQ111" s="279"/>
      <c r="AR111" s="279"/>
      <c r="AS111" s="279"/>
      <c r="AT111" s="279"/>
      <c r="AU111" s="279"/>
      <c r="AV111" s="279"/>
      <c r="AW111" s="279"/>
      <c r="AX111" s="279"/>
      <c r="AY111" s="279"/>
      <c r="AZ111" s="279"/>
      <c r="BA111" s="279"/>
      <c r="BB111" s="279"/>
      <c r="BC111" s="279"/>
      <c r="BD111" s="279"/>
      <c r="BE111" s="279"/>
      <c r="BF111" s="279"/>
      <c r="BG111" s="279"/>
    </row>
    <row r="112" spans="4:59"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  <c r="AA112" s="279"/>
      <c r="AB112" s="279"/>
      <c r="AC112" s="279"/>
      <c r="AD112" s="279"/>
      <c r="AE112" s="279"/>
      <c r="AF112" s="279"/>
      <c r="AG112" s="279"/>
      <c r="AH112" s="279"/>
      <c r="AI112" s="279"/>
      <c r="AJ112" s="279"/>
      <c r="AK112" s="279"/>
      <c r="AL112" s="279"/>
      <c r="AM112" s="279"/>
      <c r="AN112" s="279"/>
      <c r="AO112" s="279"/>
      <c r="AP112" s="279"/>
      <c r="AQ112" s="279"/>
      <c r="AR112" s="279"/>
      <c r="AS112" s="279"/>
      <c r="AT112" s="279"/>
      <c r="AU112" s="279"/>
      <c r="AV112" s="279"/>
      <c r="AW112" s="279"/>
      <c r="AX112" s="279"/>
      <c r="AY112" s="279"/>
      <c r="AZ112" s="279"/>
      <c r="BA112" s="279"/>
      <c r="BB112" s="279"/>
      <c r="BC112" s="279"/>
      <c r="BD112" s="279"/>
      <c r="BE112" s="279"/>
      <c r="BF112" s="279"/>
      <c r="BG112" s="279"/>
    </row>
    <row r="113" spans="4:61"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  <c r="AA113" s="279"/>
      <c r="AB113" s="279"/>
      <c r="AC113" s="279"/>
      <c r="AD113" s="279"/>
      <c r="AE113" s="279"/>
      <c r="AF113" s="279"/>
      <c r="AG113" s="279"/>
      <c r="AH113" s="279"/>
      <c r="AI113" s="279"/>
      <c r="AJ113" s="279"/>
      <c r="AK113" s="279"/>
      <c r="AL113" s="279"/>
      <c r="AM113" s="279"/>
      <c r="AN113" s="279"/>
      <c r="AO113" s="279"/>
      <c r="AP113" s="279"/>
      <c r="AQ113" s="279"/>
      <c r="AR113" s="279"/>
      <c r="AS113" s="279"/>
      <c r="AT113" s="279"/>
      <c r="AU113" s="279"/>
      <c r="AV113" s="279"/>
      <c r="AW113" s="279"/>
      <c r="AX113" s="279"/>
      <c r="AY113" s="279"/>
      <c r="AZ113" s="279"/>
      <c r="BA113" s="279"/>
      <c r="BB113" s="279"/>
      <c r="BC113" s="279"/>
      <c r="BD113" s="279"/>
      <c r="BE113" s="279"/>
      <c r="BF113" s="279"/>
      <c r="BG113" s="279"/>
    </row>
    <row r="114" spans="4:61"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  <c r="AA114" s="279"/>
      <c r="AB114" s="279"/>
      <c r="AC114" s="279"/>
      <c r="AD114" s="279"/>
      <c r="AE114" s="279"/>
      <c r="AF114" s="279"/>
      <c r="AG114" s="279"/>
      <c r="AH114" s="279"/>
      <c r="AI114" s="279"/>
      <c r="AJ114" s="279"/>
      <c r="AK114" s="279"/>
      <c r="AL114" s="279"/>
      <c r="AM114" s="279"/>
      <c r="AN114" s="279"/>
      <c r="AO114" s="279"/>
      <c r="AP114" s="279"/>
      <c r="AQ114" s="279"/>
      <c r="AR114" s="279"/>
      <c r="AS114" s="279"/>
      <c r="AT114" s="279"/>
      <c r="AU114" s="279"/>
      <c r="AV114" s="279"/>
      <c r="AW114" s="279"/>
      <c r="AX114" s="279"/>
      <c r="AY114" s="279"/>
      <c r="AZ114" s="279"/>
      <c r="BA114" s="279"/>
      <c r="BB114" s="279"/>
      <c r="BC114" s="279"/>
      <c r="BD114" s="279"/>
      <c r="BE114" s="279"/>
      <c r="BF114" s="279"/>
      <c r="BG114" s="279"/>
    </row>
    <row r="115" spans="4:61"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  <c r="AA115" s="279"/>
      <c r="AB115" s="279"/>
      <c r="AC115" s="279"/>
      <c r="AD115" s="279"/>
      <c r="AE115" s="279"/>
      <c r="AF115" s="279"/>
      <c r="AG115" s="279"/>
      <c r="AH115" s="279"/>
      <c r="AI115" s="279"/>
      <c r="AJ115" s="279"/>
      <c r="AK115" s="279"/>
      <c r="AL115" s="279"/>
      <c r="AM115" s="279"/>
      <c r="AN115" s="279"/>
      <c r="AO115" s="279"/>
      <c r="AP115" s="279"/>
      <c r="AQ115" s="279"/>
      <c r="AR115" s="279"/>
      <c r="AS115" s="279"/>
      <c r="AT115" s="279"/>
      <c r="AU115" s="279"/>
      <c r="AV115" s="279"/>
      <c r="AW115" s="279"/>
      <c r="AX115" s="279"/>
      <c r="AY115" s="279"/>
      <c r="AZ115" s="279"/>
      <c r="BA115" s="279"/>
      <c r="BB115" s="279"/>
      <c r="BC115" s="279"/>
      <c r="BD115" s="279"/>
      <c r="BE115" s="279"/>
      <c r="BF115" s="279"/>
      <c r="BG115" s="279"/>
      <c r="BH115" s="27"/>
      <c r="BI115" s="27"/>
    </row>
    <row r="116" spans="4:61"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  <c r="AA116" s="279"/>
      <c r="AB116" s="279"/>
      <c r="AC116" s="279"/>
      <c r="AD116" s="279"/>
      <c r="AE116" s="279"/>
      <c r="AF116" s="279"/>
      <c r="AG116" s="279"/>
      <c r="AH116" s="279"/>
      <c r="AI116" s="279"/>
      <c r="AJ116" s="279"/>
      <c r="AK116" s="279"/>
      <c r="AL116" s="279"/>
      <c r="AM116" s="279"/>
      <c r="AN116" s="279"/>
      <c r="AO116" s="279"/>
      <c r="AP116" s="279"/>
      <c r="AQ116" s="279"/>
      <c r="AR116" s="279"/>
      <c r="AS116" s="279"/>
      <c r="AT116" s="279"/>
      <c r="AU116" s="279"/>
      <c r="AV116" s="279"/>
      <c r="AW116" s="279"/>
      <c r="AX116" s="279"/>
      <c r="AY116" s="279"/>
      <c r="AZ116" s="279"/>
      <c r="BA116" s="279"/>
      <c r="BB116" s="279"/>
      <c r="BC116" s="279"/>
      <c r="BD116" s="279"/>
      <c r="BE116" s="279"/>
      <c r="BF116" s="279"/>
      <c r="BG116" s="279"/>
      <c r="BI116" s="22"/>
    </row>
    <row r="117" spans="4:61">
      <c r="D117" s="279"/>
      <c r="E117" s="279"/>
      <c r="F117" s="279"/>
      <c r="G117" s="279"/>
      <c r="H117" s="279"/>
      <c r="I117" s="279"/>
      <c r="J117" s="279"/>
      <c r="K117" s="279"/>
      <c r="L117" s="279"/>
      <c r="M117" s="279"/>
      <c r="N117" s="279"/>
      <c r="O117" s="279"/>
      <c r="P117" s="279"/>
      <c r="Q117" s="279"/>
      <c r="R117" s="279"/>
      <c r="S117" s="279"/>
      <c r="T117" s="279"/>
      <c r="U117" s="279"/>
      <c r="V117" s="279"/>
      <c r="W117" s="279"/>
      <c r="X117" s="279"/>
      <c r="Y117" s="279"/>
      <c r="Z117" s="279"/>
      <c r="AA117" s="279"/>
      <c r="AB117" s="279"/>
      <c r="AC117" s="279"/>
      <c r="AD117" s="279"/>
      <c r="AE117" s="279"/>
      <c r="AF117" s="279"/>
      <c r="AG117" s="279"/>
      <c r="AH117" s="279"/>
      <c r="AI117" s="279"/>
      <c r="AJ117" s="279"/>
      <c r="AK117" s="279"/>
      <c r="AL117" s="279"/>
      <c r="AM117" s="279"/>
      <c r="AN117" s="279"/>
      <c r="AO117" s="279"/>
      <c r="AP117" s="279"/>
      <c r="AQ117" s="279"/>
      <c r="AR117" s="279"/>
      <c r="AS117" s="279"/>
      <c r="AT117" s="279"/>
      <c r="AU117" s="279"/>
      <c r="AV117" s="279"/>
      <c r="AW117" s="279"/>
      <c r="AX117" s="279"/>
      <c r="AY117" s="279"/>
      <c r="AZ117" s="279"/>
      <c r="BA117" s="279"/>
      <c r="BB117" s="279"/>
      <c r="BC117" s="279"/>
      <c r="BD117" s="279"/>
      <c r="BE117" s="279"/>
      <c r="BF117" s="279"/>
      <c r="BG117" s="279"/>
    </row>
    <row r="118" spans="4:61"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  <c r="AA118" s="279"/>
      <c r="AB118" s="279"/>
      <c r="AC118" s="279"/>
      <c r="AD118" s="279"/>
      <c r="AE118" s="279"/>
      <c r="AF118" s="279"/>
      <c r="AG118" s="279"/>
      <c r="AH118" s="279"/>
      <c r="AI118" s="279"/>
      <c r="AJ118" s="279"/>
      <c r="AK118" s="279"/>
      <c r="AL118" s="279"/>
      <c r="AM118" s="279"/>
      <c r="AN118" s="279"/>
      <c r="AO118" s="279"/>
      <c r="AP118" s="279"/>
      <c r="AQ118" s="279"/>
      <c r="AR118" s="279"/>
      <c r="AS118" s="279"/>
      <c r="AT118" s="279"/>
      <c r="AU118" s="279"/>
      <c r="AV118" s="279"/>
      <c r="AW118" s="279"/>
      <c r="AX118" s="279"/>
      <c r="AY118" s="279"/>
      <c r="AZ118" s="279"/>
      <c r="BA118" s="279"/>
      <c r="BB118" s="279"/>
      <c r="BC118" s="279"/>
      <c r="BD118" s="279"/>
      <c r="BE118" s="279"/>
      <c r="BF118" s="279"/>
      <c r="BG118" s="279"/>
      <c r="BH118" s="56"/>
    </row>
    <row r="119" spans="4:61"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  <c r="AA119" s="279"/>
      <c r="AB119" s="279"/>
      <c r="AC119" s="279"/>
      <c r="AD119" s="279"/>
      <c r="AE119" s="279"/>
      <c r="AF119" s="279"/>
      <c r="AG119" s="279"/>
      <c r="AH119" s="279"/>
      <c r="AI119" s="279"/>
      <c r="AJ119" s="279"/>
      <c r="AK119" s="279"/>
      <c r="AL119" s="279"/>
      <c r="AM119" s="279"/>
      <c r="AN119" s="279"/>
      <c r="AO119" s="279"/>
      <c r="AP119" s="279"/>
      <c r="AQ119" s="279"/>
      <c r="AR119" s="279"/>
      <c r="AS119" s="279"/>
      <c r="AT119" s="279"/>
      <c r="AU119" s="279"/>
      <c r="AV119" s="279"/>
      <c r="AW119" s="279"/>
      <c r="AX119" s="279"/>
      <c r="AY119" s="279"/>
      <c r="AZ119" s="279"/>
      <c r="BA119" s="279"/>
      <c r="BB119" s="279"/>
      <c r="BC119" s="279"/>
      <c r="BD119" s="279"/>
      <c r="BE119" s="279"/>
      <c r="BF119" s="279"/>
      <c r="BG119" s="279"/>
    </row>
    <row r="120" spans="4:61"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  <c r="AA120" s="279"/>
      <c r="AB120" s="279"/>
      <c r="AC120" s="279"/>
      <c r="AD120" s="279"/>
      <c r="AE120" s="279"/>
      <c r="AF120" s="279"/>
      <c r="AG120" s="279"/>
      <c r="AH120" s="279"/>
      <c r="AI120" s="279"/>
      <c r="AJ120" s="279"/>
      <c r="AK120" s="279"/>
      <c r="AL120" s="279"/>
      <c r="AM120" s="279"/>
      <c r="AN120" s="279"/>
      <c r="AO120" s="279"/>
      <c r="AP120" s="279"/>
      <c r="AQ120" s="279"/>
      <c r="AR120" s="279"/>
      <c r="AS120" s="279"/>
      <c r="AT120" s="279"/>
      <c r="AU120" s="279"/>
      <c r="AV120" s="279"/>
      <c r="AW120" s="279"/>
      <c r="AX120" s="279"/>
      <c r="AY120" s="279"/>
      <c r="AZ120" s="279"/>
      <c r="BA120" s="279"/>
      <c r="BB120" s="279"/>
      <c r="BC120" s="279"/>
      <c r="BD120" s="279"/>
      <c r="BE120" s="279"/>
      <c r="BF120" s="279"/>
      <c r="BG120" s="279"/>
    </row>
    <row r="121" spans="4:61"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  <c r="AA121" s="279"/>
      <c r="AB121" s="279"/>
      <c r="AC121" s="279"/>
      <c r="AD121" s="279"/>
      <c r="AE121" s="279"/>
      <c r="AF121" s="279"/>
      <c r="AG121" s="279"/>
      <c r="AH121" s="279"/>
      <c r="AI121" s="279"/>
      <c r="AJ121" s="279"/>
      <c r="AK121" s="279"/>
      <c r="AL121" s="279"/>
      <c r="AM121" s="279"/>
      <c r="AN121" s="279"/>
      <c r="AO121" s="279"/>
      <c r="AP121" s="279"/>
      <c r="AQ121" s="279"/>
      <c r="AR121" s="279"/>
      <c r="AS121" s="279"/>
      <c r="AT121" s="279"/>
      <c r="AU121" s="279"/>
      <c r="AV121" s="279"/>
      <c r="AW121" s="279"/>
      <c r="AX121" s="279"/>
      <c r="AY121" s="279"/>
      <c r="AZ121" s="279"/>
      <c r="BA121" s="279"/>
      <c r="BB121" s="279"/>
      <c r="BC121" s="279"/>
      <c r="BD121" s="279"/>
      <c r="BE121" s="279"/>
      <c r="BF121" s="279"/>
      <c r="BG121" s="279"/>
    </row>
    <row r="122" spans="4:61">
      <c r="D122" s="279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  <c r="AA122" s="279"/>
      <c r="AB122" s="279"/>
      <c r="AC122" s="279"/>
      <c r="AD122" s="279"/>
      <c r="AE122" s="279"/>
      <c r="AF122" s="279"/>
      <c r="AG122" s="279"/>
      <c r="AH122" s="279"/>
      <c r="AI122" s="279"/>
      <c r="AJ122" s="279"/>
      <c r="AK122" s="279"/>
      <c r="AL122" s="279"/>
      <c r="AM122" s="279"/>
      <c r="AN122" s="279"/>
      <c r="AO122" s="279"/>
      <c r="AP122" s="279"/>
      <c r="AQ122" s="279"/>
      <c r="AR122" s="279"/>
      <c r="AS122" s="279"/>
      <c r="AT122" s="279"/>
      <c r="AU122" s="279"/>
      <c r="AV122" s="379"/>
      <c r="AW122" s="379"/>
      <c r="AX122" s="279"/>
      <c r="AY122" s="279"/>
      <c r="AZ122" s="279"/>
      <c r="BA122" s="279"/>
      <c r="BB122" s="279"/>
      <c r="BC122" s="279"/>
      <c r="BD122" s="279"/>
      <c r="BE122" s="279"/>
      <c r="BF122" s="279"/>
      <c r="BG122" s="279"/>
    </row>
    <row r="123" spans="4:61">
      <c r="D123" s="279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  <c r="AA123" s="279"/>
      <c r="AB123" s="279"/>
      <c r="AC123" s="279"/>
      <c r="AD123" s="279"/>
      <c r="AE123" s="279"/>
      <c r="AF123" s="279"/>
      <c r="AG123" s="279"/>
      <c r="AH123" s="279"/>
      <c r="AI123" s="279"/>
      <c r="AJ123" s="279"/>
      <c r="AK123" s="279"/>
      <c r="AL123" s="279"/>
      <c r="AM123" s="279"/>
      <c r="AN123" s="279"/>
      <c r="AO123" s="279"/>
      <c r="AP123" s="279"/>
      <c r="AQ123" s="279"/>
      <c r="AR123" s="279"/>
      <c r="AS123" s="279"/>
      <c r="AT123" s="279"/>
      <c r="AU123" s="279"/>
      <c r="AV123" s="279"/>
      <c r="AW123" s="279"/>
      <c r="AX123" s="279"/>
      <c r="AY123" s="279"/>
      <c r="AZ123" s="279"/>
      <c r="BA123" s="279"/>
      <c r="BB123" s="279"/>
      <c r="BC123" s="279"/>
      <c r="BD123" s="279"/>
      <c r="BE123" s="279"/>
      <c r="BF123" s="279"/>
      <c r="BG123" s="279"/>
    </row>
    <row r="124" spans="4:61"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  <c r="AA124" s="279"/>
      <c r="AB124" s="279"/>
      <c r="AC124" s="279"/>
      <c r="AD124" s="279"/>
      <c r="AE124" s="279"/>
      <c r="AF124" s="279"/>
      <c r="AG124" s="279"/>
      <c r="AH124" s="279"/>
      <c r="AI124" s="279"/>
      <c r="AJ124" s="279"/>
      <c r="AK124" s="279"/>
      <c r="AL124" s="279"/>
      <c r="AM124" s="279"/>
      <c r="AN124" s="279"/>
      <c r="AO124" s="279"/>
      <c r="AP124" s="279"/>
      <c r="AQ124" s="279"/>
      <c r="AR124" s="279"/>
      <c r="AS124" s="279"/>
      <c r="AT124" s="279"/>
      <c r="AU124" s="279"/>
      <c r="AV124" s="279"/>
      <c r="AW124" s="279"/>
      <c r="AX124" s="279"/>
      <c r="AY124" s="279"/>
      <c r="AZ124" s="279"/>
      <c r="BA124" s="279"/>
      <c r="BB124" s="279"/>
      <c r="BC124" s="279"/>
      <c r="BD124" s="279"/>
      <c r="BE124" s="279"/>
      <c r="BF124" s="279"/>
      <c r="BG124" s="279"/>
    </row>
    <row r="125" spans="4:61">
      <c r="AR125" s="279"/>
    </row>
    <row r="126" spans="4:61">
      <c r="AR126" s="279"/>
      <c r="AT126" s="279"/>
    </row>
    <row r="127" spans="4:61">
      <c r="AR127" s="279"/>
    </row>
    <row r="128" spans="4:61">
      <c r="AR128" s="279"/>
      <c r="AS128" s="279"/>
      <c r="AT128" s="279"/>
      <c r="AU128" s="279"/>
      <c r="AV128" s="279"/>
      <c r="AW128" s="279"/>
      <c r="AX128" s="279"/>
      <c r="AY128" s="279"/>
      <c r="AZ128" s="279"/>
      <c r="BA128" s="279"/>
      <c r="BB128" s="279"/>
      <c r="BC128" s="279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L32" zoomScale="80" zoomScaleNormal="80" workbookViewId="0">
      <selection activeCell="Q54" sqref="Q54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</row>
    <row r="2" spans="9:38">
      <c r="AK2" s="291"/>
      <c r="AL2" s="291"/>
    </row>
    <row r="3" spans="9:38">
      <c r="AK3" s="291"/>
      <c r="AL3" s="291"/>
    </row>
    <row r="4" spans="9:38">
      <c r="AK4" s="291"/>
      <c r="AL4" s="291"/>
    </row>
    <row r="5" spans="9:38" ht="21" customHeight="1">
      <c r="I5" s="290"/>
      <c r="AK5" s="291"/>
      <c r="AL5" s="291"/>
    </row>
    <row r="6" spans="9:38">
      <c r="I6" s="291"/>
      <c r="AK6" s="291"/>
      <c r="AL6" s="291"/>
    </row>
    <row r="7" spans="9:38" ht="15.75" customHeight="1">
      <c r="I7" s="291"/>
      <c r="AK7" s="291"/>
      <c r="AL7" s="291"/>
    </row>
    <row r="8" spans="9:38">
      <c r="I8" s="291"/>
      <c r="AK8" s="291"/>
      <c r="AL8" s="291"/>
    </row>
    <row r="9" spans="9:38">
      <c r="I9" s="291"/>
      <c r="AK9" s="291"/>
      <c r="AL9" s="291"/>
    </row>
    <row r="10" spans="9:38">
      <c r="I10" s="291"/>
      <c r="AK10" s="291"/>
      <c r="AL10" s="291"/>
    </row>
    <row r="11" spans="9:38">
      <c r="AK11" s="291"/>
      <c r="AL11" s="291"/>
    </row>
    <row r="12" spans="9:38">
      <c r="AK12" s="291"/>
      <c r="AL12" s="291"/>
    </row>
    <row r="13" spans="9:38">
      <c r="AK13" s="291"/>
      <c r="AL13" s="291"/>
    </row>
    <row r="14" spans="9:38">
      <c r="Q14" s="22"/>
      <c r="T14" s="291"/>
      <c r="U14" s="291"/>
      <c r="V14" s="291"/>
      <c r="W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</row>
    <row r="15" spans="9:38">
      <c r="T15" s="291"/>
      <c r="U15" s="291"/>
      <c r="V15" s="291"/>
      <c r="W15" s="291"/>
      <c r="Y15" s="291"/>
      <c r="Z15" s="291"/>
      <c r="AA15" s="291"/>
      <c r="AB15" s="291"/>
      <c r="AC15" s="291"/>
      <c r="AD15" s="291"/>
      <c r="AE15" s="291"/>
      <c r="AF15" s="291"/>
      <c r="AG15" s="291"/>
      <c r="AH15" s="291"/>
      <c r="AI15" s="291"/>
      <c r="AJ15" s="291"/>
      <c r="AK15" s="291"/>
    </row>
    <row r="16" spans="9:38" ht="21">
      <c r="AB16" s="102"/>
      <c r="AC16" s="291"/>
      <c r="AD16" s="291"/>
      <c r="AE16" s="291"/>
      <c r="AF16" s="291"/>
      <c r="AG16" s="291"/>
      <c r="AH16" s="291"/>
      <c r="AI16" s="291"/>
      <c r="AJ16" s="291"/>
      <c r="AK16" s="291"/>
    </row>
    <row r="17" spans="1:38">
      <c r="H17" s="290"/>
      <c r="Q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1"/>
      <c r="AG17" s="291"/>
      <c r="AH17" s="291"/>
      <c r="AI17" s="291"/>
      <c r="AJ17" s="291"/>
      <c r="AK17" s="291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198</v>
      </c>
      <c r="N18" s="98"/>
      <c r="O18" s="98"/>
      <c r="Q18" s="291"/>
      <c r="W18" s="291"/>
      <c r="X18" s="291"/>
      <c r="Y18" s="101" t="s">
        <v>196</v>
      </c>
      <c r="Z18" s="101"/>
      <c r="AA18" s="101"/>
      <c r="AB18" s="291"/>
      <c r="AC18" s="291"/>
      <c r="AD18" s="291"/>
      <c r="AE18" s="291"/>
      <c r="AJ18" s="291"/>
      <c r="AK18" s="291"/>
      <c r="AL18" s="291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291"/>
      <c r="AE19" s="291"/>
      <c r="AJ19" s="291"/>
      <c r="AK19" s="291"/>
      <c r="AL19" s="291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91"/>
      <c r="W20" s="291"/>
      <c r="X20" s="403" t="s">
        <v>22</v>
      </c>
      <c r="Y20" s="404"/>
      <c r="Z20" s="404"/>
      <c r="AA20" s="405"/>
      <c r="AB20" s="291"/>
      <c r="AC20" s="291"/>
      <c r="AD20" s="291"/>
      <c r="AK20" s="291"/>
      <c r="AL20" s="291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291"/>
      <c r="O21" s="23"/>
      <c r="X21" s="16"/>
      <c r="Y21" s="17"/>
      <c r="Z21" s="18"/>
      <c r="AK21" s="291"/>
      <c r="AL21" s="291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291"/>
      <c r="L22" s="36" t="s">
        <v>3</v>
      </c>
      <c r="M22" s="34"/>
      <c r="N22" s="15" t="s">
        <v>18</v>
      </c>
      <c r="O22" s="36" t="s">
        <v>49</v>
      </c>
      <c r="P22" s="73"/>
      <c r="Q22" s="291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82.26</v>
      </c>
      <c r="AD22" s="291" t="s">
        <v>18</v>
      </c>
      <c r="AK22" s="291"/>
      <c r="AL22" s="291"/>
    </row>
    <row r="23" spans="1:38" ht="18">
      <c r="B23" s="87"/>
      <c r="C23" s="87"/>
      <c r="D23" s="87"/>
      <c r="E23" s="87"/>
      <c r="K23" s="291"/>
      <c r="L23" s="36" t="s">
        <v>4</v>
      </c>
      <c r="M23" s="34"/>
      <c r="N23" s="15" t="s">
        <v>18</v>
      </c>
      <c r="O23" s="36" t="s">
        <v>27</v>
      </c>
      <c r="P23" s="34"/>
      <c r="Q23" s="291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0.05/100</f>
        <v>5.0000000000000001E-4</v>
      </c>
      <c r="AD23" s="291" t="s">
        <v>33</v>
      </c>
      <c r="AK23" s="291"/>
      <c r="AL23" s="291"/>
    </row>
    <row r="24" spans="1:38">
      <c r="A24" s="161" t="s">
        <v>160</v>
      </c>
      <c r="B24" s="161"/>
      <c r="K24" s="291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291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4.1130000000000007E-2</v>
      </c>
      <c r="AD24" s="291" t="s">
        <v>18</v>
      </c>
      <c r="AK24" s="291"/>
      <c r="AL24" s="291"/>
    </row>
    <row r="25" spans="1:38">
      <c r="L25" s="67" t="s">
        <v>30</v>
      </c>
      <c r="M25" s="37">
        <f>P23*M24</f>
        <v>0</v>
      </c>
      <c r="N25" s="15" t="s">
        <v>18</v>
      </c>
      <c r="Q25" s="291"/>
      <c r="W25" s="291"/>
      <c r="X25" s="294" t="s">
        <v>30</v>
      </c>
      <c r="Y25" s="295"/>
      <c r="Z25" s="104">
        <f>AC23*Z24</f>
        <v>0</v>
      </c>
      <c r="AA25" s="15" t="s">
        <v>18</v>
      </c>
      <c r="AK25" s="291"/>
      <c r="AL25" s="291"/>
    </row>
    <row r="26" spans="1:38">
      <c r="A26" s="23"/>
      <c r="W26" s="291"/>
      <c r="X26" s="291"/>
      <c r="Y26" s="291"/>
      <c r="Z26" s="291"/>
      <c r="AA26" s="23"/>
      <c r="AL26" s="291"/>
    </row>
    <row r="27" spans="1:38">
      <c r="A27" s="23"/>
      <c r="I27" s="291"/>
      <c r="J27" s="291"/>
      <c r="K27" s="291"/>
      <c r="L27" s="291"/>
      <c r="AD27" s="31">
        <f>AC22+Z24</f>
        <v>82.26</v>
      </c>
      <c r="AE27" s="15">
        <f>AC24+Z25</f>
        <v>4.1130000000000007E-2</v>
      </c>
      <c r="AL27" s="291"/>
    </row>
    <row r="28" spans="1:38" ht="21">
      <c r="D28" s="143" t="s">
        <v>45</v>
      </c>
      <c r="E28" s="142">
        <f>B22-(C41+B44)</f>
        <v>108.78549</v>
      </c>
      <c r="F28" s="15" t="s">
        <v>18</v>
      </c>
      <c r="I28" s="291"/>
      <c r="J28" s="291"/>
      <c r="K28" s="291"/>
      <c r="L28" s="291"/>
    </row>
    <row r="29" spans="1:38">
      <c r="I29" s="291"/>
      <c r="J29" s="291"/>
      <c r="K29" s="291"/>
      <c r="L29" s="291"/>
      <c r="V29" s="291"/>
      <c r="W29" s="291"/>
      <c r="X29" s="291"/>
      <c r="AJ29" s="22"/>
    </row>
    <row r="30" spans="1:38" ht="21">
      <c r="I30" s="102"/>
      <c r="V30" s="291"/>
      <c r="W30" s="200">
        <f>AC22+Z24+AC43+V43</f>
        <v>83.48</v>
      </c>
      <c r="X30" s="291"/>
    </row>
    <row r="31" spans="1:38">
      <c r="V31" s="291"/>
      <c r="W31" s="291"/>
      <c r="X31" s="291"/>
    </row>
    <row r="33" spans="1:55">
      <c r="S33" s="15" t="s">
        <v>101</v>
      </c>
      <c r="T33" s="31">
        <f>P22-W30</f>
        <v>-83.48</v>
      </c>
      <c r="U33" s="15" t="s">
        <v>18</v>
      </c>
    </row>
    <row r="34" spans="1:55">
      <c r="D34" s="291"/>
      <c r="E34" s="291"/>
      <c r="F34" s="291"/>
      <c r="G34" s="291"/>
      <c r="H34" s="291"/>
      <c r="S34" s="15" t="s">
        <v>125</v>
      </c>
      <c r="T34" s="76">
        <f>T33/E28</f>
        <v>-0.76738175284222199</v>
      </c>
      <c r="Z34" s="291"/>
      <c r="AA34" s="291"/>
      <c r="AB34" s="291"/>
      <c r="AC34" s="291"/>
      <c r="AD34" s="291"/>
      <c r="AE34" s="291"/>
      <c r="AF34" s="291"/>
      <c r="AG34" s="291"/>
      <c r="AH34" s="291"/>
      <c r="AI34" s="291"/>
      <c r="AJ34" s="291"/>
    </row>
    <row r="35" spans="1:55">
      <c r="D35" s="291"/>
      <c r="E35" s="291"/>
      <c r="F35" s="291"/>
      <c r="G35" s="291"/>
      <c r="H35" s="291"/>
      <c r="S35" s="15" t="s">
        <v>126</v>
      </c>
      <c r="T35" s="81">
        <f>T34*B49</f>
        <v>-7.5821642573979462</v>
      </c>
      <c r="U35" s="291" t="s">
        <v>18</v>
      </c>
      <c r="Z35" s="291"/>
    </row>
    <row r="36" spans="1:55">
      <c r="D36" s="291"/>
      <c r="E36" s="291"/>
      <c r="F36" s="291"/>
      <c r="G36" s="291"/>
      <c r="H36" s="200"/>
      <c r="P36" s="293"/>
      <c r="Q36" s="293"/>
      <c r="R36" s="16"/>
      <c r="U36" s="291"/>
      <c r="Z36" s="291"/>
    </row>
    <row r="37" spans="1:55">
      <c r="E37" s="30"/>
      <c r="Z37" s="291"/>
    </row>
    <row r="38" spans="1:55" ht="21">
      <c r="M38" s="98" t="s">
        <v>195</v>
      </c>
      <c r="N38" s="48"/>
      <c r="Z38" s="291"/>
      <c r="AP38" s="291"/>
      <c r="AQ38" s="291"/>
      <c r="AR38" s="291"/>
      <c r="AS38" s="291"/>
      <c r="AT38" s="291"/>
      <c r="AU38" s="291"/>
      <c r="AV38" s="291"/>
      <c r="AW38" s="291"/>
      <c r="AX38" s="291"/>
      <c r="AY38" s="291"/>
      <c r="AZ38" s="291"/>
      <c r="BA38" s="291"/>
      <c r="BB38" s="291"/>
    </row>
    <row r="39" spans="1:55" ht="21">
      <c r="A39" s="392" t="s">
        <v>6</v>
      </c>
      <c r="B39" s="392"/>
      <c r="C39" s="33">
        <v>0.40500000000000003</v>
      </c>
      <c r="D39" s="15" t="s">
        <v>18</v>
      </c>
      <c r="E39" s="291"/>
      <c r="F39" s="291"/>
      <c r="G39" s="291"/>
      <c r="M39" s="288" t="s">
        <v>20</v>
      </c>
      <c r="N39" s="289"/>
      <c r="Y39" s="101" t="s">
        <v>197</v>
      </c>
      <c r="Z39" s="101"/>
      <c r="AA39" s="101"/>
      <c r="AP39" s="291"/>
      <c r="AQ39" s="291"/>
      <c r="AR39" s="291"/>
      <c r="AS39" s="291"/>
      <c r="AT39" s="291"/>
      <c r="AU39" s="291"/>
      <c r="AV39" s="291"/>
      <c r="AW39" s="291"/>
      <c r="AX39" s="291"/>
      <c r="AY39" s="291"/>
      <c r="AZ39" s="291"/>
      <c r="BA39" s="291"/>
      <c r="BB39" s="291"/>
    </row>
    <row r="40" spans="1:55">
      <c r="A40" s="392" t="s">
        <v>5</v>
      </c>
      <c r="B40" s="392"/>
      <c r="C40" s="33">
        <v>0.5</v>
      </c>
      <c r="D40" s="15" t="s">
        <v>18</v>
      </c>
      <c r="E40" s="291"/>
      <c r="F40" s="291"/>
      <c r="G40" s="291"/>
      <c r="S40" s="291"/>
      <c r="V40" s="291"/>
      <c r="X40" s="403" t="s">
        <v>23</v>
      </c>
      <c r="Y40" s="404"/>
      <c r="Z40" s="404"/>
      <c r="AA40" s="405"/>
      <c r="AB40" s="291"/>
      <c r="AK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</row>
    <row r="41" spans="1:55">
      <c r="A41" s="400" t="s">
        <v>17</v>
      </c>
      <c r="B41" s="401"/>
      <c r="C41" s="91">
        <f>SUM(C39:C40)</f>
        <v>0.90500000000000003</v>
      </c>
      <c r="D41" s="23" t="s">
        <v>18</v>
      </c>
      <c r="E41" s="291"/>
      <c r="F41" s="291"/>
      <c r="G41" s="291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14.33</v>
      </c>
      <c r="R41" s="291" t="s">
        <v>18</v>
      </c>
      <c r="S41" s="291"/>
      <c r="Z41" s="291"/>
      <c r="AK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1"/>
      <c r="AZ41" s="291"/>
      <c r="BA41" s="291"/>
      <c r="BB41" s="291"/>
    </row>
    <row r="42" spans="1:55">
      <c r="C42" s="291"/>
      <c r="D42" s="291"/>
      <c r="E42" s="291"/>
      <c r="F42" s="291"/>
      <c r="G42" s="291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56.58/100</f>
        <v>0.56579999999999997</v>
      </c>
      <c r="R42" s="291" t="s">
        <v>33</v>
      </c>
      <c r="S42" s="291"/>
      <c r="AE42" s="291"/>
      <c r="AF42" s="291"/>
      <c r="AG42" s="291"/>
      <c r="AH42" s="291"/>
      <c r="AI42" s="291"/>
      <c r="AJ42" s="291"/>
      <c r="AK42" s="291"/>
      <c r="AL42" s="291"/>
      <c r="AP42" s="291"/>
      <c r="AQ42" s="291"/>
      <c r="AR42" s="291"/>
      <c r="AS42" s="291"/>
      <c r="AT42" s="291"/>
      <c r="AU42" s="291"/>
      <c r="AV42" s="291"/>
      <c r="AW42" s="291"/>
      <c r="AX42" s="291"/>
      <c r="AY42" s="291"/>
      <c r="AZ42" s="291"/>
      <c r="BA42" s="291"/>
      <c r="BB42" s="291"/>
    </row>
    <row r="43" spans="1:55">
      <c r="A43" s="36" t="s">
        <v>44</v>
      </c>
      <c r="B43" s="33">
        <v>0.41</v>
      </c>
      <c r="C43" s="291" t="s">
        <v>18</v>
      </c>
      <c r="D43" s="291"/>
      <c r="E43" s="291"/>
      <c r="F43" s="291"/>
      <c r="G43" s="291"/>
      <c r="H43" s="292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8.1079139999999992</v>
      </c>
      <c r="R43" s="291" t="s">
        <v>18</v>
      </c>
      <c r="S43" s="291"/>
      <c r="U43" s="35" t="s">
        <v>53</v>
      </c>
      <c r="V43" s="33"/>
      <c r="W43" s="291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1.22</v>
      </c>
      <c r="AD43" s="291" t="s">
        <v>18</v>
      </c>
      <c r="AF43" s="291"/>
      <c r="AG43" s="291"/>
      <c r="AH43" s="291"/>
      <c r="AI43" s="291"/>
      <c r="AJ43" s="291"/>
      <c r="AK43" s="291"/>
      <c r="AL43" s="291"/>
      <c r="AP43" s="291"/>
      <c r="AQ43" s="291"/>
      <c r="AR43" s="291"/>
      <c r="AS43" s="291"/>
      <c r="AT43" s="291"/>
      <c r="AU43" s="291"/>
      <c r="AV43" s="291"/>
      <c r="AW43" s="291"/>
      <c r="AX43" s="291"/>
      <c r="AY43" s="291"/>
      <c r="AZ43" s="291"/>
      <c r="BA43" s="291"/>
      <c r="BB43" s="291"/>
    </row>
    <row r="44" spans="1:55">
      <c r="A44" s="92" t="s">
        <v>17</v>
      </c>
      <c r="B44" s="90">
        <f>SUM(B43)</f>
        <v>0.41</v>
      </c>
      <c r="C44" s="291" t="s">
        <v>18</v>
      </c>
      <c r="D44" s="291"/>
      <c r="E44" s="291"/>
      <c r="M44" s="67" t="s">
        <v>30</v>
      </c>
      <c r="N44" s="37">
        <f>Q42*N43</f>
        <v>0</v>
      </c>
      <c r="O44" s="15" t="s">
        <v>18</v>
      </c>
      <c r="U44" s="291"/>
      <c r="V44" s="291"/>
      <c r="W44" s="291"/>
      <c r="X44" s="105" t="s">
        <v>4</v>
      </c>
      <c r="Y44" s="106"/>
      <c r="Z44" s="34"/>
      <c r="AA44" s="15" t="s">
        <v>18</v>
      </c>
      <c r="AB44" s="36" t="s">
        <v>27</v>
      </c>
      <c r="AC44" s="34">
        <f>25.84/100</f>
        <v>0.25840000000000002</v>
      </c>
      <c r="AD44" s="291" t="s">
        <v>33</v>
      </c>
      <c r="AL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</row>
    <row r="45" spans="1:55">
      <c r="C45" s="291"/>
      <c r="D45" s="291"/>
      <c r="E45" s="291"/>
      <c r="U45" s="291"/>
      <c r="V45" s="291"/>
      <c r="W45" s="291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0.31524800000000003</v>
      </c>
      <c r="AD45" s="291" t="s">
        <v>18</v>
      </c>
      <c r="AL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</row>
    <row r="46" spans="1:55">
      <c r="A46" s="15" t="s">
        <v>66</v>
      </c>
      <c r="B46" s="15">
        <f>B43/D22</f>
        <v>0.39048455420303413</v>
      </c>
      <c r="C46" s="291" t="s">
        <v>62</v>
      </c>
      <c r="D46" s="291"/>
      <c r="E46" s="291"/>
      <c r="P46" s="31">
        <f>Q41+N43</f>
        <v>14.33</v>
      </c>
      <c r="Q46" s="15">
        <f>Q43+N44</f>
        <v>8.1079139999999992</v>
      </c>
      <c r="X46" s="294" t="s">
        <v>30</v>
      </c>
      <c r="Y46" s="295"/>
      <c r="Z46" s="104">
        <f>AC44*Z45</f>
        <v>0</v>
      </c>
      <c r="AA46" s="15" t="s">
        <v>18</v>
      </c>
      <c r="AF46" s="291"/>
      <c r="AP46" s="291"/>
      <c r="AQ46" s="291"/>
      <c r="AR46" s="291"/>
      <c r="AS46" s="291"/>
      <c r="AT46" s="291"/>
      <c r="AU46" s="291"/>
      <c r="AV46" s="291"/>
      <c r="AW46" s="291"/>
      <c r="AX46" s="291"/>
      <c r="AY46" s="291"/>
      <c r="AZ46" s="291"/>
      <c r="BA46" s="291"/>
      <c r="BB46" s="291"/>
      <c r="BC46" s="291"/>
    </row>
    <row r="47" spans="1:55">
      <c r="A47" s="15" t="s">
        <v>65</v>
      </c>
      <c r="B47" s="15">
        <f>C41/D22</f>
        <v>0.86192322330181936</v>
      </c>
      <c r="C47" s="15" t="s">
        <v>62</v>
      </c>
      <c r="AP47" s="291"/>
      <c r="AQ47" s="291"/>
      <c r="AR47" s="291"/>
      <c r="AS47" s="291"/>
      <c r="AT47" s="291"/>
      <c r="AU47" s="291"/>
      <c r="AV47" s="291"/>
      <c r="AW47" s="291"/>
      <c r="AX47" s="291"/>
      <c r="AY47" s="291"/>
      <c r="AZ47" s="291"/>
      <c r="BA47" s="291"/>
      <c r="BB47" s="291"/>
      <c r="BC47" s="291"/>
    </row>
    <row r="48" spans="1:55">
      <c r="A48" s="15" t="s">
        <v>67</v>
      </c>
      <c r="B48" s="15">
        <f>G19*(B46+B47)/1000</f>
        <v>0.11943634401627094</v>
      </c>
      <c r="C48" s="15" t="s">
        <v>18</v>
      </c>
      <c r="E48" s="160"/>
      <c r="AP48" s="291"/>
      <c r="AQ48" s="291"/>
      <c r="AR48" s="291"/>
      <c r="AS48" s="291"/>
      <c r="AT48" s="291"/>
      <c r="AU48" s="291"/>
      <c r="AV48" s="291"/>
      <c r="AW48" s="291"/>
      <c r="AX48" s="291"/>
      <c r="AY48" s="291"/>
      <c r="AZ48" s="291"/>
      <c r="BA48" s="291"/>
      <c r="BB48" s="291"/>
    </row>
    <row r="49" spans="1:59">
      <c r="A49" s="15" t="s">
        <v>64</v>
      </c>
      <c r="B49" s="74">
        <f>B21-B48</f>
        <v>9.8805636559837282</v>
      </c>
      <c r="C49" s="15" t="s">
        <v>18</v>
      </c>
      <c r="AC49" s="31">
        <f>AC43+Z45</f>
        <v>1.22</v>
      </c>
      <c r="AD49" s="15">
        <f>AC45+Z46</f>
        <v>0.31524800000000003</v>
      </c>
      <c r="AP49" s="291"/>
      <c r="AQ49" s="291"/>
      <c r="AR49" s="291"/>
      <c r="AS49" s="291"/>
      <c r="AT49" s="291"/>
      <c r="AU49" s="291"/>
      <c r="AV49" s="379"/>
      <c r="AW49" s="379"/>
      <c r="AX49" s="379"/>
      <c r="AY49" s="379"/>
      <c r="AZ49" s="379"/>
      <c r="BA49" s="291"/>
      <c r="BB49" s="291"/>
    </row>
    <row r="50" spans="1:59">
      <c r="R50" s="291"/>
      <c r="S50" s="15" t="s">
        <v>27</v>
      </c>
      <c r="U50" s="15" t="s">
        <v>40</v>
      </c>
      <c r="W50" s="15" t="s">
        <v>98</v>
      </c>
      <c r="X50" s="74">
        <f>B49</f>
        <v>9.8805636559837282</v>
      </c>
      <c r="Y50" s="15" t="s">
        <v>18</v>
      </c>
      <c r="AP50" s="291"/>
      <c r="AQ50" s="291"/>
      <c r="AR50" s="291"/>
      <c r="AS50" s="291"/>
      <c r="AT50" s="291"/>
      <c r="AU50" s="291"/>
      <c r="AV50" s="291"/>
      <c r="AW50" s="291"/>
      <c r="AX50" s="291"/>
      <c r="AY50" s="291"/>
      <c r="AZ50" s="291"/>
      <c r="BA50" s="291"/>
      <c r="BB50" s="291"/>
    </row>
    <row r="51" spans="1:59">
      <c r="Q51" s="291"/>
      <c r="R51" s="291"/>
      <c r="S51" s="15" t="s">
        <v>34</v>
      </c>
      <c r="T51" s="15">
        <f>AC24+Z25</f>
        <v>4.1130000000000007E-2</v>
      </c>
      <c r="U51" s="76">
        <f>T51/X50</f>
        <v>4.1627179816903902E-3</v>
      </c>
      <c r="AP51" s="291"/>
      <c r="AQ51" s="291"/>
      <c r="AR51" s="291"/>
      <c r="AS51" s="291"/>
      <c r="AT51" s="291"/>
      <c r="AU51" s="291"/>
      <c r="AV51" s="291"/>
      <c r="AW51" s="291"/>
      <c r="AX51" s="291"/>
      <c r="AY51" s="291"/>
      <c r="AZ51" s="291"/>
      <c r="BA51" s="291"/>
      <c r="BB51" s="291"/>
    </row>
    <row r="52" spans="1:59">
      <c r="S52" s="15" t="s">
        <v>35</v>
      </c>
      <c r="T52" s="15">
        <f>AC45+Z46</f>
        <v>0.31524800000000003</v>
      </c>
      <c r="U52" s="76">
        <f>T52/X50</f>
        <v>3.1905872071284515E-2</v>
      </c>
      <c r="AP52" s="291"/>
      <c r="AQ52" s="291"/>
      <c r="AR52" s="291"/>
      <c r="AS52" s="291"/>
      <c r="AT52" s="291"/>
      <c r="AU52" s="291"/>
      <c r="AV52" s="291"/>
      <c r="AW52" s="291"/>
      <c r="AX52" s="291"/>
      <c r="AY52" s="291"/>
      <c r="AZ52" s="291"/>
      <c r="BA52" s="291"/>
      <c r="BB52" s="291"/>
    </row>
    <row r="53" spans="1:59"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291"/>
      <c r="P53" s="291"/>
      <c r="Q53" s="291"/>
      <c r="R53" s="291"/>
      <c r="S53" s="15" t="s">
        <v>36</v>
      </c>
      <c r="T53" s="291">
        <f>Q43+N44</f>
        <v>8.1079139999999992</v>
      </c>
      <c r="U53" s="296">
        <f>T53/X50</f>
        <v>0.82059225387306711</v>
      </c>
      <c r="V53" s="291"/>
      <c r="W53" s="291"/>
      <c r="AN53" s="291"/>
      <c r="AO53" s="291"/>
      <c r="AP53" s="291"/>
      <c r="AQ53" s="291"/>
      <c r="AR53" s="291"/>
      <c r="AS53" s="291"/>
      <c r="AT53" s="291"/>
      <c r="AU53" s="291"/>
      <c r="AV53" s="291"/>
      <c r="AW53" s="291"/>
      <c r="AX53" s="291"/>
      <c r="AY53" s="291"/>
      <c r="AZ53" s="291"/>
      <c r="BA53" s="291"/>
      <c r="BB53" s="291"/>
      <c r="BC53" s="291"/>
      <c r="BD53" s="291"/>
      <c r="BE53" s="291"/>
      <c r="BF53" s="291"/>
      <c r="BG53" s="291"/>
    </row>
    <row r="54" spans="1:59">
      <c r="D54" s="379"/>
      <c r="E54" s="379"/>
      <c r="F54" s="379"/>
      <c r="G54" s="379"/>
      <c r="H54" s="291"/>
      <c r="I54" s="291"/>
      <c r="J54" s="291"/>
      <c r="K54" s="291"/>
      <c r="L54" s="291"/>
      <c r="M54" s="291"/>
      <c r="N54" s="291"/>
      <c r="O54" s="291"/>
      <c r="P54" s="291"/>
      <c r="Q54" s="291"/>
      <c r="R54" s="291"/>
      <c r="S54" s="15" t="s">
        <v>17</v>
      </c>
      <c r="T54" s="291">
        <f>SUM(T51:T53)</f>
        <v>8.4642919999999986</v>
      </c>
      <c r="U54" s="296">
        <f>SUM(U51:U53)</f>
        <v>0.85666084392604203</v>
      </c>
      <c r="V54" s="291"/>
      <c r="W54" s="291"/>
      <c r="X54" s="291"/>
      <c r="Y54" s="291"/>
      <c r="Z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291"/>
      <c r="AX54" s="291"/>
      <c r="AY54" s="291"/>
      <c r="AZ54" s="291"/>
      <c r="BA54" s="291"/>
      <c r="BB54" s="291"/>
      <c r="BC54" s="291"/>
      <c r="BD54" s="291"/>
      <c r="BE54" s="291"/>
      <c r="BF54" s="291"/>
      <c r="BG54" s="291"/>
    </row>
    <row r="55" spans="1:59"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15" t="s">
        <v>37</v>
      </c>
      <c r="T55" s="145">
        <f>X50-T54</f>
        <v>1.4162716559837296</v>
      </c>
      <c r="U55" s="296">
        <f>T55/X50</f>
        <v>0.14333915607395809</v>
      </c>
      <c r="V55" s="291"/>
      <c r="W55" s="291"/>
      <c r="X55" s="291"/>
      <c r="Y55" s="291"/>
      <c r="Z55" s="291"/>
      <c r="AN55" s="291"/>
      <c r="AO55" s="291"/>
      <c r="AP55" s="291"/>
      <c r="AQ55" s="291"/>
      <c r="AR55" s="291"/>
      <c r="AS55" s="291"/>
      <c r="AT55" s="291"/>
      <c r="AU55" s="291"/>
      <c r="AV55" s="291"/>
      <c r="AW55" s="291"/>
      <c r="AX55" s="291"/>
      <c r="AY55" s="291"/>
      <c r="AZ55" s="291"/>
      <c r="BA55" s="291"/>
      <c r="BB55" s="291"/>
      <c r="BC55" s="291"/>
      <c r="BD55" s="291"/>
      <c r="BE55" s="291"/>
      <c r="BF55" s="291"/>
      <c r="BG55" s="291"/>
    </row>
    <row r="56" spans="1:59"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T56" s="291"/>
      <c r="U56" s="291"/>
      <c r="V56" s="291"/>
      <c r="W56" s="291"/>
      <c r="X56" s="291"/>
      <c r="Y56" s="291"/>
      <c r="Z56" s="291"/>
      <c r="AN56" s="291"/>
      <c r="AO56" s="291"/>
      <c r="AP56" s="291"/>
      <c r="AQ56" s="291"/>
      <c r="AR56" s="291"/>
      <c r="AS56" s="291"/>
      <c r="AT56" s="291"/>
      <c r="AU56" s="291"/>
      <c r="AV56" s="291"/>
      <c r="AW56" s="291"/>
      <c r="AX56" s="291"/>
      <c r="AY56" s="291"/>
      <c r="AZ56" s="291"/>
      <c r="BA56" s="291"/>
      <c r="BB56" s="291"/>
      <c r="BC56" s="291"/>
      <c r="BD56" s="291"/>
      <c r="BE56" s="291"/>
      <c r="BF56" s="291"/>
      <c r="BG56" s="291"/>
    </row>
    <row r="57" spans="1:59">
      <c r="D57" s="291"/>
      <c r="E57" s="291"/>
      <c r="F57" s="291"/>
      <c r="G57" s="291"/>
      <c r="H57" s="291"/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W57" s="291"/>
      <c r="X57" s="291"/>
      <c r="Y57" s="291"/>
      <c r="Z57" s="291"/>
      <c r="AN57" s="291"/>
      <c r="AO57" s="291"/>
      <c r="AP57" s="291"/>
      <c r="AQ57" s="291"/>
      <c r="AR57" s="291"/>
      <c r="AS57" s="291"/>
      <c r="AT57" s="291"/>
      <c r="AU57" s="291"/>
      <c r="AV57" s="291"/>
      <c r="AW57" s="291"/>
      <c r="AX57" s="291"/>
      <c r="AY57" s="291"/>
      <c r="AZ57" s="291"/>
      <c r="BA57" s="291"/>
      <c r="BB57" s="291"/>
      <c r="BC57" s="291"/>
      <c r="BD57" s="291"/>
      <c r="BE57" s="291"/>
      <c r="BF57" s="291"/>
      <c r="BG57" s="291"/>
    </row>
    <row r="58" spans="1:59"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1"/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  <c r="AA58" s="291"/>
      <c r="AB58" s="291"/>
      <c r="AC58" s="291"/>
      <c r="AD58" s="291"/>
      <c r="AE58" s="291"/>
      <c r="AF58" s="291"/>
      <c r="AG58" s="291"/>
      <c r="AH58" s="291"/>
      <c r="AI58" s="291"/>
      <c r="AJ58" s="291"/>
      <c r="AK58" s="291"/>
      <c r="AL58" s="291"/>
      <c r="AM58" s="291"/>
      <c r="AN58" s="291"/>
      <c r="AO58" s="291"/>
      <c r="AP58" s="291"/>
      <c r="AQ58" s="291"/>
      <c r="AR58" s="291"/>
      <c r="AS58" s="291"/>
      <c r="AT58" s="291"/>
      <c r="AU58" s="291"/>
      <c r="AV58" s="291"/>
      <c r="AW58" s="291"/>
      <c r="AX58" s="291"/>
      <c r="AY58" s="291"/>
      <c r="AZ58" s="291"/>
      <c r="BA58" s="291"/>
      <c r="BB58" s="291"/>
      <c r="BC58" s="291"/>
      <c r="BD58" s="291"/>
      <c r="BE58" s="291"/>
      <c r="BF58" s="291"/>
      <c r="BG58" s="291"/>
    </row>
    <row r="59" spans="1:59">
      <c r="D59" s="291"/>
      <c r="E59" s="291"/>
      <c r="F59" s="291"/>
      <c r="G59" s="291"/>
      <c r="H59" s="291"/>
      <c r="I59" s="291"/>
      <c r="J59" s="291"/>
      <c r="K59" s="291"/>
      <c r="L59" s="291"/>
      <c r="M59" s="291"/>
      <c r="N59" s="291"/>
      <c r="O59" s="291"/>
      <c r="P59" s="291"/>
      <c r="Q59" s="291"/>
      <c r="R59" s="291"/>
      <c r="S59" s="291"/>
      <c r="T59" s="291"/>
      <c r="U59" s="291"/>
      <c r="V59" s="291"/>
      <c r="W59" s="291"/>
      <c r="X59" s="291"/>
      <c r="Y59" s="291"/>
      <c r="Z59" s="291"/>
      <c r="AA59" s="291"/>
      <c r="AB59" s="291"/>
      <c r="AC59" s="291"/>
      <c r="AD59" s="291"/>
      <c r="AE59" s="291"/>
      <c r="AF59" s="291"/>
      <c r="AG59" s="291"/>
      <c r="AH59" s="291"/>
      <c r="AI59" s="291"/>
      <c r="AJ59" s="291"/>
      <c r="AK59" s="291"/>
      <c r="AL59" s="291"/>
      <c r="AM59" s="291"/>
      <c r="AN59" s="291"/>
      <c r="AO59" s="291"/>
      <c r="AP59" s="291"/>
      <c r="AQ59" s="291"/>
      <c r="AR59" s="291"/>
      <c r="AS59" s="291"/>
      <c r="AT59" s="291"/>
      <c r="AU59" s="291"/>
      <c r="AV59" s="291"/>
      <c r="AW59" s="291"/>
      <c r="AX59" s="291"/>
      <c r="AY59" s="291"/>
      <c r="AZ59" s="291"/>
      <c r="BA59" s="291"/>
      <c r="BB59" s="291"/>
      <c r="BC59" s="291"/>
      <c r="BD59" s="291"/>
      <c r="BE59" s="291"/>
      <c r="BF59" s="291"/>
      <c r="BG59" s="291"/>
    </row>
    <row r="60" spans="1:59">
      <c r="D60" s="291"/>
      <c r="E60" s="291"/>
      <c r="F60" s="291"/>
      <c r="G60" s="291"/>
      <c r="H60" s="291"/>
      <c r="I60" s="291"/>
      <c r="J60" s="291"/>
      <c r="K60" s="291"/>
      <c r="L60" s="291"/>
      <c r="M60" s="291"/>
      <c r="N60" s="291"/>
      <c r="O60" s="291"/>
      <c r="P60" s="291"/>
      <c r="Q60" s="291"/>
      <c r="R60" s="291"/>
      <c r="S60" s="291"/>
      <c r="T60" s="291"/>
      <c r="U60" s="291"/>
      <c r="V60" s="291"/>
      <c r="W60" s="291"/>
      <c r="X60" s="291"/>
      <c r="Y60" s="291"/>
      <c r="Z60" s="291"/>
      <c r="AA60" s="291"/>
      <c r="AB60" s="291"/>
      <c r="AC60" s="291"/>
      <c r="AD60" s="291"/>
      <c r="AE60" s="291"/>
      <c r="AF60" s="291"/>
      <c r="AG60" s="291"/>
      <c r="AH60" s="291"/>
      <c r="AI60" s="291"/>
      <c r="AJ60" s="291"/>
      <c r="AK60" s="291"/>
      <c r="AL60" s="291"/>
      <c r="AM60" s="291"/>
      <c r="AN60" s="291"/>
      <c r="AO60" s="291"/>
      <c r="AP60" s="291"/>
      <c r="AQ60" s="291"/>
      <c r="AR60" s="291"/>
      <c r="AS60" s="291"/>
      <c r="AT60" s="291"/>
      <c r="AU60" s="291"/>
      <c r="AV60" s="291"/>
      <c r="AW60" s="291"/>
      <c r="AX60" s="291"/>
      <c r="AY60" s="291"/>
      <c r="AZ60" s="291"/>
      <c r="BA60" s="291"/>
      <c r="BB60" s="291"/>
      <c r="BC60" s="291"/>
      <c r="BD60" s="291"/>
      <c r="BE60" s="291"/>
      <c r="BF60" s="291"/>
      <c r="BG60" s="291"/>
    </row>
    <row r="61" spans="1:59"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291"/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  <c r="AA61" s="291"/>
      <c r="AB61" s="291"/>
      <c r="AC61" s="291"/>
      <c r="AD61" s="291"/>
      <c r="AE61" s="291"/>
      <c r="AF61" s="291"/>
      <c r="AG61" s="291"/>
      <c r="AH61" s="291"/>
      <c r="AI61" s="291"/>
      <c r="AJ61" s="291"/>
      <c r="AK61" s="291"/>
      <c r="AL61" s="291"/>
      <c r="AM61" s="291"/>
      <c r="AN61" s="291"/>
      <c r="AO61" s="291"/>
      <c r="AP61" s="291"/>
      <c r="AQ61" s="291"/>
      <c r="AR61" s="291"/>
      <c r="AS61" s="291"/>
      <c r="AT61" s="291"/>
      <c r="AU61" s="291"/>
      <c r="AV61" s="291"/>
      <c r="AW61" s="291"/>
      <c r="AX61" s="291"/>
      <c r="AY61" s="291"/>
      <c r="AZ61" s="291"/>
      <c r="BA61" s="291"/>
      <c r="BB61" s="291"/>
      <c r="BC61" s="291"/>
      <c r="BD61" s="291"/>
      <c r="BE61" s="291"/>
      <c r="BF61" s="291"/>
      <c r="BG61" s="291"/>
    </row>
    <row r="62" spans="1:59"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291"/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1"/>
      <c r="AD62" s="291"/>
      <c r="AE62" s="291"/>
      <c r="AF62" s="291"/>
      <c r="AG62" s="291"/>
      <c r="AH62" s="291"/>
      <c r="AI62" s="291"/>
      <c r="AJ62" s="291"/>
      <c r="AK62" s="291"/>
      <c r="AL62" s="291"/>
      <c r="AM62" s="291"/>
      <c r="AN62" s="291"/>
      <c r="AO62" s="291"/>
      <c r="AP62" s="291"/>
      <c r="AQ62" s="291"/>
      <c r="AR62" s="291"/>
      <c r="AS62" s="291"/>
      <c r="AT62" s="291"/>
      <c r="AU62" s="291"/>
      <c r="AV62" s="291"/>
      <c r="AW62" s="291"/>
      <c r="AX62" s="291"/>
      <c r="AY62" s="291"/>
      <c r="AZ62" s="291"/>
      <c r="BA62" s="291"/>
      <c r="BB62" s="291"/>
      <c r="BC62" s="291"/>
      <c r="BD62" s="291"/>
      <c r="BE62" s="291"/>
      <c r="BF62" s="291"/>
      <c r="BG62" s="291"/>
    </row>
    <row r="63" spans="1:59">
      <c r="D63" s="291"/>
      <c r="E63" s="291"/>
      <c r="F63" s="291"/>
      <c r="G63" s="291"/>
      <c r="H63" s="291"/>
      <c r="I63" s="291"/>
      <c r="J63" s="291"/>
      <c r="K63" s="291"/>
      <c r="L63" s="291"/>
      <c r="M63" s="291"/>
      <c r="N63" s="291"/>
      <c r="O63" s="291"/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1"/>
      <c r="AD63" s="291"/>
      <c r="AE63" s="291"/>
      <c r="AF63" s="291"/>
      <c r="AG63" s="291"/>
      <c r="AH63" s="291"/>
      <c r="AI63" s="291"/>
      <c r="AJ63" s="291"/>
      <c r="AK63" s="291"/>
      <c r="AL63" s="291"/>
      <c r="AM63" s="291"/>
      <c r="AN63" s="291"/>
      <c r="AO63" s="291"/>
      <c r="AP63" s="291"/>
      <c r="AQ63" s="291"/>
      <c r="AR63" s="291"/>
      <c r="AS63" s="291"/>
      <c r="AT63" s="291"/>
      <c r="AU63" s="291"/>
      <c r="AV63" s="291"/>
      <c r="AW63" s="291"/>
      <c r="AX63" s="291"/>
      <c r="AY63" s="291"/>
      <c r="AZ63" s="291"/>
      <c r="BA63" s="291"/>
      <c r="BB63" s="291"/>
      <c r="BC63" s="291"/>
      <c r="BD63" s="291"/>
      <c r="BE63" s="291"/>
      <c r="BF63" s="291"/>
      <c r="BG63" s="291"/>
    </row>
    <row r="64" spans="1:59">
      <c r="D64" s="291"/>
      <c r="E64" s="291"/>
      <c r="F64" s="291"/>
      <c r="G64" s="291"/>
      <c r="H64" s="291"/>
      <c r="I64" s="291"/>
      <c r="J64" s="291"/>
      <c r="K64" s="291"/>
      <c r="L64" s="291"/>
      <c r="M64" s="291"/>
      <c r="N64" s="291"/>
      <c r="O64" s="291"/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291"/>
      <c r="AB64" s="291"/>
      <c r="AC64" s="291"/>
      <c r="AD64" s="291"/>
      <c r="AE64" s="291"/>
      <c r="AF64" s="291"/>
      <c r="AG64" s="291"/>
      <c r="AH64" s="291"/>
      <c r="AI64" s="291"/>
      <c r="AJ64" s="291"/>
      <c r="AK64" s="291"/>
      <c r="AL64" s="291"/>
      <c r="AM64" s="291"/>
      <c r="AN64" s="291"/>
      <c r="AO64" s="291"/>
      <c r="AP64" s="291"/>
      <c r="AQ64" s="291"/>
      <c r="AR64" s="291"/>
      <c r="AS64" s="291"/>
      <c r="AT64" s="291"/>
      <c r="AU64" s="291"/>
      <c r="AV64" s="291"/>
      <c r="AW64" s="291"/>
      <c r="AX64" s="291"/>
      <c r="AY64" s="291"/>
      <c r="AZ64" s="291"/>
      <c r="BA64" s="291"/>
      <c r="BB64" s="291"/>
      <c r="BC64" s="291"/>
      <c r="BD64" s="291"/>
      <c r="BE64" s="291"/>
      <c r="BF64" s="291"/>
      <c r="BG64" s="291"/>
    </row>
    <row r="65" spans="4:59"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  <c r="AA65" s="291"/>
      <c r="AB65" s="291"/>
      <c r="AC65" s="291"/>
      <c r="AD65" s="291"/>
      <c r="AE65" s="291"/>
      <c r="AF65" s="291"/>
      <c r="AG65" s="291"/>
      <c r="AH65" s="291"/>
      <c r="AI65" s="291"/>
      <c r="AJ65" s="291"/>
      <c r="AK65" s="291"/>
      <c r="AL65" s="291"/>
      <c r="AM65" s="291"/>
      <c r="AN65" s="291"/>
      <c r="AO65" s="291"/>
      <c r="AP65" s="291"/>
      <c r="AQ65" s="291"/>
      <c r="AR65" s="291"/>
      <c r="AS65" s="291"/>
      <c r="AT65" s="291"/>
      <c r="AU65" s="291"/>
      <c r="AV65" s="291"/>
      <c r="AW65" s="291"/>
      <c r="AX65" s="291"/>
      <c r="AY65" s="291"/>
      <c r="AZ65" s="291"/>
      <c r="BA65" s="291"/>
      <c r="BB65" s="291"/>
      <c r="BC65" s="291"/>
      <c r="BD65" s="291"/>
      <c r="BE65" s="291"/>
      <c r="BF65" s="291"/>
      <c r="BG65" s="291"/>
    </row>
    <row r="66" spans="4:59">
      <c r="D66" s="291"/>
      <c r="E66" s="291"/>
      <c r="F66" s="291"/>
      <c r="G66" s="291"/>
      <c r="H66" s="291"/>
      <c r="I66" s="291"/>
      <c r="J66" s="291"/>
      <c r="K66" s="291"/>
      <c r="L66" s="291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1"/>
      <c r="Y66" s="291"/>
      <c r="Z66" s="291"/>
      <c r="AA66" s="291"/>
      <c r="AB66" s="291"/>
      <c r="AC66" s="291"/>
      <c r="AD66" s="291"/>
      <c r="AE66" s="291"/>
      <c r="AF66" s="291"/>
      <c r="AG66" s="291"/>
      <c r="AH66" s="291"/>
      <c r="AI66" s="291"/>
      <c r="AJ66" s="291"/>
      <c r="AK66" s="291"/>
      <c r="AL66" s="291"/>
      <c r="AM66" s="291"/>
      <c r="AN66" s="291"/>
      <c r="AO66" s="291"/>
      <c r="AP66" s="291"/>
      <c r="AQ66" s="291"/>
      <c r="AR66" s="291"/>
      <c r="AS66" s="291"/>
      <c r="AT66" s="291"/>
      <c r="AU66" s="291"/>
      <c r="AV66" s="291"/>
      <c r="AW66" s="291"/>
      <c r="AX66" s="291"/>
      <c r="AY66" s="291"/>
      <c r="AZ66" s="291"/>
      <c r="BA66" s="291"/>
      <c r="BB66" s="291"/>
      <c r="BC66" s="291"/>
      <c r="BD66" s="291"/>
      <c r="BE66" s="291"/>
      <c r="BF66" s="291"/>
      <c r="BG66" s="291"/>
    </row>
    <row r="67" spans="4:59">
      <c r="D67" s="291"/>
      <c r="E67" s="291"/>
      <c r="F67" s="291"/>
      <c r="G67" s="291"/>
      <c r="H67" s="291"/>
      <c r="I67" s="291"/>
      <c r="J67" s="291"/>
      <c r="K67" s="291"/>
      <c r="L67" s="291"/>
      <c r="M67" s="291"/>
      <c r="N67" s="291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B67" s="291"/>
      <c r="AC67" s="291"/>
      <c r="AD67" s="291"/>
      <c r="AE67" s="291"/>
      <c r="AF67" s="291"/>
      <c r="AG67" s="291"/>
      <c r="AH67" s="291"/>
      <c r="AI67" s="291"/>
      <c r="AJ67" s="291"/>
      <c r="AK67" s="291"/>
      <c r="AL67" s="291"/>
      <c r="AM67" s="291"/>
      <c r="AN67" s="291"/>
      <c r="AO67" s="291"/>
      <c r="AP67" s="291"/>
      <c r="AQ67" s="291"/>
      <c r="AR67" s="291"/>
      <c r="AS67" s="291"/>
      <c r="AT67" s="291"/>
      <c r="AU67" s="291"/>
      <c r="AV67" s="291"/>
      <c r="AW67" s="291"/>
      <c r="AX67" s="291"/>
      <c r="AY67" s="291"/>
      <c r="AZ67" s="291"/>
      <c r="BA67" s="291"/>
      <c r="BB67" s="291"/>
      <c r="BC67" s="291"/>
      <c r="BD67" s="291"/>
      <c r="BE67" s="291"/>
      <c r="BF67" s="291"/>
      <c r="BG67" s="291"/>
    </row>
    <row r="68" spans="4:59">
      <c r="D68" s="291"/>
      <c r="E68" s="291"/>
      <c r="F68" s="291"/>
      <c r="G68" s="291"/>
      <c r="H68" s="291"/>
      <c r="I68" s="291"/>
      <c r="J68" s="291"/>
      <c r="K68" s="291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1"/>
      <c r="AB68" s="291"/>
      <c r="AC68" s="291"/>
      <c r="AD68" s="291"/>
      <c r="AE68" s="291"/>
      <c r="AF68" s="291"/>
      <c r="AG68" s="291"/>
      <c r="AH68" s="291"/>
      <c r="AI68" s="291"/>
      <c r="AJ68" s="291"/>
      <c r="AK68" s="291"/>
      <c r="AL68" s="291"/>
      <c r="AM68" s="291"/>
      <c r="AN68" s="291"/>
      <c r="AO68" s="291"/>
      <c r="AP68" s="291"/>
      <c r="AQ68" s="291"/>
      <c r="AR68" s="291"/>
      <c r="AS68" s="291"/>
      <c r="AT68" s="291"/>
      <c r="AU68" s="291"/>
      <c r="AV68" s="291"/>
      <c r="AW68" s="291"/>
      <c r="AX68" s="291"/>
      <c r="AY68" s="291"/>
      <c r="AZ68" s="291"/>
      <c r="BA68" s="291"/>
      <c r="BB68" s="291"/>
      <c r="BC68" s="291"/>
      <c r="BD68" s="291"/>
      <c r="BE68" s="291"/>
      <c r="BF68" s="291"/>
      <c r="BG68" s="291"/>
    </row>
    <row r="69" spans="4:59">
      <c r="D69" s="291"/>
      <c r="E69" s="291"/>
      <c r="F69" s="291"/>
      <c r="G69" s="291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  <c r="AA69" s="291"/>
      <c r="AB69" s="291"/>
      <c r="AC69" s="291"/>
      <c r="AD69" s="291"/>
      <c r="AE69" s="291"/>
      <c r="AF69" s="291"/>
      <c r="AG69" s="291"/>
      <c r="AH69" s="291"/>
      <c r="AI69" s="291"/>
      <c r="AJ69" s="291"/>
      <c r="AK69" s="291"/>
      <c r="AL69" s="291"/>
      <c r="AM69" s="291"/>
      <c r="AN69" s="291"/>
      <c r="AO69" s="291"/>
      <c r="AP69" s="291"/>
      <c r="AQ69" s="291"/>
      <c r="AR69" s="291"/>
      <c r="AS69" s="291"/>
      <c r="AT69" s="291"/>
      <c r="AU69" s="291"/>
      <c r="AV69" s="291"/>
      <c r="AW69" s="291"/>
      <c r="AX69" s="291"/>
      <c r="AY69" s="291"/>
      <c r="AZ69" s="291"/>
      <c r="BA69" s="291"/>
      <c r="BB69" s="291"/>
      <c r="BC69" s="291"/>
      <c r="BD69" s="291"/>
      <c r="BE69" s="291"/>
      <c r="BF69" s="291"/>
      <c r="BG69" s="291"/>
    </row>
    <row r="70" spans="4:59"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291"/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  <c r="AA70" s="291"/>
      <c r="AB70" s="291"/>
      <c r="AC70" s="291"/>
      <c r="AD70" s="291"/>
      <c r="AE70" s="291"/>
      <c r="AF70" s="291"/>
      <c r="AG70" s="291"/>
      <c r="AH70" s="291"/>
      <c r="AI70" s="291"/>
      <c r="AJ70" s="291"/>
      <c r="AK70" s="291"/>
      <c r="AL70" s="291"/>
      <c r="AM70" s="291"/>
      <c r="AN70" s="291"/>
      <c r="AO70" s="291"/>
      <c r="AP70" s="291"/>
      <c r="AQ70" s="291"/>
      <c r="AR70" s="291"/>
      <c r="AS70" s="291"/>
      <c r="AT70" s="291"/>
      <c r="AU70" s="291"/>
      <c r="AV70" s="291"/>
      <c r="AW70" s="291"/>
      <c r="AX70" s="291"/>
      <c r="AY70" s="291"/>
      <c r="AZ70" s="291"/>
      <c r="BA70" s="291"/>
      <c r="BB70" s="291"/>
      <c r="BC70" s="291"/>
      <c r="BD70" s="291"/>
      <c r="BE70" s="291"/>
      <c r="BF70" s="291"/>
      <c r="BG70" s="291"/>
    </row>
    <row r="71" spans="4:59"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291"/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1"/>
      <c r="AD71" s="291"/>
      <c r="AE71" s="291"/>
      <c r="AF71" s="291"/>
      <c r="AG71" s="291"/>
      <c r="AH71" s="291"/>
      <c r="AI71" s="291"/>
      <c r="AJ71" s="291"/>
      <c r="AK71" s="291"/>
      <c r="AL71" s="291"/>
      <c r="AM71" s="291"/>
      <c r="AN71" s="291"/>
      <c r="AO71" s="291"/>
      <c r="AP71" s="291"/>
      <c r="AQ71" s="291"/>
      <c r="AR71" s="291"/>
      <c r="AS71" s="291"/>
      <c r="AT71" s="291"/>
      <c r="AU71" s="291"/>
      <c r="AV71" s="291"/>
      <c r="AW71" s="291"/>
      <c r="AX71" s="291"/>
      <c r="AY71" s="291"/>
      <c r="AZ71" s="291"/>
      <c r="BA71" s="291"/>
      <c r="BB71" s="291"/>
      <c r="BC71" s="291"/>
      <c r="BD71" s="291"/>
      <c r="BE71" s="291"/>
      <c r="BF71" s="291"/>
      <c r="BG71" s="291"/>
    </row>
    <row r="72" spans="4:59">
      <c r="D72" s="291"/>
      <c r="E72" s="291"/>
      <c r="F72" s="291"/>
      <c r="G72" s="291"/>
      <c r="H72" s="291"/>
      <c r="I72" s="291"/>
      <c r="J72" s="291"/>
      <c r="K72" s="291"/>
      <c r="L72" s="291"/>
      <c r="M72" s="291"/>
      <c r="N72" s="291"/>
      <c r="O72" s="291"/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1"/>
      <c r="AD72" s="291"/>
      <c r="AE72" s="291"/>
      <c r="AF72" s="291"/>
      <c r="AG72" s="291"/>
      <c r="AH72" s="291"/>
      <c r="AI72" s="291"/>
      <c r="AJ72" s="291"/>
      <c r="AK72" s="291"/>
      <c r="AL72" s="291"/>
      <c r="AM72" s="291"/>
      <c r="AN72" s="291"/>
      <c r="AO72" s="291"/>
      <c r="AP72" s="291"/>
      <c r="AQ72" s="291"/>
      <c r="AR72" s="291"/>
      <c r="AS72" s="291"/>
      <c r="AT72" s="291"/>
      <c r="AU72" s="291"/>
      <c r="AV72" s="291"/>
      <c r="AW72" s="379"/>
      <c r="AX72" s="379"/>
      <c r="AY72" s="291"/>
      <c r="AZ72" s="291"/>
      <c r="BA72" s="291"/>
      <c r="BB72" s="291"/>
      <c r="BC72" s="291"/>
      <c r="BD72" s="291"/>
      <c r="BE72" s="291"/>
      <c r="BF72" s="291"/>
      <c r="BG72" s="291"/>
    </row>
    <row r="73" spans="4:59">
      <c r="D73" s="291"/>
      <c r="E73" s="291"/>
      <c r="F73" s="291"/>
      <c r="G73" s="291"/>
      <c r="H73" s="291"/>
      <c r="I73" s="291"/>
      <c r="J73" s="291"/>
      <c r="K73" s="291"/>
      <c r="L73" s="291"/>
      <c r="M73" s="291"/>
      <c r="N73" s="291"/>
      <c r="O73" s="291"/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1"/>
      <c r="AD73" s="291"/>
      <c r="AE73" s="291"/>
      <c r="AF73" s="291"/>
      <c r="AG73" s="291"/>
      <c r="AH73" s="291"/>
      <c r="AI73" s="291"/>
      <c r="AJ73" s="291"/>
      <c r="AK73" s="291"/>
      <c r="AL73" s="291"/>
      <c r="AM73" s="291"/>
      <c r="AN73" s="291"/>
      <c r="AO73" s="291"/>
      <c r="AP73" s="291"/>
      <c r="AQ73" s="291"/>
      <c r="AR73" s="291"/>
      <c r="AS73" s="291"/>
      <c r="AT73" s="291"/>
      <c r="AU73" s="291"/>
      <c r="AV73" s="291"/>
      <c r="AW73" s="291"/>
      <c r="AX73" s="291"/>
      <c r="AY73" s="291"/>
      <c r="AZ73" s="291"/>
      <c r="BA73" s="291"/>
      <c r="BB73" s="291"/>
      <c r="BC73" s="291"/>
      <c r="BD73" s="291"/>
      <c r="BE73" s="291"/>
      <c r="BF73" s="291"/>
      <c r="BG73" s="291"/>
    </row>
    <row r="74" spans="4:59">
      <c r="D74" s="291"/>
      <c r="E74" s="291"/>
      <c r="F74" s="291"/>
      <c r="G74" s="291"/>
      <c r="H74" s="291"/>
      <c r="I74" s="291"/>
      <c r="J74" s="291"/>
      <c r="K74" s="291"/>
      <c r="L74" s="291"/>
      <c r="M74" s="291"/>
      <c r="N74" s="291"/>
      <c r="O74" s="291"/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  <c r="AA74" s="291"/>
      <c r="AB74" s="291"/>
      <c r="AC74" s="291"/>
      <c r="AD74" s="291"/>
      <c r="AE74" s="291"/>
      <c r="AF74" s="291"/>
      <c r="AG74" s="291"/>
      <c r="AH74" s="291"/>
      <c r="AI74" s="291"/>
      <c r="AJ74" s="291"/>
      <c r="AK74" s="291"/>
      <c r="AL74" s="291"/>
      <c r="AM74" s="291"/>
      <c r="AN74" s="291"/>
      <c r="AO74" s="291"/>
      <c r="AP74" s="291"/>
      <c r="AQ74" s="291"/>
      <c r="AR74" s="291"/>
      <c r="AS74" s="291"/>
      <c r="AT74" s="291"/>
      <c r="AU74" s="291"/>
      <c r="AV74" s="291"/>
      <c r="AW74" s="291"/>
      <c r="AX74" s="291"/>
      <c r="AY74" s="291"/>
      <c r="AZ74" s="291"/>
      <c r="BA74" s="291"/>
      <c r="BB74" s="291"/>
      <c r="BC74" s="291"/>
      <c r="BD74" s="291"/>
      <c r="BE74" s="291"/>
      <c r="BF74" s="291"/>
      <c r="BG74" s="291"/>
    </row>
    <row r="75" spans="4:59"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291"/>
      <c r="AB75" s="291"/>
      <c r="AC75" s="291"/>
      <c r="AD75" s="291"/>
      <c r="AE75" s="291"/>
      <c r="AF75" s="291"/>
      <c r="AG75" s="291"/>
      <c r="AH75" s="291"/>
      <c r="AI75" s="291"/>
      <c r="AJ75" s="291"/>
      <c r="AK75" s="291"/>
      <c r="AL75" s="291"/>
      <c r="AM75" s="291"/>
      <c r="AN75" s="291"/>
      <c r="AO75" s="291"/>
      <c r="AP75" s="291"/>
      <c r="AQ75" s="291"/>
      <c r="AR75" s="291"/>
      <c r="AS75" s="291"/>
      <c r="AT75" s="291"/>
      <c r="AU75" s="291"/>
      <c r="AV75" s="291"/>
      <c r="AW75" s="291"/>
      <c r="AX75" s="291"/>
      <c r="AY75" s="291"/>
      <c r="AZ75" s="291"/>
      <c r="BA75" s="291"/>
      <c r="BB75" s="291"/>
      <c r="BC75" s="291"/>
      <c r="BD75" s="291"/>
      <c r="BE75" s="291"/>
      <c r="BF75" s="291"/>
      <c r="BG75" s="291"/>
    </row>
    <row r="76" spans="4:59"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291"/>
      <c r="AB76" s="291"/>
      <c r="AC76" s="291"/>
      <c r="AD76" s="291"/>
      <c r="AE76" s="291"/>
      <c r="AF76" s="291"/>
      <c r="AG76" s="291"/>
      <c r="AH76" s="291"/>
      <c r="AI76" s="291"/>
      <c r="AJ76" s="291"/>
      <c r="AK76" s="291"/>
      <c r="AL76" s="291"/>
      <c r="AM76" s="291"/>
      <c r="AN76" s="291"/>
      <c r="AO76" s="291"/>
      <c r="AP76" s="291"/>
      <c r="AQ76" s="291"/>
      <c r="AR76" s="291"/>
      <c r="AS76" s="291"/>
      <c r="AT76" s="291"/>
      <c r="AU76" s="291"/>
      <c r="AV76" s="291"/>
      <c r="AW76" s="291"/>
      <c r="AX76" s="291"/>
      <c r="AY76" s="291"/>
      <c r="AZ76" s="291"/>
      <c r="BA76" s="291"/>
      <c r="BB76" s="291"/>
      <c r="BC76" s="291"/>
      <c r="BD76" s="291"/>
      <c r="BE76" s="291"/>
      <c r="BF76" s="291"/>
      <c r="BG76" s="291"/>
    </row>
    <row r="77" spans="4:59"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291"/>
      <c r="AB77" s="291"/>
      <c r="AC77" s="291"/>
      <c r="AD77" s="291"/>
      <c r="AE77" s="291"/>
      <c r="AF77" s="291"/>
      <c r="AG77" s="291"/>
      <c r="AH77" s="291"/>
      <c r="AI77" s="291"/>
      <c r="AJ77" s="291"/>
      <c r="AK77" s="291"/>
      <c r="AL77" s="291"/>
      <c r="AM77" s="291"/>
      <c r="AN77" s="291"/>
      <c r="AO77" s="291"/>
      <c r="AP77" s="291"/>
      <c r="AQ77" s="291"/>
      <c r="AR77" s="291"/>
      <c r="AS77" s="291"/>
      <c r="AT77" s="291"/>
      <c r="AU77" s="291"/>
      <c r="AV77" s="291"/>
      <c r="AW77" s="291"/>
      <c r="AX77" s="291"/>
      <c r="AY77" s="291"/>
      <c r="AZ77" s="291"/>
      <c r="BA77" s="291"/>
      <c r="BB77" s="291"/>
      <c r="BC77" s="291"/>
      <c r="BD77" s="291"/>
      <c r="BE77" s="291"/>
      <c r="BF77" s="291"/>
      <c r="BG77" s="291"/>
    </row>
    <row r="78" spans="4:59">
      <c r="D78" s="291"/>
      <c r="E78" s="291"/>
      <c r="F78" s="291"/>
      <c r="G78" s="291"/>
      <c r="H78" s="291"/>
      <c r="I78" s="291"/>
      <c r="J78" s="291"/>
      <c r="K78" s="291"/>
      <c r="L78" s="291"/>
      <c r="M78" s="291"/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1"/>
      <c r="AD78" s="291"/>
      <c r="AE78" s="291"/>
      <c r="AF78" s="291"/>
      <c r="AG78" s="291"/>
      <c r="AH78" s="291"/>
      <c r="AI78" s="291"/>
      <c r="AJ78" s="291"/>
      <c r="AK78" s="291"/>
      <c r="AL78" s="291"/>
      <c r="AM78" s="291"/>
      <c r="AN78" s="291"/>
      <c r="AO78" s="291"/>
      <c r="AP78" s="291"/>
      <c r="AQ78" s="291"/>
      <c r="AR78" s="291"/>
      <c r="AS78" s="291"/>
      <c r="AT78" s="291"/>
      <c r="AU78" s="291"/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</row>
    <row r="79" spans="4:59">
      <c r="D79" s="291"/>
      <c r="E79" s="291"/>
      <c r="F79" s="291"/>
      <c r="G79" s="291"/>
      <c r="H79" s="291"/>
      <c r="I79" s="291"/>
      <c r="J79" s="291"/>
      <c r="K79" s="291"/>
      <c r="L79" s="291"/>
      <c r="M79" s="291"/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  <c r="AA79" s="291"/>
      <c r="AB79" s="291"/>
      <c r="AC79" s="291"/>
      <c r="AD79" s="291"/>
      <c r="AE79" s="291"/>
      <c r="AF79" s="291"/>
      <c r="AG79" s="291"/>
      <c r="AH79" s="291"/>
      <c r="AI79" s="291"/>
      <c r="AJ79" s="291"/>
      <c r="AK79" s="291"/>
      <c r="AL79" s="291"/>
      <c r="AM79" s="291"/>
      <c r="AN79" s="291"/>
      <c r="AO79" s="291"/>
      <c r="AP79" s="291"/>
      <c r="AQ79" s="291"/>
      <c r="AR79" s="291"/>
      <c r="AS79" s="291"/>
      <c r="AT79" s="291"/>
      <c r="AU79" s="291"/>
      <c r="AV79" s="291"/>
      <c r="AW79" s="291"/>
      <c r="AX79" s="291"/>
      <c r="AY79" s="291"/>
      <c r="AZ79" s="291"/>
      <c r="BA79" s="291"/>
      <c r="BB79" s="291"/>
      <c r="BC79" s="291"/>
      <c r="BD79" s="291"/>
      <c r="BE79" s="291"/>
      <c r="BF79" s="291"/>
      <c r="BG79" s="291"/>
    </row>
    <row r="80" spans="4:59">
      <c r="D80" s="291"/>
      <c r="E80" s="291"/>
      <c r="F80" s="291"/>
      <c r="G80" s="291"/>
      <c r="H80" s="291"/>
      <c r="I80" s="291"/>
      <c r="J80" s="291"/>
      <c r="K80" s="291"/>
      <c r="L80" s="291"/>
      <c r="M80" s="291"/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  <c r="AA80" s="291"/>
      <c r="AB80" s="291"/>
      <c r="AC80" s="291"/>
      <c r="AD80" s="291"/>
      <c r="AE80" s="291"/>
      <c r="AF80" s="291"/>
      <c r="AG80" s="291"/>
      <c r="AH80" s="291"/>
      <c r="AI80" s="291"/>
      <c r="AJ80" s="291"/>
      <c r="AK80" s="291"/>
      <c r="AL80" s="291"/>
      <c r="AM80" s="291"/>
      <c r="AN80" s="291"/>
      <c r="AO80" s="291"/>
      <c r="AP80" s="291"/>
      <c r="AQ80" s="291"/>
      <c r="AR80" s="291"/>
      <c r="AS80" s="291"/>
      <c r="AT80" s="291"/>
      <c r="AU80" s="291"/>
      <c r="AV80" s="291"/>
      <c r="AW80" s="291"/>
      <c r="AX80" s="291"/>
      <c r="AY80" s="291"/>
      <c r="AZ80" s="291"/>
      <c r="BA80" s="291"/>
      <c r="BB80" s="291"/>
      <c r="BC80" s="291"/>
      <c r="BD80" s="291"/>
      <c r="BE80" s="291"/>
      <c r="BF80" s="291"/>
      <c r="BG80" s="291"/>
    </row>
    <row r="81" spans="4:59">
      <c r="D81" s="291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291"/>
      <c r="P81" s="291"/>
      <c r="Q81" s="291"/>
      <c r="R81" s="291"/>
      <c r="S81" s="291"/>
      <c r="T81" s="291"/>
      <c r="U81" s="291"/>
      <c r="V81" s="291"/>
      <c r="W81" s="291"/>
      <c r="X81" s="291"/>
      <c r="Y81" s="291"/>
      <c r="Z81" s="291"/>
      <c r="AA81" s="291"/>
      <c r="AB81" s="291"/>
      <c r="AC81" s="291"/>
      <c r="AD81" s="291"/>
      <c r="AE81" s="291"/>
      <c r="AF81" s="291"/>
      <c r="AG81" s="291"/>
      <c r="AH81" s="291"/>
      <c r="AI81" s="291"/>
      <c r="AJ81" s="291"/>
      <c r="AK81" s="291"/>
      <c r="AL81" s="291"/>
      <c r="AM81" s="291"/>
      <c r="AN81" s="291"/>
      <c r="AO81" s="291"/>
      <c r="AP81" s="291"/>
      <c r="AQ81" s="291"/>
      <c r="AR81" s="291"/>
      <c r="AS81" s="291"/>
      <c r="AT81" s="291"/>
      <c r="AU81" s="291"/>
      <c r="AV81" s="291"/>
      <c r="AW81" s="291"/>
      <c r="AX81" s="291"/>
      <c r="AY81" s="291"/>
      <c r="AZ81" s="291"/>
      <c r="BA81" s="291"/>
      <c r="BB81" s="291"/>
      <c r="BC81" s="291"/>
      <c r="BD81" s="291"/>
      <c r="BE81" s="291"/>
      <c r="BF81" s="291"/>
      <c r="BG81" s="291"/>
    </row>
    <row r="82" spans="4:59"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29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  <c r="AA82" s="291"/>
      <c r="AB82" s="291"/>
      <c r="AC82" s="291"/>
      <c r="AD82" s="291"/>
      <c r="AE82" s="291"/>
      <c r="AF82" s="291"/>
      <c r="AG82" s="291"/>
      <c r="AH82" s="291"/>
      <c r="AI82" s="291"/>
      <c r="AJ82" s="291"/>
      <c r="AK82" s="291"/>
      <c r="AL82" s="291"/>
      <c r="AM82" s="291"/>
      <c r="AN82" s="291"/>
      <c r="AO82" s="291"/>
      <c r="AP82" s="291"/>
      <c r="AQ82" s="291"/>
      <c r="AR82" s="291"/>
      <c r="AS82" s="291"/>
      <c r="AT82" s="291"/>
      <c r="AU82" s="291"/>
      <c r="AV82" s="291"/>
      <c r="AW82" s="291"/>
      <c r="AX82" s="291"/>
      <c r="AY82" s="291"/>
      <c r="AZ82" s="291"/>
      <c r="BA82" s="291"/>
      <c r="BB82" s="291"/>
      <c r="BC82" s="291"/>
      <c r="BD82" s="291"/>
      <c r="BE82" s="291"/>
      <c r="BF82" s="291"/>
      <c r="BG82" s="291"/>
    </row>
    <row r="83" spans="4:59">
      <c r="D83" s="291"/>
      <c r="E83" s="291"/>
      <c r="F83" s="291"/>
      <c r="G83" s="291"/>
      <c r="H83" s="291"/>
      <c r="I83" s="291"/>
      <c r="J83" s="291"/>
      <c r="K83" s="291"/>
      <c r="L83" s="291"/>
      <c r="M83" s="291"/>
      <c r="N83" s="291"/>
      <c r="O83" s="291"/>
      <c r="P83" s="291"/>
      <c r="Q83" s="291"/>
      <c r="R83" s="291"/>
      <c r="S83" s="291"/>
      <c r="T83" s="291"/>
      <c r="U83" s="291"/>
      <c r="V83" s="291"/>
      <c r="W83" s="291"/>
      <c r="X83" s="291"/>
      <c r="Y83" s="291"/>
      <c r="Z83" s="291"/>
      <c r="AA83" s="291"/>
      <c r="AB83" s="291"/>
      <c r="AC83" s="291"/>
      <c r="AD83" s="291"/>
      <c r="AE83" s="291"/>
      <c r="AF83" s="291"/>
      <c r="AG83" s="291"/>
      <c r="AH83" s="291"/>
      <c r="AI83" s="291"/>
      <c r="AJ83" s="291"/>
      <c r="AK83" s="291"/>
      <c r="AL83" s="291"/>
      <c r="AM83" s="291"/>
      <c r="AN83" s="291"/>
      <c r="AO83" s="291"/>
      <c r="AP83" s="291"/>
      <c r="AQ83" s="291"/>
      <c r="AR83" s="291"/>
      <c r="AS83" s="291"/>
      <c r="AT83" s="291"/>
      <c r="AU83" s="291"/>
      <c r="AV83" s="291"/>
      <c r="AW83" s="291"/>
      <c r="AX83" s="291"/>
      <c r="AY83" s="291"/>
      <c r="AZ83" s="291"/>
      <c r="BA83" s="291"/>
      <c r="BB83" s="291"/>
      <c r="BC83" s="291"/>
      <c r="BD83" s="291"/>
      <c r="BE83" s="291"/>
      <c r="BF83" s="291"/>
      <c r="BG83" s="291"/>
    </row>
    <row r="84" spans="4:59">
      <c r="D84" s="291"/>
      <c r="E84" s="291"/>
      <c r="F84" s="291"/>
      <c r="G84" s="291"/>
      <c r="H84" s="291"/>
      <c r="I84" s="291"/>
      <c r="J84" s="291"/>
      <c r="K84" s="291"/>
      <c r="L84" s="291"/>
      <c r="M84" s="291"/>
      <c r="N84" s="291"/>
      <c r="O84" s="291"/>
      <c r="P84" s="291"/>
      <c r="Q84" s="291"/>
      <c r="R84" s="291"/>
      <c r="S84" s="291"/>
      <c r="T84" s="291"/>
      <c r="U84" s="291"/>
      <c r="V84" s="291"/>
      <c r="W84" s="291"/>
      <c r="X84" s="291"/>
      <c r="Y84" s="291"/>
      <c r="Z84" s="291"/>
      <c r="AA84" s="291"/>
      <c r="AB84" s="291"/>
      <c r="AC84" s="291"/>
      <c r="AD84" s="291"/>
      <c r="AE84" s="291"/>
      <c r="AF84" s="291"/>
      <c r="AG84" s="291"/>
      <c r="AH84" s="291"/>
      <c r="AI84" s="291"/>
      <c r="AJ84" s="291"/>
      <c r="AK84" s="291"/>
      <c r="AL84" s="291"/>
      <c r="AM84" s="291"/>
      <c r="AN84" s="291"/>
      <c r="AO84" s="291"/>
      <c r="AP84" s="291"/>
      <c r="AQ84" s="291"/>
      <c r="AR84" s="291"/>
      <c r="AS84" s="291"/>
      <c r="AT84" s="291"/>
      <c r="AU84" s="291"/>
      <c r="AV84" s="291"/>
      <c r="AW84" s="291"/>
      <c r="AX84" s="291"/>
      <c r="AY84" s="291"/>
      <c r="AZ84" s="291"/>
      <c r="BA84" s="291"/>
      <c r="BB84" s="291"/>
      <c r="BC84" s="291"/>
      <c r="BD84" s="291"/>
      <c r="BE84" s="291"/>
      <c r="BF84" s="291"/>
      <c r="BG84" s="291"/>
    </row>
    <row r="85" spans="4:59">
      <c r="D85" s="291"/>
      <c r="E85" s="291"/>
      <c r="F85" s="291"/>
      <c r="G85" s="291"/>
      <c r="H85" s="291"/>
      <c r="I85" s="291"/>
      <c r="J85" s="291"/>
      <c r="K85" s="291"/>
      <c r="L85" s="291"/>
      <c r="M85" s="291"/>
      <c r="N85" s="291"/>
      <c r="O85" s="291"/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291"/>
      <c r="AB85" s="291"/>
      <c r="AC85" s="291"/>
      <c r="AD85" s="291"/>
      <c r="AE85" s="291"/>
      <c r="AF85" s="291"/>
      <c r="AG85" s="291"/>
      <c r="AH85" s="291"/>
      <c r="AI85" s="291"/>
      <c r="AJ85" s="291"/>
      <c r="AK85" s="291"/>
      <c r="AL85" s="291"/>
      <c r="AM85" s="291"/>
      <c r="AN85" s="291"/>
      <c r="AO85" s="291"/>
      <c r="AP85" s="291"/>
      <c r="AQ85" s="291"/>
      <c r="AR85" s="291"/>
      <c r="AS85" s="291"/>
      <c r="AT85" s="291"/>
      <c r="AU85" s="291"/>
      <c r="AV85" s="291"/>
      <c r="AW85" s="291"/>
      <c r="AX85" s="291"/>
      <c r="AY85" s="291"/>
      <c r="AZ85" s="291"/>
      <c r="BA85" s="291"/>
      <c r="BB85" s="291"/>
      <c r="BC85" s="291"/>
      <c r="BD85" s="291"/>
      <c r="BE85" s="291"/>
      <c r="BF85" s="291"/>
      <c r="BG85" s="291"/>
    </row>
    <row r="86" spans="4:59">
      <c r="D86" s="291"/>
      <c r="E86" s="291"/>
      <c r="F86" s="291"/>
      <c r="G86" s="291"/>
      <c r="H86" s="291"/>
      <c r="I86" s="291"/>
      <c r="J86" s="291"/>
      <c r="K86" s="291"/>
      <c r="L86" s="291"/>
      <c r="M86" s="291"/>
      <c r="N86" s="291"/>
      <c r="O86" s="291"/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  <c r="AA86" s="291"/>
      <c r="AB86" s="291"/>
      <c r="AC86" s="291"/>
      <c r="AD86" s="291"/>
      <c r="AE86" s="291"/>
      <c r="AF86" s="291"/>
      <c r="AG86" s="291"/>
      <c r="AH86" s="291"/>
      <c r="AI86" s="291"/>
      <c r="AJ86" s="291"/>
      <c r="AK86" s="291"/>
      <c r="AL86" s="291"/>
      <c r="AM86" s="291"/>
      <c r="AN86" s="291"/>
      <c r="AO86" s="291"/>
      <c r="AP86" s="291"/>
      <c r="AQ86" s="291"/>
      <c r="AR86" s="291"/>
      <c r="AS86" s="291"/>
      <c r="AT86" s="291"/>
      <c r="AU86" s="291"/>
      <c r="AV86" s="291"/>
      <c r="AW86" s="291"/>
      <c r="AX86" s="291"/>
      <c r="AY86" s="291"/>
      <c r="AZ86" s="291"/>
      <c r="BA86" s="291"/>
      <c r="BB86" s="291"/>
      <c r="BC86" s="291"/>
      <c r="BD86" s="291"/>
      <c r="BE86" s="291"/>
      <c r="BF86" s="291"/>
      <c r="BG86" s="291"/>
    </row>
    <row r="87" spans="4:59">
      <c r="D87" s="291"/>
      <c r="E87" s="291"/>
      <c r="F87" s="291"/>
      <c r="G87" s="291"/>
      <c r="H87" s="291"/>
      <c r="I87" s="291"/>
      <c r="J87" s="291"/>
      <c r="K87" s="291"/>
      <c r="L87" s="291"/>
      <c r="M87" s="291"/>
      <c r="N87" s="291"/>
      <c r="O87" s="291"/>
      <c r="P87" s="291"/>
      <c r="Q87" s="291"/>
      <c r="R87" s="291"/>
      <c r="S87" s="291"/>
      <c r="T87" s="291"/>
      <c r="U87" s="291"/>
      <c r="V87" s="291"/>
      <c r="W87" s="291"/>
      <c r="X87" s="291"/>
      <c r="Y87" s="291"/>
      <c r="Z87" s="291"/>
      <c r="AA87" s="291"/>
      <c r="AB87" s="291"/>
      <c r="AC87" s="291"/>
      <c r="AD87" s="291"/>
      <c r="AE87" s="291"/>
      <c r="AF87" s="291"/>
      <c r="AG87" s="291"/>
      <c r="AH87" s="291"/>
      <c r="AI87" s="291"/>
      <c r="AJ87" s="291"/>
      <c r="AK87" s="291"/>
      <c r="AL87" s="291"/>
      <c r="AM87" s="291"/>
      <c r="AN87" s="291"/>
      <c r="AO87" s="291"/>
      <c r="AP87" s="291"/>
      <c r="AQ87" s="291"/>
      <c r="AR87" s="291"/>
      <c r="AS87" s="291"/>
      <c r="AT87" s="291"/>
      <c r="AU87" s="291"/>
      <c r="AV87" s="291"/>
      <c r="AW87" s="291"/>
      <c r="AX87" s="291"/>
      <c r="AY87" s="291"/>
      <c r="AZ87" s="291"/>
      <c r="BA87" s="291"/>
      <c r="BB87" s="291"/>
      <c r="BC87" s="291"/>
      <c r="BD87" s="291"/>
      <c r="BE87" s="291"/>
      <c r="BF87" s="291"/>
      <c r="BG87" s="291"/>
    </row>
    <row r="88" spans="4:59"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291"/>
      <c r="P88" s="291"/>
      <c r="Q88" s="291"/>
      <c r="R88" s="291"/>
      <c r="S88" s="291"/>
      <c r="T88" s="291"/>
      <c r="U88" s="291"/>
      <c r="V88" s="291"/>
      <c r="W88" s="291"/>
      <c r="X88" s="291"/>
      <c r="Y88" s="291"/>
      <c r="Z88" s="291"/>
      <c r="AA88" s="291"/>
      <c r="AB88" s="291"/>
      <c r="AC88" s="291"/>
      <c r="AD88" s="291"/>
      <c r="AE88" s="291"/>
      <c r="AF88" s="291"/>
      <c r="AG88" s="291"/>
      <c r="AH88" s="291"/>
      <c r="AI88" s="291"/>
      <c r="AJ88" s="291"/>
      <c r="AK88" s="291"/>
      <c r="AL88" s="291"/>
      <c r="AM88" s="291"/>
      <c r="AN88" s="291"/>
      <c r="AO88" s="291"/>
      <c r="AP88" s="291"/>
      <c r="AQ88" s="291"/>
      <c r="AR88" s="291"/>
      <c r="AS88" s="291"/>
      <c r="AT88" s="291"/>
      <c r="AU88" s="291"/>
      <c r="AV88" s="291"/>
      <c r="AW88" s="291"/>
      <c r="AX88" s="291"/>
      <c r="AY88" s="291"/>
      <c r="AZ88" s="291"/>
      <c r="BA88" s="291"/>
      <c r="BB88" s="291"/>
      <c r="BC88" s="291"/>
      <c r="BD88" s="291"/>
      <c r="BE88" s="291"/>
      <c r="BF88" s="291"/>
      <c r="BG88" s="291"/>
    </row>
    <row r="89" spans="4:59">
      <c r="D89" s="291"/>
      <c r="E89" s="291"/>
      <c r="F89" s="291"/>
      <c r="G89" s="291"/>
      <c r="H89" s="291"/>
      <c r="I89" s="291"/>
      <c r="J89" s="291"/>
      <c r="K89" s="291"/>
      <c r="L89" s="291"/>
      <c r="M89" s="291"/>
      <c r="N89" s="291"/>
      <c r="O89" s="291"/>
      <c r="P89" s="291"/>
      <c r="Q89" s="291"/>
      <c r="R89" s="291"/>
      <c r="S89" s="291"/>
      <c r="T89" s="291"/>
      <c r="U89" s="291"/>
      <c r="V89" s="291"/>
      <c r="W89" s="291"/>
      <c r="X89" s="291"/>
      <c r="Y89" s="291"/>
      <c r="Z89" s="291"/>
      <c r="AA89" s="291"/>
      <c r="AB89" s="291"/>
      <c r="AC89" s="291"/>
      <c r="AD89" s="291"/>
      <c r="AE89" s="291"/>
      <c r="AF89" s="291"/>
      <c r="AG89" s="291"/>
      <c r="AH89" s="291"/>
      <c r="AI89" s="291"/>
      <c r="AJ89" s="291"/>
      <c r="AK89" s="291"/>
      <c r="AL89" s="291"/>
      <c r="AM89" s="291"/>
      <c r="AN89" s="291"/>
      <c r="AO89" s="291"/>
      <c r="AP89" s="291"/>
      <c r="AQ89" s="291"/>
      <c r="AR89" s="291"/>
      <c r="AS89" s="291"/>
      <c r="AT89" s="291"/>
      <c r="AU89" s="291"/>
      <c r="AV89" s="291"/>
      <c r="AW89" s="291"/>
      <c r="AX89" s="291"/>
      <c r="AY89" s="291"/>
      <c r="AZ89" s="291"/>
      <c r="BA89" s="291"/>
      <c r="BB89" s="291"/>
      <c r="BC89" s="291"/>
      <c r="BD89" s="291"/>
      <c r="BE89" s="291"/>
      <c r="BF89" s="291"/>
      <c r="BG89" s="291"/>
    </row>
    <row r="90" spans="4:59">
      <c r="D90" s="291"/>
      <c r="E90" s="291"/>
      <c r="F90" s="291"/>
      <c r="G90" s="291"/>
      <c r="H90" s="291"/>
      <c r="I90" s="291"/>
      <c r="J90" s="291"/>
      <c r="K90" s="291"/>
      <c r="L90" s="291"/>
      <c r="M90" s="291"/>
      <c r="N90" s="291"/>
      <c r="O90" s="291"/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  <c r="AC90" s="291"/>
      <c r="AD90" s="291"/>
      <c r="AE90" s="291"/>
      <c r="AF90" s="291"/>
      <c r="AG90" s="291"/>
      <c r="AH90" s="291"/>
      <c r="AI90" s="291"/>
      <c r="AJ90" s="291"/>
      <c r="AK90" s="291"/>
      <c r="AL90" s="291"/>
      <c r="AM90" s="291"/>
      <c r="AN90" s="291"/>
      <c r="AO90" s="291"/>
      <c r="AP90" s="291"/>
      <c r="AQ90" s="291"/>
      <c r="AR90" s="291"/>
      <c r="AS90" s="291"/>
      <c r="AT90" s="291"/>
      <c r="AU90" s="291"/>
      <c r="AV90" s="291"/>
      <c r="AW90" s="291"/>
      <c r="AX90" s="291"/>
      <c r="AY90" s="291"/>
      <c r="AZ90" s="291"/>
      <c r="BA90" s="291"/>
      <c r="BB90" s="291"/>
      <c r="BC90" s="291"/>
      <c r="BD90" s="291"/>
      <c r="BE90" s="291"/>
      <c r="BF90" s="291"/>
      <c r="BG90" s="291"/>
    </row>
    <row r="91" spans="4:59">
      <c r="D91" s="291"/>
      <c r="E91" s="291"/>
      <c r="F91" s="291"/>
      <c r="G91" s="291"/>
      <c r="H91" s="291"/>
      <c r="I91" s="291"/>
      <c r="J91" s="291"/>
      <c r="K91" s="291"/>
      <c r="L91" s="291"/>
      <c r="M91" s="291"/>
      <c r="N91" s="291"/>
      <c r="O91" s="291"/>
      <c r="P91" s="291"/>
      <c r="Q91" s="291"/>
      <c r="R91" s="291"/>
      <c r="S91" s="291"/>
      <c r="T91" s="291"/>
      <c r="U91" s="291"/>
      <c r="V91" s="291"/>
      <c r="W91" s="291"/>
      <c r="X91" s="291"/>
      <c r="Y91" s="291"/>
      <c r="Z91" s="291"/>
      <c r="AA91" s="291"/>
      <c r="AB91" s="291"/>
      <c r="AC91" s="291"/>
      <c r="AD91" s="291"/>
      <c r="AE91" s="291"/>
      <c r="AF91" s="291"/>
      <c r="AG91" s="291"/>
      <c r="AH91" s="291"/>
      <c r="AI91" s="291"/>
      <c r="AJ91" s="291"/>
      <c r="AK91" s="291"/>
      <c r="AL91" s="291"/>
      <c r="AM91" s="291"/>
      <c r="AN91" s="291"/>
      <c r="AO91" s="291"/>
      <c r="AP91" s="291"/>
      <c r="AQ91" s="291"/>
      <c r="AR91" s="291"/>
      <c r="AS91" s="291"/>
      <c r="AT91" s="291"/>
      <c r="AU91" s="291"/>
      <c r="AV91" s="291"/>
      <c r="AW91" s="291"/>
      <c r="AX91" s="291"/>
      <c r="AY91" s="291"/>
      <c r="AZ91" s="291"/>
      <c r="BA91" s="291"/>
      <c r="BB91" s="291"/>
      <c r="BC91" s="291"/>
      <c r="BD91" s="291"/>
      <c r="BE91" s="291"/>
      <c r="BF91" s="291"/>
      <c r="BG91" s="291"/>
    </row>
    <row r="92" spans="4:59">
      <c r="D92" s="291"/>
      <c r="E92" s="291"/>
      <c r="F92" s="291"/>
      <c r="G92" s="291"/>
      <c r="H92" s="291"/>
      <c r="I92" s="291"/>
      <c r="J92" s="291"/>
      <c r="K92" s="291"/>
      <c r="L92" s="291"/>
      <c r="M92" s="291"/>
      <c r="N92" s="291"/>
      <c r="O92" s="291"/>
      <c r="P92" s="291"/>
      <c r="Q92" s="291"/>
      <c r="R92" s="291"/>
      <c r="S92" s="291"/>
      <c r="T92" s="291"/>
      <c r="U92" s="291"/>
      <c r="V92" s="291"/>
      <c r="W92" s="291"/>
      <c r="X92" s="291"/>
      <c r="Y92" s="291"/>
      <c r="Z92" s="291"/>
      <c r="AA92" s="291"/>
      <c r="AB92" s="291"/>
      <c r="AC92" s="291"/>
      <c r="AD92" s="291"/>
      <c r="AE92" s="291"/>
      <c r="AF92" s="291"/>
      <c r="AG92" s="291"/>
      <c r="AH92" s="291"/>
      <c r="AI92" s="291"/>
      <c r="AJ92" s="291"/>
      <c r="AK92" s="291"/>
      <c r="AL92" s="291"/>
      <c r="AM92" s="291"/>
      <c r="AN92" s="291"/>
      <c r="AO92" s="291"/>
      <c r="AP92" s="291"/>
      <c r="AQ92" s="291"/>
      <c r="AR92" s="291"/>
      <c r="AS92" s="291"/>
      <c r="AT92" s="291"/>
      <c r="AU92" s="291"/>
      <c r="AV92" s="291"/>
      <c r="AW92" s="291"/>
      <c r="AX92" s="291"/>
      <c r="AY92" s="291"/>
      <c r="AZ92" s="291"/>
      <c r="BA92" s="291"/>
      <c r="BB92" s="291"/>
      <c r="BC92" s="291"/>
      <c r="BD92" s="291"/>
      <c r="BE92" s="291"/>
      <c r="BF92" s="291"/>
      <c r="BG92" s="291"/>
    </row>
    <row r="93" spans="4:59">
      <c r="D93" s="291"/>
      <c r="E93" s="291"/>
      <c r="F93" s="291"/>
      <c r="G93" s="291"/>
      <c r="H93" s="291"/>
      <c r="I93" s="291"/>
      <c r="J93" s="291"/>
      <c r="K93" s="291"/>
      <c r="L93" s="291"/>
      <c r="M93" s="291"/>
      <c r="N93" s="291"/>
      <c r="O93" s="291"/>
      <c r="P93" s="291"/>
      <c r="Q93" s="291"/>
      <c r="R93" s="291"/>
      <c r="S93" s="291"/>
      <c r="T93" s="291"/>
      <c r="U93" s="291"/>
      <c r="V93" s="291"/>
      <c r="W93" s="291"/>
      <c r="X93" s="291"/>
      <c r="Y93" s="291"/>
      <c r="Z93" s="291"/>
      <c r="AA93" s="291"/>
      <c r="AB93" s="291"/>
      <c r="AC93" s="291"/>
      <c r="AD93" s="291"/>
      <c r="AE93" s="291"/>
      <c r="AF93" s="291"/>
      <c r="AG93" s="291"/>
      <c r="AH93" s="291"/>
      <c r="AI93" s="291"/>
      <c r="AJ93" s="291"/>
      <c r="AK93" s="291"/>
      <c r="AL93" s="291"/>
      <c r="AM93" s="291"/>
      <c r="AN93" s="291"/>
      <c r="AO93" s="291"/>
      <c r="AP93" s="291"/>
      <c r="AQ93" s="291"/>
      <c r="AR93" s="291"/>
      <c r="AS93" s="291"/>
      <c r="AT93" s="291"/>
      <c r="AU93" s="291"/>
      <c r="AV93" s="291"/>
      <c r="AW93" s="291"/>
      <c r="AX93" s="291"/>
      <c r="AY93" s="291"/>
      <c r="AZ93" s="291"/>
      <c r="BA93" s="291"/>
      <c r="BB93" s="291"/>
      <c r="BC93" s="291"/>
      <c r="BD93" s="291"/>
      <c r="BE93" s="291"/>
      <c r="BF93" s="291"/>
      <c r="BG93" s="291"/>
    </row>
    <row r="94" spans="4:59">
      <c r="D94" s="291"/>
      <c r="E94" s="291"/>
      <c r="F94" s="291"/>
      <c r="G94" s="291"/>
      <c r="H94" s="291"/>
      <c r="I94" s="291"/>
      <c r="J94" s="291"/>
      <c r="K94" s="291"/>
      <c r="L94" s="291"/>
      <c r="M94" s="291"/>
      <c r="N94" s="291"/>
      <c r="O94" s="291"/>
      <c r="P94" s="291"/>
      <c r="Q94" s="291"/>
      <c r="R94" s="291"/>
      <c r="S94" s="291"/>
      <c r="T94" s="291"/>
      <c r="U94" s="291"/>
      <c r="V94" s="291"/>
      <c r="W94" s="291"/>
      <c r="X94" s="291"/>
      <c r="Y94" s="291"/>
      <c r="Z94" s="291"/>
      <c r="AA94" s="291"/>
      <c r="AB94" s="291"/>
      <c r="AC94" s="291"/>
      <c r="AD94" s="291"/>
      <c r="AE94" s="291"/>
      <c r="AF94" s="291"/>
      <c r="AG94" s="291"/>
      <c r="AH94" s="291"/>
      <c r="AI94" s="291"/>
      <c r="AJ94" s="291"/>
      <c r="AK94" s="291"/>
      <c r="AL94" s="291"/>
      <c r="AM94" s="291"/>
      <c r="AN94" s="291"/>
      <c r="AO94" s="291"/>
      <c r="AP94" s="291"/>
      <c r="AQ94" s="291"/>
      <c r="AR94" s="291"/>
      <c r="AS94" s="291"/>
      <c r="AT94" s="291"/>
      <c r="AU94" s="291"/>
      <c r="AV94" s="291"/>
      <c r="AW94" s="291"/>
      <c r="AX94" s="291"/>
      <c r="AY94" s="291"/>
      <c r="AZ94" s="291"/>
      <c r="BA94" s="291"/>
      <c r="BB94" s="291"/>
      <c r="BC94" s="291"/>
      <c r="BD94" s="291"/>
      <c r="BE94" s="291"/>
      <c r="BF94" s="291"/>
      <c r="BG94" s="291"/>
    </row>
    <row r="95" spans="4:59"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91"/>
      <c r="Q95" s="291"/>
      <c r="R95" s="291"/>
      <c r="S95" s="291"/>
      <c r="T95" s="291"/>
      <c r="U95" s="291"/>
      <c r="V95" s="291"/>
      <c r="W95" s="291"/>
      <c r="X95" s="291"/>
      <c r="Y95" s="291"/>
      <c r="Z95" s="291"/>
      <c r="AA95" s="291"/>
      <c r="AB95" s="291"/>
      <c r="AC95" s="291"/>
      <c r="AD95" s="291"/>
      <c r="AE95" s="291"/>
      <c r="AF95" s="291"/>
      <c r="AG95" s="291"/>
      <c r="AH95" s="291"/>
      <c r="AI95" s="291"/>
      <c r="AJ95" s="291"/>
      <c r="AK95" s="291"/>
      <c r="AL95" s="291"/>
      <c r="AM95" s="291"/>
      <c r="AN95" s="291"/>
      <c r="AO95" s="291"/>
      <c r="AP95" s="291"/>
      <c r="AQ95" s="291"/>
      <c r="AR95" s="291"/>
      <c r="AS95" s="291"/>
      <c r="AT95" s="291"/>
      <c r="AU95" s="291"/>
      <c r="AV95" s="291"/>
      <c r="AW95" s="291"/>
      <c r="AX95" s="291"/>
      <c r="AY95" s="291"/>
      <c r="AZ95" s="291"/>
      <c r="BA95" s="291"/>
      <c r="BB95" s="291"/>
      <c r="BC95" s="291"/>
      <c r="BD95" s="291"/>
      <c r="BE95" s="291"/>
      <c r="BF95" s="291"/>
      <c r="BG95" s="291"/>
    </row>
    <row r="96" spans="4:59">
      <c r="D96" s="291"/>
      <c r="E96" s="291"/>
      <c r="F96" s="291"/>
      <c r="G96" s="291"/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291"/>
      <c r="S96" s="291"/>
      <c r="T96" s="291"/>
      <c r="U96" s="291"/>
      <c r="V96" s="291"/>
      <c r="W96" s="291"/>
      <c r="X96" s="291"/>
      <c r="Y96" s="291"/>
      <c r="Z96" s="291"/>
      <c r="AA96" s="291"/>
      <c r="AB96" s="291"/>
      <c r="AC96" s="291"/>
      <c r="AD96" s="291"/>
      <c r="AE96" s="291"/>
      <c r="AF96" s="291"/>
      <c r="AG96" s="291"/>
      <c r="AH96" s="291"/>
      <c r="AI96" s="291"/>
      <c r="AJ96" s="291"/>
      <c r="AK96" s="291"/>
      <c r="AL96" s="291"/>
      <c r="AM96" s="291"/>
      <c r="AN96" s="291"/>
      <c r="AO96" s="291"/>
      <c r="AP96" s="291"/>
      <c r="AQ96" s="291"/>
      <c r="AR96" s="291"/>
      <c r="AS96" s="291"/>
      <c r="AT96" s="291"/>
      <c r="AU96" s="291"/>
      <c r="AV96" s="291"/>
      <c r="AW96" s="291"/>
      <c r="AX96" s="291"/>
      <c r="AY96" s="291"/>
      <c r="AZ96" s="291"/>
      <c r="BA96" s="291"/>
      <c r="BB96" s="291"/>
      <c r="BC96" s="291"/>
      <c r="BD96" s="291"/>
      <c r="BE96" s="291"/>
      <c r="BF96" s="291"/>
      <c r="BG96" s="291"/>
    </row>
    <row r="97" spans="4:59">
      <c r="D97" s="291"/>
      <c r="E97" s="291"/>
      <c r="F97" s="291"/>
      <c r="G97" s="291"/>
      <c r="H97" s="291"/>
      <c r="I97" s="291"/>
      <c r="J97" s="291"/>
      <c r="K97" s="291"/>
      <c r="L97" s="291"/>
      <c r="M97" s="291"/>
      <c r="N97" s="291"/>
      <c r="O97" s="291"/>
      <c r="P97" s="291"/>
      <c r="Q97" s="291"/>
      <c r="R97" s="291"/>
      <c r="S97" s="291"/>
      <c r="T97" s="291"/>
      <c r="U97" s="291"/>
      <c r="V97" s="291"/>
      <c r="W97" s="291"/>
      <c r="X97" s="291"/>
      <c r="Y97" s="291"/>
      <c r="Z97" s="291"/>
      <c r="AA97" s="291"/>
      <c r="AB97" s="291"/>
      <c r="AC97" s="291"/>
      <c r="AD97" s="291"/>
      <c r="AE97" s="291"/>
      <c r="AF97" s="291"/>
      <c r="AG97" s="291"/>
      <c r="AH97" s="291"/>
      <c r="AI97" s="291"/>
      <c r="AJ97" s="291"/>
      <c r="AK97" s="291"/>
      <c r="AL97" s="291"/>
      <c r="AM97" s="291"/>
      <c r="AN97" s="291"/>
      <c r="AO97" s="291"/>
      <c r="AP97" s="291"/>
      <c r="AQ97" s="291"/>
      <c r="AR97" s="291"/>
      <c r="AS97" s="291"/>
      <c r="AT97" s="291"/>
      <c r="AU97" s="291"/>
      <c r="AV97" s="291"/>
      <c r="AW97" s="291"/>
      <c r="AX97" s="291"/>
      <c r="AY97" s="291"/>
      <c r="AZ97" s="291"/>
      <c r="BA97" s="291"/>
      <c r="BB97" s="291"/>
      <c r="BC97" s="291"/>
      <c r="BD97" s="291"/>
      <c r="BE97" s="291"/>
      <c r="BF97" s="291"/>
      <c r="BG97" s="291"/>
    </row>
    <row r="98" spans="4:59">
      <c r="D98" s="291"/>
      <c r="E98" s="291"/>
      <c r="F98" s="291"/>
      <c r="G98" s="291"/>
      <c r="H98" s="291"/>
      <c r="I98" s="291"/>
      <c r="J98" s="291"/>
      <c r="K98" s="291"/>
      <c r="L98" s="291"/>
      <c r="M98" s="291"/>
      <c r="N98" s="291"/>
      <c r="O98" s="291"/>
      <c r="P98" s="291"/>
      <c r="Q98" s="291"/>
      <c r="R98" s="291"/>
      <c r="S98" s="291"/>
      <c r="T98" s="291"/>
      <c r="U98" s="291"/>
      <c r="V98" s="291"/>
      <c r="W98" s="291"/>
      <c r="X98" s="291"/>
      <c r="Y98" s="291"/>
      <c r="Z98" s="291"/>
      <c r="AA98" s="291"/>
      <c r="AB98" s="291"/>
      <c r="AC98" s="291"/>
      <c r="AD98" s="291"/>
      <c r="AE98" s="291"/>
      <c r="AF98" s="291"/>
      <c r="AG98" s="291"/>
      <c r="AH98" s="291"/>
      <c r="AI98" s="291"/>
      <c r="AJ98" s="291"/>
      <c r="AK98" s="291"/>
      <c r="AL98" s="291"/>
      <c r="AM98" s="291"/>
      <c r="AN98" s="291"/>
      <c r="AO98" s="291"/>
      <c r="AP98" s="291"/>
      <c r="AQ98" s="291"/>
      <c r="AR98" s="291"/>
      <c r="AS98" s="291"/>
      <c r="AT98" s="291"/>
      <c r="AU98" s="291"/>
      <c r="AV98" s="291"/>
      <c r="AW98" s="291"/>
      <c r="AX98" s="291"/>
      <c r="AY98" s="291"/>
      <c r="AZ98" s="291"/>
      <c r="BA98" s="291"/>
      <c r="BB98" s="291"/>
      <c r="BC98" s="291"/>
      <c r="BD98" s="291"/>
      <c r="BE98" s="291"/>
      <c r="BF98" s="291"/>
      <c r="BG98" s="291"/>
    </row>
    <row r="99" spans="4:59">
      <c r="D99" s="291"/>
      <c r="E99" s="291"/>
      <c r="F99" s="291"/>
      <c r="G99" s="291"/>
      <c r="H99" s="291"/>
      <c r="I99" s="291"/>
      <c r="J99" s="291"/>
      <c r="K99" s="291"/>
      <c r="L99" s="291"/>
      <c r="M99" s="291"/>
      <c r="N99" s="291"/>
      <c r="O99" s="291"/>
      <c r="P99" s="291"/>
      <c r="Q99" s="291"/>
      <c r="R99" s="291"/>
      <c r="S99" s="291"/>
      <c r="T99" s="291"/>
      <c r="U99" s="291"/>
      <c r="V99" s="291"/>
      <c r="W99" s="291"/>
      <c r="X99" s="291"/>
      <c r="Y99" s="291"/>
      <c r="Z99" s="291"/>
      <c r="AA99" s="291"/>
      <c r="AB99" s="291"/>
      <c r="AC99" s="291"/>
      <c r="AD99" s="291"/>
      <c r="AE99" s="291"/>
      <c r="AF99" s="291"/>
      <c r="AG99" s="291"/>
      <c r="AH99" s="291"/>
      <c r="AI99" s="291"/>
      <c r="AJ99" s="291"/>
      <c r="AK99" s="291"/>
      <c r="AL99" s="291"/>
      <c r="AM99" s="291"/>
      <c r="AN99" s="291"/>
      <c r="AO99" s="291"/>
      <c r="AP99" s="291"/>
      <c r="AQ99" s="291"/>
      <c r="AR99" s="291"/>
      <c r="AS99" s="291"/>
      <c r="AT99" s="291"/>
      <c r="AU99" s="291"/>
      <c r="AV99" s="291"/>
      <c r="AW99" s="291"/>
      <c r="AX99" s="291"/>
      <c r="AY99" s="291"/>
      <c r="AZ99" s="291"/>
      <c r="BA99" s="291"/>
      <c r="BB99" s="291"/>
      <c r="BC99" s="291"/>
      <c r="BD99" s="291"/>
      <c r="BE99" s="291"/>
      <c r="BF99" s="291"/>
      <c r="BG99" s="291"/>
    </row>
    <row r="100" spans="4:59">
      <c r="D100" s="291"/>
      <c r="E100" s="291"/>
      <c r="F100" s="291"/>
      <c r="G100" s="291"/>
      <c r="H100" s="291"/>
      <c r="I100" s="291"/>
      <c r="J100" s="291"/>
      <c r="K100" s="291"/>
      <c r="L100" s="291"/>
      <c r="M100" s="291"/>
      <c r="N100" s="291"/>
      <c r="O100" s="291"/>
      <c r="P100" s="291"/>
      <c r="Q100" s="291"/>
      <c r="R100" s="291"/>
      <c r="S100" s="291"/>
      <c r="T100" s="291"/>
      <c r="U100" s="291"/>
      <c r="V100" s="291"/>
      <c r="W100" s="291"/>
      <c r="X100" s="291"/>
      <c r="Y100" s="291"/>
      <c r="Z100" s="291"/>
      <c r="AA100" s="291"/>
      <c r="AB100" s="291"/>
      <c r="AC100" s="291"/>
      <c r="AD100" s="291"/>
      <c r="AE100" s="291"/>
      <c r="AF100" s="291"/>
      <c r="AG100" s="291"/>
      <c r="AH100" s="291"/>
      <c r="AI100" s="291"/>
      <c r="AJ100" s="291"/>
      <c r="AK100" s="291"/>
      <c r="AL100" s="291"/>
      <c r="AM100" s="291"/>
      <c r="AN100" s="291"/>
      <c r="AO100" s="291"/>
      <c r="AP100" s="291"/>
      <c r="AQ100" s="291"/>
      <c r="AR100" s="291"/>
      <c r="AS100" s="291"/>
      <c r="AT100" s="291"/>
      <c r="AU100" s="291"/>
      <c r="AV100" s="291"/>
      <c r="AW100" s="291"/>
      <c r="AX100" s="291"/>
      <c r="AY100" s="291"/>
      <c r="AZ100" s="291"/>
      <c r="BA100" s="291"/>
      <c r="BB100" s="291"/>
      <c r="BC100" s="291"/>
      <c r="BD100" s="291"/>
      <c r="BE100" s="291"/>
      <c r="BF100" s="291"/>
      <c r="BG100" s="291"/>
    </row>
    <row r="101" spans="4:59">
      <c r="D101" s="291"/>
      <c r="E101" s="291"/>
      <c r="F101" s="291"/>
      <c r="G101" s="291"/>
      <c r="H101" s="291"/>
      <c r="I101" s="291"/>
      <c r="J101" s="291"/>
      <c r="K101" s="291"/>
      <c r="L101" s="291"/>
      <c r="M101" s="291"/>
      <c r="N101" s="291"/>
      <c r="O101" s="291"/>
      <c r="P101" s="291"/>
      <c r="Q101" s="291"/>
      <c r="R101" s="291"/>
      <c r="S101" s="291"/>
      <c r="T101" s="291"/>
      <c r="U101" s="291"/>
      <c r="V101" s="291"/>
      <c r="W101" s="291"/>
      <c r="X101" s="291"/>
      <c r="Y101" s="291"/>
      <c r="Z101" s="291"/>
      <c r="AA101" s="291"/>
      <c r="AB101" s="291"/>
      <c r="AC101" s="291"/>
      <c r="AD101" s="291"/>
      <c r="AE101" s="291"/>
      <c r="AF101" s="291"/>
      <c r="AG101" s="291"/>
      <c r="AH101" s="291"/>
      <c r="AI101" s="291"/>
      <c r="AJ101" s="291"/>
      <c r="AK101" s="291"/>
      <c r="AL101" s="291"/>
      <c r="AM101" s="291"/>
      <c r="AN101" s="291"/>
      <c r="AO101" s="291"/>
      <c r="AP101" s="291"/>
      <c r="AQ101" s="291"/>
      <c r="AR101" s="291"/>
      <c r="AS101" s="291"/>
      <c r="AT101" s="291"/>
      <c r="AU101" s="291"/>
      <c r="AV101" s="291"/>
      <c r="AW101" s="291"/>
      <c r="AX101" s="291"/>
      <c r="AY101" s="291"/>
      <c r="AZ101" s="291"/>
      <c r="BA101" s="291"/>
      <c r="BB101" s="291"/>
      <c r="BC101" s="291"/>
      <c r="BD101" s="291"/>
      <c r="BE101" s="291"/>
      <c r="BF101" s="291"/>
      <c r="BG101" s="291"/>
    </row>
    <row r="102" spans="4:59">
      <c r="D102" s="291"/>
      <c r="E102" s="291"/>
      <c r="F102" s="291"/>
      <c r="G102" s="291"/>
      <c r="H102" s="291"/>
      <c r="I102" s="291"/>
      <c r="J102" s="291"/>
      <c r="K102" s="291"/>
      <c r="L102" s="291"/>
      <c r="M102" s="291"/>
      <c r="N102" s="291"/>
      <c r="O102" s="291"/>
      <c r="P102" s="291"/>
      <c r="Q102" s="291"/>
      <c r="R102" s="291"/>
      <c r="S102" s="291"/>
      <c r="T102" s="291"/>
      <c r="U102" s="291"/>
      <c r="V102" s="291"/>
      <c r="W102" s="291"/>
      <c r="X102" s="291"/>
      <c r="Y102" s="291"/>
      <c r="Z102" s="291"/>
      <c r="AA102" s="291"/>
      <c r="AB102" s="291"/>
      <c r="AC102" s="291"/>
      <c r="AD102" s="291"/>
      <c r="AE102" s="291"/>
      <c r="AF102" s="291"/>
      <c r="AG102" s="291"/>
      <c r="AH102" s="291"/>
      <c r="AI102" s="291"/>
      <c r="AJ102" s="291"/>
      <c r="AK102" s="291"/>
      <c r="AL102" s="291"/>
      <c r="AM102" s="291"/>
      <c r="AN102" s="291"/>
      <c r="AO102" s="291"/>
      <c r="AP102" s="291"/>
      <c r="AQ102" s="291"/>
      <c r="AR102" s="291"/>
      <c r="AS102" s="291"/>
      <c r="AT102" s="291"/>
      <c r="AU102" s="291"/>
      <c r="AV102" s="291"/>
      <c r="AW102" s="291"/>
      <c r="AX102" s="291"/>
      <c r="AY102" s="291"/>
      <c r="AZ102" s="291"/>
      <c r="BA102" s="291"/>
      <c r="BB102" s="291"/>
      <c r="BC102" s="291"/>
      <c r="BD102" s="291"/>
      <c r="BE102" s="291"/>
      <c r="BF102" s="291"/>
      <c r="BG102" s="291"/>
    </row>
    <row r="103" spans="4:59"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  <c r="N103" s="291"/>
      <c r="O103" s="291"/>
      <c r="P103" s="291"/>
      <c r="Q103" s="291"/>
      <c r="R103" s="291"/>
      <c r="S103" s="291"/>
      <c r="T103" s="291"/>
      <c r="U103" s="291"/>
      <c r="V103" s="291"/>
      <c r="W103" s="291"/>
      <c r="X103" s="291"/>
      <c r="Y103" s="291"/>
      <c r="Z103" s="291"/>
      <c r="AA103" s="291"/>
      <c r="AB103" s="291"/>
      <c r="AC103" s="291"/>
      <c r="AD103" s="291"/>
      <c r="AE103" s="291"/>
      <c r="AF103" s="291"/>
      <c r="AG103" s="291"/>
      <c r="AH103" s="291"/>
      <c r="AI103" s="291"/>
      <c r="AJ103" s="291"/>
      <c r="AK103" s="291"/>
      <c r="AL103" s="291"/>
      <c r="AM103" s="291"/>
      <c r="AN103" s="291"/>
      <c r="AO103" s="291"/>
      <c r="AP103" s="291"/>
      <c r="AQ103" s="291"/>
      <c r="AR103" s="291"/>
      <c r="AS103" s="291"/>
      <c r="AT103" s="291"/>
      <c r="AU103" s="291"/>
      <c r="AV103" s="291"/>
      <c r="AW103" s="291"/>
      <c r="AX103" s="291"/>
      <c r="AY103" s="291"/>
      <c r="AZ103" s="291"/>
      <c r="BA103" s="291"/>
      <c r="BB103" s="291"/>
      <c r="BC103" s="291"/>
      <c r="BD103" s="291"/>
      <c r="BE103" s="291"/>
      <c r="BF103" s="291"/>
      <c r="BG103" s="291"/>
    </row>
    <row r="104" spans="4:59">
      <c r="D104" s="291"/>
      <c r="E104" s="291"/>
      <c r="F104" s="291"/>
      <c r="G104" s="291"/>
      <c r="H104" s="291"/>
      <c r="I104" s="291"/>
      <c r="J104" s="291"/>
      <c r="K104" s="291"/>
      <c r="L104" s="291"/>
      <c r="M104" s="291"/>
      <c r="N104" s="291"/>
      <c r="O104" s="291"/>
      <c r="P104" s="291"/>
      <c r="Q104" s="291"/>
      <c r="R104" s="291"/>
      <c r="S104" s="291"/>
      <c r="T104" s="291"/>
      <c r="U104" s="291"/>
      <c r="V104" s="291"/>
      <c r="W104" s="291"/>
      <c r="X104" s="291"/>
      <c r="Y104" s="291"/>
      <c r="Z104" s="291"/>
      <c r="AA104" s="291"/>
      <c r="AB104" s="291"/>
      <c r="AC104" s="291"/>
      <c r="AD104" s="291"/>
      <c r="AE104" s="291"/>
      <c r="AF104" s="291"/>
      <c r="AG104" s="291"/>
      <c r="AH104" s="291"/>
      <c r="AI104" s="291"/>
      <c r="AJ104" s="291"/>
      <c r="AK104" s="291"/>
      <c r="AL104" s="291"/>
      <c r="AM104" s="291"/>
      <c r="AN104" s="291"/>
      <c r="AO104" s="291"/>
      <c r="AP104" s="291"/>
      <c r="AQ104" s="291"/>
      <c r="AR104" s="291"/>
      <c r="AS104" s="291"/>
      <c r="AT104" s="291"/>
      <c r="AU104" s="291"/>
      <c r="AV104" s="291"/>
      <c r="AW104" s="291"/>
      <c r="AX104" s="291"/>
      <c r="AY104" s="291"/>
      <c r="AZ104" s="291"/>
      <c r="BA104" s="291"/>
      <c r="BB104" s="291"/>
      <c r="BC104" s="291"/>
      <c r="BD104" s="291"/>
      <c r="BE104" s="291"/>
      <c r="BF104" s="291"/>
      <c r="BG104" s="291"/>
    </row>
    <row r="105" spans="4:59">
      <c r="D105" s="291"/>
      <c r="E105" s="291"/>
      <c r="F105" s="291"/>
      <c r="G105" s="291"/>
      <c r="H105" s="291"/>
      <c r="I105" s="291"/>
      <c r="J105" s="291"/>
      <c r="K105" s="291"/>
      <c r="L105" s="291"/>
      <c r="M105" s="291"/>
      <c r="N105" s="291"/>
      <c r="O105" s="291"/>
      <c r="P105" s="291"/>
      <c r="Q105" s="291"/>
      <c r="R105" s="291"/>
      <c r="S105" s="291"/>
      <c r="T105" s="291"/>
      <c r="U105" s="291"/>
      <c r="V105" s="291"/>
      <c r="W105" s="291"/>
      <c r="X105" s="291"/>
      <c r="Y105" s="291"/>
      <c r="Z105" s="291"/>
      <c r="AA105" s="291"/>
      <c r="AB105" s="291"/>
      <c r="AC105" s="291"/>
      <c r="AD105" s="291"/>
      <c r="AE105" s="291"/>
      <c r="AF105" s="291"/>
      <c r="AG105" s="291"/>
      <c r="AH105" s="291"/>
      <c r="AI105" s="291"/>
      <c r="AJ105" s="291"/>
      <c r="AK105" s="291"/>
      <c r="AL105" s="291"/>
      <c r="AM105" s="291"/>
      <c r="AN105" s="291"/>
      <c r="AO105" s="291"/>
      <c r="AP105" s="291"/>
      <c r="AQ105" s="291"/>
      <c r="AR105" s="291"/>
      <c r="AS105" s="291"/>
      <c r="AT105" s="291"/>
      <c r="AU105" s="291"/>
      <c r="AV105" s="291"/>
      <c r="AW105" s="291"/>
      <c r="AX105" s="291"/>
      <c r="AY105" s="291"/>
      <c r="AZ105" s="291"/>
      <c r="BA105" s="291"/>
      <c r="BB105" s="291"/>
      <c r="BC105" s="291"/>
      <c r="BD105" s="291"/>
      <c r="BE105" s="291"/>
      <c r="BF105" s="291"/>
      <c r="BG105" s="291"/>
    </row>
    <row r="106" spans="4:59">
      <c r="D106" s="291"/>
      <c r="E106" s="291"/>
      <c r="F106" s="291"/>
      <c r="G106" s="291"/>
      <c r="H106" s="291"/>
      <c r="I106" s="291"/>
      <c r="J106" s="291"/>
      <c r="K106" s="291"/>
      <c r="L106" s="291"/>
      <c r="M106" s="291"/>
      <c r="N106" s="291"/>
      <c r="O106" s="291"/>
      <c r="P106" s="291"/>
      <c r="Q106" s="291"/>
      <c r="R106" s="291"/>
      <c r="S106" s="291"/>
      <c r="T106" s="291"/>
      <c r="U106" s="291"/>
      <c r="V106" s="291"/>
      <c r="W106" s="291"/>
      <c r="X106" s="291"/>
      <c r="Y106" s="291"/>
      <c r="Z106" s="291"/>
      <c r="AA106" s="291"/>
      <c r="AB106" s="291"/>
      <c r="AC106" s="291"/>
      <c r="AD106" s="291"/>
      <c r="AE106" s="291"/>
      <c r="AF106" s="291"/>
      <c r="AG106" s="291"/>
      <c r="AH106" s="291"/>
      <c r="AI106" s="291"/>
      <c r="AJ106" s="291"/>
      <c r="AK106" s="291"/>
      <c r="AL106" s="291"/>
      <c r="AM106" s="291"/>
      <c r="AN106" s="291"/>
      <c r="AO106" s="291"/>
      <c r="AP106" s="291"/>
      <c r="AQ106" s="291"/>
      <c r="AR106" s="291"/>
      <c r="AS106" s="291"/>
      <c r="AT106" s="291"/>
      <c r="AU106" s="291"/>
      <c r="AV106" s="291"/>
      <c r="AW106" s="291"/>
      <c r="AX106" s="291"/>
      <c r="AY106" s="291"/>
      <c r="AZ106" s="291"/>
      <c r="BA106" s="291"/>
      <c r="BB106" s="291"/>
      <c r="BC106" s="291"/>
      <c r="BD106" s="291"/>
      <c r="BE106" s="291"/>
      <c r="BF106" s="291"/>
      <c r="BG106" s="291"/>
    </row>
    <row r="107" spans="4:59">
      <c r="D107" s="291"/>
      <c r="E107" s="291"/>
      <c r="F107" s="291"/>
      <c r="G107" s="291"/>
      <c r="H107" s="291"/>
      <c r="I107" s="291"/>
      <c r="J107" s="291"/>
      <c r="K107" s="291"/>
      <c r="L107" s="291"/>
      <c r="M107" s="291"/>
      <c r="N107" s="291"/>
      <c r="O107" s="291"/>
      <c r="P107" s="291"/>
      <c r="Q107" s="291"/>
      <c r="R107" s="291"/>
      <c r="S107" s="291"/>
      <c r="T107" s="291"/>
      <c r="U107" s="291"/>
      <c r="V107" s="291"/>
      <c r="W107" s="291"/>
      <c r="X107" s="291"/>
      <c r="Y107" s="291"/>
      <c r="Z107" s="291"/>
      <c r="AA107" s="291"/>
      <c r="AB107" s="291"/>
      <c r="AC107" s="291"/>
      <c r="AD107" s="291"/>
      <c r="AE107" s="291"/>
      <c r="AF107" s="291"/>
      <c r="AG107" s="291"/>
      <c r="AH107" s="291"/>
      <c r="AI107" s="291"/>
      <c r="AJ107" s="291"/>
      <c r="AK107" s="291"/>
      <c r="AL107" s="291"/>
      <c r="AM107" s="291"/>
      <c r="AN107" s="291"/>
      <c r="AO107" s="291"/>
      <c r="AP107" s="291"/>
      <c r="AQ107" s="291"/>
      <c r="AR107" s="291"/>
      <c r="AS107" s="291"/>
      <c r="AT107" s="291"/>
      <c r="AU107" s="291"/>
      <c r="AV107" s="291"/>
      <c r="AW107" s="291"/>
      <c r="AX107" s="291"/>
      <c r="AY107" s="291"/>
      <c r="AZ107" s="291"/>
      <c r="BA107" s="291"/>
      <c r="BB107" s="291"/>
      <c r="BC107" s="291"/>
      <c r="BD107" s="291"/>
      <c r="BE107" s="291"/>
      <c r="BF107" s="291"/>
      <c r="BG107" s="291"/>
    </row>
    <row r="108" spans="4:59">
      <c r="D108" s="291"/>
      <c r="E108" s="291"/>
      <c r="F108" s="291"/>
      <c r="G108" s="291"/>
      <c r="H108" s="291"/>
      <c r="I108" s="291"/>
      <c r="J108" s="291"/>
      <c r="K108" s="291"/>
      <c r="L108" s="291"/>
      <c r="M108" s="291"/>
      <c r="N108" s="291"/>
      <c r="O108" s="291"/>
      <c r="P108" s="291"/>
      <c r="Q108" s="291"/>
      <c r="R108" s="291"/>
      <c r="S108" s="291"/>
      <c r="T108" s="291"/>
      <c r="U108" s="291"/>
      <c r="V108" s="291"/>
      <c r="W108" s="291"/>
      <c r="X108" s="291"/>
      <c r="Y108" s="291"/>
      <c r="Z108" s="291"/>
      <c r="AA108" s="291"/>
      <c r="AB108" s="291"/>
      <c r="AC108" s="291"/>
      <c r="AD108" s="291"/>
      <c r="AE108" s="291"/>
      <c r="AF108" s="291"/>
      <c r="AG108" s="291"/>
      <c r="AH108" s="291"/>
      <c r="AI108" s="291"/>
      <c r="AJ108" s="291"/>
      <c r="AK108" s="291"/>
      <c r="AL108" s="291"/>
      <c r="AM108" s="291"/>
      <c r="AN108" s="291"/>
      <c r="AO108" s="291"/>
      <c r="AP108" s="291"/>
      <c r="AQ108" s="291"/>
      <c r="AR108" s="291"/>
      <c r="AS108" s="291"/>
      <c r="AT108" s="291"/>
      <c r="AU108" s="291"/>
      <c r="AV108" s="291"/>
      <c r="AW108" s="291"/>
      <c r="AX108" s="291"/>
      <c r="AY108" s="291"/>
      <c r="AZ108" s="291"/>
      <c r="BA108" s="291"/>
      <c r="BB108" s="291"/>
      <c r="BC108" s="291"/>
      <c r="BD108" s="291"/>
      <c r="BE108" s="291"/>
      <c r="BF108" s="291"/>
      <c r="BG108" s="291"/>
    </row>
    <row r="109" spans="4:59">
      <c r="D109" s="291"/>
      <c r="E109" s="291"/>
      <c r="F109" s="291"/>
      <c r="G109" s="291"/>
      <c r="H109" s="291"/>
      <c r="I109" s="291"/>
      <c r="J109" s="291"/>
      <c r="K109" s="291"/>
      <c r="L109" s="291"/>
      <c r="M109" s="291"/>
      <c r="N109" s="291"/>
      <c r="O109" s="291"/>
      <c r="P109" s="291"/>
      <c r="Q109" s="291"/>
      <c r="R109" s="291"/>
      <c r="S109" s="291"/>
      <c r="T109" s="291"/>
      <c r="U109" s="291"/>
      <c r="V109" s="291"/>
      <c r="W109" s="291"/>
      <c r="X109" s="291"/>
      <c r="Y109" s="291"/>
      <c r="Z109" s="291"/>
      <c r="AA109" s="291"/>
      <c r="AB109" s="291"/>
      <c r="AC109" s="291"/>
      <c r="AD109" s="291"/>
      <c r="AE109" s="291"/>
      <c r="AF109" s="291"/>
      <c r="AG109" s="291"/>
      <c r="AH109" s="291"/>
      <c r="AI109" s="291"/>
      <c r="AJ109" s="291"/>
      <c r="AK109" s="291"/>
      <c r="AL109" s="291"/>
      <c r="AM109" s="291"/>
      <c r="AN109" s="291"/>
      <c r="AO109" s="291"/>
      <c r="AP109" s="291"/>
      <c r="AQ109" s="291"/>
      <c r="AR109" s="291"/>
      <c r="AS109" s="291"/>
      <c r="AT109" s="291"/>
      <c r="AU109" s="291"/>
      <c r="AV109" s="291"/>
      <c r="AW109" s="291"/>
      <c r="AX109" s="291"/>
      <c r="AY109" s="291"/>
      <c r="AZ109" s="291"/>
      <c r="BA109" s="291"/>
      <c r="BB109" s="291"/>
      <c r="BC109" s="291"/>
      <c r="BD109" s="291"/>
      <c r="BE109" s="291"/>
      <c r="BF109" s="291"/>
      <c r="BG109" s="291"/>
    </row>
    <row r="110" spans="4:59">
      <c r="D110" s="291"/>
      <c r="E110" s="291"/>
      <c r="F110" s="291"/>
      <c r="G110" s="291"/>
      <c r="H110" s="291"/>
      <c r="I110" s="291"/>
      <c r="J110" s="291"/>
      <c r="K110" s="291"/>
      <c r="L110" s="291"/>
      <c r="M110" s="291"/>
      <c r="N110" s="291"/>
      <c r="O110" s="291"/>
      <c r="P110" s="291"/>
      <c r="Q110" s="291"/>
      <c r="R110" s="291"/>
      <c r="S110" s="291"/>
      <c r="T110" s="291"/>
      <c r="U110" s="291"/>
      <c r="V110" s="291"/>
      <c r="W110" s="291"/>
      <c r="X110" s="291"/>
      <c r="Y110" s="291"/>
      <c r="Z110" s="291"/>
      <c r="AA110" s="291"/>
      <c r="AB110" s="291"/>
      <c r="AC110" s="291"/>
      <c r="AD110" s="291"/>
      <c r="AE110" s="291"/>
      <c r="AF110" s="291"/>
      <c r="AG110" s="291"/>
      <c r="AH110" s="291"/>
      <c r="AI110" s="291"/>
      <c r="AJ110" s="291"/>
      <c r="AK110" s="291"/>
      <c r="AL110" s="291"/>
      <c r="AM110" s="291"/>
      <c r="AN110" s="291"/>
      <c r="AO110" s="291"/>
      <c r="AP110" s="291"/>
      <c r="AQ110" s="291"/>
      <c r="AR110" s="291"/>
      <c r="AS110" s="291"/>
      <c r="AT110" s="291"/>
      <c r="AU110" s="291"/>
      <c r="AV110" s="291"/>
      <c r="AW110" s="291"/>
      <c r="AX110" s="291"/>
      <c r="AY110" s="291"/>
      <c r="AZ110" s="291"/>
      <c r="BA110" s="291"/>
      <c r="BB110" s="291"/>
      <c r="BC110" s="291"/>
      <c r="BD110" s="291"/>
      <c r="BE110" s="291"/>
      <c r="BF110" s="291"/>
      <c r="BG110" s="291"/>
    </row>
    <row r="111" spans="4:59">
      <c r="D111" s="291"/>
      <c r="E111" s="291"/>
      <c r="F111" s="291"/>
      <c r="G111" s="291"/>
      <c r="H111" s="291"/>
      <c r="I111" s="291"/>
      <c r="J111" s="291"/>
      <c r="K111" s="291"/>
      <c r="L111" s="291"/>
      <c r="M111" s="291"/>
      <c r="N111" s="291"/>
      <c r="O111" s="291"/>
      <c r="P111" s="291"/>
      <c r="Q111" s="291"/>
      <c r="R111" s="291"/>
      <c r="S111" s="291"/>
      <c r="T111" s="291"/>
      <c r="U111" s="291"/>
      <c r="V111" s="291"/>
      <c r="W111" s="291"/>
      <c r="X111" s="291"/>
      <c r="Y111" s="291"/>
      <c r="Z111" s="291"/>
      <c r="AA111" s="291"/>
      <c r="AB111" s="291"/>
      <c r="AC111" s="291"/>
      <c r="AD111" s="291"/>
      <c r="AE111" s="291"/>
      <c r="AF111" s="291"/>
      <c r="AG111" s="291"/>
      <c r="AH111" s="291"/>
      <c r="AI111" s="291"/>
      <c r="AJ111" s="291"/>
      <c r="AK111" s="291"/>
      <c r="AL111" s="291"/>
      <c r="AM111" s="291"/>
      <c r="AN111" s="291"/>
      <c r="AO111" s="291"/>
      <c r="AP111" s="291"/>
      <c r="AQ111" s="291"/>
      <c r="AR111" s="291"/>
      <c r="AS111" s="291"/>
      <c r="AT111" s="291"/>
      <c r="AU111" s="291"/>
      <c r="AV111" s="291"/>
      <c r="AW111" s="291"/>
      <c r="AX111" s="291"/>
      <c r="AY111" s="291"/>
      <c r="AZ111" s="291"/>
      <c r="BA111" s="291"/>
      <c r="BB111" s="291"/>
      <c r="BC111" s="291"/>
      <c r="BD111" s="291"/>
      <c r="BE111" s="291"/>
      <c r="BF111" s="291"/>
      <c r="BG111" s="291"/>
    </row>
    <row r="112" spans="4:59">
      <c r="D112" s="291"/>
      <c r="E112" s="291"/>
      <c r="F112" s="291"/>
      <c r="G112" s="291"/>
      <c r="H112" s="291"/>
      <c r="I112" s="291"/>
      <c r="J112" s="291"/>
      <c r="K112" s="291"/>
      <c r="L112" s="291"/>
      <c r="M112" s="291"/>
      <c r="N112" s="291"/>
      <c r="O112" s="291"/>
      <c r="P112" s="291"/>
      <c r="Q112" s="291"/>
      <c r="R112" s="291"/>
      <c r="S112" s="291"/>
      <c r="T112" s="291"/>
      <c r="U112" s="291"/>
      <c r="V112" s="291"/>
      <c r="W112" s="291"/>
      <c r="X112" s="291"/>
      <c r="Y112" s="291"/>
      <c r="Z112" s="291"/>
      <c r="AA112" s="291"/>
      <c r="AB112" s="291"/>
      <c r="AC112" s="291"/>
      <c r="AD112" s="291"/>
      <c r="AE112" s="291"/>
      <c r="AF112" s="291"/>
      <c r="AG112" s="291"/>
      <c r="AH112" s="291"/>
      <c r="AI112" s="291"/>
      <c r="AJ112" s="291"/>
      <c r="AK112" s="291"/>
      <c r="AL112" s="291"/>
      <c r="AM112" s="291"/>
      <c r="AN112" s="291"/>
      <c r="AO112" s="291"/>
      <c r="AP112" s="291"/>
      <c r="AQ112" s="291"/>
      <c r="AR112" s="291"/>
      <c r="AS112" s="291"/>
      <c r="AT112" s="291"/>
      <c r="AU112" s="291"/>
      <c r="AV112" s="291"/>
      <c r="AW112" s="291"/>
      <c r="AX112" s="291"/>
      <c r="AY112" s="291"/>
      <c r="AZ112" s="291"/>
      <c r="BA112" s="291"/>
      <c r="BB112" s="291"/>
      <c r="BC112" s="291"/>
      <c r="BD112" s="291"/>
      <c r="BE112" s="291"/>
      <c r="BF112" s="291"/>
      <c r="BG112" s="291"/>
    </row>
    <row r="113" spans="4:61">
      <c r="D113" s="291"/>
      <c r="E113" s="291"/>
      <c r="F113" s="291"/>
      <c r="G113" s="291"/>
      <c r="H113" s="291"/>
      <c r="I113" s="291"/>
      <c r="J113" s="291"/>
      <c r="K113" s="291"/>
      <c r="L113" s="291"/>
      <c r="M113" s="291"/>
      <c r="N113" s="291"/>
      <c r="O113" s="291"/>
      <c r="P113" s="291"/>
      <c r="Q113" s="291"/>
      <c r="R113" s="291"/>
      <c r="S113" s="291"/>
      <c r="T113" s="291"/>
      <c r="U113" s="291"/>
      <c r="V113" s="291"/>
      <c r="W113" s="291"/>
      <c r="X113" s="291"/>
      <c r="Y113" s="291"/>
      <c r="Z113" s="291"/>
      <c r="AA113" s="291"/>
      <c r="AB113" s="291"/>
      <c r="AC113" s="291"/>
      <c r="AD113" s="291"/>
      <c r="AE113" s="291"/>
      <c r="AF113" s="291"/>
      <c r="AG113" s="291"/>
      <c r="AH113" s="291"/>
      <c r="AI113" s="291"/>
      <c r="AJ113" s="291"/>
      <c r="AK113" s="291"/>
      <c r="AL113" s="291"/>
      <c r="AM113" s="291"/>
      <c r="AN113" s="291"/>
      <c r="AO113" s="291"/>
      <c r="AP113" s="291"/>
      <c r="AQ113" s="291"/>
      <c r="AR113" s="291"/>
      <c r="AS113" s="291"/>
      <c r="AT113" s="291"/>
      <c r="AU113" s="291"/>
      <c r="AV113" s="291"/>
      <c r="AW113" s="291"/>
      <c r="AX113" s="291"/>
      <c r="AY113" s="291"/>
      <c r="AZ113" s="291"/>
      <c r="BA113" s="291"/>
      <c r="BB113" s="291"/>
      <c r="BC113" s="291"/>
      <c r="BD113" s="291"/>
      <c r="BE113" s="291"/>
      <c r="BF113" s="291"/>
      <c r="BG113" s="291"/>
    </row>
    <row r="114" spans="4:61"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  <c r="O114" s="291"/>
      <c r="P114" s="291"/>
      <c r="Q114" s="291"/>
      <c r="R114" s="291"/>
      <c r="S114" s="291"/>
      <c r="T114" s="291"/>
      <c r="U114" s="291"/>
      <c r="V114" s="291"/>
      <c r="W114" s="291"/>
      <c r="X114" s="291"/>
      <c r="Y114" s="291"/>
      <c r="Z114" s="291"/>
      <c r="AA114" s="291"/>
      <c r="AB114" s="291"/>
      <c r="AC114" s="291"/>
      <c r="AD114" s="291"/>
      <c r="AE114" s="291"/>
      <c r="AF114" s="291"/>
      <c r="AG114" s="291"/>
      <c r="AH114" s="291"/>
      <c r="AI114" s="291"/>
      <c r="AJ114" s="291"/>
      <c r="AK114" s="291"/>
      <c r="AL114" s="291"/>
      <c r="AM114" s="291"/>
      <c r="AN114" s="291"/>
      <c r="AO114" s="291"/>
      <c r="AP114" s="291"/>
      <c r="AQ114" s="291"/>
      <c r="AR114" s="291"/>
      <c r="AS114" s="291"/>
      <c r="AT114" s="291"/>
      <c r="AU114" s="291"/>
      <c r="AV114" s="291"/>
      <c r="AW114" s="291"/>
      <c r="AX114" s="291"/>
      <c r="AY114" s="291"/>
      <c r="AZ114" s="291"/>
      <c r="BA114" s="291"/>
      <c r="BB114" s="291"/>
      <c r="BC114" s="291"/>
      <c r="BD114" s="291"/>
      <c r="BE114" s="291"/>
      <c r="BF114" s="291"/>
      <c r="BG114" s="291"/>
    </row>
    <row r="115" spans="4:61"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  <c r="O115" s="291"/>
      <c r="P115" s="291"/>
      <c r="Q115" s="291"/>
      <c r="R115" s="291"/>
      <c r="S115" s="291"/>
      <c r="T115" s="291"/>
      <c r="U115" s="291"/>
      <c r="V115" s="291"/>
      <c r="W115" s="291"/>
      <c r="X115" s="291"/>
      <c r="Y115" s="291"/>
      <c r="Z115" s="291"/>
      <c r="AA115" s="291"/>
      <c r="AB115" s="291"/>
      <c r="AC115" s="291"/>
      <c r="AD115" s="291"/>
      <c r="AE115" s="291"/>
      <c r="AF115" s="291"/>
      <c r="AG115" s="291"/>
      <c r="AH115" s="291"/>
      <c r="AI115" s="291"/>
      <c r="AJ115" s="291"/>
      <c r="AK115" s="291"/>
      <c r="AL115" s="291"/>
      <c r="AM115" s="291"/>
      <c r="AN115" s="291"/>
      <c r="AO115" s="291"/>
      <c r="AP115" s="291"/>
      <c r="AQ115" s="291"/>
      <c r="AR115" s="291"/>
      <c r="AS115" s="291"/>
      <c r="AT115" s="291"/>
      <c r="AU115" s="291"/>
      <c r="AV115" s="291"/>
      <c r="AW115" s="291"/>
      <c r="AX115" s="291"/>
      <c r="AY115" s="291"/>
      <c r="AZ115" s="291"/>
      <c r="BA115" s="291"/>
      <c r="BB115" s="291"/>
      <c r="BC115" s="291"/>
      <c r="BD115" s="291"/>
      <c r="BE115" s="291"/>
      <c r="BF115" s="291"/>
      <c r="BG115" s="291"/>
      <c r="BH115" s="27"/>
      <c r="BI115" s="27"/>
    </row>
    <row r="116" spans="4:61">
      <c r="D116" s="291"/>
      <c r="E116" s="291"/>
      <c r="F116" s="291"/>
      <c r="G116" s="291"/>
      <c r="H116" s="291"/>
      <c r="I116" s="291"/>
      <c r="J116" s="291"/>
      <c r="K116" s="291"/>
      <c r="L116" s="291"/>
      <c r="M116" s="291"/>
      <c r="N116" s="291"/>
      <c r="O116" s="291"/>
      <c r="P116" s="291"/>
      <c r="Q116" s="291"/>
      <c r="R116" s="291"/>
      <c r="S116" s="291"/>
      <c r="T116" s="291"/>
      <c r="U116" s="291"/>
      <c r="V116" s="291"/>
      <c r="W116" s="291"/>
      <c r="X116" s="291"/>
      <c r="Y116" s="291"/>
      <c r="Z116" s="291"/>
      <c r="AA116" s="291"/>
      <c r="AB116" s="291"/>
      <c r="AC116" s="291"/>
      <c r="AD116" s="291"/>
      <c r="AE116" s="291"/>
      <c r="AF116" s="291"/>
      <c r="AG116" s="291"/>
      <c r="AH116" s="291"/>
      <c r="AI116" s="291"/>
      <c r="AJ116" s="291"/>
      <c r="AK116" s="291"/>
      <c r="AL116" s="291"/>
      <c r="AM116" s="291"/>
      <c r="AN116" s="291"/>
      <c r="AO116" s="291"/>
      <c r="AP116" s="291"/>
      <c r="AQ116" s="291"/>
      <c r="AR116" s="291"/>
      <c r="AS116" s="291"/>
      <c r="AT116" s="291"/>
      <c r="AU116" s="291"/>
      <c r="AV116" s="291"/>
      <c r="AW116" s="291"/>
      <c r="AX116" s="291"/>
      <c r="AY116" s="291"/>
      <c r="AZ116" s="291"/>
      <c r="BA116" s="291"/>
      <c r="BB116" s="291"/>
      <c r="BC116" s="291"/>
      <c r="BD116" s="291"/>
      <c r="BE116" s="291"/>
      <c r="BF116" s="291"/>
      <c r="BG116" s="291"/>
      <c r="BI116" s="22"/>
    </row>
    <row r="117" spans="4:61">
      <c r="D117" s="291"/>
      <c r="E117" s="291"/>
      <c r="F117" s="291"/>
      <c r="G117" s="291"/>
      <c r="H117" s="291"/>
      <c r="I117" s="291"/>
      <c r="J117" s="291"/>
      <c r="K117" s="291"/>
      <c r="L117" s="291"/>
      <c r="M117" s="291"/>
      <c r="N117" s="291"/>
      <c r="O117" s="291"/>
      <c r="P117" s="291"/>
      <c r="Q117" s="291"/>
      <c r="R117" s="291"/>
      <c r="S117" s="291"/>
      <c r="T117" s="291"/>
      <c r="U117" s="291"/>
      <c r="V117" s="291"/>
      <c r="W117" s="291"/>
      <c r="X117" s="291"/>
      <c r="Y117" s="291"/>
      <c r="Z117" s="291"/>
      <c r="AA117" s="291"/>
      <c r="AB117" s="291"/>
      <c r="AC117" s="291"/>
      <c r="AD117" s="291"/>
      <c r="AE117" s="291"/>
      <c r="AF117" s="291"/>
      <c r="AG117" s="291"/>
      <c r="AH117" s="291"/>
      <c r="AI117" s="291"/>
      <c r="AJ117" s="291"/>
      <c r="AK117" s="291"/>
      <c r="AL117" s="291"/>
      <c r="AM117" s="291"/>
      <c r="AN117" s="291"/>
      <c r="AO117" s="291"/>
      <c r="AP117" s="291"/>
      <c r="AQ117" s="291"/>
      <c r="AR117" s="291"/>
      <c r="AS117" s="291"/>
      <c r="AT117" s="291"/>
      <c r="AU117" s="291"/>
      <c r="AV117" s="291"/>
      <c r="AW117" s="291"/>
      <c r="AX117" s="291"/>
      <c r="AY117" s="291"/>
      <c r="AZ117" s="291"/>
      <c r="BA117" s="291"/>
      <c r="BB117" s="291"/>
      <c r="BC117" s="291"/>
      <c r="BD117" s="291"/>
      <c r="BE117" s="291"/>
      <c r="BF117" s="291"/>
      <c r="BG117" s="291"/>
    </row>
    <row r="118" spans="4:61"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291"/>
      <c r="P118" s="291"/>
      <c r="Q118" s="291"/>
      <c r="R118" s="291"/>
      <c r="S118" s="291"/>
      <c r="T118" s="291"/>
      <c r="U118" s="291"/>
      <c r="V118" s="291"/>
      <c r="W118" s="291"/>
      <c r="X118" s="291"/>
      <c r="Y118" s="291"/>
      <c r="Z118" s="291"/>
      <c r="AA118" s="291"/>
      <c r="AB118" s="291"/>
      <c r="AC118" s="291"/>
      <c r="AD118" s="291"/>
      <c r="AE118" s="291"/>
      <c r="AF118" s="291"/>
      <c r="AG118" s="291"/>
      <c r="AH118" s="291"/>
      <c r="AI118" s="291"/>
      <c r="AJ118" s="291"/>
      <c r="AK118" s="291"/>
      <c r="AL118" s="291"/>
      <c r="AM118" s="291"/>
      <c r="AN118" s="291"/>
      <c r="AO118" s="291"/>
      <c r="AP118" s="291"/>
      <c r="AQ118" s="291"/>
      <c r="AR118" s="291"/>
      <c r="AS118" s="291"/>
      <c r="AT118" s="291"/>
      <c r="AU118" s="291"/>
      <c r="AV118" s="291"/>
      <c r="AW118" s="291"/>
      <c r="AX118" s="291"/>
      <c r="AY118" s="291"/>
      <c r="AZ118" s="291"/>
      <c r="BA118" s="291"/>
      <c r="BB118" s="291"/>
      <c r="BC118" s="291"/>
      <c r="BD118" s="291"/>
      <c r="BE118" s="291"/>
      <c r="BF118" s="291"/>
      <c r="BG118" s="291"/>
      <c r="BH118" s="56"/>
    </row>
    <row r="119" spans="4:61"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  <c r="O119" s="291"/>
      <c r="P119" s="291"/>
      <c r="Q119" s="291"/>
      <c r="R119" s="291"/>
      <c r="S119" s="291"/>
      <c r="T119" s="291"/>
      <c r="U119" s="291"/>
      <c r="V119" s="291"/>
      <c r="W119" s="291"/>
      <c r="X119" s="291"/>
      <c r="Y119" s="291"/>
      <c r="Z119" s="291"/>
      <c r="AA119" s="291"/>
      <c r="AB119" s="291"/>
      <c r="AC119" s="291"/>
      <c r="AD119" s="291"/>
      <c r="AE119" s="291"/>
      <c r="AF119" s="291"/>
      <c r="AG119" s="291"/>
      <c r="AH119" s="291"/>
      <c r="AI119" s="291"/>
      <c r="AJ119" s="291"/>
      <c r="AK119" s="291"/>
      <c r="AL119" s="291"/>
      <c r="AM119" s="291"/>
      <c r="AN119" s="291"/>
      <c r="AO119" s="291"/>
      <c r="AP119" s="291"/>
      <c r="AQ119" s="291"/>
      <c r="AR119" s="291"/>
      <c r="AS119" s="291"/>
      <c r="AT119" s="291"/>
      <c r="AU119" s="291"/>
      <c r="AV119" s="291"/>
      <c r="AW119" s="291"/>
      <c r="AX119" s="291"/>
      <c r="AY119" s="291"/>
      <c r="AZ119" s="291"/>
      <c r="BA119" s="291"/>
      <c r="BB119" s="291"/>
      <c r="BC119" s="291"/>
      <c r="BD119" s="291"/>
      <c r="BE119" s="291"/>
      <c r="BF119" s="291"/>
      <c r="BG119" s="291"/>
    </row>
    <row r="120" spans="4:61">
      <c r="D120" s="291"/>
      <c r="E120" s="291"/>
      <c r="F120" s="291"/>
      <c r="G120" s="291"/>
      <c r="H120" s="291"/>
      <c r="I120" s="291"/>
      <c r="J120" s="291"/>
      <c r="K120" s="291"/>
      <c r="L120" s="291"/>
      <c r="M120" s="291"/>
      <c r="N120" s="291"/>
      <c r="O120" s="291"/>
      <c r="P120" s="291"/>
      <c r="Q120" s="291"/>
      <c r="R120" s="291"/>
      <c r="S120" s="291"/>
      <c r="T120" s="291"/>
      <c r="U120" s="291"/>
      <c r="V120" s="291"/>
      <c r="W120" s="291"/>
      <c r="X120" s="291"/>
      <c r="Y120" s="291"/>
      <c r="Z120" s="291"/>
      <c r="AA120" s="291"/>
      <c r="AB120" s="291"/>
      <c r="AC120" s="291"/>
      <c r="AD120" s="291"/>
      <c r="AE120" s="291"/>
      <c r="AF120" s="291"/>
      <c r="AG120" s="291"/>
      <c r="AH120" s="291"/>
      <c r="AI120" s="291"/>
      <c r="AJ120" s="291"/>
      <c r="AK120" s="291"/>
      <c r="AL120" s="291"/>
      <c r="AM120" s="291"/>
      <c r="AN120" s="291"/>
      <c r="AO120" s="291"/>
      <c r="AP120" s="291"/>
      <c r="AQ120" s="291"/>
      <c r="AR120" s="291"/>
      <c r="AS120" s="291"/>
      <c r="AT120" s="291"/>
      <c r="AU120" s="291"/>
      <c r="AV120" s="291"/>
      <c r="AW120" s="291"/>
      <c r="AX120" s="291"/>
      <c r="AY120" s="291"/>
      <c r="AZ120" s="291"/>
      <c r="BA120" s="291"/>
      <c r="BB120" s="291"/>
      <c r="BC120" s="291"/>
      <c r="BD120" s="291"/>
      <c r="BE120" s="291"/>
      <c r="BF120" s="291"/>
      <c r="BG120" s="291"/>
    </row>
    <row r="121" spans="4:61">
      <c r="D121" s="291"/>
      <c r="E121" s="291"/>
      <c r="F121" s="291"/>
      <c r="G121" s="291"/>
      <c r="H121" s="291"/>
      <c r="I121" s="291"/>
      <c r="J121" s="291"/>
      <c r="K121" s="291"/>
      <c r="L121" s="291"/>
      <c r="M121" s="291"/>
      <c r="N121" s="291"/>
      <c r="O121" s="291"/>
      <c r="P121" s="291"/>
      <c r="Q121" s="291"/>
      <c r="R121" s="291"/>
      <c r="S121" s="291"/>
      <c r="T121" s="291"/>
      <c r="U121" s="291"/>
      <c r="V121" s="291"/>
      <c r="W121" s="291"/>
      <c r="X121" s="291"/>
      <c r="Y121" s="291"/>
      <c r="Z121" s="291"/>
      <c r="AA121" s="291"/>
      <c r="AB121" s="291"/>
      <c r="AC121" s="291"/>
      <c r="AD121" s="291"/>
      <c r="AE121" s="291"/>
      <c r="AF121" s="291"/>
      <c r="AG121" s="291"/>
      <c r="AH121" s="291"/>
      <c r="AI121" s="291"/>
      <c r="AJ121" s="291"/>
      <c r="AK121" s="291"/>
      <c r="AL121" s="291"/>
      <c r="AM121" s="291"/>
      <c r="AN121" s="291"/>
      <c r="AO121" s="291"/>
      <c r="AP121" s="291"/>
      <c r="AQ121" s="291"/>
      <c r="AR121" s="291"/>
      <c r="AS121" s="291"/>
      <c r="AT121" s="291"/>
      <c r="AU121" s="291"/>
      <c r="AV121" s="291"/>
      <c r="AW121" s="291"/>
      <c r="AX121" s="291"/>
      <c r="AY121" s="291"/>
      <c r="AZ121" s="291"/>
      <c r="BA121" s="291"/>
      <c r="BB121" s="291"/>
      <c r="BC121" s="291"/>
      <c r="BD121" s="291"/>
      <c r="BE121" s="291"/>
      <c r="BF121" s="291"/>
      <c r="BG121" s="291"/>
    </row>
    <row r="122" spans="4:61"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291"/>
      <c r="P122" s="291"/>
      <c r="Q122" s="291"/>
      <c r="R122" s="291"/>
      <c r="S122" s="291"/>
      <c r="T122" s="291"/>
      <c r="U122" s="291"/>
      <c r="V122" s="291"/>
      <c r="W122" s="291"/>
      <c r="X122" s="291"/>
      <c r="Y122" s="291"/>
      <c r="Z122" s="291"/>
      <c r="AA122" s="291"/>
      <c r="AB122" s="291"/>
      <c r="AC122" s="291"/>
      <c r="AD122" s="291"/>
      <c r="AE122" s="291"/>
      <c r="AF122" s="291"/>
      <c r="AG122" s="291"/>
      <c r="AH122" s="291"/>
      <c r="AI122" s="291"/>
      <c r="AJ122" s="291"/>
      <c r="AK122" s="291"/>
      <c r="AL122" s="291"/>
      <c r="AM122" s="291"/>
      <c r="AN122" s="291"/>
      <c r="AO122" s="291"/>
      <c r="AP122" s="291"/>
      <c r="AQ122" s="291"/>
      <c r="AR122" s="291"/>
      <c r="AS122" s="291"/>
      <c r="AT122" s="291"/>
      <c r="AU122" s="291"/>
      <c r="AV122" s="379"/>
      <c r="AW122" s="379"/>
      <c r="AX122" s="291"/>
      <c r="AY122" s="291"/>
      <c r="AZ122" s="291"/>
      <c r="BA122" s="291"/>
      <c r="BB122" s="291"/>
      <c r="BC122" s="291"/>
      <c r="BD122" s="291"/>
      <c r="BE122" s="291"/>
      <c r="BF122" s="291"/>
      <c r="BG122" s="291"/>
    </row>
    <row r="123" spans="4:61"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291"/>
      <c r="P123" s="291"/>
      <c r="Q123" s="291"/>
      <c r="R123" s="291"/>
      <c r="S123" s="291"/>
      <c r="T123" s="291"/>
      <c r="U123" s="291"/>
      <c r="V123" s="291"/>
      <c r="W123" s="291"/>
      <c r="X123" s="291"/>
      <c r="Y123" s="291"/>
      <c r="Z123" s="291"/>
      <c r="AA123" s="291"/>
      <c r="AB123" s="291"/>
      <c r="AC123" s="291"/>
      <c r="AD123" s="291"/>
      <c r="AE123" s="291"/>
      <c r="AF123" s="291"/>
      <c r="AG123" s="291"/>
      <c r="AH123" s="291"/>
      <c r="AI123" s="291"/>
      <c r="AJ123" s="291"/>
      <c r="AK123" s="291"/>
      <c r="AL123" s="291"/>
      <c r="AM123" s="291"/>
      <c r="AN123" s="291"/>
      <c r="AO123" s="291"/>
      <c r="AP123" s="291"/>
      <c r="AQ123" s="291"/>
      <c r="AR123" s="291"/>
      <c r="AS123" s="291"/>
      <c r="AT123" s="291"/>
      <c r="AU123" s="291"/>
      <c r="AV123" s="291"/>
      <c r="AW123" s="291"/>
      <c r="AX123" s="291"/>
      <c r="AY123" s="291"/>
      <c r="AZ123" s="291"/>
      <c r="BA123" s="291"/>
      <c r="BB123" s="291"/>
      <c r="BC123" s="291"/>
      <c r="BD123" s="291"/>
      <c r="BE123" s="291"/>
      <c r="BF123" s="291"/>
      <c r="BG123" s="291"/>
    </row>
    <row r="124" spans="4:61"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1"/>
      <c r="P124" s="291"/>
      <c r="Q124" s="291"/>
      <c r="R124" s="291"/>
      <c r="S124" s="291"/>
      <c r="T124" s="291"/>
      <c r="U124" s="291"/>
      <c r="V124" s="291"/>
      <c r="W124" s="291"/>
      <c r="X124" s="291"/>
      <c r="Y124" s="291"/>
      <c r="Z124" s="291"/>
      <c r="AA124" s="291"/>
      <c r="AB124" s="291"/>
      <c r="AC124" s="291"/>
      <c r="AD124" s="291"/>
      <c r="AE124" s="291"/>
      <c r="AF124" s="291"/>
      <c r="AG124" s="291"/>
      <c r="AH124" s="291"/>
      <c r="AI124" s="291"/>
      <c r="AJ124" s="291"/>
      <c r="AK124" s="291"/>
      <c r="AL124" s="291"/>
      <c r="AM124" s="291"/>
      <c r="AN124" s="291"/>
      <c r="AO124" s="291"/>
      <c r="AP124" s="291"/>
      <c r="AQ124" s="291"/>
      <c r="AR124" s="291"/>
      <c r="AS124" s="291"/>
      <c r="AT124" s="291"/>
      <c r="AU124" s="291"/>
      <c r="AV124" s="291"/>
      <c r="AW124" s="291"/>
      <c r="AX124" s="291"/>
      <c r="AY124" s="291"/>
      <c r="AZ124" s="291"/>
      <c r="BA124" s="291"/>
      <c r="BB124" s="291"/>
      <c r="BC124" s="291"/>
      <c r="BD124" s="291"/>
      <c r="BE124" s="291"/>
      <c r="BF124" s="291"/>
      <c r="BG124" s="291"/>
    </row>
    <row r="125" spans="4:61">
      <c r="AR125" s="291"/>
    </row>
    <row r="126" spans="4:61">
      <c r="AR126" s="291"/>
      <c r="AT126" s="291"/>
    </row>
    <row r="127" spans="4:61">
      <c r="AR127" s="291"/>
    </row>
    <row r="128" spans="4:61">
      <c r="AR128" s="291"/>
      <c r="AS128" s="291"/>
      <c r="AT128" s="291"/>
      <c r="AU128" s="291"/>
      <c r="AV128" s="291"/>
      <c r="AW128" s="291"/>
      <c r="AX128" s="291"/>
      <c r="AY128" s="291"/>
      <c r="AZ128" s="291"/>
      <c r="BA128" s="291"/>
      <c r="BB128" s="291"/>
      <c r="BC128" s="291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M34" zoomScale="80" zoomScaleNormal="80" workbookViewId="0">
      <selection activeCell="Z51" sqref="Z51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</row>
    <row r="2" spans="9:38">
      <c r="AK2" s="297"/>
      <c r="AL2" s="297"/>
    </row>
    <row r="3" spans="9:38">
      <c r="AK3" s="297"/>
      <c r="AL3" s="297"/>
    </row>
    <row r="4" spans="9:38">
      <c r="AK4" s="297"/>
      <c r="AL4" s="297"/>
    </row>
    <row r="5" spans="9:38" ht="21" customHeight="1">
      <c r="I5" s="302"/>
      <c r="AK5" s="297"/>
      <c r="AL5" s="297"/>
    </row>
    <row r="6" spans="9:38">
      <c r="I6" s="297"/>
      <c r="AK6" s="297"/>
      <c r="AL6" s="297"/>
    </row>
    <row r="7" spans="9:38" ht="15.75" customHeight="1">
      <c r="I7" s="297"/>
      <c r="AK7" s="297"/>
      <c r="AL7" s="297"/>
    </row>
    <row r="8" spans="9:38">
      <c r="I8" s="297"/>
      <c r="AK8" s="297"/>
      <c r="AL8" s="297"/>
    </row>
    <row r="9" spans="9:38">
      <c r="I9" s="297"/>
      <c r="AK9" s="297"/>
      <c r="AL9" s="297"/>
    </row>
    <row r="10" spans="9:38">
      <c r="I10" s="297"/>
      <c r="AK10" s="297"/>
      <c r="AL10" s="297"/>
    </row>
    <row r="11" spans="9:38">
      <c r="AK11" s="297"/>
      <c r="AL11" s="297"/>
    </row>
    <row r="12" spans="9:38">
      <c r="AK12" s="297"/>
      <c r="AL12" s="297"/>
    </row>
    <row r="13" spans="9:38">
      <c r="AK13" s="297"/>
      <c r="AL13" s="297"/>
    </row>
    <row r="14" spans="9:38">
      <c r="Q14" s="22"/>
      <c r="T14" s="297"/>
      <c r="U14" s="297"/>
      <c r="V14" s="297"/>
      <c r="W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</row>
    <row r="15" spans="9:38">
      <c r="T15" s="297"/>
      <c r="U15" s="297"/>
      <c r="V15" s="297"/>
      <c r="W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</row>
    <row r="16" spans="9:38" ht="21">
      <c r="AB16" s="102"/>
      <c r="AC16" s="297"/>
      <c r="AD16" s="297"/>
      <c r="AE16" s="297"/>
      <c r="AF16" s="297"/>
      <c r="AG16" s="297"/>
      <c r="AH16" s="297"/>
      <c r="AI16" s="297"/>
      <c r="AJ16" s="297"/>
      <c r="AK16" s="297"/>
    </row>
    <row r="17" spans="1:38">
      <c r="H17" s="302"/>
      <c r="Q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199</v>
      </c>
      <c r="N18" s="98"/>
      <c r="O18" s="98"/>
      <c r="Q18" s="297"/>
      <c r="W18" s="297"/>
      <c r="X18" s="297"/>
      <c r="Y18" s="101" t="s">
        <v>201</v>
      </c>
      <c r="Z18" s="101"/>
      <c r="AA18" s="101"/>
      <c r="AB18" s="297"/>
      <c r="AC18" s="297"/>
      <c r="AD18" s="297"/>
      <c r="AE18" s="297"/>
      <c r="AJ18" s="297"/>
      <c r="AK18" s="297"/>
      <c r="AL18" s="297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297"/>
      <c r="AE19" s="297"/>
      <c r="AJ19" s="297"/>
      <c r="AK19" s="297"/>
      <c r="AL19" s="297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97"/>
      <c r="W20" s="297"/>
      <c r="X20" s="403" t="s">
        <v>22</v>
      </c>
      <c r="Y20" s="404"/>
      <c r="Z20" s="404"/>
      <c r="AA20" s="405"/>
      <c r="AB20" s="297"/>
      <c r="AC20" s="297"/>
      <c r="AD20" s="297"/>
      <c r="AK20" s="297"/>
      <c r="AL20" s="297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297"/>
      <c r="O21" s="23"/>
      <c r="X21" s="16"/>
      <c r="Y21" s="17"/>
      <c r="Z21" s="18"/>
      <c r="AK21" s="297"/>
      <c r="AL21" s="297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297"/>
      <c r="L22" s="36" t="s">
        <v>3</v>
      </c>
      <c r="M22" s="34"/>
      <c r="N22" s="15" t="s">
        <v>18</v>
      </c>
      <c r="O22" s="36" t="s">
        <v>49</v>
      </c>
      <c r="P22" s="73"/>
      <c r="Q22" s="297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82.93</v>
      </c>
      <c r="AD22" s="297" t="s">
        <v>18</v>
      </c>
      <c r="AK22" s="297"/>
      <c r="AL22" s="297"/>
    </row>
    <row r="23" spans="1:38" ht="18">
      <c r="B23" s="87"/>
      <c r="C23" s="87"/>
      <c r="D23" s="87"/>
      <c r="E23" s="87"/>
      <c r="K23" s="297"/>
      <c r="L23" s="36" t="s">
        <v>4</v>
      </c>
      <c r="M23" s="34"/>
      <c r="N23" s="15" t="s">
        <v>18</v>
      </c>
      <c r="O23" s="36" t="s">
        <v>27</v>
      </c>
      <c r="P23" s="34"/>
      <c r="Q23" s="297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0.06/100</f>
        <v>5.9999999999999995E-4</v>
      </c>
      <c r="AD23" s="297" t="s">
        <v>33</v>
      </c>
      <c r="AK23" s="297"/>
      <c r="AL23" s="297"/>
    </row>
    <row r="24" spans="1:38">
      <c r="A24" s="161" t="s">
        <v>160</v>
      </c>
      <c r="B24" s="161"/>
      <c r="K24" s="297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297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4.9757999999999997E-2</v>
      </c>
      <c r="AD24" s="297" t="s">
        <v>18</v>
      </c>
      <c r="AK24" s="297"/>
      <c r="AL24" s="297"/>
    </row>
    <row r="25" spans="1:38">
      <c r="A25" s="15" t="s">
        <v>203</v>
      </c>
      <c r="L25" s="67" t="s">
        <v>30</v>
      </c>
      <c r="M25" s="37">
        <f>P23*M24</f>
        <v>0</v>
      </c>
      <c r="N25" s="15" t="s">
        <v>18</v>
      </c>
      <c r="Q25" s="297"/>
      <c r="W25" s="297"/>
      <c r="X25" s="303" t="s">
        <v>30</v>
      </c>
      <c r="Y25" s="304"/>
      <c r="Z25" s="104">
        <f>AC23*Z24</f>
        <v>0</v>
      </c>
      <c r="AA25" s="15" t="s">
        <v>18</v>
      </c>
      <c r="AK25" s="297"/>
      <c r="AL25" s="297"/>
    </row>
    <row r="26" spans="1:38">
      <c r="A26" s="23"/>
      <c r="W26" s="297"/>
      <c r="X26" s="297"/>
      <c r="Y26" s="297"/>
      <c r="Z26" s="297"/>
      <c r="AA26" s="23"/>
      <c r="AL26" s="297"/>
    </row>
    <row r="27" spans="1:38">
      <c r="A27" s="23"/>
      <c r="I27" s="297"/>
      <c r="J27" s="297"/>
      <c r="K27" s="297"/>
      <c r="L27" s="297"/>
      <c r="AD27" s="31">
        <f>AC22+Z24</f>
        <v>82.93</v>
      </c>
      <c r="AE27" s="15">
        <f>AC24+Z25</f>
        <v>4.9757999999999997E-2</v>
      </c>
      <c r="AL27" s="297"/>
    </row>
    <row r="28" spans="1:38" ht="21">
      <c r="D28" s="143" t="s">
        <v>45</v>
      </c>
      <c r="E28" s="142">
        <f>B22-(C41+B44)</f>
        <v>108.90048999999999</v>
      </c>
      <c r="F28" s="15" t="s">
        <v>18</v>
      </c>
      <c r="I28" s="297"/>
      <c r="J28" s="297"/>
      <c r="K28" s="297"/>
      <c r="L28" s="297"/>
    </row>
    <row r="29" spans="1:38">
      <c r="I29" s="297"/>
      <c r="J29" s="297"/>
      <c r="K29" s="297"/>
      <c r="L29" s="297"/>
      <c r="V29" s="297"/>
      <c r="W29" s="297"/>
      <c r="X29" s="297"/>
      <c r="AJ29" s="22"/>
    </row>
    <row r="30" spans="1:38" ht="21">
      <c r="I30" s="102"/>
      <c r="V30" s="297"/>
      <c r="W30" s="200">
        <f>AC22+Z24+AC43+V43</f>
        <v>84.04</v>
      </c>
      <c r="X30" s="297"/>
    </row>
    <row r="31" spans="1:38">
      <c r="V31" s="297"/>
      <c r="W31" s="297"/>
      <c r="X31" s="297"/>
    </row>
    <row r="33" spans="1:55">
      <c r="S33" s="15" t="s">
        <v>101</v>
      </c>
      <c r="T33" s="31">
        <f>P22-W30</f>
        <v>-84.04</v>
      </c>
      <c r="U33" s="15" t="s">
        <v>18</v>
      </c>
    </row>
    <row r="34" spans="1:55">
      <c r="D34" s="297"/>
      <c r="E34" s="297"/>
      <c r="F34" s="297"/>
      <c r="G34" s="297"/>
      <c r="H34" s="297"/>
      <c r="S34" s="15" t="s">
        <v>125</v>
      </c>
      <c r="T34" s="76">
        <f>T33/E28</f>
        <v>-0.77171369935984691</v>
      </c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</row>
    <row r="35" spans="1:55">
      <c r="D35" s="297"/>
      <c r="E35" s="297"/>
      <c r="F35" s="297"/>
      <c r="G35" s="297"/>
      <c r="H35" s="297"/>
      <c r="S35" s="15" t="s">
        <v>126</v>
      </c>
      <c r="T35" s="81">
        <f>T34*B49</f>
        <v>-7.6330268829866261</v>
      </c>
      <c r="U35" s="297" t="s">
        <v>18</v>
      </c>
      <c r="Z35" s="297"/>
    </row>
    <row r="36" spans="1:55">
      <c r="D36" s="297"/>
      <c r="E36" s="297"/>
      <c r="F36" s="297"/>
      <c r="G36" s="297"/>
      <c r="H36" s="200"/>
      <c r="P36" s="298"/>
      <c r="Q36" s="298"/>
      <c r="R36" s="16"/>
      <c r="U36" s="297"/>
      <c r="Z36" s="297"/>
    </row>
    <row r="37" spans="1:55">
      <c r="E37" s="30"/>
      <c r="Z37" s="297"/>
    </row>
    <row r="38" spans="1:55" ht="21">
      <c r="M38" s="98" t="s">
        <v>200</v>
      </c>
      <c r="N38" s="48"/>
      <c r="Z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297"/>
      <c r="AZ38" s="297"/>
      <c r="BA38" s="297"/>
      <c r="BB38" s="297"/>
    </row>
    <row r="39" spans="1:55" ht="21">
      <c r="A39" s="392" t="s">
        <v>6</v>
      </c>
      <c r="B39" s="392"/>
      <c r="C39" s="33">
        <v>0.43</v>
      </c>
      <c r="D39" s="15" t="s">
        <v>18</v>
      </c>
      <c r="E39" s="297"/>
      <c r="F39" s="297"/>
      <c r="G39" s="297"/>
      <c r="M39" s="300" t="s">
        <v>20</v>
      </c>
      <c r="N39" s="301"/>
      <c r="Y39" s="101" t="s">
        <v>202</v>
      </c>
      <c r="Z39" s="101"/>
      <c r="AA39" s="101"/>
      <c r="AP39" s="297"/>
      <c r="AQ39" s="297"/>
      <c r="AR39" s="297"/>
      <c r="AS39" s="297"/>
      <c r="AT39" s="297"/>
      <c r="AU39" s="297"/>
      <c r="AV39" s="297"/>
      <c r="AW39" s="297"/>
      <c r="AX39" s="297"/>
      <c r="AY39" s="297"/>
      <c r="AZ39" s="297"/>
      <c r="BA39" s="297"/>
      <c r="BB39" s="297"/>
    </row>
    <row r="40" spans="1:55">
      <c r="A40" s="392" t="s">
        <v>5</v>
      </c>
      <c r="B40" s="392"/>
      <c r="C40" s="33">
        <v>0.5</v>
      </c>
      <c r="D40" s="15" t="s">
        <v>18</v>
      </c>
      <c r="E40" s="297"/>
      <c r="F40" s="297"/>
      <c r="G40" s="297"/>
      <c r="S40" s="297"/>
      <c r="V40" s="297"/>
      <c r="X40" s="403" t="s">
        <v>23</v>
      </c>
      <c r="Y40" s="404"/>
      <c r="Z40" s="404"/>
      <c r="AA40" s="405"/>
      <c r="AB40" s="297"/>
      <c r="AK40" s="297"/>
      <c r="AP40" s="297"/>
      <c r="AQ40" s="297"/>
      <c r="AR40" s="297"/>
      <c r="AS40" s="297"/>
      <c r="AT40" s="297"/>
      <c r="AU40" s="297"/>
      <c r="AV40" s="297"/>
      <c r="AW40" s="297"/>
      <c r="AX40" s="297"/>
      <c r="AY40" s="297"/>
      <c r="AZ40" s="297"/>
      <c r="BA40" s="297"/>
      <c r="BB40" s="297"/>
    </row>
    <row r="41" spans="1:55">
      <c r="A41" s="400" t="s">
        <v>17</v>
      </c>
      <c r="B41" s="401"/>
      <c r="C41" s="91">
        <f>SUM(C39:C40)</f>
        <v>0.92999999999999994</v>
      </c>
      <c r="D41" s="23" t="s">
        <v>18</v>
      </c>
      <c r="E41" s="297"/>
      <c r="F41" s="297"/>
      <c r="G41" s="297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15.81</v>
      </c>
      <c r="R41" s="297" t="s">
        <v>18</v>
      </c>
      <c r="S41" s="297"/>
      <c r="Z41" s="297"/>
      <c r="AK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297"/>
      <c r="AZ41" s="297"/>
      <c r="BA41" s="297"/>
      <c r="BB41" s="297"/>
    </row>
    <row r="42" spans="1:55">
      <c r="C42" s="297"/>
      <c r="D42" s="297"/>
      <c r="E42" s="297"/>
      <c r="F42" s="297"/>
      <c r="G42" s="297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54.82/100</f>
        <v>0.54820000000000002</v>
      </c>
      <c r="R42" s="297" t="s">
        <v>33</v>
      </c>
      <c r="S42" s="297"/>
      <c r="AE42" s="297"/>
      <c r="AF42" s="297"/>
      <c r="AG42" s="297"/>
      <c r="AH42" s="297"/>
      <c r="AI42" s="297"/>
      <c r="AJ42" s="297"/>
      <c r="AK42" s="297"/>
      <c r="AL42" s="297"/>
      <c r="AP42" s="297"/>
      <c r="AQ42" s="297"/>
      <c r="AR42" s="297"/>
      <c r="AS42" s="297"/>
      <c r="AT42" s="297"/>
      <c r="AU42" s="297"/>
      <c r="AV42" s="297"/>
      <c r="AW42" s="297"/>
      <c r="AX42" s="297"/>
      <c r="AY42" s="297"/>
      <c r="AZ42" s="297"/>
      <c r="BA42" s="297"/>
      <c r="BB42" s="297"/>
    </row>
    <row r="43" spans="1:55">
      <c r="A43" s="36" t="s">
        <v>44</v>
      </c>
      <c r="B43" s="33">
        <v>0.27</v>
      </c>
      <c r="C43" s="297" t="s">
        <v>18</v>
      </c>
      <c r="D43" s="297"/>
      <c r="E43" s="297"/>
      <c r="F43" s="297"/>
      <c r="G43" s="297"/>
      <c r="H43" s="299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8.6670420000000004</v>
      </c>
      <c r="R43" s="297" t="s">
        <v>18</v>
      </c>
      <c r="S43" s="297"/>
      <c r="U43" s="35" t="s">
        <v>53</v>
      </c>
      <c r="V43" s="33"/>
      <c r="W43" s="297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1.1100000000000001</v>
      </c>
      <c r="AD43" s="297" t="s">
        <v>18</v>
      </c>
      <c r="AF43" s="297"/>
      <c r="AG43" s="297"/>
      <c r="AH43" s="297"/>
      <c r="AI43" s="297"/>
      <c r="AJ43" s="297"/>
      <c r="AK43" s="297"/>
      <c r="AL43" s="297"/>
      <c r="AP43" s="297"/>
      <c r="AQ43" s="297"/>
      <c r="AR43" s="297"/>
      <c r="AS43" s="297"/>
      <c r="AT43" s="297"/>
      <c r="AU43" s="297"/>
      <c r="AV43" s="297"/>
      <c r="AW43" s="297"/>
      <c r="AX43" s="297"/>
      <c r="AY43" s="297"/>
      <c r="AZ43" s="297"/>
      <c r="BA43" s="297"/>
      <c r="BB43" s="297"/>
    </row>
    <row r="44" spans="1:55">
      <c r="A44" s="92" t="s">
        <v>17</v>
      </c>
      <c r="B44" s="90">
        <f>SUM(B43)</f>
        <v>0.27</v>
      </c>
      <c r="C44" s="297" t="s">
        <v>18</v>
      </c>
      <c r="D44" s="297"/>
      <c r="E44" s="297"/>
      <c r="M44" s="67" t="s">
        <v>30</v>
      </c>
      <c r="N44" s="37">
        <f>Q42*N43</f>
        <v>0</v>
      </c>
      <c r="O44" s="15" t="s">
        <v>18</v>
      </c>
      <c r="U44" s="297"/>
      <c r="V44" s="297"/>
      <c r="W44" s="297"/>
      <c r="X44" s="105" t="s">
        <v>4</v>
      </c>
      <c r="Y44" s="106"/>
      <c r="Z44" s="34"/>
      <c r="AA44" s="15" t="s">
        <v>18</v>
      </c>
      <c r="AB44" s="36" t="s">
        <v>27</v>
      </c>
      <c r="AC44" s="34">
        <f>30.08/100</f>
        <v>0.30079999999999996</v>
      </c>
      <c r="AD44" s="297" t="s">
        <v>33</v>
      </c>
      <c r="AL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297"/>
      <c r="AZ44" s="297"/>
      <c r="BA44" s="297"/>
      <c r="BB44" s="297"/>
    </row>
    <row r="45" spans="1:55">
      <c r="C45" s="297"/>
      <c r="D45" s="297"/>
      <c r="E45" s="297"/>
      <c r="U45" s="297"/>
      <c r="V45" s="297"/>
      <c r="W45" s="297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0.33388799999999996</v>
      </c>
      <c r="AD45" s="297" t="s">
        <v>18</v>
      </c>
      <c r="AL45" s="297"/>
      <c r="AP45" s="297"/>
      <c r="AQ45" s="297"/>
      <c r="AR45" s="297"/>
      <c r="AS45" s="297"/>
      <c r="AT45" s="297"/>
      <c r="AU45" s="297"/>
      <c r="AV45" s="297"/>
      <c r="AW45" s="297"/>
      <c r="AX45" s="297"/>
      <c r="AY45" s="297"/>
      <c r="AZ45" s="297"/>
      <c r="BA45" s="297"/>
      <c r="BB45" s="297"/>
      <c r="BC45" s="297"/>
    </row>
    <row r="46" spans="1:55">
      <c r="A46" s="15" t="s">
        <v>66</v>
      </c>
      <c r="B46" s="15">
        <f>B43/D22</f>
        <v>0.25714836496297372</v>
      </c>
      <c r="C46" s="297" t="s">
        <v>62</v>
      </c>
      <c r="D46" s="297"/>
      <c r="E46" s="297"/>
      <c r="P46" s="31">
        <f>Q41+N43</f>
        <v>15.81</v>
      </c>
      <c r="Q46" s="15">
        <f>Q43+N44</f>
        <v>8.6670420000000004</v>
      </c>
      <c r="X46" s="303" t="s">
        <v>30</v>
      </c>
      <c r="Y46" s="304"/>
      <c r="Z46" s="104">
        <f>AC44*Z45</f>
        <v>0</v>
      </c>
      <c r="AA46" s="15" t="s">
        <v>18</v>
      </c>
      <c r="AF46" s="297"/>
      <c r="AP46" s="297"/>
      <c r="AQ46" s="297"/>
      <c r="AR46" s="297"/>
      <c r="AS46" s="297"/>
      <c r="AT46" s="297"/>
      <c r="AU46" s="297"/>
      <c r="AV46" s="297"/>
      <c r="AW46" s="297"/>
      <c r="AX46" s="297"/>
      <c r="AY46" s="297"/>
      <c r="AZ46" s="297"/>
      <c r="BA46" s="297"/>
      <c r="BB46" s="297"/>
      <c r="BC46" s="297"/>
    </row>
    <row r="47" spans="1:55">
      <c r="A47" s="15" t="s">
        <v>65</v>
      </c>
      <c r="B47" s="15">
        <f>C41/D22</f>
        <v>0.8857332570946872</v>
      </c>
      <c r="C47" s="15" t="s">
        <v>62</v>
      </c>
      <c r="AP47" s="297"/>
      <c r="AQ47" s="297"/>
      <c r="AR47" s="297"/>
      <c r="AS47" s="297"/>
      <c r="AT47" s="297"/>
      <c r="AU47" s="297"/>
      <c r="AV47" s="297"/>
      <c r="AW47" s="297"/>
      <c r="AX47" s="297"/>
      <c r="AY47" s="297"/>
      <c r="AZ47" s="297"/>
      <c r="BA47" s="297"/>
      <c r="BB47" s="297"/>
      <c r="BC47" s="297"/>
    </row>
    <row r="48" spans="1:55">
      <c r="A48" s="15" t="s">
        <v>67</v>
      </c>
      <c r="B48" s="15">
        <f>G19*(B46+B47)/1000</f>
        <v>0.1089913405471674</v>
      </c>
      <c r="C48" s="15" t="s">
        <v>18</v>
      </c>
      <c r="E48" s="160"/>
      <c r="AP48" s="297"/>
      <c r="AQ48" s="297"/>
      <c r="AR48" s="297"/>
      <c r="AS48" s="297"/>
      <c r="AT48" s="297"/>
      <c r="AU48" s="297"/>
      <c r="AV48" s="297"/>
      <c r="AW48" s="297"/>
      <c r="AX48" s="297"/>
      <c r="AY48" s="297"/>
      <c r="AZ48" s="297"/>
      <c r="BA48" s="297"/>
      <c r="BB48" s="297"/>
    </row>
    <row r="49" spans="1:59">
      <c r="A49" s="15" t="s">
        <v>64</v>
      </c>
      <c r="B49" s="74">
        <f>B21-B48</f>
        <v>9.891008659452833</v>
      </c>
      <c r="C49" s="15" t="s">
        <v>18</v>
      </c>
      <c r="AC49" s="31">
        <f>AC43+Z45</f>
        <v>1.1100000000000001</v>
      </c>
      <c r="AD49" s="15">
        <f>AC45+Z46</f>
        <v>0.33388799999999996</v>
      </c>
      <c r="AP49" s="297"/>
      <c r="AQ49" s="297"/>
      <c r="AR49" s="297"/>
      <c r="AS49" s="297"/>
      <c r="AT49" s="297"/>
      <c r="AU49" s="297"/>
      <c r="AV49" s="379"/>
      <c r="AW49" s="379"/>
      <c r="AX49" s="379"/>
      <c r="AY49" s="379"/>
      <c r="AZ49" s="379"/>
      <c r="BA49" s="297"/>
      <c r="BB49" s="297"/>
    </row>
    <row r="50" spans="1:59">
      <c r="R50" s="297"/>
      <c r="S50" s="15" t="s">
        <v>27</v>
      </c>
      <c r="U50" s="15" t="s">
        <v>40</v>
      </c>
      <c r="W50" s="15" t="s">
        <v>98</v>
      </c>
      <c r="X50" s="74">
        <f>B49</f>
        <v>9.891008659452833</v>
      </c>
      <c r="Y50" s="15" t="s">
        <v>18</v>
      </c>
      <c r="AP50" s="297"/>
      <c r="AQ50" s="297"/>
      <c r="AR50" s="297"/>
      <c r="AS50" s="297"/>
      <c r="AT50" s="297"/>
      <c r="AU50" s="297"/>
      <c r="AV50" s="297"/>
      <c r="AW50" s="297"/>
      <c r="AX50" s="297"/>
      <c r="AY50" s="297"/>
      <c r="AZ50" s="297"/>
      <c r="BA50" s="297"/>
      <c r="BB50" s="297"/>
    </row>
    <row r="51" spans="1:59">
      <c r="Q51" s="297"/>
      <c r="R51" s="297"/>
      <c r="S51" s="15" t="s">
        <v>34</v>
      </c>
      <c r="T51" s="15">
        <f>AC24+Z25</f>
        <v>4.9757999999999997E-2</v>
      </c>
      <c r="U51" s="76">
        <f>T51/X50</f>
        <v>5.0306295053585155E-3</v>
      </c>
      <c r="AP51" s="297"/>
      <c r="AQ51" s="297"/>
      <c r="AR51" s="297"/>
      <c r="AS51" s="297"/>
      <c r="AT51" s="297"/>
      <c r="AU51" s="297"/>
      <c r="AV51" s="297"/>
      <c r="AW51" s="297"/>
      <c r="AX51" s="297"/>
      <c r="AY51" s="297"/>
      <c r="AZ51" s="297"/>
      <c r="BA51" s="297"/>
      <c r="BB51" s="297"/>
    </row>
    <row r="52" spans="1:59">
      <c r="S52" s="15" t="s">
        <v>35</v>
      </c>
      <c r="T52" s="15">
        <f>AC45+Z46</f>
        <v>0.33388799999999996</v>
      </c>
      <c r="U52" s="76">
        <f>T52/X50</f>
        <v>3.3756719005690418E-2</v>
      </c>
      <c r="AP52" s="297"/>
      <c r="AQ52" s="297"/>
      <c r="AR52" s="297"/>
      <c r="AS52" s="297"/>
      <c r="AT52" s="297"/>
      <c r="AU52" s="297"/>
      <c r="AV52" s="297"/>
      <c r="AW52" s="297"/>
      <c r="AX52" s="297"/>
      <c r="AY52" s="297"/>
      <c r="AZ52" s="297"/>
      <c r="BA52" s="297"/>
      <c r="BB52" s="297"/>
    </row>
    <row r="53" spans="1:59"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15" t="s">
        <v>36</v>
      </c>
      <c r="T53" s="297">
        <f>Q43+N44</f>
        <v>8.6670420000000004</v>
      </c>
      <c r="U53" s="305">
        <f>T53/X50</f>
        <v>0.87625461653164283</v>
      </c>
      <c r="V53" s="297"/>
      <c r="W53" s="297"/>
      <c r="AN53" s="297"/>
      <c r="AO53" s="297"/>
      <c r="AP53" s="297"/>
      <c r="AQ53" s="297"/>
      <c r="AR53" s="297"/>
      <c r="AS53" s="297"/>
      <c r="AT53" s="297"/>
      <c r="AU53" s="297"/>
      <c r="AV53" s="297"/>
      <c r="AW53" s="297"/>
      <c r="AX53" s="297"/>
      <c r="AY53" s="297"/>
      <c r="AZ53" s="297"/>
      <c r="BA53" s="297"/>
      <c r="BB53" s="297"/>
      <c r="BC53" s="297"/>
      <c r="BD53" s="297"/>
      <c r="BE53" s="297"/>
      <c r="BF53" s="297"/>
      <c r="BG53" s="297"/>
    </row>
    <row r="54" spans="1:59">
      <c r="D54" s="379"/>
      <c r="E54" s="379"/>
      <c r="F54" s="379"/>
      <c r="G54" s="379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15" t="s">
        <v>17</v>
      </c>
      <c r="T54" s="297">
        <f>SUM(T51:T53)</f>
        <v>9.050688000000001</v>
      </c>
      <c r="U54" s="305">
        <f>SUM(U51:U53)</f>
        <v>0.91504196504269175</v>
      </c>
      <c r="V54" s="297"/>
      <c r="W54" s="297"/>
      <c r="X54" s="297"/>
      <c r="Y54" s="297"/>
      <c r="Z54" s="297"/>
      <c r="AN54" s="297"/>
      <c r="AO54" s="297"/>
      <c r="AP54" s="297"/>
      <c r="AQ54" s="297"/>
      <c r="AR54" s="297"/>
      <c r="AS54" s="297"/>
      <c r="AT54" s="297"/>
      <c r="AU54" s="297"/>
      <c r="AV54" s="297"/>
      <c r="AW54" s="297"/>
      <c r="AX54" s="297"/>
      <c r="AY54" s="297"/>
      <c r="AZ54" s="297"/>
      <c r="BA54" s="297"/>
      <c r="BB54" s="297"/>
      <c r="BC54" s="297"/>
      <c r="BD54" s="297"/>
      <c r="BE54" s="297"/>
      <c r="BF54" s="297"/>
      <c r="BG54" s="297"/>
    </row>
    <row r="55" spans="1:59"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15" t="s">
        <v>37</v>
      </c>
      <c r="T55" s="145">
        <f>X50-T54</f>
        <v>0.84032065945283207</v>
      </c>
      <c r="U55" s="305">
        <f>T55/X50</f>
        <v>8.4958034957308221E-2</v>
      </c>
      <c r="V55" s="297"/>
      <c r="W55" s="297"/>
      <c r="X55" s="297"/>
      <c r="Y55" s="297"/>
      <c r="Z55" s="297"/>
      <c r="AN55" s="297"/>
      <c r="AO55" s="297"/>
      <c r="AP55" s="297"/>
      <c r="AQ55" s="297"/>
      <c r="AR55" s="297"/>
      <c r="AS55" s="297"/>
      <c r="AT55" s="297"/>
      <c r="AU55" s="297"/>
      <c r="AV55" s="297"/>
      <c r="AW55" s="297"/>
      <c r="AX55" s="297"/>
      <c r="AY55" s="297"/>
      <c r="AZ55" s="297"/>
      <c r="BA55" s="297"/>
      <c r="BB55" s="297"/>
      <c r="BC55" s="297"/>
      <c r="BD55" s="297"/>
      <c r="BE55" s="297"/>
      <c r="BF55" s="297"/>
      <c r="BG55" s="297"/>
    </row>
    <row r="56" spans="1:59"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T56" s="297"/>
      <c r="U56" s="297"/>
      <c r="V56" s="297"/>
      <c r="W56" s="297"/>
      <c r="X56" s="297"/>
      <c r="Y56" s="297"/>
      <c r="Z56" s="297"/>
      <c r="AN56" s="297"/>
      <c r="AO56" s="297"/>
      <c r="AP56" s="297"/>
      <c r="AQ56" s="297"/>
      <c r="AR56" s="297"/>
      <c r="AS56" s="297"/>
      <c r="AT56" s="297"/>
      <c r="AU56" s="297"/>
      <c r="AV56" s="297"/>
      <c r="AW56" s="297"/>
      <c r="AX56" s="297"/>
      <c r="AY56" s="297"/>
      <c r="AZ56" s="297"/>
      <c r="BA56" s="297"/>
      <c r="BB56" s="297"/>
      <c r="BC56" s="297"/>
      <c r="BD56" s="297"/>
      <c r="BE56" s="297"/>
      <c r="BF56" s="297"/>
      <c r="BG56" s="297"/>
    </row>
    <row r="57" spans="1:59"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W57" s="297"/>
      <c r="X57" s="297"/>
      <c r="Y57" s="297"/>
      <c r="Z57" s="297"/>
      <c r="AN57" s="297"/>
      <c r="AO57" s="297"/>
      <c r="AP57" s="297"/>
      <c r="AQ57" s="297"/>
      <c r="AR57" s="297"/>
      <c r="AS57" s="297"/>
      <c r="AT57" s="297"/>
      <c r="AU57" s="297"/>
      <c r="AV57" s="297"/>
      <c r="AW57" s="297"/>
      <c r="AX57" s="297"/>
      <c r="AY57" s="297"/>
      <c r="AZ57" s="297"/>
      <c r="BA57" s="297"/>
      <c r="BB57" s="297"/>
      <c r="BC57" s="297"/>
      <c r="BD57" s="297"/>
      <c r="BE57" s="297"/>
      <c r="BF57" s="297"/>
      <c r="BG57" s="297"/>
    </row>
    <row r="58" spans="1:59"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297"/>
      <c r="AL58" s="297"/>
      <c r="AM58" s="297"/>
      <c r="AN58" s="297"/>
      <c r="AO58" s="297"/>
      <c r="AP58" s="297"/>
      <c r="AQ58" s="297"/>
      <c r="AR58" s="297"/>
      <c r="AS58" s="297"/>
      <c r="AT58" s="297"/>
      <c r="AU58" s="297"/>
      <c r="AV58" s="297"/>
      <c r="AW58" s="297"/>
      <c r="AX58" s="297"/>
      <c r="AY58" s="297"/>
      <c r="AZ58" s="297"/>
      <c r="BA58" s="297"/>
      <c r="BB58" s="297"/>
      <c r="BC58" s="297"/>
      <c r="BD58" s="297"/>
      <c r="BE58" s="297"/>
      <c r="BF58" s="297"/>
      <c r="BG58" s="297"/>
    </row>
    <row r="59" spans="1:59"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7"/>
      <c r="AT59" s="297"/>
      <c r="AU59" s="297"/>
      <c r="AV59" s="297"/>
      <c r="AW59" s="297"/>
      <c r="AX59" s="297"/>
      <c r="AY59" s="297"/>
      <c r="AZ59" s="297"/>
      <c r="BA59" s="297"/>
      <c r="BB59" s="297"/>
      <c r="BC59" s="297"/>
      <c r="BD59" s="297"/>
      <c r="BE59" s="297"/>
      <c r="BF59" s="297"/>
      <c r="BG59" s="297"/>
    </row>
    <row r="60" spans="1:59"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S60" s="297"/>
      <c r="AT60" s="297"/>
      <c r="AU60" s="297"/>
      <c r="AV60" s="297"/>
      <c r="AW60" s="297"/>
      <c r="AX60" s="297"/>
      <c r="AY60" s="297"/>
      <c r="AZ60" s="297"/>
      <c r="BA60" s="297"/>
      <c r="BB60" s="297"/>
      <c r="BC60" s="297"/>
      <c r="BD60" s="297"/>
      <c r="BE60" s="297"/>
      <c r="BF60" s="297"/>
      <c r="BG60" s="297"/>
    </row>
    <row r="61" spans="1:59"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  <c r="AI61" s="297"/>
      <c r="AJ61" s="297"/>
      <c r="AK61" s="297"/>
      <c r="AL61" s="297"/>
      <c r="AM61" s="297"/>
      <c r="AN61" s="297"/>
      <c r="AO61" s="297"/>
      <c r="AP61" s="297"/>
      <c r="AQ61" s="297"/>
      <c r="AR61" s="297"/>
      <c r="AS61" s="297"/>
      <c r="AT61" s="297"/>
      <c r="AU61" s="297"/>
      <c r="AV61" s="297"/>
      <c r="AW61" s="297"/>
      <c r="AX61" s="297"/>
      <c r="AY61" s="297"/>
      <c r="AZ61" s="297"/>
      <c r="BA61" s="297"/>
      <c r="BB61" s="297"/>
      <c r="BC61" s="297"/>
      <c r="BD61" s="297"/>
      <c r="BE61" s="297"/>
      <c r="BF61" s="297"/>
      <c r="BG61" s="297"/>
    </row>
    <row r="62" spans="1:59"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  <c r="AH62" s="297"/>
      <c r="AI62" s="297"/>
      <c r="AJ62" s="297"/>
      <c r="AK62" s="297"/>
      <c r="AL62" s="297"/>
      <c r="AM62" s="297"/>
      <c r="AN62" s="297"/>
      <c r="AO62" s="297"/>
      <c r="AP62" s="297"/>
      <c r="AQ62" s="297"/>
      <c r="AR62" s="297"/>
      <c r="AS62" s="297"/>
      <c r="AT62" s="297"/>
      <c r="AU62" s="297"/>
      <c r="AV62" s="297"/>
      <c r="AW62" s="297"/>
      <c r="AX62" s="297"/>
      <c r="AY62" s="297"/>
      <c r="AZ62" s="297"/>
      <c r="BA62" s="297"/>
      <c r="BB62" s="297"/>
      <c r="BC62" s="297"/>
      <c r="BD62" s="297"/>
      <c r="BE62" s="297"/>
      <c r="BF62" s="297"/>
      <c r="BG62" s="297"/>
    </row>
    <row r="63" spans="1:59"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7"/>
      <c r="AV63" s="297"/>
      <c r="AW63" s="297"/>
      <c r="AX63" s="297"/>
      <c r="AY63" s="297"/>
      <c r="AZ63" s="297"/>
      <c r="BA63" s="297"/>
      <c r="BB63" s="297"/>
      <c r="BC63" s="297"/>
      <c r="BD63" s="297"/>
      <c r="BE63" s="297"/>
      <c r="BF63" s="297"/>
      <c r="BG63" s="297"/>
    </row>
    <row r="64" spans="1:59"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  <c r="AC64" s="297"/>
      <c r="AD64" s="297"/>
      <c r="AE64" s="297"/>
      <c r="AF64" s="297"/>
      <c r="AG64" s="297"/>
      <c r="AH64" s="297"/>
      <c r="AI64" s="297"/>
      <c r="AJ64" s="297"/>
      <c r="AK64" s="297"/>
      <c r="AL64" s="297"/>
      <c r="AM64" s="297"/>
      <c r="AN64" s="297"/>
      <c r="AO64" s="297"/>
      <c r="AP64" s="297"/>
      <c r="AQ64" s="297"/>
      <c r="AR64" s="297"/>
      <c r="AS64" s="297"/>
      <c r="AT64" s="297"/>
      <c r="AU64" s="297"/>
      <c r="AV64" s="297"/>
      <c r="AW64" s="297"/>
      <c r="AX64" s="297"/>
      <c r="AY64" s="297"/>
      <c r="AZ64" s="297"/>
      <c r="BA64" s="297"/>
      <c r="BB64" s="297"/>
      <c r="BC64" s="297"/>
      <c r="BD64" s="297"/>
      <c r="BE64" s="297"/>
      <c r="BF64" s="297"/>
      <c r="BG64" s="297"/>
    </row>
    <row r="65" spans="4:59"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7"/>
      <c r="AS65" s="297"/>
      <c r="AT65" s="297"/>
      <c r="AU65" s="297"/>
      <c r="AV65" s="297"/>
      <c r="AW65" s="297"/>
      <c r="AX65" s="297"/>
      <c r="AY65" s="297"/>
      <c r="AZ65" s="297"/>
      <c r="BA65" s="297"/>
      <c r="BB65" s="297"/>
      <c r="BC65" s="297"/>
      <c r="BD65" s="297"/>
      <c r="BE65" s="297"/>
      <c r="BF65" s="297"/>
      <c r="BG65" s="297"/>
    </row>
    <row r="66" spans="4:59"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7"/>
      <c r="AS66" s="297"/>
      <c r="AT66" s="297"/>
      <c r="AU66" s="297"/>
      <c r="AV66" s="297"/>
      <c r="AW66" s="297"/>
      <c r="AX66" s="297"/>
      <c r="AY66" s="297"/>
      <c r="AZ66" s="297"/>
      <c r="BA66" s="297"/>
      <c r="BB66" s="297"/>
      <c r="BC66" s="297"/>
      <c r="BD66" s="297"/>
      <c r="BE66" s="297"/>
      <c r="BF66" s="297"/>
      <c r="BG66" s="297"/>
    </row>
    <row r="67" spans="4:59"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97"/>
      <c r="AL67" s="297"/>
      <c r="AM67" s="297"/>
      <c r="AN67" s="297"/>
      <c r="AO67" s="297"/>
      <c r="AP67" s="297"/>
      <c r="AQ67" s="297"/>
      <c r="AR67" s="297"/>
      <c r="AS67" s="297"/>
      <c r="AT67" s="297"/>
      <c r="AU67" s="297"/>
      <c r="AV67" s="297"/>
      <c r="AW67" s="297"/>
      <c r="AX67" s="297"/>
      <c r="AY67" s="297"/>
      <c r="AZ67" s="297"/>
      <c r="BA67" s="297"/>
      <c r="BB67" s="297"/>
      <c r="BC67" s="297"/>
      <c r="BD67" s="297"/>
      <c r="BE67" s="297"/>
      <c r="BF67" s="297"/>
      <c r="BG67" s="297"/>
    </row>
    <row r="68" spans="4:59"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7"/>
      <c r="AL68" s="297"/>
      <c r="AM68" s="297"/>
      <c r="AN68" s="297"/>
      <c r="AO68" s="297"/>
      <c r="AP68" s="297"/>
      <c r="AQ68" s="297"/>
      <c r="AR68" s="297"/>
      <c r="AS68" s="297"/>
      <c r="AT68" s="297"/>
      <c r="AU68" s="297"/>
      <c r="AV68" s="297"/>
      <c r="AW68" s="297"/>
      <c r="AX68" s="297"/>
      <c r="AY68" s="297"/>
      <c r="AZ68" s="297"/>
      <c r="BA68" s="297"/>
      <c r="BB68" s="297"/>
      <c r="BC68" s="297"/>
      <c r="BD68" s="297"/>
      <c r="BE68" s="297"/>
      <c r="BF68" s="297"/>
      <c r="BG68" s="297"/>
    </row>
    <row r="69" spans="4:59"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7"/>
      <c r="AM69" s="297"/>
      <c r="AN69" s="297"/>
      <c r="AO69" s="297"/>
      <c r="AP69" s="297"/>
      <c r="AQ69" s="297"/>
      <c r="AR69" s="297"/>
      <c r="AS69" s="297"/>
      <c r="AT69" s="297"/>
      <c r="AU69" s="297"/>
      <c r="AV69" s="297"/>
      <c r="AW69" s="297"/>
      <c r="AX69" s="297"/>
      <c r="AY69" s="297"/>
      <c r="AZ69" s="297"/>
      <c r="BA69" s="297"/>
      <c r="BB69" s="297"/>
      <c r="BC69" s="297"/>
      <c r="BD69" s="297"/>
      <c r="BE69" s="297"/>
      <c r="BF69" s="297"/>
      <c r="BG69" s="297"/>
    </row>
    <row r="70" spans="4:59"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  <c r="AI70" s="297"/>
      <c r="AJ70" s="297"/>
      <c r="AK70" s="297"/>
      <c r="AL70" s="297"/>
      <c r="AM70" s="297"/>
      <c r="AN70" s="297"/>
      <c r="AO70" s="297"/>
      <c r="AP70" s="297"/>
      <c r="AQ70" s="297"/>
      <c r="AR70" s="297"/>
      <c r="AS70" s="297"/>
      <c r="AT70" s="297"/>
      <c r="AU70" s="297"/>
      <c r="AV70" s="297"/>
      <c r="AW70" s="297"/>
      <c r="AX70" s="297"/>
      <c r="AY70" s="297"/>
      <c r="AZ70" s="297"/>
      <c r="BA70" s="297"/>
      <c r="BB70" s="297"/>
      <c r="BC70" s="297"/>
      <c r="BD70" s="297"/>
      <c r="BE70" s="297"/>
      <c r="BF70" s="297"/>
      <c r="BG70" s="297"/>
    </row>
    <row r="71" spans="4:59"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7"/>
      <c r="AL71" s="297"/>
      <c r="AM71" s="297"/>
      <c r="AN71" s="297"/>
      <c r="AO71" s="297"/>
      <c r="AP71" s="297"/>
      <c r="AQ71" s="297"/>
      <c r="AR71" s="297"/>
      <c r="AS71" s="297"/>
      <c r="AT71" s="297"/>
      <c r="AU71" s="297"/>
      <c r="AV71" s="297"/>
      <c r="AW71" s="297"/>
      <c r="AX71" s="297"/>
      <c r="AY71" s="297"/>
      <c r="AZ71" s="297"/>
      <c r="BA71" s="297"/>
      <c r="BB71" s="297"/>
      <c r="BC71" s="297"/>
      <c r="BD71" s="297"/>
      <c r="BE71" s="297"/>
      <c r="BF71" s="297"/>
      <c r="BG71" s="297"/>
    </row>
    <row r="72" spans="4:59"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7"/>
      <c r="AL72" s="297"/>
      <c r="AM72" s="297"/>
      <c r="AN72" s="297"/>
      <c r="AO72" s="297"/>
      <c r="AP72" s="297"/>
      <c r="AQ72" s="297"/>
      <c r="AR72" s="297"/>
      <c r="AS72" s="297"/>
      <c r="AT72" s="297"/>
      <c r="AU72" s="297"/>
      <c r="AV72" s="297"/>
      <c r="AW72" s="379"/>
      <c r="AX72" s="379"/>
      <c r="AY72" s="297"/>
      <c r="AZ72" s="297"/>
      <c r="BA72" s="297"/>
      <c r="BB72" s="297"/>
      <c r="BC72" s="297"/>
      <c r="BD72" s="297"/>
      <c r="BE72" s="297"/>
      <c r="BF72" s="297"/>
      <c r="BG72" s="297"/>
    </row>
    <row r="73" spans="4:59"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297"/>
      <c r="AN73" s="297"/>
      <c r="AO73" s="297"/>
      <c r="AP73" s="297"/>
      <c r="AQ73" s="297"/>
      <c r="AR73" s="297"/>
      <c r="AS73" s="297"/>
      <c r="AT73" s="297"/>
      <c r="AU73" s="297"/>
      <c r="AV73" s="297"/>
      <c r="AW73" s="297"/>
      <c r="AX73" s="297"/>
      <c r="AY73" s="297"/>
      <c r="AZ73" s="297"/>
      <c r="BA73" s="297"/>
      <c r="BB73" s="297"/>
      <c r="BC73" s="297"/>
      <c r="BD73" s="297"/>
      <c r="BE73" s="297"/>
      <c r="BF73" s="297"/>
      <c r="BG73" s="297"/>
    </row>
    <row r="74" spans="4:59"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7"/>
      <c r="AL74" s="297"/>
      <c r="AM74" s="297"/>
      <c r="AN74" s="297"/>
      <c r="AO74" s="297"/>
      <c r="AP74" s="297"/>
      <c r="AQ74" s="297"/>
      <c r="AR74" s="297"/>
      <c r="AS74" s="297"/>
      <c r="AT74" s="297"/>
      <c r="AU74" s="297"/>
      <c r="AV74" s="297"/>
      <c r="AW74" s="297"/>
      <c r="AX74" s="297"/>
      <c r="AY74" s="297"/>
      <c r="AZ74" s="297"/>
      <c r="BA74" s="297"/>
      <c r="BB74" s="297"/>
      <c r="BC74" s="297"/>
      <c r="BD74" s="297"/>
      <c r="BE74" s="297"/>
      <c r="BF74" s="297"/>
      <c r="BG74" s="297"/>
    </row>
    <row r="75" spans="4:59"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297"/>
      <c r="AK75" s="297"/>
      <c r="AL75" s="297"/>
      <c r="AM75" s="297"/>
      <c r="AN75" s="297"/>
      <c r="AO75" s="297"/>
      <c r="AP75" s="297"/>
      <c r="AQ75" s="297"/>
      <c r="AR75" s="297"/>
      <c r="AS75" s="297"/>
      <c r="AT75" s="297"/>
      <c r="AU75" s="297"/>
      <c r="AV75" s="297"/>
      <c r="AW75" s="297"/>
      <c r="AX75" s="297"/>
      <c r="AY75" s="297"/>
      <c r="AZ75" s="297"/>
      <c r="BA75" s="297"/>
      <c r="BB75" s="297"/>
      <c r="BC75" s="297"/>
      <c r="BD75" s="297"/>
      <c r="BE75" s="297"/>
      <c r="BF75" s="297"/>
      <c r="BG75" s="297"/>
    </row>
    <row r="76" spans="4:59"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7"/>
      <c r="AM76" s="297"/>
      <c r="AN76" s="297"/>
      <c r="AO76" s="297"/>
      <c r="AP76" s="297"/>
      <c r="AQ76" s="297"/>
      <c r="AR76" s="297"/>
      <c r="AS76" s="297"/>
      <c r="AT76" s="297"/>
      <c r="AU76" s="297"/>
      <c r="AV76" s="297"/>
      <c r="AW76" s="297"/>
      <c r="AX76" s="297"/>
      <c r="AY76" s="297"/>
      <c r="AZ76" s="297"/>
      <c r="BA76" s="297"/>
      <c r="BB76" s="297"/>
      <c r="BC76" s="297"/>
      <c r="BD76" s="297"/>
      <c r="BE76" s="297"/>
      <c r="BF76" s="297"/>
      <c r="BG76" s="297"/>
    </row>
    <row r="77" spans="4:59"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  <c r="AI77" s="297"/>
      <c r="AJ77" s="297"/>
      <c r="AK77" s="297"/>
      <c r="AL77" s="297"/>
      <c r="AM77" s="297"/>
      <c r="AN77" s="297"/>
      <c r="AO77" s="297"/>
      <c r="AP77" s="297"/>
      <c r="AQ77" s="297"/>
      <c r="AR77" s="297"/>
      <c r="AS77" s="297"/>
      <c r="AT77" s="297"/>
      <c r="AU77" s="297"/>
      <c r="AV77" s="297"/>
      <c r="AW77" s="297"/>
      <c r="AX77" s="297"/>
      <c r="AY77" s="297"/>
      <c r="AZ77" s="297"/>
      <c r="BA77" s="297"/>
      <c r="BB77" s="297"/>
      <c r="BC77" s="297"/>
      <c r="BD77" s="297"/>
      <c r="BE77" s="297"/>
      <c r="BF77" s="297"/>
      <c r="BG77" s="297"/>
    </row>
    <row r="78" spans="4:59"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7"/>
      <c r="AM78" s="297"/>
      <c r="AN78" s="297"/>
      <c r="AO78" s="297"/>
      <c r="AP78" s="297"/>
      <c r="AQ78" s="297"/>
      <c r="AR78" s="297"/>
      <c r="AS78" s="297"/>
      <c r="AT78" s="297"/>
      <c r="AU78" s="297"/>
      <c r="AV78" s="297"/>
      <c r="AW78" s="297"/>
      <c r="AX78" s="297"/>
      <c r="AY78" s="297"/>
      <c r="AZ78" s="297"/>
      <c r="BA78" s="297"/>
      <c r="BB78" s="297"/>
      <c r="BC78" s="297"/>
      <c r="BD78" s="297"/>
      <c r="BE78" s="297"/>
      <c r="BF78" s="297"/>
      <c r="BG78" s="297"/>
    </row>
    <row r="79" spans="4:59"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7"/>
      <c r="AM79" s="297"/>
      <c r="AN79" s="297"/>
      <c r="AO79" s="297"/>
      <c r="AP79" s="297"/>
      <c r="AQ79" s="297"/>
      <c r="AR79" s="297"/>
      <c r="AS79" s="297"/>
      <c r="AT79" s="297"/>
      <c r="AU79" s="297"/>
      <c r="AV79" s="297"/>
      <c r="AW79" s="297"/>
      <c r="AX79" s="297"/>
      <c r="AY79" s="297"/>
      <c r="AZ79" s="297"/>
      <c r="BA79" s="297"/>
      <c r="BB79" s="297"/>
      <c r="BC79" s="297"/>
      <c r="BD79" s="297"/>
      <c r="BE79" s="297"/>
      <c r="BF79" s="297"/>
      <c r="BG79" s="297"/>
    </row>
    <row r="80" spans="4:59"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7"/>
      <c r="AM80" s="297"/>
      <c r="AN80" s="297"/>
      <c r="AO80" s="297"/>
      <c r="AP80" s="297"/>
      <c r="AQ80" s="297"/>
      <c r="AR80" s="297"/>
      <c r="AS80" s="297"/>
      <c r="AT80" s="297"/>
      <c r="AU80" s="297"/>
      <c r="AV80" s="297"/>
      <c r="AW80" s="297"/>
      <c r="AX80" s="297"/>
      <c r="AY80" s="297"/>
      <c r="AZ80" s="297"/>
      <c r="BA80" s="297"/>
      <c r="BB80" s="297"/>
      <c r="BC80" s="297"/>
      <c r="BD80" s="297"/>
      <c r="BE80" s="297"/>
      <c r="BF80" s="297"/>
      <c r="BG80" s="297"/>
    </row>
    <row r="81" spans="4:59"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  <c r="AJ81" s="297"/>
      <c r="AK81" s="297"/>
      <c r="AL81" s="297"/>
      <c r="AM81" s="297"/>
      <c r="AN81" s="297"/>
      <c r="AO81" s="297"/>
      <c r="AP81" s="297"/>
      <c r="AQ81" s="297"/>
      <c r="AR81" s="297"/>
      <c r="AS81" s="297"/>
      <c r="AT81" s="297"/>
      <c r="AU81" s="297"/>
      <c r="AV81" s="297"/>
      <c r="AW81" s="297"/>
      <c r="AX81" s="297"/>
      <c r="AY81" s="297"/>
      <c r="AZ81" s="297"/>
      <c r="BA81" s="297"/>
      <c r="BB81" s="297"/>
      <c r="BC81" s="297"/>
      <c r="BD81" s="297"/>
      <c r="BE81" s="297"/>
      <c r="BF81" s="297"/>
      <c r="BG81" s="297"/>
    </row>
    <row r="82" spans="4:59"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7"/>
      <c r="AM82" s="297"/>
      <c r="AN82" s="297"/>
      <c r="AO82" s="297"/>
      <c r="AP82" s="297"/>
      <c r="AQ82" s="297"/>
      <c r="AR82" s="297"/>
      <c r="AS82" s="297"/>
      <c r="AT82" s="297"/>
      <c r="AU82" s="297"/>
      <c r="AV82" s="297"/>
      <c r="AW82" s="297"/>
      <c r="AX82" s="297"/>
      <c r="AY82" s="297"/>
      <c r="AZ82" s="297"/>
      <c r="BA82" s="297"/>
      <c r="BB82" s="297"/>
      <c r="BC82" s="297"/>
      <c r="BD82" s="297"/>
      <c r="BE82" s="297"/>
      <c r="BF82" s="297"/>
      <c r="BG82" s="297"/>
    </row>
    <row r="83" spans="4:59"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  <c r="AP83" s="297"/>
      <c r="AQ83" s="297"/>
      <c r="AR83" s="297"/>
      <c r="AS83" s="297"/>
      <c r="AT83" s="297"/>
      <c r="AU83" s="297"/>
      <c r="AV83" s="297"/>
      <c r="AW83" s="297"/>
      <c r="AX83" s="297"/>
      <c r="AY83" s="297"/>
      <c r="AZ83" s="297"/>
      <c r="BA83" s="297"/>
      <c r="BB83" s="297"/>
      <c r="BC83" s="297"/>
      <c r="BD83" s="297"/>
      <c r="BE83" s="297"/>
      <c r="BF83" s="297"/>
      <c r="BG83" s="297"/>
    </row>
    <row r="84" spans="4:59"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  <c r="AJ84" s="297"/>
      <c r="AK84" s="297"/>
      <c r="AL84" s="297"/>
      <c r="AM84" s="297"/>
      <c r="AN84" s="297"/>
      <c r="AO84" s="297"/>
      <c r="AP84" s="297"/>
      <c r="AQ84" s="297"/>
      <c r="AR84" s="297"/>
      <c r="AS84" s="297"/>
      <c r="AT84" s="297"/>
      <c r="AU84" s="297"/>
      <c r="AV84" s="297"/>
      <c r="AW84" s="297"/>
      <c r="AX84" s="297"/>
      <c r="AY84" s="297"/>
      <c r="AZ84" s="297"/>
      <c r="BA84" s="297"/>
      <c r="BB84" s="297"/>
      <c r="BC84" s="297"/>
      <c r="BD84" s="297"/>
      <c r="BE84" s="297"/>
      <c r="BF84" s="297"/>
      <c r="BG84" s="297"/>
    </row>
    <row r="85" spans="4:59"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7"/>
      <c r="AM85" s="297"/>
      <c r="AN85" s="297"/>
      <c r="AO85" s="297"/>
      <c r="AP85" s="297"/>
      <c r="AQ85" s="297"/>
      <c r="AR85" s="297"/>
      <c r="AS85" s="297"/>
      <c r="AT85" s="297"/>
      <c r="AU85" s="297"/>
      <c r="AV85" s="297"/>
      <c r="AW85" s="297"/>
      <c r="AX85" s="297"/>
      <c r="AY85" s="297"/>
      <c r="AZ85" s="297"/>
      <c r="BA85" s="297"/>
      <c r="BB85" s="297"/>
      <c r="BC85" s="297"/>
      <c r="BD85" s="297"/>
      <c r="BE85" s="297"/>
      <c r="BF85" s="297"/>
      <c r="BG85" s="297"/>
    </row>
    <row r="86" spans="4:59"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7"/>
      <c r="AP86" s="297"/>
      <c r="AQ86" s="297"/>
      <c r="AR86" s="297"/>
      <c r="AS86" s="297"/>
      <c r="AT86" s="297"/>
      <c r="AU86" s="297"/>
      <c r="AV86" s="297"/>
      <c r="AW86" s="297"/>
      <c r="AX86" s="297"/>
      <c r="AY86" s="297"/>
      <c r="AZ86" s="297"/>
      <c r="BA86" s="297"/>
      <c r="BB86" s="297"/>
      <c r="BC86" s="297"/>
      <c r="BD86" s="297"/>
      <c r="BE86" s="297"/>
      <c r="BF86" s="297"/>
      <c r="BG86" s="297"/>
    </row>
    <row r="87" spans="4:59"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7"/>
      <c r="AK87" s="297"/>
      <c r="AL87" s="297"/>
      <c r="AM87" s="297"/>
      <c r="AN87" s="297"/>
      <c r="AO87" s="297"/>
      <c r="AP87" s="297"/>
      <c r="AQ87" s="297"/>
      <c r="AR87" s="297"/>
      <c r="AS87" s="297"/>
      <c r="AT87" s="297"/>
      <c r="AU87" s="297"/>
      <c r="AV87" s="297"/>
      <c r="AW87" s="297"/>
      <c r="AX87" s="297"/>
      <c r="AY87" s="297"/>
      <c r="AZ87" s="297"/>
      <c r="BA87" s="297"/>
      <c r="BB87" s="297"/>
      <c r="BC87" s="297"/>
      <c r="BD87" s="297"/>
      <c r="BE87" s="297"/>
      <c r="BF87" s="297"/>
      <c r="BG87" s="297"/>
    </row>
    <row r="88" spans="4:59"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  <c r="AJ88" s="297"/>
      <c r="AK88" s="297"/>
      <c r="AL88" s="297"/>
      <c r="AM88" s="297"/>
      <c r="AN88" s="297"/>
      <c r="AO88" s="297"/>
      <c r="AP88" s="297"/>
      <c r="AQ88" s="297"/>
      <c r="AR88" s="297"/>
      <c r="AS88" s="297"/>
      <c r="AT88" s="297"/>
      <c r="AU88" s="297"/>
      <c r="AV88" s="297"/>
      <c r="AW88" s="297"/>
      <c r="AX88" s="297"/>
      <c r="AY88" s="297"/>
      <c r="AZ88" s="297"/>
      <c r="BA88" s="297"/>
      <c r="BB88" s="297"/>
      <c r="BC88" s="297"/>
      <c r="BD88" s="297"/>
      <c r="BE88" s="297"/>
      <c r="BF88" s="297"/>
      <c r="BG88" s="297"/>
    </row>
    <row r="89" spans="4:59"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  <c r="AI89" s="297"/>
      <c r="AJ89" s="297"/>
      <c r="AK89" s="297"/>
      <c r="AL89" s="297"/>
      <c r="AM89" s="297"/>
      <c r="AN89" s="297"/>
      <c r="AO89" s="297"/>
      <c r="AP89" s="297"/>
      <c r="AQ89" s="297"/>
      <c r="AR89" s="297"/>
      <c r="AS89" s="297"/>
      <c r="AT89" s="297"/>
      <c r="AU89" s="297"/>
      <c r="AV89" s="297"/>
      <c r="AW89" s="297"/>
      <c r="AX89" s="297"/>
      <c r="AY89" s="297"/>
      <c r="AZ89" s="297"/>
      <c r="BA89" s="297"/>
      <c r="BB89" s="297"/>
      <c r="BC89" s="297"/>
      <c r="BD89" s="297"/>
      <c r="BE89" s="297"/>
      <c r="BF89" s="297"/>
      <c r="BG89" s="297"/>
    </row>
    <row r="90" spans="4:59"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7"/>
      <c r="AN90" s="297"/>
      <c r="AO90" s="297"/>
      <c r="AP90" s="297"/>
      <c r="AQ90" s="297"/>
      <c r="AR90" s="297"/>
      <c r="AS90" s="297"/>
      <c r="AT90" s="297"/>
      <c r="AU90" s="297"/>
      <c r="AV90" s="297"/>
      <c r="AW90" s="297"/>
      <c r="AX90" s="297"/>
      <c r="AY90" s="297"/>
      <c r="AZ90" s="297"/>
      <c r="BA90" s="297"/>
      <c r="BB90" s="297"/>
      <c r="BC90" s="297"/>
      <c r="BD90" s="297"/>
      <c r="BE90" s="297"/>
      <c r="BF90" s="297"/>
      <c r="BG90" s="297"/>
    </row>
    <row r="91" spans="4:59"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  <c r="AJ91" s="297"/>
      <c r="AK91" s="297"/>
      <c r="AL91" s="297"/>
      <c r="AM91" s="297"/>
      <c r="AN91" s="297"/>
      <c r="AO91" s="297"/>
      <c r="AP91" s="297"/>
      <c r="AQ91" s="297"/>
      <c r="AR91" s="297"/>
      <c r="AS91" s="297"/>
      <c r="AT91" s="297"/>
      <c r="AU91" s="297"/>
      <c r="AV91" s="297"/>
      <c r="AW91" s="297"/>
      <c r="AX91" s="297"/>
      <c r="AY91" s="297"/>
      <c r="AZ91" s="297"/>
      <c r="BA91" s="297"/>
      <c r="BB91" s="297"/>
      <c r="BC91" s="297"/>
      <c r="BD91" s="297"/>
      <c r="BE91" s="297"/>
      <c r="BF91" s="297"/>
      <c r="BG91" s="297"/>
    </row>
    <row r="92" spans="4:59"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  <c r="AP92" s="297"/>
      <c r="AQ92" s="297"/>
      <c r="AR92" s="297"/>
      <c r="AS92" s="297"/>
      <c r="AT92" s="297"/>
      <c r="AU92" s="297"/>
      <c r="AV92" s="297"/>
      <c r="AW92" s="297"/>
      <c r="AX92" s="297"/>
      <c r="AY92" s="297"/>
      <c r="AZ92" s="297"/>
      <c r="BA92" s="297"/>
      <c r="BB92" s="297"/>
      <c r="BC92" s="297"/>
      <c r="BD92" s="297"/>
      <c r="BE92" s="297"/>
      <c r="BF92" s="297"/>
      <c r="BG92" s="297"/>
    </row>
    <row r="93" spans="4:59"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7"/>
      <c r="AL93" s="297"/>
      <c r="AM93" s="297"/>
      <c r="AN93" s="297"/>
      <c r="AO93" s="297"/>
      <c r="AP93" s="297"/>
      <c r="AQ93" s="297"/>
      <c r="AR93" s="297"/>
      <c r="AS93" s="297"/>
      <c r="AT93" s="297"/>
      <c r="AU93" s="297"/>
      <c r="AV93" s="297"/>
      <c r="AW93" s="297"/>
      <c r="AX93" s="297"/>
      <c r="AY93" s="297"/>
      <c r="AZ93" s="297"/>
      <c r="BA93" s="297"/>
      <c r="BB93" s="297"/>
      <c r="BC93" s="297"/>
      <c r="BD93" s="297"/>
      <c r="BE93" s="297"/>
      <c r="BF93" s="297"/>
      <c r="BG93" s="297"/>
    </row>
    <row r="94" spans="4:59"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7"/>
      <c r="AQ94" s="297"/>
      <c r="AR94" s="297"/>
      <c r="AS94" s="297"/>
      <c r="AT94" s="297"/>
      <c r="AU94" s="297"/>
      <c r="AV94" s="297"/>
      <c r="AW94" s="297"/>
      <c r="AX94" s="297"/>
      <c r="AY94" s="297"/>
      <c r="AZ94" s="297"/>
      <c r="BA94" s="297"/>
      <c r="BB94" s="297"/>
      <c r="BC94" s="297"/>
      <c r="BD94" s="297"/>
      <c r="BE94" s="297"/>
      <c r="BF94" s="297"/>
      <c r="BG94" s="297"/>
    </row>
    <row r="95" spans="4:59"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  <c r="AO95" s="297"/>
      <c r="AP95" s="297"/>
      <c r="AQ95" s="297"/>
      <c r="AR95" s="297"/>
      <c r="AS95" s="297"/>
      <c r="AT95" s="297"/>
      <c r="AU95" s="297"/>
      <c r="AV95" s="297"/>
      <c r="AW95" s="297"/>
      <c r="AX95" s="297"/>
      <c r="AY95" s="297"/>
      <c r="AZ95" s="297"/>
      <c r="BA95" s="297"/>
      <c r="BB95" s="297"/>
      <c r="BC95" s="297"/>
      <c r="BD95" s="297"/>
      <c r="BE95" s="297"/>
      <c r="BF95" s="297"/>
      <c r="BG95" s="297"/>
    </row>
    <row r="96" spans="4:59"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  <c r="AJ96" s="297"/>
      <c r="AK96" s="297"/>
      <c r="AL96" s="297"/>
      <c r="AM96" s="297"/>
      <c r="AN96" s="297"/>
      <c r="AO96" s="297"/>
      <c r="AP96" s="297"/>
      <c r="AQ96" s="297"/>
      <c r="AR96" s="297"/>
      <c r="AS96" s="297"/>
      <c r="AT96" s="297"/>
      <c r="AU96" s="297"/>
      <c r="AV96" s="297"/>
      <c r="AW96" s="297"/>
      <c r="AX96" s="297"/>
      <c r="AY96" s="297"/>
      <c r="AZ96" s="297"/>
      <c r="BA96" s="297"/>
      <c r="BB96" s="297"/>
      <c r="BC96" s="297"/>
      <c r="BD96" s="297"/>
      <c r="BE96" s="297"/>
      <c r="BF96" s="297"/>
      <c r="BG96" s="297"/>
    </row>
    <row r="97" spans="4:59"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  <c r="AI97" s="297"/>
      <c r="AJ97" s="297"/>
      <c r="AK97" s="297"/>
      <c r="AL97" s="297"/>
      <c r="AM97" s="297"/>
      <c r="AN97" s="297"/>
      <c r="AO97" s="297"/>
      <c r="AP97" s="297"/>
      <c r="AQ97" s="297"/>
      <c r="AR97" s="297"/>
      <c r="AS97" s="297"/>
      <c r="AT97" s="297"/>
      <c r="AU97" s="297"/>
      <c r="AV97" s="297"/>
      <c r="AW97" s="297"/>
      <c r="AX97" s="297"/>
      <c r="AY97" s="297"/>
      <c r="AZ97" s="297"/>
      <c r="BA97" s="297"/>
      <c r="BB97" s="297"/>
      <c r="BC97" s="297"/>
      <c r="BD97" s="297"/>
      <c r="BE97" s="297"/>
      <c r="BF97" s="297"/>
      <c r="BG97" s="297"/>
    </row>
    <row r="98" spans="4:59"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  <c r="AH98" s="297"/>
      <c r="AI98" s="297"/>
      <c r="AJ98" s="297"/>
      <c r="AK98" s="297"/>
      <c r="AL98" s="297"/>
      <c r="AM98" s="297"/>
      <c r="AN98" s="297"/>
      <c r="AO98" s="297"/>
      <c r="AP98" s="297"/>
      <c r="AQ98" s="297"/>
      <c r="AR98" s="297"/>
      <c r="AS98" s="297"/>
      <c r="AT98" s="297"/>
      <c r="AU98" s="297"/>
      <c r="AV98" s="297"/>
      <c r="AW98" s="297"/>
      <c r="AX98" s="297"/>
      <c r="AY98" s="297"/>
      <c r="AZ98" s="297"/>
      <c r="BA98" s="297"/>
      <c r="BB98" s="297"/>
      <c r="BC98" s="297"/>
      <c r="BD98" s="297"/>
      <c r="BE98" s="297"/>
      <c r="BF98" s="297"/>
      <c r="BG98" s="297"/>
    </row>
    <row r="99" spans="4:59"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  <c r="AI99" s="297"/>
      <c r="AJ99" s="297"/>
      <c r="AK99" s="297"/>
      <c r="AL99" s="297"/>
      <c r="AM99" s="297"/>
      <c r="AN99" s="297"/>
      <c r="AO99" s="297"/>
      <c r="AP99" s="297"/>
      <c r="AQ99" s="297"/>
      <c r="AR99" s="297"/>
      <c r="AS99" s="297"/>
      <c r="AT99" s="297"/>
      <c r="AU99" s="297"/>
      <c r="AV99" s="297"/>
      <c r="AW99" s="297"/>
      <c r="AX99" s="297"/>
      <c r="AY99" s="297"/>
      <c r="AZ99" s="297"/>
      <c r="BA99" s="297"/>
      <c r="BB99" s="297"/>
      <c r="BC99" s="297"/>
      <c r="BD99" s="297"/>
      <c r="BE99" s="297"/>
      <c r="BF99" s="297"/>
      <c r="BG99" s="297"/>
    </row>
    <row r="100" spans="4:59"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297"/>
      <c r="AI100" s="297"/>
      <c r="AJ100" s="297"/>
      <c r="AK100" s="297"/>
      <c r="AL100" s="297"/>
      <c r="AM100" s="297"/>
      <c r="AN100" s="297"/>
      <c r="AO100" s="297"/>
      <c r="AP100" s="297"/>
      <c r="AQ100" s="297"/>
      <c r="AR100" s="297"/>
      <c r="AS100" s="297"/>
      <c r="AT100" s="297"/>
      <c r="AU100" s="297"/>
      <c r="AV100" s="297"/>
      <c r="AW100" s="297"/>
      <c r="AX100" s="297"/>
      <c r="AY100" s="297"/>
      <c r="AZ100" s="297"/>
      <c r="BA100" s="297"/>
      <c r="BB100" s="297"/>
      <c r="BC100" s="297"/>
      <c r="BD100" s="297"/>
      <c r="BE100" s="297"/>
      <c r="BF100" s="297"/>
      <c r="BG100" s="297"/>
    </row>
    <row r="101" spans="4:59"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297"/>
      <c r="AI101" s="297"/>
      <c r="AJ101" s="297"/>
      <c r="AK101" s="297"/>
      <c r="AL101" s="297"/>
      <c r="AM101" s="297"/>
      <c r="AN101" s="297"/>
      <c r="AO101" s="297"/>
      <c r="AP101" s="297"/>
      <c r="AQ101" s="297"/>
      <c r="AR101" s="297"/>
      <c r="AS101" s="297"/>
      <c r="AT101" s="297"/>
      <c r="AU101" s="297"/>
      <c r="AV101" s="297"/>
      <c r="AW101" s="297"/>
      <c r="AX101" s="297"/>
      <c r="AY101" s="297"/>
      <c r="AZ101" s="297"/>
      <c r="BA101" s="297"/>
      <c r="BB101" s="297"/>
      <c r="BC101" s="297"/>
      <c r="BD101" s="297"/>
      <c r="BE101" s="297"/>
      <c r="BF101" s="297"/>
      <c r="BG101" s="297"/>
    </row>
    <row r="102" spans="4:59"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  <c r="AH102" s="297"/>
      <c r="AI102" s="297"/>
      <c r="AJ102" s="297"/>
      <c r="AK102" s="297"/>
      <c r="AL102" s="297"/>
      <c r="AM102" s="297"/>
      <c r="AN102" s="297"/>
      <c r="AO102" s="297"/>
      <c r="AP102" s="297"/>
      <c r="AQ102" s="297"/>
      <c r="AR102" s="297"/>
      <c r="AS102" s="297"/>
      <c r="AT102" s="297"/>
      <c r="AU102" s="297"/>
      <c r="AV102" s="297"/>
      <c r="AW102" s="297"/>
      <c r="AX102" s="297"/>
      <c r="AY102" s="297"/>
      <c r="AZ102" s="297"/>
      <c r="BA102" s="297"/>
      <c r="BB102" s="297"/>
      <c r="BC102" s="297"/>
      <c r="BD102" s="297"/>
      <c r="BE102" s="297"/>
      <c r="BF102" s="297"/>
      <c r="BG102" s="297"/>
    </row>
    <row r="103" spans="4:59"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297"/>
      <c r="AI103" s="297"/>
      <c r="AJ103" s="297"/>
      <c r="AK103" s="297"/>
      <c r="AL103" s="297"/>
      <c r="AM103" s="297"/>
      <c r="AN103" s="297"/>
      <c r="AO103" s="297"/>
      <c r="AP103" s="297"/>
      <c r="AQ103" s="297"/>
      <c r="AR103" s="297"/>
      <c r="AS103" s="297"/>
      <c r="AT103" s="297"/>
      <c r="AU103" s="297"/>
      <c r="AV103" s="297"/>
      <c r="AW103" s="297"/>
      <c r="AX103" s="297"/>
      <c r="AY103" s="297"/>
      <c r="AZ103" s="297"/>
      <c r="BA103" s="297"/>
      <c r="BB103" s="297"/>
      <c r="BC103" s="297"/>
      <c r="BD103" s="297"/>
      <c r="BE103" s="297"/>
      <c r="BF103" s="297"/>
      <c r="BG103" s="297"/>
    </row>
    <row r="104" spans="4:59"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7"/>
      <c r="AJ104" s="297"/>
      <c r="AK104" s="297"/>
      <c r="AL104" s="297"/>
      <c r="AM104" s="297"/>
      <c r="AN104" s="297"/>
      <c r="AO104" s="297"/>
      <c r="AP104" s="297"/>
      <c r="AQ104" s="297"/>
      <c r="AR104" s="297"/>
      <c r="AS104" s="297"/>
      <c r="AT104" s="297"/>
      <c r="AU104" s="297"/>
      <c r="AV104" s="297"/>
      <c r="AW104" s="297"/>
      <c r="AX104" s="297"/>
      <c r="AY104" s="297"/>
      <c r="AZ104" s="297"/>
      <c r="BA104" s="297"/>
      <c r="BB104" s="297"/>
      <c r="BC104" s="297"/>
      <c r="BD104" s="297"/>
      <c r="BE104" s="297"/>
      <c r="BF104" s="297"/>
      <c r="BG104" s="297"/>
    </row>
    <row r="105" spans="4:59"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  <c r="AH105" s="297"/>
      <c r="AI105" s="297"/>
      <c r="AJ105" s="297"/>
      <c r="AK105" s="297"/>
      <c r="AL105" s="297"/>
      <c r="AM105" s="297"/>
      <c r="AN105" s="297"/>
      <c r="AO105" s="297"/>
      <c r="AP105" s="297"/>
      <c r="AQ105" s="297"/>
      <c r="AR105" s="297"/>
      <c r="AS105" s="297"/>
      <c r="AT105" s="297"/>
      <c r="AU105" s="297"/>
      <c r="AV105" s="297"/>
      <c r="AW105" s="297"/>
      <c r="AX105" s="297"/>
      <c r="AY105" s="297"/>
      <c r="AZ105" s="297"/>
      <c r="BA105" s="297"/>
      <c r="BB105" s="297"/>
      <c r="BC105" s="297"/>
      <c r="BD105" s="297"/>
      <c r="BE105" s="297"/>
      <c r="BF105" s="297"/>
      <c r="BG105" s="297"/>
    </row>
    <row r="106" spans="4:59"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  <c r="AH106" s="297"/>
      <c r="AI106" s="297"/>
      <c r="AJ106" s="297"/>
      <c r="AK106" s="297"/>
      <c r="AL106" s="297"/>
      <c r="AM106" s="297"/>
      <c r="AN106" s="297"/>
      <c r="AO106" s="297"/>
      <c r="AP106" s="297"/>
      <c r="AQ106" s="297"/>
      <c r="AR106" s="297"/>
      <c r="AS106" s="297"/>
      <c r="AT106" s="297"/>
      <c r="AU106" s="297"/>
      <c r="AV106" s="297"/>
      <c r="AW106" s="297"/>
      <c r="AX106" s="297"/>
      <c r="AY106" s="297"/>
      <c r="AZ106" s="297"/>
      <c r="BA106" s="297"/>
      <c r="BB106" s="297"/>
      <c r="BC106" s="297"/>
      <c r="BD106" s="297"/>
      <c r="BE106" s="297"/>
      <c r="BF106" s="297"/>
      <c r="BG106" s="297"/>
    </row>
    <row r="107" spans="4:59"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297"/>
      <c r="AI107" s="297"/>
      <c r="AJ107" s="297"/>
      <c r="AK107" s="297"/>
      <c r="AL107" s="297"/>
      <c r="AM107" s="297"/>
      <c r="AN107" s="297"/>
      <c r="AO107" s="297"/>
      <c r="AP107" s="297"/>
      <c r="AQ107" s="297"/>
      <c r="AR107" s="297"/>
      <c r="AS107" s="297"/>
      <c r="AT107" s="297"/>
      <c r="AU107" s="297"/>
      <c r="AV107" s="297"/>
      <c r="AW107" s="297"/>
      <c r="AX107" s="297"/>
      <c r="AY107" s="297"/>
      <c r="AZ107" s="297"/>
      <c r="BA107" s="297"/>
      <c r="BB107" s="297"/>
      <c r="BC107" s="297"/>
      <c r="BD107" s="297"/>
      <c r="BE107" s="297"/>
      <c r="BF107" s="297"/>
      <c r="BG107" s="297"/>
    </row>
    <row r="108" spans="4:59"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  <c r="AI108" s="297"/>
      <c r="AJ108" s="297"/>
      <c r="AK108" s="297"/>
      <c r="AL108" s="297"/>
      <c r="AM108" s="297"/>
      <c r="AN108" s="297"/>
      <c r="AO108" s="297"/>
      <c r="AP108" s="297"/>
      <c r="AQ108" s="297"/>
      <c r="AR108" s="297"/>
      <c r="AS108" s="297"/>
      <c r="AT108" s="297"/>
      <c r="AU108" s="297"/>
      <c r="AV108" s="297"/>
      <c r="AW108" s="297"/>
      <c r="AX108" s="297"/>
      <c r="AY108" s="297"/>
      <c r="AZ108" s="297"/>
      <c r="BA108" s="297"/>
      <c r="BB108" s="297"/>
      <c r="BC108" s="297"/>
      <c r="BD108" s="297"/>
      <c r="BE108" s="297"/>
      <c r="BF108" s="297"/>
      <c r="BG108" s="297"/>
    </row>
    <row r="109" spans="4:59"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  <c r="AJ109" s="297"/>
      <c r="AK109" s="297"/>
      <c r="AL109" s="297"/>
      <c r="AM109" s="297"/>
      <c r="AN109" s="297"/>
      <c r="AO109" s="297"/>
      <c r="AP109" s="297"/>
      <c r="AQ109" s="297"/>
      <c r="AR109" s="297"/>
      <c r="AS109" s="297"/>
      <c r="AT109" s="297"/>
      <c r="AU109" s="297"/>
      <c r="AV109" s="297"/>
      <c r="AW109" s="297"/>
      <c r="AX109" s="297"/>
      <c r="AY109" s="297"/>
      <c r="AZ109" s="297"/>
      <c r="BA109" s="297"/>
      <c r="BB109" s="297"/>
      <c r="BC109" s="297"/>
      <c r="BD109" s="297"/>
      <c r="BE109" s="297"/>
      <c r="BF109" s="297"/>
      <c r="BG109" s="297"/>
    </row>
    <row r="110" spans="4:59"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  <c r="AJ110" s="297"/>
      <c r="AK110" s="297"/>
      <c r="AL110" s="297"/>
      <c r="AM110" s="297"/>
      <c r="AN110" s="297"/>
      <c r="AO110" s="297"/>
      <c r="AP110" s="297"/>
      <c r="AQ110" s="297"/>
      <c r="AR110" s="297"/>
      <c r="AS110" s="297"/>
      <c r="AT110" s="297"/>
      <c r="AU110" s="297"/>
      <c r="AV110" s="297"/>
      <c r="AW110" s="297"/>
      <c r="AX110" s="297"/>
      <c r="AY110" s="297"/>
      <c r="AZ110" s="297"/>
      <c r="BA110" s="297"/>
      <c r="BB110" s="297"/>
      <c r="BC110" s="297"/>
      <c r="BD110" s="297"/>
      <c r="BE110" s="297"/>
      <c r="BF110" s="297"/>
      <c r="BG110" s="297"/>
    </row>
    <row r="111" spans="4:59"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  <c r="AJ111" s="297"/>
      <c r="AK111" s="297"/>
      <c r="AL111" s="297"/>
      <c r="AM111" s="297"/>
      <c r="AN111" s="297"/>
      <c r="AO111" s="297"/>
      <c r="AP111" s="297"/>
      <c r="AQ111" s="297"/>
      <c r="AR111" s="297"/>
      <c r="AS111" s="297"/>
      <c r="AT111" s="297"/>
      <c r="AU111" s="297"/>
      <c r="AV111" s="297"/>
      <c r="AW111" s="297"/>
      <c r="AX111" s="297"/>
      <c r="AY111" s="297"/>
      <c r="AZ111" s="297"/>
      <c r="BA111" s="297"/>
      <c r="BB111" s="297"/>
      <c r="BC111" s="297"/>
      <c r="BD111" s="297"/>
      <c r="BE111" s="297"/>
      <c r="BF111" s="297"/>
      <c r="BG111" s="297"/>
    </row>
    <row r="112" spans="4:59"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  <c r="AJ112" s="297"/>
      <c r="AK112" s="297"/>
      <c r="AL112" s="297"/>
      <c r="AM112" s="297"/>
      <c r="AN112" s="297"/>
      <c r="AO112" s="297"/>
      <c r="AP112" s="297"/>
      <c r="AQ112" s="297"/>
      <c r="AR112" s="297"/>
      <c r="AS112" s="297"/>
      <c r="AT112" s="297"/>
      <c r="AU112" s="297"/>
      <c r="AV112" s="297"/>
      <c r="AW112" s="297"/>
      <c r="AX112" s="297"/>
      <c r="AY112" s="297"/>
      <c r="AZ112" s="297"/>
      <c r="BA112" s="297"/>
      <c r="BB112" s="297"/>
      <c r="BC112" s="297"/>
      <c r="BD112" s="297"/>
      <c r="BE112" s="297"/>
      <c r="BF112" s="297"/>
      <c r="BG112" s="297"/>
    </row>
    <row r="113" spans="4:61"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7"/>
      <c r="AK113" s="297"/>
      <c r="AL113" s="297"/>
      <c r="AM113" s="297"/>
      <c r="AN113" s="297"/>
      <c r="AO113" s="297"/>
      <c r="AP113" s="297"/>
      <c r="AQ113" s="297"/>
      <c r="AR113" s="297"/>
      <c r="AS113" s="297"/>
      <c r="AT113" s="297"/>
      <c r="AU113" s="297"/>
      <c r="AV113" s="297"/>
      <c r="AW113" s="297"/>
      <c r="AX113" s="297"/>
      <c r="AY113" s="297"/>
      <c r="AZ113" s="297"/>
      <c r="BA113" s="297"/>
      <c r="BB113" s="297"/>
      <c r="BC113" s="297"/>
      <c r="BD113" s="297"/>
      <c r="BE113" s="297"/>
      <c r="BF113" s="297"/>
      <c r="BG113" s="297"/>
    </row>
    <row r="114" spans="4:61"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  <c r="AI114" s="297"/>
      <c r="AJ114" s="297"/>
      <c r="AK114" s="297"/>
      <c r="AL114" s="297"/>
      <c r="AM114" s="297"/>
      <c r="AN114" s="297"/>
      <c r="AO114" s="297"/>
      <c r="AP114" s="297"/>
      <c r="AQ114" s="297"/>
      <c r="AR114" s="297"/>
      <c r="AS114" s="297"/>
      <c r="AT114" s="297"/>
      <c r="AU114" s="297"/>
      <c r="AV114" s="297"/>
      <c r="AW114" s="297"/>
      <c r="AX114" s="297"/>
      <c r="AY114" s="297"/>
      <c r="AZ114" s="297"/>
      <c r="BA114" s="297"/>
      <c r="BB114" s="297"/>
      <c r="BC114" s="297"/>
      <c r="BD114" s="297"/>
      <c r="BE114" s="297"/>
      <c r="BF114" s="297"/>
      <c r="BG114" s="297"/>
    </row>
    <row r="115" spans="4:61"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  <c r="AI115" s="297"/>
      <c r="AJ115" s="297"/>
      <c r="AK115" s="297"/>
      <c r="AL115" s="297"/>
      <c r="AM115" s="297"/>
      <c r="AN115" s="297"/>
      <c r="AO115" s="297"/>
      <c r="AP115" s="297"/>
      <c r="AQ115" s="297"/>
      <c r="AR115" s="297"/>
      <c r="AS115" s="297"/>
      <c r="AT115" s="297"/>
      <c r="AU115" s="297"/>
      <c r="AV115" s="297"/>
      <c r="AW115" s="297"/>
      <c r="AX115" s="297"/>
      <c r="AY115" s="297"/>
      <c r="AZ115" s="297"/>
      <c r="BA115" s="297"/>
      <c r="BB115" s="297"/>
      <c r="BC115" s="297"/>
      <c r="BD115" s="297"/>
      <c r="BE115" s="297"/>
      <c r="BF115" s="297"/>
      <c r="BG115" s="297"/>
      <c r="BH115" s="27"/>
      <c r="BI115" s="27"/>
    </row>
    <row r="116" spans="4:61"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  <c r="AH116" s="297"/>
      <c r="AI116" s="297"/>
      <c r="AJ116" s="297"/>
      <c r="AK116" s="297"/>
      <c r="AL116" s="297"/>
      <c r="AM116" s="297"/>
      <c r="AN116" s="297"/>
      <c r="AO116" s="297"/>
      <c r="AP116" s="297"/>
      <c r="AQ116" s="297"/>
      <c r="AR116" s="297"/>
      <c r="AS116" s="297"/>
      <c r="AT116" s="297"/>
      <c r="AU116" s="297"/>
      <c r="AV116" s="297"/>
      <c r="AW116" s="297"/>
      <c r="AX116" s="297"/>
      <c r="AY116" s="297"/>
      <c r="AZ116" s="297"/>
      <c r="BA116" s="297"/>
      <c r="BB116" s="297"/>
      <c r="BC116" s="297"/>
      <c r="BD116" s="297"/>
      <c r="BE116" s="297"/>
      <c r="BF116" s="297"/>
      <c r="BG116" s="297"/>
      <c r="BI116" s="22"/>
    </row>
    <row r="117" spans="4:61"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  <c r="AI117" s="297"/>
      <c r="AJ117" s="297"/>
      <c r="AK117" s="297"/>
      <c r="AL117" s="297"/>
      <c r="AM117" s="297"/>
      <c r="AN117" s="297"/>
      <c r="AO117" s="297"/>
      <c r="AP117" s="297"/>
      <c r="AQ117" s="297"/>
      <c r="AR117" s="297"/>
      <c r="AS117" s="297"/>
      <c r="AT117" s="297"/>
      <c r="AU117" s="297"/>
      <c r="AV117" s="297"/>
      <c r="AW117" s="297"/>
      <c r="AX117" s="297"/>
      <c r="AY117" s="297"/>
      <c r="AZ117" s="297"/>
      <c r="BA117" s="297"/>
      <c r="BB117" s="297"/>
      <c r="BC117" s="297"/>
      <c r="BD117" s="297"/>
      <c r="BE117" s="297"/>
      <c r="BF117" s="297"/>
      <c r="BG117" s="297"/>
    </row>
    <row r="118" spans="4:61"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  <c r="AH118" s="297"/>
      <c r="AI118" s="297"/>
      <c r="AJ118" s="297"/>
      <c r="AK118" s="297"/>
      <c r="AL118" s="297"/>
      <c r="AM118" s="297"/>
      <c r="AN118" s="297"/>
      <c r="AO118" s="297"/>
      <c r="AP118" s="297"/>
      <c r="AQ118" s="297"/>
      <c r="AR118" s="297"/>
      <c r="AS118" s="297"/>
      <c r="AT118" s="297"/>
      <c r="AU118" s="297"/>
      <c r="AV118" s="297"/>
      <c r="AW118" s="297"/>
      <c r="AX118" s="297"/>
      <c r="AY118" s="297"/>
      <c r="AZ118" s="297"/>
      <c r="BA118" s="297"/>
      <c r="BB118" s="297"/>
      <c r="BC118" s="297"/>
      <c r="BD118" s="297"/>
      <c r="BE118" s="297"/>
      <c r="BF118" s="297"/>
      <c r="BG118" s="297"/>
      <c r="BH118" s="56"/>
    </row>
    <row r="119" spans="4:61"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  <c r="AH119" s="297"/>
      <c r="AI119" s="297"/>
      <c r="AJ119" s="297"/>
      <c r="AK119" s="297"/>
      <c r="AL119" s="297"/>
      <c r="AM119" s="297"/>
      <c r="AN119" s="297"/>
      <c r="AO119" s="297"/>
      <c r="AP119" s="297"/>
      <c r="AQ119" s="297"/>
      <c r="AR119" s="297"/>
      <c r="AS119" s="297"/>
      <c r="AT119" s="297"/>
      <c r="AU119" s="297"/>
      <c r="AV119" s="297"/>
      <c r="AW119" s="297"/>
      <c r="AX119" s="297"/>
      <c r="AY119" s="297"/>
      <c r="AZ119" s="297"/>
      <c r="BA119" s="297"/>
      <c r="BB119" s="297"/>
      <c r="BC119" s="297"/>
      <c r="BD119" s="297"/>
      <c r="BE119" s="297"/>
      <c r="BF119" s="297"/>
      <c r="BG119" s="297"/>
    </row>
    <row r="120" spans="4:61"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  <c r="AH120" s="297"/>
      <c r="AI120" s="297"/>
      <c r="AJ120" s="297"/>
      <c r="AK120" s="297"/>
      <c r="AL120" s="297"/>
      <c r="AM120" s="297"/>
      <c r="AN120" s="297"/>
      <c r="AO120" s="297"/>
      <c r="AP120" s="297"/>
      <c r="AQ120" s="297"/>
      <c r="AR120" s="297"/>
      <c r="AS120" s="297"/>
      <c r="AT120" s="297"/>
      <c r="AU120" s="297"/>
      <c r="AV120" s="297"/>
      <c r="AW120" s="297"/>
      <c r="AX120" s="297"/>
      <c r="AY120" s="297"/>
      <c r="AZ120" s="297"/>
      <c r="BA120" s="297"/>
      <c r="BB120" s="297"/>
      <c r="BC120" s="297"/>
      <c r="BD120" s="297"/>
      <c r="BE120" s="297"/>
      <c r="BF120" s="297"/>
      <c r="BG120" s="297"/>
    </row>
    <row r="121" spans="4:61"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  <c r="AH121" s="297"/>
      <c r="AI121" s="297"/>
      <c r="AJ121" s="297"/>
      <c r="AK121" s="297"/>
      <c r="AL121" s="297"/>
      <c r="AM121" s="297"/>
      <c r="AN121" s="297"/>
      <c r="AO121" s="297"/>
      <c r="AP121" s="297"/>
      <c r="AQ121" s="297"/>
      <c r="AR121" s="297"/>
      <c r="AS121" s="297"/>
      <c r="AT121" s="297"/>
      <c r="AU121" s="297"/>
      <c r="AV121" s="297"/>
      <c r="AW121" s="297"/>
      <c r="AX121" s="297"/>
      <c r="AY121" s="297"/>
      <c r="AZ121" s="297"/>
      <c r="BA121" s="297"/>
      <c r="BB121" s="297"/>
      <c r="BC121" s="297"/>
      <c r="BD121" s="297"/>
      <c r="BE121" s="297"/>
      <c r="BF121" s="297"/>
      <c r="BG121" s="297"/>
    </row>
    <row r="122" spans="4:61"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  <c r="AH122" s="297"/>
      <c r="AI122" s="297"/>
      <c r="AJ122" s="297"/>
      <c r="AK122" s="297"/>
      <c r="AL122" s="297"/>
      <c r="AM122" s="297"/>
      <c r="AN122" s="297"/>
      <c r="AO122" s="297"/>
      <c r="AP122" s="297"/>
      <c r="AQ122" s="297"/>
      <c r="AR122" s="297"/>
      <c r="AS122" s="297"/>
      <c r="AT122" s="297"/>
      <c r="AU122" s="297"/>
      <c r="AV122" s="379"/>
      <c r="AW122" s="379"/>
      <c r="AX122" s="297"/>
      <c r="AY122" s="297"/>
      <c r="AZ122" s="297"/>
      <c r="BA122" s="297"/>
      <c r="BB122" s="297"/>
      <c r="BC122" s="297"/>
      <c r="BD122" s="297"/>
      <c r="BE122" s="297"/>
      <c r="BF122" s="297"/>
      <c r="BG122" s="297"/>
    </row>
    <row r="123" spans="4:61"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297"/>
      <c r="AB123" s="297"/>
      <c r="AC123" s="297"/>
      <c r="AD123" s="297"/>
      <c r="AE123" s="297"/>
      <c r="AF123" s="297"/>
      <c r="AG123" s="297"/>
      <c r="AH123" s="297"/>
      <c r="AI123" s="297"/>
      <c r="AJ123" s="297"/>
      <c r="AK123" s="297"/>
      <c r="AL123" s="297"/>
      <c r="AM123" s="297"/>
      <c r="AN123" s="297"/>
      <c r="AO123" s="297"/>
      <c r="AP123" s="297"/>
      <c r="AQ123" s="297"/>
      <c r="AR123" s="297"/>
      <c r="AS123" s="297"/>
      <c r="AT123" s="297"/>
      <c r="AU123" s="297"/>
      <c r="AV123" s="297"/>
      <c r="AW123" s="297"/>
      <c r="AX123" s="297"/>
      <c r="AY123" s="297"/>
      <c r="AZ123" s="297"/>
      <c r="BA123" s="297"/>
      <c r="BB123" s="297"/>
      <c r="BC123" s="297"/>
      <c r="BD123" s="297"/>
      <c r="BE123" s="297"/>
      <c r="BF123" s="297"/>
      <c r="BG123" s="297"/>
    </row>
    <row r="124" spans="4:61"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  <c r="AC124" s="297"/>
      <c r="AD124" s="297"/>
      <c r="AE124" s="297"/>
      <c r="AF124" s="297"/>
      <c r="AG124" s="297"/>
      <c r="AH124" s="297"/>
      <c r="AI124" s="297"/>
      <c r="AJ124" s="297"/>
      <c r="AK124" s="297"/>
      <c r="AL124" s="297"/>
      <c r="AM124" s="297"/>
      <c r="AN124" s="297"/>
      <c r="AO124" s="297"/>
      <c r="AP124" s="297"/>
      <c r="AQ124" s="297"/>
      <c r="AR124" s="297"/>
      <c r="AS124" s="297"/>
      <c r="AT124" s="297"/>
      <c r="AU124" s="297"/>
      <c r="AV124" s="297"/>
      <c r="AW124" s="297"/>
      <c r="AX124" s="297"/>
      <c r="AY124" s="297"/>
      <c r="AZ124" s="297"/>
      <c r="BA124" s="297"/>
      <c r="BB124" s="297"/>
      <c r="BC124" s="297"/>
      <c r="BD124" s="297"/>
      <c r="BE124" s="297"/>
      <c r="BF124" s="297"/>
      <c r="BG124" s="297"/>
    </row>
    <row r="125" spans="4:61">
      <c r="AR125" s="297"/>
    </row>
    <row r="126" spans="4:61">
      <c r="AR126" s="297"/>
      <c r="AT126" s="297"/>
    </row>
    <row r="127" spans="4:61">
      <c r="AR127" s="297"/>
    </row>
    <row r="128" spans="4:61">
      <c r="AR128" s="297"/>
      <c r="AS128" s="297"/>
      <c r="AT128" s="297"/>
      <c r="AU128" s="297"/>
      <c r="AV128" s="297"/>
      <c r="AW128" s="297"/>
      <c r="AX128" s="297"/>
      <c r="AY128" s="297"/>
      <c r="AZ128" s="297"/>
      <c r="BA128" s="297"/>
      <c r="BB128" s="297"/>
      <c r="BC128" s="297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K37" zoomScale="80" zoomScaleNormal="80" workbookViewId="0">
      <selection activeCell="W53" sqref="W53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</row>
    <row r="2" spans="9:38">
      <c r="AK2" s="297"/>
      <c r="AL2" s="297"/>
    </row>
    <row r="3" spans="9:38">
      <c r="AK3" s="297"/>
      <c r="AL3" s="297"/>
    </row>
    <row r="4" spans="9:38">
      <c r="AK4" s="297"/>
      <c r="AL4" s="297"/>
    </row>
    <row r="5" spans="9:38" ht="21" customHeight="1">
      <c r="I5" s="302"/>
      <c r="AK5" s="297"/>
      <c r="AL5" s="297"/>
    </row>
    <row r="6" spans="9:38">
      <c r="I6" s="297"/>
      <c r="AK6" s="297"/>
      <c r="AL6" s="297"/>
    </row>
    <row r="7" spans="9:38" ht="15.75" customHeight="1">
      <c r="I7" s="297"/>
      <c r="AK7" s="297"/>
      <c r="AL7" s="297"/>
    </row>
    <row r="8" spans="9:38">
      <c r="I8" s="297"/>
      <c r="AK8" s="297"/>
      <c r="AL8" s="297"/>
    </row>
    <row r="9" spans="9:38">
      <c r="I9" s="297"/>
      <c r="AK9" s="297"/>
      <c r="AL9" s="297"/>
    </row>
    <row r="10" spans="9:38">
      <c r="I10" s="297"/>
      <c r="AK10" s="297"/>
      <c r="AL10" s="297"/>
    </row>
    <row r="11" spans="9:38">
      <c r="AK11" s="297"/>
      <c r="AL11" s="297"/>
    </row>
    <row r="12" spans="9:38">
      <c r="AK12" s="297"/>
      <c r="AL12" s="297"/>
    </row>
    <row r="13" spans="9:38">
      <c r="AK13" s="297"/>
      <c r="AL13" s="297"/>
    </row>
    <row r="14" spans="9:38">
      <c r="Q14" s="22"/>
      <c r="T14" s="297"/>
      <c r="U14" s="297"/>
      <c r="V14" s="297"/>
      <c r="W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</row>
    <row r="15" spans="9:38">
      <c r="T15" s="297"/>
      <c r="U15" s="297"/>
      <c r="V15" s="297"/>
      <c r="W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</row>
    <row r="16" spans="9:38" ht="21">
      <c r="AB16" s="102"/>
      <c r="AC16" s="297"/>
      <c r="AD16" s="297"/>
      <c r="AE16" s="297"/>
      <c r="AF16" s="297"/>
      <c r="AG16" s="297"/>
      <c r="AH16" s="297"/>
      <c r="AI16" s="297"/>
      <c r="AJ16" s="297"/>
      <c r="AK16" s="297"/>
    </row>
    <row r="17" spans="1:38">
      <c r="H17" s="302"/>
      <c r="Q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204</v>
      </c>
      <c r="N18" s="98"/>
      <c r="O18" s="98"/>
      <c r="Q18" s="297"/>
      <c r="W18" s="297"/>
      <c r="X18" s="297"/>
      <c r="Y18" s="101" t="s">
        <v>206</v>
      </c>
      <c r="Z18" s="101"/>
      <c r="AA18" s="101"/>
      <c r="AB18" s="297"/>
      <c r="AC18" s="297"/>
      <c r="AD18" s="297"/>
      <c r="AE18" s="297"/>
      <c r="AJ18" s="297"/>
      <c r="AK18" s="297"/>
      <c r="AL18" s="297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297"/>
      <c r="AE19" s="297"/>
      <c r="AJ19" s="297"/>
      <c r="AK19" s="297"/>
      <c r="AL19" s="297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297"/>
      <c r="W20" s="297"/>
      <c r="X20" s="403" t="s">
        <v>22</v>
      </c>
      <c r="Y20" s="404"/>
      <c r="Z20" s="404"/>
      <c r="AA20" s="405"/>
      <c r="AB20" s="297"/>
      <c r="AC20" s="297"/>
      <c r="AD20" s="297"/>
      <c r="AK20" s="297"/>
      <c r="AL20" s="297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297"/>
      <c r="O21" s="23"/>
      <c r="X21" s="16"/>
      <c r="Y21" s="17"/>
      <c r="Z21" s="18"/>
      <c r="AK21" s="297"/>
      <c r="AL21" s="297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297"/>
      <c r="L22" s="36" t="s">
        <v>3</v>
      </c>
      <c r="M22" s="34"/>
      <c r="N22" s="15" t="s">
        <v>18</v>
      </c>
      <c r="O22" s="36" t="s">
        <v>49</v>
      </c>
      <c r="P22" s="73"/>
      <c r="Q22" s="297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81.87</v>
      </c>
      <c r="AD22" s="297" t="s">
        <v>18</v>
      </c>
      <c r="AK22" s="297"/>
      <c r="AL22" s="297"/>
    </row>
    <row r="23" spans="1:38" ht="18">
      <c r="B23" s="87"/>
      <c r="C23" s="87"/>
      <c r="D23" s="87"/>
      <c r="E23" s="87"/>
      <c r="K23" s="297"/>
      <c r="L23" s="36" t="s">
        <v>4</v>
      </c>
      <c r="M23" s="34"/>
      <c r="N23" s="15" t="s">
        <v>18</v>
      </c>
      <c r="O23" s="36" t="s">
        <v>27</v>
      </c>
      <c r="P23" s="34"/>
      <c r="Q23" s="297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0.06/100</f>
        <v>5.9999999999999995E-4</v>
      </c>
      <c r="AD23" s="297" t="s">
        <v>33</v>
      </c>
      <c r="AK23" s="297"/>
      <c r="AL23" s="297"/>
    </row>
    <row r="24" spans="1:38">
      <c r="A24" s="161" t="s">
        <v>160</v>
      </c>
      <c r="B24" s="161"/>
      <c r="K24" s="297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297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4.9121999999999999E-2</v>
      </c>
      <c r="AD24" s="297" t="s">
        <v>18</v>
      </c>
      <c r="AK24" s="297"/>
      <c r="AL24" s="297"/>
    </row>
    <row r="25" spans="1:38">
      <c r="L25" s="67" t="s">
        <v>30</v>
      </c>
      <c r="M25" s="37">
        <f>P23*M24</f>
        <v>0</v>
      </c>
      <c r="N25" s="15" t="s">
        <v>18</v>
      </c>
      <c r="Q25" s="297"/>
      <c r="W25" s="297"/>
      <c r="X25" s="303" t="s">
        <v>30</v>
      </c>
      <c r="Y25" s="304"/>
      <c r="Z25" s="104">
        <f>AC23*Z24</f>
        <v>0</v>
      </c>
      <c r="AA25" s="15" t="s">
        <v>18</v>
      </c>
      <c r="AK25" s="297"/>
      <c r="AL25" s="297"/>
    </row>
    <row r="26" spans="1:38">
      <c r="A26" s="23"/>
      <c r="W26" s="297"/>
      <c r="X26" s="297"/>
      <c r="Y26" s="297"/>
      <c r="Z26" s="297"/>
      <c r="AA26" s="23"/>
      <c r="AL26" s="297"/>
    </row>
    <row r="27" spans="1:38">
      <c r="A27" s="23"/>
      <c r="I27" s="297"/>
      <c r="J27" s="297"/>
      <c r="K27" s="297"/>
      <c r="L27" s="297"/>
      <c r="AD27" s="31">
        <f>AC22+Z24</f>
        <v>81.87</v>
      </c>
      <c r="AE27" s="15">
        <f>AC24+Z25</f>
        <v>4.9121999999999999E-2</v>
      </c>
      <c r="AL27" s="297"/>
    </row>
    <row r="28" spans="1:38" ht="21">
      <c r="D28" s="143" t="s">
        <v>45</v>
      </c>
      <c r="E28" s="142">
        <f>B22-(C41+B44)</f>
        <v>109.07048999999999</v>
      </c>
      <c r="F28" s="15" t="s">
        <v>18</v>
      </c>
      <c r="I28" s="297"/>
      <c r="J28" s="297"/>
      <c r="K28" s="297"/>
      <c r="L28" s="297"/>
    </row>
    <row r="29" spans="1:38">
      <c r="I29" s="297"/>
      <c r="J29" s="297"/>
      <c r="K29" s="297"/>
      <c r="L29" s="297"/>
      <c r="V29" s="297"/>
      <c r="W29" s="297"/>
      <c r="X29" s="297"/>
      <c r="AJ29" s="22"/>
    </row>
    <row r="30" spans="1:38" ht="21">
      <c r="I30" s="102"/>
      <c r="V30" s="297"/>
      <c r="W30" s="200">
        <f>AC22+Z24+AC43+V43</f>
        <v>83.06</v>
      </c>
      <c r="X30" s="297"/>
    </row>
    <row r="31" spans="1:38">
      <c r="V31" s="297"/>
      <c r="W31" s="297"/>
      <c r="X31" s="297"/>
    </row>
    <row r="33" spans="1:55">
      <c r="S33" s="15" t="s">
        <v>101</v>
      </c>
      <c r="T33" s="31">
        <f>P22-W30</f>
        <v>-83.06</v>
      </c>
      <c r="U33" s="15" t="s">
        <v>18</v>
      </c>
    </row>
    <row r="34" spans="1:55">
      <c r="D34" s="297"/>
      <c r="E34" s="297"/>
      <c r="F34" s="297"/>
      <c r="G34" s="297"/>
      <c r="H34" s="297"/>
      <c r="S34" s="15" t="s">
        <v>125</v>
      </c>
      <c r="T34" s="76">
        <f>T33/E28</f>
        <v>-0.76152587193841348</v>
      </c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</row>
    <row r="35" spans="1:55">
      <c r="D35" s="297"/>
      <c r="E35" s="297"/>
      <c r="F35" s="297"/>
      <c r="G35" s="297"/>
      <c r="H35" s="297"/>
      <c r="S35" s="15" t="s">
        <v>126</v>
      </c>
      <c r="T35" s="81">
        <f>T34*B49</f>
        <v>-7.5440172882064385</v>
      </c>
      <c r="U35" s="297" t="s">
        <v>18</v>
      </c>
      <c r="Z35" s="297"/>
    </row>
    <row r="36" spans="1:55">
      <c r="D36" s="297"/>
      <c r="E36" s="297"/>
      <c r="F36" s="297"/>
      <c r="G36" s="297"/>
      <c r="H36" s="200"/>
      <c r="P36" s="298"/>
      <c r="Q36" s="298"/>
      <c r="R36" s="16"/>
      <c r="U36" s="297"/>
      <c r="Z36" s="297"/>
    </row>
    <row r="37" spans="1:55">
      <c r="E37" s="30"/>
      <c r="Z37" s="297"/>
    </row>
    <row r="38" spans="1:55" ht="21">
      <c r="M38" s="98" t="s">
        <v>205</v>
      </c>
      <c r="N38" s="48"/>
      <c r="Z38" s="297"/>
      <c r="AP38" s="297"/>
      <c r="AQ38" s="297"/>
      <c r="AR38" s="297"/>
      <c r="AS38" s="297"/>
      <c r="AT38" s="297"/>
      <c r="AU38" s="297"/>
      <c r="AV38" s="297"/>
      <c r="AW38" s="297"/>
      <c r="AX38" s="297"/>
      <c r="AY38" s="297"/>
      <c r="AZ38" s="297"/>
      <c r="BA38" s="297"/>
      <c r="BB38" s="297"/>
    </row>
    <row r="39" spans="1:55" ht="21">
      <c r="A39" s="392" t="s">
        <v>6</v>
      </c>
      <c r="B39" s="392"/>
      <c r="C39" s="33">
        <v>0.53</v>
      </c>
      <c r="D39" s="15" t="s">
        <v>18</v>
      </c>
      <c r="E39" s="297"/>
      <c r="F39" s="297"/>
      <c r="G39" s="297"/>
      <c r="M39" s="300" t="s">
        <v>20</v>
      </c>
      <c r="N39" s="301"/>
      <c r="Y39" s="101" t="s">
        <v>207</v>
      </c>
      <c r="Z39" s="101"/>
      <c r="AA39" s="101"/>
      <c r="AP39" s="297"/>
      <c r="AQ39" s="297"/>
      <c r="AR39" s="297"/>
      <c r="AS39" s="297"/>
      <c r="AT39" s="297"/>
      <c r="AU39" s="297"/>
      <c r="AV39" s="297"/>
      <c r="AW39" s="297"/>
      <c r="AX39" s="297"/>
      <c r="AY39" s="297"/>
      <c r="AZ39" s="297"/>
      <c r="BA39" s="297"/>
      <c r="BB39" s="297"/>
    </row>
    <row r="40" spans="1:55">
      <c r="A40" s="392" t="s">
        <v>5</v>
      </c>
      <c r="B40" s="392"/>
      <c r="C40" s="33">
        <v>0.5</v>
      </c>
      <c r="D40" s="15" t="s">
        <v>18</v>
      </c>
      <c r="E40" s="297"/>
      <c r="F40" s="297"/>
      <c r="G40" s="297"/>
      <c r="S40" s="297"/>
      <c r="V40" s="297"/>
      <c r="X40" s="403" t="s">
        <v>23</v>
      </c>
      <c r="Y40" s="404"/>
      <c r="Z40" s="404"/>
      <c r="AA40" s="405"/>
      <c r="AB40" s="297"/>
      <c r="AK40" s="297"/>
      <c r="AP40" s="297"/>
      <c r="AQ40" s="297"/>
      <c r="AR40" s="297"/>
      <c r="AS40" s="297"/>
      <c r="AT40" s="297"/>
      <c r="AU40" s="297"/>
      <c r="AV40" s="297"/>
      <c r="AW40" s="297"/>
      <c r="AX40" s="297"/>
      <c r="AY40" s="297"/>
      <c r="AZ40" s="297"/>
      <c r="BA40" s="297"/>
      <c r="BB40" s="297"/>
    </row>
    <row r="41" spans="1:55">
      <c r="A41" s="400" t="s">
        <v>17</v>
      </c>
      <c r="B41" s="401"/>
      <c r="C41" s="91">
        <f>SUM(C39:C40)</f>
        <v>1.03</v>
      </c>
      <c r="D41" s="23" t="s">
        <v>18</v>
      </c>
      <c r="E41" s="297"/>
      <c r="F41" s="297"/>
      <c r="G41" s="297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15.71</v>
      </c>
      <c r="R41" s="297" t="s">
        <v>18</v>
      </c>
      <c r="S41" s="297"/>
      <c r="Z41" s="297"/>
      <c r="AK41" s="297"/>
      <c r="AP41" s="297"/>
      <c r="AQ41" s="297"/>
      <c r="AR41" s="297"/>
      <c r="AS41" s="297"/>
      <c r="AT41" s="297"/>
      <c r="AU41" s="297"/>
      <c r="AV41" s="297"/>
      <c r="AW41" s="297"/>
      <c r="AX41" s="297"/>
      <c r="AY41" s="297"/>
      <c r="AZ41" s="297"/>
      <c r="BA41" s="297"/>
      <c r="BB41" s="297"/>
    </row>
    <row r="42" spans="1:55">
      <c r="C42" s="297"/>
      <c r="D42" s="297"/>
      <c r="E42" s="297"/>
      <c r="F42" s="297"/>
      <c r="G42" s="297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52.26/100</f>
        <v>0.52259999999999995</v>
      </c>
      <c r="R42" s="297" t="s">
        <v>33</v>
      </c>
      <c r="S42" s="297"/>
      <c r="AE42" s="297"/>
      <c r="AF42" s="297"/>
      <c r="AG42" s="297"/>
      <c r="AH42" s="297"/>
      <c r="AI42" s="297"/>
      <c r="AJ42" s="297"/>
      <c r="AK42" s="297"/>
      <c r="AL42" s="297"/>
      <c r="AP42" s="297"/>
      <c r="AQ42" s="297"/>
      <c r="AR42" s="297"/>
      <c r="AS42" s="297"/>
      <c r="AT42" s="297"/>
      <c r="AU42" s="297"/>
      <c r="AV42" s="297"/>
      <c r="AW42" s="297"/>
      <c r="AX42" s="297"/>
      <c r="AY42" s="297"/>
      <c r="AZ42" s="297"/>
      <c r="BA42" s="297"/>
      <c r="BB42" s="297"/>
    </row>
    <row r="43" spans="1:55">
      <c r="A43" s="36" t="s">
        <v>44</v>
      </c>
      <c r="B43" s="33"/>
      <c r="C43" s="297" t="s">
        <v>18</v>
      </c>
      <c r="D43" s="297"/>
      <c r="E43" s="297"/>
      <c r="F43" s="297"/>
      <c r="G43" s="297"/>
      <c r="H43" s="299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8.2100460000000002</v>
      </c>
      <c r="R43" s="297" t="s">
        <v>18</v>
      </c>
      <c r="S43" s="297"/>
      <c r="U43" s="35" t="s">
        <v>53</v>
      </c>
      <c r="V43" s="33"/>
      <c r="W43" s="297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1.19</v>
      </c>
      <c r="AD43" s="297" t="s">
        <v>18</v>
      </c>
      <c r="AF43" s="297"/>
      <c r="AG43" s="297"/>
      <c r="AH43" s="297"/>
      <c r="AI43" s="297"/>
      <c r="AJ43" s="297"/>
      <c r="AK43" s="297"/>
      <c r="AL43" s="297"/>
      <c r="AP43" s="297"/>
      <c r="AQ43" s="297"/>
      <c r="AR43" s="297"/>
      <c r="AS43" s="297"/>
      <c r="AT43" s="297"/>
      <c r="AU43" s="297"/>
      <c r="AV43" s="297"/>
      <c r="AW43" s="297"/>
      <c r="AX43" s="297"/>
      <c r="AY43" s="297"/>
      <c r="AZ43" s="297"/>
      <c r="BA43" s="297"/>
      <c r="BB43" s="297"/>
    </row>
    <row r="44" spans="1:55">
      <c r="A44" s="92" t="s">
        <v>17</v>
      </c>
      <c r="B44" s="90">
        <f>SUM(B43)</f>
        <v>0</v>
      </c>
      <c r="C44" s="297" t="s">
        <v>18</v>
      </c>
      <c r="D44" s="297"/>
      <c r="E44" s="297"/>
      <c r="M44" s="67" t="s">
        <v>30</v>
      </c>
      <c r="N44" s="37">
        <f>Q42*N43</f>
        <v>0</v>
      </c>
      <c r="O44" s="15" t="s">
        <v>18</v>
      </c>
      <c r="U44" s="297"/>
      <c r="V44" s="297"/>
      <c r="W44" s="297"/>
      <c r="X44" s="105" t="s">
        <v>4</v>
      </c>
      <c r="Y44" s="106"/>
      <c r="Z44" s="34"/>
      <c r="AA44" s="15" t="s">
        <v>18</v>
      </c>
      <c r="AB44" s="36" t="s">
        <v>27</v>
      </c>
      <c r="AC44" s="34">
        <f>41.62/100</f>
        <v>0.41619999999999996</v>
      </c>
      <c r="AD44" s="297" t="s">
        <v>33</v>
      </c>
      <c r="AL44" s="297"/>
      <c r="AP44" s="297"/>
      <c r="AQ44" s="297"/>
      <c r="AR44" s="297"/>
      <c r="AS44" s="297"/>
      <c r="AT44" s="297"/>
      <c r="AU44" s="297"/>
      <c r="AV44" s="297"/>
      <c r="AW44" s="297"/>
      <c r="AX44" s="297"/>
      <c r="AY44" s="297"/>
      <c r="AZ44" s="297"/>
      <c r="BA44" s="297"/>
      <c r="BB44" s="297"/>
    </row>
    <row r="45" spans="1:55">
      <c r="C45" s="297"/>
      <c r="D45" s="297"/>
      <c r="E45" s="297"/>
      <c r="U45" s="297"/>
      <c r="V45" s="297"/>
      <c r="W45" s="297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0.49527799999999994</v>
      </c>
      <c r="AD45" s="297" t="s">
        <v>18</v>
      </c>
      <c r="AL45" s="297"/>
      <c r="AP45" s="297"/>
      <c r="AQ45" s="297"/>
      <c r="AR45" s="297"/>
      <c r="AS45" s="297"/>
      <c r="AT45" s="297"/>
      <c r="AU45" s="297"/>
      <c r="AV45" s="297"/>
      <c r="AW45" s="297"/>
      <c r="AX45" s="297"/>
      <c r="AY45" s="297"/>
      <c r="AZ45" s="297"/>
      <c r="BA45" s="297"/>
      <c r="BB45" s="297"/>
      <c r="BC45" s="297"/>
    </row>
    <row r="46" spans="1:55">
      <c r="A46" s="15" t="s">
        <v>66</v>
      </c>
      <c r="B46" s="15">
        <f>B43/D22</f>
        <v>0</v>
      </c>
      <c r="C46" s="297" t="s">
        <v>62</v>
      </c>
      <c r="D46" s="297"/>
      <c r="E46" s="297"/>
      <c r="P46" s="31">
        <f>Q41+N43</f>
        <v>15.71</v>
      </c>
      <c r="Q46" s="15">
        <f>Q43+N44</f>
        <v>8.2100460000000002</v>
      </c>
      <c r="X46" s="303" t="s">
        <v>30</v>
      </c>
      <c r="Y46" s="304"/>
      <c r="Z46" s="104">
        <f>AC44*Z45</f>
        <v>0</v>
      </c>
      <c r="AA46" s="15" t="s">
        <v>18</v>
      </c>
      <c r="AF46" s="297"/>
      <c r="AP46" s="297"/>
      <c r="AQ46" s="297"/>
      <c r="AR46" s="297"/>
      <c r="AS46" s="297"/>
      <c r="AT46" s="297"/>
      <c r="AU46" s="297"/>
      <c r="AV46" s="297"/>
      <c r="AW46" s="297"/>
      <c r="AX46" s="297"/>
      <c r="AY46" s="297"/>
      <c r="AZ46" s="297"/>
      <c r="BA46" s="297"/>
      <c r="BB46" s="297"/>
      <c r="BC46" s="297"/>
    </row>
    <row r="47" spans="1:55">
      <c r="A47" s="15" t="s">
        <v>65</v>
      </c>
      <c r="B47" s="15">
        <f>C41/D22</f>
        <v>0.98097339226615898</v>
      </c>
      <c r="C47" s="15" t="s">
        <v>62</v>
      </c>
      <c r="AP47" s="297"/>
      <c r="AQ47" s="297"/>
      <c r="AR47" s="297"/>
      <c r="AS47" s="297"/>
      <c r="AT47" s="297"/>
      <c r="AU47" s="297"/>
      <c r="AV47" s="297"/>
      <c r="AW47" s="297"/>
      <c r="AX47" s="297"/>
      <c r="AY47" s="297"/>
      <c r="AZ47" s="297"/>
      <c r="BA47" s="297"/>
      <c r="BB47" s="297"/>
      <c r="BC47" s="297"/>
    </row>
    <row r="48" spans="1:55">
      <c r="A48" s="15" t="s">
        <v>67</v>
      </c>
      <c r="B48" s="15">
        <f>G19*(B46+B47)/1000</f>
        <v>9.3550900636318671E-2</v>
      </c>
      <c r="C48" s="15" t="s">
        <v>18</v>
      </c>
      <c r="E48" s="160"/>
      <c r="AP48" s="297"/>
      <c r="AQ48" s="297"/>
      <c r="AR48" s="297"/>
      <c r="AS48" s="297"/>
      <c r="AT48" s="297"/>
      <c r="AU48" s="297"/>
      <c r="AV48" s="297"/>
      <c r="AW48" s="297"/>
      <c r="AX48" s="297"/>
      <c r="AY48" s="297"/>
      <c r="AZ48" s="297"/>
      <c r="BA48" s="297"/>
      <c r="BB48" s="297"/>
    </row>
    <row r="49" spans="1:59">
      <c r="A49" s="15" t="s">
        <v>64</v>
      </c>
      <c r="B49" s="74">
        <f>B21-B48</f>
        <v>9.906449099363682</v>
      </c>
      <c r="C49" s="15" t="s">
        <v>18</v>
      </c>
      <c r="AC49" s="31">
        <f>AC43+Z45</f>
        <v>1.19</v>
      </c>
      <c r="AD49" s="15">
        <f>AC45+Z46</f>
        <v>0.49527799999999994</v>
      </c>
      <c r="AP49" s="297"/>
      <c r="AQ49" s="297"/>
      <c r="AR49" s="297"/>
      <c r="AS49" s="297"/>
      <c r="AT49" s="297"/>
      <c r="AU49" s="297"/>
      <c r="AV49" s="379"/>
      <c r="AW49" s="379"/>
      <c r="AX49" s="379"/>
      <c r="AY49" s="379"/>
      <c r="AZ49" s="379"/>
      <c r="BA49" s="297"/>
      <c r="BB49" s="297"/>
    </row>
    <row r="50" spans="1:59">
      <c r="R50" s="297"/>
      <c r="S50" s="15" t="s">
        <v>27</v>
      </c>
      <c r="U50" s="15" t="s">
        <v>40</v>
      </c>
      <c r="W50" s="15" t="s">
        <v>98</v>
      </c>
      <c r="X50" s="74">
        <f>B49</f>
        <v>9.906449099363682</v>
      </c>
      <c r="Y50" s="15" t="s">
        <v>18</v>
      </c>
      <c r="AP50" s="297"/>
      <c r="AQ50" s="297"/>
      <c r="AR50" s="297"/>
      <c r="AS50" s="297"/>
      <c r="AT50" s="297"/>
      <c r="AU50" s="297"/>
      <c r="AV50" s="297"/>
      <c r="AW50" s="297"/>
      <c r="AX50" s="297"/>
      <c r="AY50" s="297"/>
      <c r="AZ50" s="297"/>
      <c r="BA50" s="297"/>
      <c r="BB50" s="297"/>
    </row>
    <row r="51" spans="1:59">
      <c r="Q51" s="297"/>
      <c r="R51" s="297"/>
      <c r="S51" s="15" t="s">
        <v>34</v>
      </c>
      <c r="T51" s="15">
        <f>AC24+Z25</f>
        <v>4.9121999999999999E-2</v>
      </c>
      <c r="U51" s="76">
        <f>T51/X50</f>
        <v>4.9585880376809529E-3</v>
      </c>
      <c r="AP51" s="297"/>
      <c r="AQ51" s="297"/>
      <c r="AR51" s="297"/>
      <c r="AS51" s="297"/>
      <c r="AT51" s="297"/>
      <c r="AU51" s="297"/>
      <c r="AV51" s="297"/>
      <c r="AW51" s="297"/>
      <c r="AX51" s="297"/>
      <c r="AY51" s="297"/>
      <c r="AZ51" s="297"/>
      <c r="BA51" s="297"/>
      <c r="BB51" s="297"/>
    </row>
    <row r="52" spans="1:59">
      <c r="S52" s="15" t="s">
        <v>35</v>
      </c>
      <c r="T52" s="15">
        <f>AC45+Z46</f>
        <v>0.49527799999999994</v>
      </c>
      <c r="U52" s="76">
        <f>T52/X50</f>
        <v>4.9995512522424707E-2</v>
      </c>
      <c r="AP52" s="297"/>
      <c r="AQ52" s="297"/>
      <c r="AR52" s="297"/>
      <c r="AS52" s="297"/>
      <c r="AT52" s="297"/>
      <c r="AU52" s="297"/>
      <c r="AV52" s="297"/>
      <c r="AW52" s="297"/>
      <c r="AX52" s="297"/>
      <c r="AY52" s="297"/>
      <c r="AZ52" s="297"/>
      <c r="BA52" s="297"/>
      <c r="BB52" s="297"/>
    </row>
    <row r="53" spans="1:59"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15" t="s">
        <v>36</v>
      </c>
      <c r="T53" s="297">
        <f>Q43+N44</f>
        <v>8.2100460000000002</v>
      </c>
      <c r="U53" s="305">
        <f>T53/X50</f>
        <v>0.82875770295204498</v>
      </c>
      <c r="V53" s="297"/>
      <c r="W53" s="297"/>
      <c r="AN53" s="297"/>
      <c r="AO53" s="297"/>
      <c r="AP53" s="297"/>
      <c r="AQ53" s="297"/>
      <c r="AR53" s="297"/>
      <c r="AS53" s="297"/>
      <c r="AT53" s="297"/>
      <c r="AU53" s="297"/>
      <c r="AV53" s="297"/>
      <c r="AW53" s="297"/>
      <c r="AX53" s="297"/>
      <c r="AY53" s="297"/>
      <c r="AZ53" s="297"/>
      <c r="BA53" s="297"/>
      <c r="BB53" s="297"/>
      <c r="BC53" s="297"/>
      <c r="BD53" s="297"/>
      <c r="BE53" s="297"/>
      <c r="BF53" s="297"/>
      <c r="BG53" s="297"/>
    </row>
    <row r="54" spans="1:59">
      <c r="D54" s="379"/>
      <c r="E54" s="379"/>
      <c r="F54" s="379"/>
      <c r="G54" s="379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15" t="s">
        <v>17</v>
      </c>
      <c r="T54" s="297">
        <f>SUM(T51:T53)</f>
        <v>8.7544459999999997</v>
      </c>
      <c r="U54" s="305">
        <f>SUM(U51:U53)</f>
        <v>0.88371180351215062</v>
      </c>
      <c r="V54" s="297"/>
      <c r="W54" s="297"/>
      <c r="X54" s="297"/>
      <c r="Y54" s="297"/>
      <c r="Z54" s="297"/>
      <c r="AN54" s="297"/>
      <c r="AO54" s="297"/>
      <c r="AP54" s="297"/>
      <c r="AQ54" s="297"/>
      <c r="AR54" s="297"/>
      <c r="AS54" s="297"/>
      <c r="AT54" s="297"/>
      <c r="AU54" s="297"/>
      <c r="AV54" s="297"/>
      <c r="AW54" s="297"/>
      <c r="AX54" s="297"/>
      <c r="AY54" s="297"/>
      <c r="AZ54" s="297"/>
      <c r="BA54" s="297"/>
      <c r="BB54" s="297"/>
      <c r="BC54" s="297"/>
      <c r="BD54" s="297"/>
      <c r="BE54" s="297"/>
      <c r="BF54" s="297"/>
      <c r="BG54" s="297"/>
    </row>
    <row r="55" spans="1:59">
      <c r="D55" s="297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15" t="s">
        <v>37</v>
      </c>
      <c r="T55" s="145">
        <f>X50-T54</f>
        <v>1.1520030993636823</v>
      </c>
      <c r="U55" s="305">
        <f>T55/X50</f>
        <v>0.11628819648784937</v>
      </c>
      <c r="V55" s="297"/>
      <c r="W55" s="297"/>
      <c r="X55" s="297"/>
      <c r="Y55" s="297"/>
      <c r="Z55" s="297"/>
      <c r="AN55" s="297"/>
      <c r="AO55" s="297"/>
      <c r="AP55" s="297"/>
      <c r="AQ55" s="297"/>
      <c r="AR55" s="297"/>
      <c r="AS55" s="297"/>
      <c r="AT55" s="297"/>
      <c r="AU55" s="297"/>
      <c r="AV55" s="297"/>
      <c r="AW55" s="297"/>
      <c r="AX55" s="297"/>
      <c r="AY55" s="297"/>
      <c r="AZ55" s="297"/>
      <c r="BA55" s="297"/>
      <c r="BB55" s="297"/>
      <c r="BC55" s="297"/>
      <c r="BD55" s="297"/>
      <c r="BE55" s="297"/>
      <c r="BF55" s="297"/>
      <c r="BG55" s="297"/>
    </row>
    <row r="56" spans="1:59">
      <c r="D56" s="297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T56" s="297"/>
      <c r="U56" s="297"/>
      <c r="V56" s="297"/>
      <c r="W56" s="297"/>
      <c r="X56" s="297"/>
      <c r="Y56" s="297"/>
      <c r="Z56" s="297"/>
      <c r="AN56" s="297"/>
      <c r="AO56" s="297"/>
      <c r="AP56" s="297"/>
      <c r="AQ56" s="297"/>
      <c r="AR56" s="297"/>
      <c r="AS56" s="297"/>
      <c r="AT56" s="297"/>
      <c r="AU56" s="297"/>
      <c r="AV56" s="297"/>
      <c r="AW56" s="297"/>
      <c r="AX56" s="297"/>
      <c r="AY56" s="297"/>
      <c r="AZ56" s="297"/>
      <c r="BA56" s="297"/>
      <c r="BB56" s="297"/>
      <c r="BC56" s="297"/>
      <c r="BD56" s="297"/>
      <c r="BE56" s="297"/>
      <c r="BF56" s="297"/>
      <c r="BG56" s="297"/>
    </row>
    <row r="57" spans="1:59"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W57" s="297"/>
      <c r="X57" s="297"/>
      <c r="Y57" s="297"/>
      <c r="Z57" s="297"/>
      <c r="AN57" s="297"/>
      <c r="AO57" s="297"/>
      <c r="AP57" s="297"/>
      <c r="AQ57" s="297"/>
      <c r="AR57" s="297"/>
      <c r="AS57" s="297"/>
      <c r="AT57" s="297"/>
      <c r="AU57" s="297"/>
      <c r="AV57" s="297"/>
      <c r="AW57" s="297"/>
      <c r="AX57" s="297"/>
      <c r="AY57" s="297"/>
      <c r="AZ57" s="297"/>
      <c r="BA57" s="297"/>
      <c r="BB57" s="297"/>
      <c r="BC57" s="297"/>
      <c r="BD57" s="297"/>
      <c r="BE57" s="297"/>
      <c r="BF57" s="297"/>
      <c r="BG57" s="297"/>
    </row>
    <row r="58" spans="1:59"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297"/>
      <c r="AL58" s="297"/>
      <c r="AM58" s="297"/>
      <c r="AN58" s="297"/>
      <c r="AO58" s="297"/>
      <c r="AP58" s="297"/>
      <c r="AQ58" s="297"/>
      <c r="AR58" s="297"/>
      <c r="AS58" s="297"/>
      <c r="AT58" s="297"/>
      <c r="AU58" s="297"/>
      <c r="AV58" s="297"/>
      <c r="AW58" s="297"/>
      <c r="AX58" s="297"/>
      <c r="AY58" s="297"/>
      <c r="AZ58" s="297"/>
      <c r="BA58" s="297"/>
      <c r="BB58" s="297"/>
      <c r="BC58" s="297"/>
      <c r="BD58" s="297"/>
      <c r="BE58" s="297"/>
      <c r="BF58" s="297"/>
      <c r="BG58" s="297"/>
    </row>
    <row r="59" spans="1:59">
      <c r="D59" s="297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7"/>
      <c r="AT59" s="297"/>
      <c r="AU59" s="297"/>
      <c r="AV59" s="297"/>
      <c r="AW59" s="297"/>
      <c r="AX59" s="297"/>
      <c r="AY59" s="297"/>
      <c r="AZ59" s="297"/>
      <c r="BA59" s="297"/>
      <c r="BB59" s="297"/>
      <c r="BC59" s="297"/>
      <c r="BD59" s="297"/>
      <c r="BE59" s="297"/>
      <c r="BF59" s="297"/>
      <c r="BG59" s="297"/>
    </row>
    <row r="60" spans="1:59"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S60" s="297"/>
      <c r="AT60" s="297"/>
      <c r="AU60" s="297"/>
      <c r="AV60" s="297"/>
      <c r="AW60" s="297"/>
      <c r="AX60" s="297"/>
      <c r="AY60" s="297"/>
      <c r="AZ60" s="297"/>
      <c r="BA60" s="297"/>
      <c r="BB60" s="297"/>
      <c r="BC60" s="297"/>
      <c r="BD60" s="297"/>
      <c r="BE60" s="297"/>
      <c r="BF60" s="297"/>
      <c r="BG60" s="297"/>
    </row>
    <row r="61" spans="1:59">
      <c r="D61" s="297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  <c r="AI61" s="297"/>
      <c r="AJ61" s="297"/>
      <c r="AK61" s="297"/>
      <c r="AL61" s="297"/>
      <c r="AM61" s="297"/>
      <c r="AN61" s="297"/>
      <c r="AO61" s="297"/>
      <c r="AP61" s="297"/>
      <c r="AQ61" s="297"/>
      <c r="AR61" s="297"/>
      <c r="AS61" s="297"/>
      <c r="AT61" s="297"/>
      <c r="AU61" s="297"/>
      <c r="AV61" s="297"/>
      <c r="AW61" s="297"/>
      <c r="AX61" s="297"/>
      <c r="AY61" s="297"/>
      <c r="AZ61" s="297"/>
      <c r="BA61" s="297"/>
      <c r="BB61" s="297"/>
      <c r="BC61" s="297"/>
      <c r="BD61" s="297"/>
      <c r="BE61" s="297"/>
      <c r="BF61" s="297"/>
      <c r="BG61" s="297"/>
    </row>
    <row r="62" spans="1:59"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  <c r="AH62" s="297"/>
      <c r="AI62" s="297"/>
      <c r="AJ62" s="297"/>
      <c r="AK62" s="297"/>
      <c r="AL62" s="297"/>
      <c r="AM62" s="297"/>
      <c r="AN62" s="297"/>
      <c r="AO62" s="297"/>
      <c r="AP62" s="297"/>
      <c r="AQ62" s="297"/>
      <c r="AR62" s="297"/>
      <c r="AS62" s="297"/>
      <c r="AT62" s="297"/>
      <c r="AU62" s="297"/>
      <c r="AV62" s="297"/>
      <c r="AW62" s="297"/>
      <c r="AX62" s="297"/>
      <c r="AY62" s="297"/>
      <c r="AZ62" s="297"/>
      <c r="BA62" s="297"/>
      <c r="BB62" s="297"/>
      <c r="BC62" s="297"/>
      <c r="BD62" s="297"/>
      <c r="BE62" s="297"/>
      <c r="BF62" s="297"/>
      <c r="BG62" s="297"/>
    </row>
    <row r="63" spans="1:59"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7"/>
      <c r="AV63" s="297"/>
      <c r="AW63" s="297"/>
      <c r="AX63" s="297"/>
      <c r="AY63" s="297"/>
      <c r="AZ63" s="297"/>
      <c r="BA63" s="297"/>
      <c r="BB63" s="297"/>
      <c r="BC63" s="297"/>
      <c r="BD63" s="297"/>
      <c r="BE63" s="297"/>
      <c r="BF63" s="297"/>
      <c r="BG63" s="297"/>
    </row>
    <row r="64" spans="1:59"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  <c r="AC64" s="297"/>
      <c r="AD64" s="297"/>
      <c r="AE64" s="297"/>
      <c r="AF64" s="297"/>
      <c r="AG64" s="297"/>
      <c r="AH64" s="297"/>
      <c r="AI64" s="297"/>
      <c r="AJ64" s="297"/>
      <c r="AK64" s="297"/>
      <c r="AL64" s="297"/>
      <c r="AM64" s="297"/>
      <c r="AN64" s="297"/>
      <c r="AO64" s="297"/>
      <c r="AP64" s="297"/>
      <c r="AQ64" s="297"/>
      <c r="AR64" s="297"/>
      <c r="AS64" s="297"/>
      <c r="AT64" s="297"/>
      <c r="AU64" s="297"/>
      <c r="AV64" s="297"/>
      <c r="AW64" s="297"/>
      <c r="AX64" s="297"/>
      <c r="AY64" s="297"/>
      <c r="AZ64" s="297"/>
      <c r="BA64" s="297"/>
      <c r="BB64" s="297"/>
      <c r="BC64" s="297"/>
      <c r="BD64" s="297"/>
      <c r="BE64" s="297"/>
      <c r="BF64" s="297"/>
      <c r="BG64" s="297"/>
    </row>
    <row r="65" spans="4:59"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7"/>
      <c r="AS65" s="297"/>
      <c r="AT65" s="297"/>
      <c r="AU65" s="297"/>
      <c r="AV65" s="297"/>
      <c r="AW65" s="297"/>
      <c r="AX65" s="297"/>
      <c r="AY65" s="297"/>
      <c r="AZ65" s="297"/>
      <c r="BA65" s="297"/>
      <c r="BB65" s="297"/>
      <c r="BC65" s="297"/>
      <c r="BD65" s="297"/>
      <c r="BE65" s="297"/>
      <c r="BF65" s="297"/>
      <c r="BG65" s="297"/>
    </row>
    <row r="66" spans="4:59">
      <c r="D66" s="297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7"/>
      <c r="AS66" s="297"/>
      <c r="AT66" s="297"/>
      <c r="AU66" s="297"/>
      <c r="AV66" s="297"/>
      <c r="AW66" s="297"/>
      <c r="AX66" s="297"/>
      <c r="AY66" s="297"/>
      <c r="AZ66" s="297"/>
      <c r="BA66" s="297"/>
      <c r="BB66" s="297"/>
      <c r="BC66" s="297"/>
      <c r="BD66" s="297"/>
      <c r="BE66" s="297"/>
      <c r="BF66" s="297"/>
      <c r="BG66" s="297"/>
    </row>
    <row r="67" spans="4:59"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97"/>
      <c r="AL67" s="297"/>
      <c r="AM67" s="297"/>
      <c r="AN67" s="297"/>
      <c r="AO67" s="297"/>
      <c r="AP67" s="297"/>
      <c r="AQ67" s="297"/>
      <c r="AR67" s="297"/>
      <c r="AS67" s="297"/>
      <c r="AT67" s="297"/>
      <c r="AU67" s="297"/>
      <c r="AV67" s="297"/>
      <c r="AW67" s="297"/>
      <c r="AX67" s="297"/>
      <c r="AY67" s="297"/>
      <c r="AZ67" s="297"/>
      <c r="BA67" s="297"/>
      <c r="BB67" s="297"/>
      <c r="BC67" s="297"/>
      <c r="BD67" s="297"/>
      <c r="BE67" s="297"/>
      <c r="BF67" s="297"/>
      <c r="BG67" s="297"/>
    </row>
    <row r="68" spans="4:59"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7"/>
      <c r="AL68" s="297"/>
      <c r="AM68" s="297"/>
      <c r="AN68" s="297"/>
      <c r="AO68" s="297"/>
      <c r="AP68" s="297"/>
      <c r="AQ68" s="297"/>
      <c r="AR68" s="297"/>
      <c r="AS68" s="297"/>
      <c r="AT68" s="297"/>
      <c r="AU68" s="297"/>
      <c r="AV68" s="297"/>
      <c r="AW68" s="297"/>
      <c r="AX68" s="297"/>
      <c r="AY68" s="297"/>
      <c r="AZ68" s="297"/>
      <c r="BA68" s="297"/>
      <c r="BB68" s="297"/>
      <c r="BC68" s="297"/>
      <c r="BD68" s="297"/>
      <c r="BE68" s="297"/>
      <c r="BF68" s="297"/>
      <c r="BG68" s="297"/>
    </row>
    <row r="69" spans="4:59">
      <c r="D69" s="297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7"/>
      <c r="AM69" s="297"/>
      <c r="AN69" s="297"/>
      <c r="AO69" s="297"/>
      <c r="AP69" s="297"/>
      <c r="AQ69" s="297"/>
      <c r="AR69" s="297"/>
      <c r="AS69" s="297"/>
      <c r="AT69" s="297"/>
      <c r="AU69" s="297"/>
      <c r="AV69" s="297"/>
      <c r="AW69" s="297"/>
      <c r="AX69" s="297"/>
      <c r="AY69" s="297"/>
      <c r="AZ69" s="297"/>
      <c r="BA69" s="297"/>
      <c r="BB69" s="297"/>
      <c r="BC69" s="297"/>
      <c r="BD69" s="297"/>
      <c r="BE69" s="297"/>
      <c r="BF69" s="297"/>
      <c r="BG69" s="297"/>
    </row>
    <row r="70" spans="4:59">
      <c r="D70" s="297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  <c r="AI70" s="297"/>
      <c r="AJ70" s="297"/>
      <c r="AK70" s="297"/>
      <c r="AL70" s="297"/>
      <c r="AM70" s="297"/>
      <c r="AN70" s="297"/>
      <c r="AO70" s="297"/>
      <c r="AP70" s="297"/>
      <c r="AQ70" s="297"/>
      <c r="AR70" s="297"/>
      <c r="AS70" s="297"/>
      <c r="AT70" s="297"/>
      <c r="AU70" s="297"/>
      <c r="AV70" s="297"/>
      <c r="AW70" s="297"/>
      <c r="AX70" s="297"/>
      <c r="AY70" s="297"/>
      <c r="AZ70" s="297"/>
      <c r="BA70" s="297"/>
      <c r="BB70" s="297"/>
      <c r="BC70" s="297"/>
      <c r="BD70" s="297"/>
      <c r="BE70" s="297"/>
      <c r="BF70" s="297"/>
      <c r="BG70" s="297"/>
    </row>
    <row r="71" spans="4:59">
      <c r="D71" s="297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7"/>
      <c r="AL71" s="297"/>
      <c r="AM71" s="297"/>
      <c r="AN71" s="297"/>
      <c r="AO71" s="297"/>
      <c r="AP71" s="297"/>
      <c r="AQ71" s="297"/>
      <c r="AR71" s="297"/>
      <c r="AS71" s="297"/>
      <c r="AT71" s="297"/>
      <c r="AU71" s="297"/>
      <c r="AV71" s="297"/>
      <c r="AW71" s="297"/>
      <c r="AX71" s="297"/>
      <c r="AY71" s="297"/>
      <c r="AZ71" s="297"/>
      <c r="BA71" s="297"/>
      <c r="BB71" s="297"/>
      <c r="BC71" s="297"/>
      <c r="BD71" s="297"/>
      <c r="BE71" s="297"/>
      <c r="BF71" s="297"/>
      <c r="BG71" s="297"/>
    </row>
    <row r="72" spans="4:59">
      <c r="D72" s="297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7"/>
      <c r="AL72" s="297"/>
      <c r="AM72" s="297"/>
      <c r="AN72" s="297"/>
      <c r="AO72" s="297"/>
      <c r="AP72" s="297"/>
      <c r="AQ72" s="297"/>
      <c r="AR72" s="297"/>
      <c r="AS72" s="297"/>
      <c r="AT72" s="297"/>
      <c r="AU72" s="297"/>
      <c r="AV72" s="297"/>
      <c r="AW72" s="379"/>
      <c r="AX72" s="379"/>
      <c r="AY72" s="297"/>
      <c r="AZ72" s="297"/>
      <c r="BA72" s="297"/>
      <c r="BB72" s="297"/>
      <c r="BC72" s="297"/>
      <c r="BD72" s="297"/>
      <c r="BE72" s="297"/>
      <c r="BF72" s="297"/>
      <c r="BG72" s="297"/>
    </row>
    <row r="73" spans="4:59"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297"/>
      <c r="AN73" s="297"/>
      <c r="AO73" s="297"/>
      <c r="AP73" s="297"/>
      <c r="AQ73" s="297"/>
      <c r="AR73" s="297"/>
      <c r="AS73" s="297"/>
      <c r="AT73" s="297"/>
      <c r="AU73" s="297"/>
      <c r="AV73" s="297"/>
      <c r="AW73" s="297"/>
      <c r="AX73" s="297"/>
      <c r="AY73" s="297"/>
      <c r="AZ73" s="297"/>
      <c r="BA73" s="297"/>
      <c r="BB73" s="297"/>
      <c r="BC73" s="297"/>
      <c r="BD73" s="297"/>
      <c r="BE73" s="297"/>
      <c r="BF73" s="297"/>
      <c r="BG73" s="297"/>
    </row>
    <row r="74" spans="4:59"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7"/>
      <c r="AL74" s="297"/>
      <c r="AM74" s="297"/>
      <c r="AN74" s="297"/>
      <c r="AO74" s="297"/>
      <c r="AP74" s="297"/>
      <c r="AQ74" s="297"/>
      <c r="AR74" s="297"/>
      <c r="AS74" s="297"/>
      <c r="AT74" s="297"/>
      <c r="AU74" s="297"/>
      <c r="AV74" s="297"/>
      <c r="AW74" s="297"/>
      <c r="AX74" s="297"/>
      <c r="AY74" s="297"/>
      <c r="AZ74" s="297"/>
      <c r="BA74" s="297"/>
      <c r="BB74" s="297"/>
      <c r="BC74" s="297"/>
      <c r="BD74" s="297"/>
      <c r="BE74" s="297"/>
      <c r="BF74" s="297"/>
      <c r="BG74" s="297"/>
    </row>
    <row r="75" spans="4:59">
      <c r="D75" s="297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297"/>
      <c r="AK75" s="297"/>
      <c r="AL75" s="297"/>
      <c r="AM75" s="297"/>
      <c r="AN75" s="297"/>
      <c r="AO75" s="297"/>
      <c r="AP75" s="297"/>
      <c r="AQ75" s="297"/>
      <c r="AR75" s="297"/>
      <c r="AS75" s="297"/>
      <c r="AT75" s="297"/>
      <c r="AU75" s="297"/>
      <c r="AV75" s="297"/>
      <c r="AW75" s="297"/>
      <c r="AX75" s="297"/>
      <c r="AY75" s="297"/>
      <c r="AZ75" s="297"/>
      <c r="BA75" s="297"/>
      <c r="BB75" s="297"/>
      <c r="BC75" s="297"/>
      <c r="BD75" s="297"/>
      <c r="BE75" s="297"/>
      <c r="BF75" s="297"/>
      <c r="BG75" s="297"/>
    </row>
    <row r="76" spans="4:59">
      <c r="D76" s="297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7"/>
      <c r="AM76" s="297"/>
      <c r="AN76" s="297"/>
      <c r="AO76" s="297"/>
      <c r="AP76" s="297"/>
      <c r="AQ76" s="297"/>
      <c r="AR76" s="297"/>
      <c r="AS76" s="297"/>
      <c r="AT76" s="297"/>
      <c r="AU76" s="297"/>
      <c r="AV76" s="297"/>
      <c r="AW76" s="297"/>
      <c r="AX76" s="297"/>
      <c r="AY76" s="297"/>
      <c r="AZ76" s="297"/>
      <c r="BA76" s="297"/>
      <c r="BB76" s="297"/>
      <c r="BC76" s="297"/>
      <c r="BD76" s="297"/>
      <c r="BE76" s="297"/>
      <c r="BF76" s="297"/>
      <c r="BG76" s="297"/>
    </row>
    <row r="77" spans="4:59">
      <c r="D77" s="297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  <c r="AI77" s="297"/>
      <c r="AJ77" s="297"/>
      <c r="AK77" s="297"/>
      <c r="AL77" s="297"/>
      <c r="AM77" s="297"/>
      <c r="AN77" s="297"/>
      <c r="AO77" s="297"/>
      <c r="AP77" s="297"/>
      <c r="AQ77" s="297"/>
      <c r="AR77" s="297"/>
      <c r="AS77" s="297"/>
      <c r="AT77" s="297"/>
      <c r="AU77" s="297"/>
      <c r="AV77" s="297"/>
      <c r="AW77" s="297"/>
      <c r="AX77" s="297"/>
      <c r="AY77" s="297"/>
      <c r="AZ77" s="297"/>
      <c r="BA77" s="297"/>
      <c r="BB77" s="297"/>
      <c r="BC77" s="297"/>
      <c r="BD77" s="297"/>
      <c r="BE77" s="297"/>
      <c r="BF77" s="297"/>
      <c r="BG77" s="297"/>
    </row>
    <row r="78" spans="4:59">
      <c r="D78" s="297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7"/>
      <c r="AM78" s="297"/>
      <c r="AN78" s="297"/>
      <c r="AO78" s="297"/>
      <c r="AP78" s="297"/>
      <c r="AQ78" s="297"/>
      <c r="AR78" s="297"/>
      <c r="AS78" s="297"/>
      <c r="AT78" s="297"/>
      <c r="AU78" s="297"/>
      <c r="AV78" s="297"/>
      <c r="AW78" s="297"/>
      <c r="AX78" s="297"/>
      <c r="AY78" s="297"/>
      <c r="AZ78" s="297"/>
      <c r="BA78" s="297"/>
      <c r="BB78" s="297"/>
      <c r="BC78" s="297"/>
      <c r="BD78" s="297"/>
      <c r="BE78" s="297"/>
      <c r="BF78" s="297"/>
      <c r="BG78" s="297"/>
    </row>
    <row r="79" spans="4:59"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7"/>
      <c r="AM79" s="297"/>
      <c r="AN79" s="297"/>
      <c r="AO79" s="297"/>
      <c r="AP79" s="297"/>
      <c r="AQ79" s="297"/>
      <c r="AR79" s="297"/>
      <c r="AS79" s="297"/>
      <c r="AT79" s="297"/>
      <c r="AU79" s="297"/>
      <c r="AV79" s="297"/>
      <c r="AW79" s="297"/>
      <c r="AX79" s="297"/>
      <c r="AY79" s="297"/>
      <c r="AZ79" s="297"/>
      <c r="BA79" s="297"/>
      <c r="BB79" s="297"/>
      <c r="BC79" s="297"/>
      <c r="BD79" s="297"/>
      <c r="BE79" s="297"/>
      <c r="BF79" s="297"/>
      <c r="BG79" s="297"/>
    </row>
    <row r="80" spans="4:59"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7"/>
      <c r="AM80" s="297"/>
      <c r="AN80" s="297"/>
      <c r="AO80" s="297"/>
      <c r="AP80" s="297"/>
      <c r="AQ80" s="297"/>
      <c r="AR80" s="297"/>
      <c r="AS80" s="297"/>
      <c r="AT80" s="297"/>
      <c r="AU80" s="297"/>
      <c r="AV80" s="297"/>
      <c r="AW80" s="297"/>
      <c r="AX80" s="297"/>
      <c r="AY80" s="297"/>
      <c r="AZ80" s="297"/>
      <c r="BA80" s="297"/>
      <c r="BB80" s="297"/>
      <c r="BC80" s="297"/>
      <c r="BD80" s="297"/>
      <c r="BE80" s="297"/>
      <c r="BF80" s="297"/>
      <c r="BG80" s="297"/>
    </row>
    <row r="81" spans="4:59">
      <c r="D81" s="297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  <c r="AJ81" s="297"/>
      <c r="AK81" s="297"/>
      <c r="AL81" s="297"/>
      <c r="AM81" s="297"/>
      <c r="AN81" s="297"/>
      <c r="AO81" s="297"/>
      <c r="AP81" s="297"/>
      <c r="AQ81" s="297"/>
      <c r="AR81" s="297"/>
      <c r="AS81" s="297"/>
      <c r="AT81" s="297"/>
      <c r="AU81" s="297"/>
      <c r="AV81" s="297"/>
      <c r="AW81" s="297"/>
      <c r="AX81" s="297"/>
      <c r="AY81" s="297"/>
      <c r="AZ81" s="297"/>
      <c r="BA81" s="297"/>
      <c r="BB81" s="297"/>
      <c r="BC81" s="297"/>
      <c r="BD81" s="297"/>
      <c r="BE81" s="297"/>
      <c r="BF81" s="297"/>
      <c r="BG81" s="297"/>
    </row>
    <row r="82" spans="4:59">
      <c r="D82" s="297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7"/>
      <c r="AM82" s="297"/>
      <c r="AN82" s="297"/>
      <c r="AO82" s="297"/>
      <c r="AP82" s="297"/>
      <c r="AQ82" s="297"/>
      <c r="AR82" s="297"/>
      <c r="AS82" s="297"/>
      <c r="AT82" s="297"/>
      <c r="AU82" s="297"/>
      <c r="AV82" s="297"/>
      <c r="AW82" s="297"/>
      <c r="AX82" s="297"/>
      <c r="AY82" s="297"/>
      <c r="AZ82" s="297"/>
      <c r="BA82" s="297"/>
      <c r="BB82" s="297"/>
      <c r="BC82" s="297"/>
      <c r="BD82" s="297"/>
      <c r="BE82" s="297"/>
      <c r="BF82" s="297"/>
      <c r="BG82" s="297"/>
    </row>
    <row r="83" spans="4:59"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  <c r="AP83" s="297"/>
      <c r="AQ83" s="297"/>
      <c r="AR83" s="297"/>
      <c r="AS83" s="297"/>
      <c r="AT83" s="297"/>
      <c r="AU83" s="297"/>
      <c r="AV83" s="297"/>
      <c r="AW83" s="297"/>
      <c r="AX83" s="297"/>
      <c r="AY83" s="297"/>
      <c r="AZ83" s="297"/>
      <c r="BA83" s="297"/>
      <c r="BB83" s="297"/>
      <c r="BC83" s="297"/>
      <c r="BD83" s="297"/>
      <c r="BE83" s="297"/>
      <c r="BF83" s="297"/>
      <c r="BG83" s="297"/>
    </row>
    <row r="84" spans="4:59"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  <c r="AJ84" s="297"/>
      <c r="AK84" s="297"/>
      <c r="AL84" s="297"/>
      <c r="AM84" s="297"/>
      <c r="AN84" s="297"/>
      <c r="AO84" s="297"/>
      <c r="AP84" s="297"/>
      <c r="AQ84" s="297"/>
      <c r="AR84" s="297"/>
      <c r="AS84" s="297"/>
      <c r="AT84" s="297"/>
      <c r="AU84" s="297"/>
      <c r="AV84" s="297"/>
      <c r="AW84" s="297"/>
      <c r="AX84" s="297"/>
      <c r="AY84" s="297"/>
      <c r="AZ84" s="297"/>
      <c r="BA84" s="297"/>
      <c r="BB84" s="297"/>
      <c r="BC84" s="297"/>
      <c r="BD84" s="297"/>
      <c r="BE84" s="297"/>
      <c r="BF84" s="297"/>
      <c r="BG84" s="297"/>
    </row>
    <row r="85" spans="4:59"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7"/>
      <c r="AM85" s="297"/>
      <c r="AN85" s="297"/>
      <c r="AO85" s="297"/>
      <c r="AP85" s="297"/>
      <c r="AQ85" s="297"/>
      <c r="AR85" s="297"/>
      <c r="AS85" s="297"/>
      <c r="AT85" s="297"/>
      <c r="AU85" s="297"/>
      <c r="AV85" s="297"/>
      <c r="AW85" s="297"/>
      <c r="AX85" s="297"/>
      <c r="AY85" s="297"/>
      <c r="AZ85" s="297"/>
      <c r="BA85" s="297"/>
      <c r="BB85" s="297"/>
      <c r="BC85" s="297"/>
      <c r="BD85" s="297"/>
      <c r="BE85" s="297"/>
      <c r="BF85" s="297"/>
      <c r="BG85" s="297"/>
    </row>
    <row r="86" spans="4:59">
      <c r="D86" s="297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7"/>
      <c r="AP86" s="297"/>
      <c r="AQ86" s="297"/>
      <c r="AR86" s="297"/>
      <c r="AS86" s="297"/>
      <c r="AT86" s="297"/>
      <c r="AU86" s="297"/>
      <c r="AV86" s="297"/>
      <c r="AW86" s="297"/>
      <c r="AX86" s="297"/>
      <c r="AY86" s="297"/>
      <c r="AZ86" s="297"/>
      <c r="BA86" s="297"/>
      <c r="BB86" s="297"/>
      <c r="BC86" s="297"/>
      <c r="BD86" s="297"/>
      <c r="BE86" s="297"/>
      <c r="BF86" s="297"/>
      <c r="BG86" s="297"/>
    </row>
    <row r="87" spans="4:59">
      <c r="D87" s="297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7"/>
      <c r="AK87" s="297"/>
      <c r="AL87" s="297"/>
      <c r="AM87" s="297"/>
      <c r="AN87" s="297"/>
      <c r="AO87" s="297"/>
      <c r="AP87" s="297"/>
      <c r="AQ87" s="297"/>
      <c r="AR87" s="297"/>
      <c r="AS87" s="297"/>
      <c r="AT87" s="297"/>
      <c r="AU87" s="297"/>
      <c r="AV87" s="297"/>
      <c r="AW87" s="297"/>
      <c r="AX87" s="297"/>
      <c r="AY87" s="297"/>
      <c r="AZ87" s="297"/>
      <c r="BA87" s="297"/>
      <c r="BB87" s="297"/>
      <c r="BC87" s="297"/>
      <c r="BD87" s="297"/>
      <c r="BE87" s="297"/>
      <c r="BF87" s="297"/>
      <c r="BG87" s="297"/>
    </row>
    <row r="88" spans="4:59">
      <c r="D88" s="297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  <c r="AJ88" s="297"/>
      <c r="AK88" s="297"/>
      <c r="AL88" s="297"/>
      <c r="AM88" s="297"/>
      <c r="AN88" s="297"/>
      <c r="AO88" s="297"/>
      <c r="AP88" s="297"/>
      <c r="AQ88" s="297"/>
      <c r="AR88" s="297"/>
      <c r="AS88" s="297"/>
      <c r="AT88" s="297"/>
      <c r="AU88" s="297"/>
      <c r="AV88" s="297"/>
      <c r="AW88" s="297"/>
      <c r="AX88" s="297"/>
      <c r="AY88" s="297"/>
      <c r="AZ88" s="297"/>
      <c r="BA88" s="297"/>
      <c r="BB88" s="297"/>
      <c r="BC88" s="297"/>
      <c r="BD88" s="297"/>
      <c r="BE88" s="297"/>
      <c r="BF88" s="297"/>
      <c r="BG88" s="297"/>
    </row>
    <row r="89" spans="4:59">
      <c r="D89" s="297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  <c r="AI89" s="297"/>
      <c r="AJ89" s="297"/>
      <c r="AK89" s="297"/>
      <c r="AL89" s="297"/>
      <c r="AM89" s="297"/>
      <c r="AN89" s="297"/>
      <c r="AO89" s="297"/>
      <c r="AP89" s="297"/>
      <c r="AQ89" s="297"/>
      <c r="AR89" s="297"/>
      <c r="AS89" s="297"/>
      <c r="AT89" s="297"/>
      <c r="AU89" s="297"/>
      <c r="AV89" s="297"/>
      <c r="AW89" s="297"/>
      <c r="AX89" s="297"/>
      <c r="AY89" s="297"/>
      <c r="AZ89" s="297"/>
      <c r="BA89" s="297"/>
      <c r="BB89" s="297"/>
      <c r="BC89" s="297"/>
      <c r="BD89" s="297"/>
      <c r="BE89" s="297"/>
      <c r="BF89" s="297"/>
      <c r="BG89" s="297"/>
    </row>
    <row r="90" spans="4:59"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7"/>
      <c r="AN90" s="297"/>
      <c r="AO90" s="297"/>
      <c r="AP90" s="297"/>
      <c r="AQ90" s="297"/>
      <c r="AR90" s="297"/>
      <c r="AS90" s="297"/>
      <c r="AT90" s="297"/>
      <c r="AU90" s="297"/>
      <c r="AV90" s="297"/>
      <c r="AW90" s="297"/>
      <c r="AX90" s="297"/>
      <c r="AY90" s="297"/>
      <c r="AZ90" s="297"/>
      <c r="BA90" s="297"/>
      <c r="BB90" s="297"/>
      <c r="BC90" s="297"/>
      <c r="BD90" s="297"/>
      <c r="BE90" s="297"/>
      <c r="BF90" s="297"/>
      <c r="BG90" s="297"/>
    </row>
    <row r="91" spans="4:59"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  <c r="AJ91" s="297"/>
      <c r="AK91" s="297"/>
      <c r="AL91" s="297"/>
      <c r="AM91" s="297"/>
      <c r="AN91" s="297"/>
      <c r="AO91" s="297"/>
      <c r="AP91" s="297"/>
      <c r="AQ91" s="297"/>
      <c r="AR91" s="297"/>
      <c r="AS91" s="297"/>
      <c r="AT91" s="297"/>
      <c r="AU91" s="297"/>
      <c r="AV91" s="297"/>
      <c r="AW91" s="297"/>
      <c r="AX91" s="297"/>
      <c r="AY91" s="297"/>
      <c r="AZ91" s="297"/>
      <c r="BA91" s="297"/>
      <c r="BB91" s="297"/>
      <c r="BC91" s="297"/>
      <c r="BD91" s="297"/>
      <c r="BE91" s="297"/>
      <c r="BF91" s="297"/>
      <c r="BG91" s="297"/>
    </row>
    <row r="92" spans="4:59">
      <c r="D92" s="297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  <c r="AP92" s="297"/>
      <c r="AQ92" s="297"/>
      <c r="AR92" s="297"/>
      <c r="AS92" s="297"/>
      <c r="AT92" s="297"/>
      <c r="AU92" s="297"/>
      <c r="AV92" s="297"/>
      <c r="AW92" s="297"/>
      <c r="AX92" s="297"/>
      <c r="AY92" s="297"/>
      <c r="AZ92" s="297"/>
      <c r="BA92" s="297"/>
      <c r="BB92" s="297"/>
      <c r="BC92" s="297"/>
      <c r="BD92" s="297"/>
      <c r="BE92" s="297"/>
      <c r="BF92" s="297"/>
      <c r="BG92" s="297"/>
    </row>
    <row r="93" spans="4:59">
      <c r="D93" s="297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7"/>
      <c r="AL93" s="297"/>
      <c r="AM93" s="297"/>
      <c r="AN93" s="297"/>
      <c r="AO93" s="297"/>
      <c r="AP93" s="297"/>
      <c r="AQ93" s="297"/>
      <c r="AR93" s="297"/>
      <c r="AS93" s="297"/>
      <c r="AT93" s="297"/>
      <c r="AU93" s="297"/>
      <c r="AV93" s="297"/>
      <c r="AW93" s="297"/>
      <c r="AX93" s="297"/>
      <c r="AY93" s="297"/>
      <c r="AZ93" s="297"/>
      <c r="BA93" s="297"/>
      <c r="BB93" s="297"/>
      <c r="BC93" s="297"/>
      <c r="BD93" s="297"/>
      <c r="BE93" s="297"/>
      <c r="BF93" s="297"/>
      <c r="BG93" s="297"/>
    </row>
    <row r="94" spans="4:59">
      <c r="D94" s="297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7"/>
      <c r="AQ94" s="297"/>
      <c r="AR94" s="297"/>
      <c r="AS94" s="297"/>
      <c r="AT94" s="297"/>
      <c r="AU94" s="297"/>
      <c r="AV94" s="297"/>
      <c r="AW94" s="297"/>
      <c r="AX94" s="297"/>
      <c r="AY94" s="297"/>
      <c r="AZ94" s="297"/>
      <c r="BA94" s="297"/>
      <c r="BB94" s="297"/>
      <c r="BC94" s="297"/>
      <c r="BD94" s="297"/>
      <c r="BE94" s="297"/>
      <c r="BF94" s="297"/>
      <c r="BG94" s="297"/>
    </row>
    <row r="95" spans="4:59">
      <c r="D95" s="297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  <c r="AO95" s="297"/>
      <c r="AP95" s="297"/>
      <c r="AQ95" s="297"/>
      <c r="AR95" s="297"/>
      <c r="AS95" s="297"/>
      <c r="AT95" s="297"/>
      <c r="AU95" s="297"/>
      <c r="AV95" s="297"/>
      <c r="AW95" s="297"/>
      <c r="AX95" s="297"/>
      <c r="AY95" s="297"/>
      <c r="AZ95" s="297"/>
      <c r="BA95" s="297"/>
      <c r="BB95" s="297"/>
      <c r="BC95" s="297"/>
      <c r="BD95" s="297"/>
      <c r="BE95" s="297"/>
      <c r="BF95" s="297"/>
      <c r="BG95" s="297"/>
    </row>
    <row r="96" spans="4:59">
      <c r="D96" s="297"/>
      <c r="E96" s="297"/>
      <c r="F96" s="297"/>
      <c r="G96" s="297"/>
      <c r="H96" s="297"/>
      <c r="I96" s="297"/>
      <c r="J96" s="297"/>
      <c r="K96" s="297"/>
      <c r="L96" s="297"/>
      <c r="M96" s="297"/>
      <c r="N96" s="297"/>
      <c r="O96" s="297"/>
      <c r="P96" s="297"/>
      <c r="Q96" s="297"/>
      <c r="R96" s="297"/>
      <c r="S96" s="297"/>
      <c r="T96" s="297"/>
      <c r="U96" s="297"/>
      <c r="V96" s="297"/>
      <c r="W96" s="297"/>
      <c r="X96" s="297"/>
      <c r="Y96" s="297"/>
      <c r="Z96" s="297"/>
      <c r="AA96" s="297"/>
      <c r="AB96" s="297"/>
      <c r="AC96" s="297"/>
      <c r="AD96" s="297"/>
      <c r="AE96" s="297"/>
      <c r="AF96" s="297"/>
      <c r="AG96" s="297"/>
      <c r="AH96" s="297"/>
      <c r="AI96" s="297"/>
      <c r="AJ96" s="297"/>
      <c r="AK96" s="297"/>
      <c r="AL96" s="297"/>
      <c r="AM96" s="297"/>
      <c r="AN96" s="297"/>
      <c r="AO96" s="297"/>
      <c r="AP96" s="297"/>
      <c r="AQ96" s="297"/>
      <c r="AR96" s="297"/>
      <c r="AS96" s="297"/>
      <c r="AT96" s="297"/>
      <c r="AU96" s="297"/>
      <c r="AV96" s="297"/>
      <c r="AW96" s="297"/>
      <c r="AX96" s="297"/>
      <c r="AY96" s="297"/>
      <c r="AZ96" s="297"/>
      <c r="BA96" s="297"/>
      <c r="BB96" s="297"/>
      <c r="BC96" s="297"/>
      <c r="BD96" s="297"/>
      <c r="BE96" s="297"/>
      <c r="BF96" s="297"/>
      <c r="BG96" s="297"/>
    </row>
    <row r="97" spans="4:59">
      <c r="D97" s="297"/>
      <c r="E97" s="297"/>
      <c r="F97" s="297"/>
      <c r="G97" s="297"/>
      <c r="H97" s="297"/>
      <c r="I97" s="297"/>
      <c r="J97" s="297"/>
      <c r="K97" s="297"/>
      <c r="L97" s="297"/>
      <c r="M97" s="297"/>
      <c r="N97" s="297"/>
      <c r="O97" s="297"/>
      <c r="P97" s="297"/>
      <c r="Q97" s="297"/>
      <c r="R97" s="297"/>
      <c r="S97" s="297"/>
      <c r="T97" s="297"/>
      <c r="U97" s="297"/>
      <c r="V97" s="297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  <c r="AH97" s="297"/>
      <c r="AI97" s="297"/>
      <c r="AJ97" s="297"/>
      <c r="AK97" s="297"/>
      <c r="AL97" s="297"/>
      <c r="AM97" s="297"/>
      <c r="AN97" s="297"/>
      <c r="AO97" s="297"/>
      <c r="AP97" s="297"/>
      <c r="AQ97" s="297"/>
      <c r="AR97" s="297"/>
      <c r="AS97" s="297"/>
      <c r="AT97" s="297"/>
      <c r="AU97" s="297"/>
      <c r="AV97" s="297"/>
      <c r="AW97" s="297"/>
      <c r="AX97" s="297"/>
      <c r="AY97" s="297"/>
      <c r="AZ97" s="297"/>
      <c r="BA97" s="297"/>
      <c r="BB97" s="297"/>
      <c r="BC97" s="297"/>
      <c r="BD97" s="297"/>
      <c r="BE97" s="297"/>
      <c r="BF97" s="297"/>
      <c r="BG97" s="297"/>
    </row>
    <row r="98" spans="4:59">
      <c r="D98" s="297"/>
      <c r="E98" s="297"/>
      <c r="F98" s="297"/>
      <c r="G98" s="297"/>
      <c r="H98" s="297"/>
      <c r="I98" s="297"/>
      <c r="J98" s="297"/>
      <c r="K98" s="297"/>
      <c r="L98" s="297"/>
      <c r="M98" s="297"/>
      <c r="N98" s="297"/>
      <c r="O98" s="297"/>
      <c r="P98" s="297"/>
      <c r="Q98" s="297"/>
      <c r="R98" s="297"/>
      <c r="S98" s="297"/>
      <c r="T98" s="297"/>
      <c r="U98" s="297"/>
      <c r="V98" s="297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  <c r="AH98" s="297"/>
      <c r="AI98" s="297"/>
      <c r="AJ98" s="297"/>
      <c r="AK98" s="297"/>
      <c r="AL98" s="297"/>
      <c r="AM98" s="297"/>
      <c r="AN98" s="297"/>
      <c r="AO98" s="297"/>
      <c r="AP98" s="297"/>
      <c r="AQ98" s="297"/>
      <c r="AR98" s="297"/>
      <c r="AS98" s="297"/>
      <c r="AT98" s="297"/>
      <c r="AU98" s="297"/>
      <c r="AV98" s="297"/>
      <c r="AW98" s="297"/>
      <c r="AX98" s="297"/>
      <c r="AY98" s="297"/>
      <c r="AZ98" s="297"/>
      <c r="BA98" s="297"/>
      <c r="BB98" s="297"/>
      <c r="BC98" s="297"/>
      <c r="BD98" s="297"/>
      <c r="BE98" s="297"/>
      <c r="BF98" s="297"/>
      <c r="BG98" s="297"/>
    </row>
    <row r="99" spans="4:59"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  <c r="AH99" s="297"/>
      <c r="AI99" s="297"/>
      <c r="AJ99" s="297"/>
      <c r="AK99" s="297"/>
      <c r="AL99" s="297"/>
      <c r="AM99" s="297"/>
      <c r="AN99" s="297"/>
      <c r="AO99" s="297"/>
      <c r="AP99" s="297"/>
      <c r="AQ99" s="297"/>
      <c r="AR99" s="297"/>
      <c r="AS99" s="297"/>
      <c r="AT99" s="297"/>
      <c r="AU99" s="297"/>
      <c r="AV99" s="297"/>
      <c r="AW99" s="297"/>
      <c r="AX99" s="297"/>
      <c r="AY99" s="297"/>
      <c r="AZ99" s="297"/>
      <c r="BA99" s="297"/>
      <c r="BB99" s="297"/>
      <c r="BC99" s="297"/>
      <c r="BD99" s="297"/>
      <c r="BE99" s="297"/>
      <c r="BF99" s="297"/>
      <c r="BG99" s="297"/>
    </row>
    <row r="100" spans="4:59"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7"/>
      <c r="P100" s="297"/>
      <c r="Q100" s="297"/>
      <c r="R100" s="297"/>
      <c r="S100" s="297"/>
      <c r="T100" s="297"/>
      <c r="U100" s="297"/>
      <c r="V100" s="297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297"/>
      <c r="AI100" s="297"/>
      <c r="AJ100" s="297"/>
      <c r="AK100" s="297"/>
      <c r="AL100" s="297"/>
      <c r="AM100" s="297"/>
      <c r="AN100" s="297"/>
      <c r="AO100" s="297"/>
      <c r="AP100" s="297"/>
      <c r="AQ100" s="297"/>
      <c r="AR100" s="297"/>
      <c r="AS100" s="297"/>
      <c r="AT100" s="297"/>
      <c r="AU100" s="297"/>
      <c r="AV100" s="297"/>
      <c r="AW100" s="297"/>
      <c r="AX100" s="297"/>
      <c r="AY100" s="297"/>
      <c r="AZ100" s="297"/>
      <c r="BA100" s="297"/>
      <c r="BB100" s="297"/>
      <c r="BC100" s="297"/>
      <c r="BD100" s="297"/>
      <c r="BE100" s="297"/>
      <c r="BF100" s="297"/>
      <c r="BG100" s="297"/>
    </row>
    <row r="101" spans="4:59"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7"/>
      <c r="P101" s="297"/>
      <c r="Q101" s="297"/>
      <c r="R101" s="297"/>
      <c r="S101" s="297"/>
      <c r="T101" s="297"/>
      <c r="U101" s="297"/>
      <c r="V101" s="297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297"/>
      <c r="AI101" s="297"/>
      <c r="AJ101" s="297"/>
      <c r="AK101" s="297"/>
      <c r="AL101" s="297"/>
      <c r="AM101" s="297"/>
      <c r="AN101" s="297"/>
      <c r="AO101" s="297"/>
      <c r="AP101" s="297"/>
      <c r="AQ101" s="297"/>
      <c r="AR101" s="297"/>
      <c r="AS101" s="297"/>
      <c r="AT101" s="297"/>
      <c r="AU101" s="297"/>
      <c r="AV101" s="297"/>
      <c r="AW101" s="297"/>
      <c r="AX101" s="297"/>
      <c r="AY101" s="297"/>
      <c r="AZ101" s="297"/>
      <c r="BA101" s="297"/>
      <c r="BB101" s="297"/>
      <c r="BC101" s="297"/>
      <c r="BD101" s="297"/>
      <c r="BE101" s="297"/>
      <c r="BF101" s="297"/>
      <c r="BG101" s="297"/>
    </row>
    <row r="102" spans="4:59">
      <c r="D102" s="297"/>
      <c r="E102" s="297"/>
      <c r="F102" s="297"/>
      <c r="G102" s="297"/>
      <c r="H102" s="297"/>
      <c r="I102" s="297"/>
      <c r="J102" s="297"/>
      <c r="K102" s="297"/>
      <c r="L102" s="297"/>
      <c r="M102" s="297"/>
      <c r="N102" s="297"/>
      <c r="O102" s="297"/>
      <c r="P102" s="297"/>
      <c r="Q102" s="297"/>
      <c r="R102" s="297"/>
      <c r="S102" s="297"/>
      <c r="T102" s="297"/>
      <c r="U102" s="297"/>
      <c r="V102" s="297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  <c r="AH102" s="297"/>
      <c r="AI102" s="297"/>
      <c r="AJ102" s="297"/>
      <c r="AK102" s="297"/>
      <c r="AL102" s="297"/>
      <c r="AM102" s="297"/>
      <c r="AN102" s="297"/>
      <c r="AO102" s="297"/>
      <c r="AP102" s="297"/>
      <c r="AQ102" s="297"/>
      <c r="AR102" s="297"/>
      <c r="AS102" s="297"/>
      <c r="AT102" s="297"/>
      <c r="AU102" s="297"/>
      <c r="AV102" s="297"/>
      <c r="AW102" s="297"/>
      <c r="AX102" s="297"/>
      <c r="AY102" s="297"/>
      <c r="AZ102" s="297"/>
      <c r="BA102" s="297"/>
      <c r="BB102" s="297"/>
      <c r="BC102" s="297"/>
      <c r="BD102" s="297"/>
      <c r="BE102" s="297"/>
      <c r="BF102" s="297"/>
      <c r="BG102" s="297"/>
    </row>
    <row r="103" spans="4:59">
      <c r="D103" s="297"/>
      <c r="E103" s="297"/>
      <c r="F103" s="297"/>
      <c r="G103" s="297"/>
      <c r="H103" s="297"/>
      <c r="I103" s="297"/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297"/>
      <c r="AI103" s="297"/>
      <c r="AJ103" s="297"/>
      <c r="AK103" s="297"/>
      <c r="AL103" s="297"/>
      <c r="AM103" s="297"/>
      <c r="AN103" s="297"/>
      <c r="AO103" s="297"/>
      <c r="AP103" s="297"/>
      <c r="AQ103" s="297"/>
      <c r="AR103" s="297"/>
      <c r="AS103" s="297"/>
      <c r="AT103" s="297"/>
      <c r="AU103" s="297"/>
      <c r="AV103" s="297"/>
      <c r="AW103" s="297"/>
      <c r="AX103" s="297"/>
      <c r="AY103" s="297"/>
      <c r="AZ103" s="297"/>
      <c r="BA103" s="297"/>
      <c r="BB103" s="297"/>
      <c r="BC103" s="297"/>
      <c r="BD103" s="297"/>
      <c r="BE103" s="297"/>
      <c r="BF103" s="297"/>
      <c r="BG103" s="297"/>
    </row>
    <row r="104" spans="4:59">
      <c r="D104" s="297"/>
      <c r="E104" s="297"/>
      <c r="F104" s="297"/>
      <c r="G104" s="297"/>
      <c r="H104" s="297"/>
      <c r="I104" s="297"/>
      <c r="J104" s="297"/>
      <c r="K104" s="297"/>
      <c r="L104" s="297"/>
      <c r="M104" s="297"/>
      <c r="N104" s="297"/>
      <c r="O104" s="297"/>
      <c r="P104" s="297"/>
      <c r="Q104" s="297"/>
      <c r="R104" s="297"/>
      <c r="S104" s="297"/>
      <c r="T104" s="297"/>
      <c r="U104" s="297"/>
      <c r="V104" s="297"/>
      <c r="W104" s="297"/>
      <c r="X104" s="297"/>
      <c r="Y104" s="297"/>
      <c r="Z104" s="297"/>
      <c r="AA104" s="297"/>
      <c r="AB104" s="297"/>
      <c r="AC104" s="297"/>
      <c r="AD104" s="297"/>
      <c r="AE104" s="297"/>
      <c r="AF104" s="297"/>
      <c r="AG104" s="297"/>
      <c r="AH104" s="297"/>
      <c r="AI104" s="297"/>
      <c r="AJ104" s="297"/>
      <c r="AK104" s="297"/>
      <c r="AL104" s="297"/>
      <c r="AM104" s="297"/>
      <c r="AN104" s="297"/>
      <c r="AO104" s="297"/>
      <c r="AP104" s="297"/>
      <c r="AQ104" s="297"/>
      <c r="AR104" s="297"/>
      <c r="AS104" s="297"/>
      <c r="AT104" s="297"/>
      <c r="AU104" s="297"/>
      <c r="AV104" s="297"/>
      <c r="AW104" s="297"/>
      <c r="AX104" s="297"/>
      <c r="AY104" s="297"/>
      <c r="AZ104" s="297"/>
      <c r="BA104" s="297"/>
      <c r="BB104" s="297"/>
      <c r="BC104" s="297"/>
      <c r="BD104" s="297"/>
      <c r="BE104" s="297"/>
      <c r="BF104" s="297"/>
      <c r="BG104" s="297"/>
    </row>
    <row r="105" spans="4:59">
      <c r="D105" s="297"/>
      <c r="E105" s="297"/>
      <c r="F105" s="297"/>
      <c r="G105" s="297"/>
      <c r="H105" s="297"/>
      <c r="I105" s="297"/>
      <c r="J105" s="297"/>
      <c r="K105" s="297"/>
      <c r="L105" s="297"/>
      <c r="M105" s="297"/>
      <c r="N105" s="297"/>
      <c r="O105" s="297"/>
      <c r="P105" s="297"/>
      <c r="Q105" s="297"/>
      <c r="R105" s="297"/>
      <c r="S105" s="297"/>
      <c r="T105" s="297"/>
      <c r="U105" s="297"/>
      <c r="V105" s="297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  <c r="AH105" s="297"/>
      <c r="AI105" s="297"/>
      <c r="AJ105" s="297"/>
      <c r="AK105" s="297"/>
      <c r="AL105" s="297"/>
      <c r="AM105" s="297"/>
      <c r="AN105" s="297"/>
      <c r="AO105" s="297"/>
      <c r="AP105" s="297"/>
      <c r="AQ105" s="297"/>
      <c r="AR105" s="297"/>
      <c r="AS105" s="297"/>
      <c r="AT105" s="297"/>
      <c r="AU105" s="297"/>
      <c r="AV105" s="297"/>
      <c r="AW105" s="297"/>
      <c r="AX105" s="297"/>
      <c r="AY105" s="297"/>
      <c r="AZ105" s="297"/>
      <c r="BA105" s="297"/>
      <c r="BB105" s="297"/>
      <c r="BC105" s="297"/>
      <c r="BD105" s="297"/>
      <c r="BE105" s="297"/>
      <c r="BF105" s="297"/>
      <c r="BG105" s="297"/>
    </row>
    <row r="106" spans="4:59"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7"/>
      <c r="P106" s="297"/>
      <c r="Q106" s="297"/>
      <c r="R106" s="297"/>
      <c r="S106" s="297"/>
      <c r="T106" s="297"/>
      <c r="U106" s="297"/>
      <c r="V106" s="297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  <c r="AH106" s="297"/>
      <c r="AI106" s="297"/>
      <c r="AJ106" s="297"/>
      <c r="AK106" s="297"/>
      <c r="AL106" s="297"/>
      <c r="AM106" s="297"/>
      <c r="AN106" s="297"/>
      <c r="AO106" s="297"/>
      <c r="AP106" s="297"/>
      <c r="AQ106" s="297"/>
      <c r="AR106" s="297"/>
      <c r="AS106" s="297"/>
      <c r="AT106" s="297"/>
      <c r="AU106" s="297"/>
      <c r="AV106" s="297"/>
      <c r="AW106" s="297"/>
      <c r="AX106" s="297"/>
      <c r="AY106" s="297"/>
      <c r="AZ106" s="297"/>
      <c r="BA106" s="297"/>
      <c r="BB106" s="297"/>
      <c r="BC106" s="297"/>
      <c r="BD106" s="297"/>
      <c r="BE106" s="297"/>
      <c r="BF106" s="297"/>
      <c r="BG106" s="297"/>
    </row>
    <row r="107" spans="4:59"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297"/>
      <c r="AI107" s="297"/>
      <c r="AJ107" s="297"/>
      <c r="AK107" s="297"/>
      <c r="AL107" s="297"/>
      <c r="AM107" s="297"/>
      <c r="AN107" s="297"/>
      <c r="AO107" s="297"/>
      <c r="AP107" s="297"/>
      <c r="AQ107" s="297"/>
      <c r="AR107" s="297"/>
      <c r="AS107" s="297"/>
      <c r="AT107" s="297"/>
      <c r="AU107" s="297"/>
      <c r="AV107" s="297"/>
      <c r="AW107" s="297"/>
      <c r="AX107" s="297"/>
      <c r="AY107" s="297"/>
      <c r="AZ107" s="297"/>
      <c r="BA107" s="297"/>
      <c r="BB107" s="297"/>
      <c r="BC107" s="297"/>
      <c r="BD107" s="297"/>
      <c r="BE107" s="297"/>
      <c r="BF107" s="297"/>
      <c r="BG107" s="297"/>
    </row>
    <row r="108" spans="4:59">
      <c r="D108" s="297"/>
      <c r="E108" s="297"/>
      <c r="F108" s="297"/>
      <c r="G108" s="297"/>
      <c r="H108" s="297"/>
      <c r="I108" s="297"/>
      <c r="J108" s="297"/>
      <c r="K108" s="297"/>
      <c r="L108" s="297"/>
      <c r="M108" s="297"/>
      <c r="N108" s="297"/>
      <c r="O108" s="297"/>
      <c r="P108" s="297"/>
      <c r="Q108" s="297"/>
      <c r="R108" s="297"/>
      <c r="S108" s="297"/>
      <c r="T108" s="297"/>
      <c r="U108" s="297"/>
      <c r="V108" s="297"/>
      <c r="W108" s="297"/>
      <c r="X108" s="297"/>
      <c r="Y108" s="297"/>
      <c r="Z108" s="297"/>
      <c r="AA108" s="297"/>
      <c r="AB108" s="297"/>
      <c r="AC108" s="297"/>
      <c r="AD108" s="297"/>
      <c r="AE108" s="297"/>
      <c r="AF108" s="297"/>
      <c r="AG108" s="297"/>
      <c r="AH108" s="297"/>
      <c r="AI108" s="297"/>
      <c r="AJ108" s="297"/>
      <c r="AK108" s="297"/>
      <c r="AL108" s="297"/>
      <c r="AM108" s="297"/>
      <c r="AN108" s="297"/>
      <c r="AO108" s="297"/>
      <c r="AP108" s="297"/>
      <c r="AQ108" s="297"/>
      <c r="AR108" s="297"/>
      <c r="AS108" s="297"/>
      <c r="AT108" s="297"/>
      <c r="AU108" s="297"/>
      <c r="AV108" s="297"/>
      <c r="AW108" s="297"/>
      <c r="AX108" s="297"/>
      <c r="AY108" s="297"/>
      <c r="AZ108" s="297"/>
      <c r="BA108" s="297"/>
      <c r="BB108" s="297"/>
      <c r="BC108" s="297"/>
      <c r="BD108" s="297"/>
      <c r="BE108" s="297"/>
      <c r="BF108" s="297"/>
      <c r="BG108" s="297"/>
    </row>
    <row r="109" spans="4:59">
      <c r="D109" s="297"/>
      <c r="E109" s="297"/>
      <c r="F109" s="297"/>
      <c r="G109" s="297"/>
      <c r="H109" s="297"/>
      <c r="I109" s="297"/>
      <c r="J109" s="297"/>
      <c r="K109" s="297"/>
      <c r="L109" s="297"/>
      <c r="M109" s="297"/>
      <c r="N109" s="297"/>
      <c r="O109" s="297"/>
      <c r="P109" s="297"/>
      <c r="Q109" s="297"/>
      <c r="R109" s="297"/>
      <c r="S109" s="297"/>
      <c r="T109" s="297"/>
      <c r="U109" s="297"/>
      <c r="V109" s="297"/>
      <c r="W109" s="297"/>
      <c r="X109" s="297"/>
      <c r="Y109" s="297"/>
      <c r="Z109" s="297"/>
      <c r="AA109" s="297"/>
      <c r="AB109" s="297"/>
      <c r="AC109" s="297"/>
      <c r="AD109" s="297"/>
      <c r="AE109" s="297"/>
      <c r="AF109" s="297"/>
      <c r="AG109" s="297"/>
      <c r="AH109" s="297"/>
      <c r="AI109" s="297"/>
      <c r="AJ109" s="297"/>
      <c r="AK109" s="297"/>
      <c r="AL109" s="297"/>
      <c r="AM109" s="297"/>
      <c r="AN109" s="297"/>
      <c r="AO109" s="297"/>
      <c r="AP109" s="297"/>
      <c r="AQ109" s="297"/>
      <c r="AR109" s="297"/>
      <c r="AS109" s="297"/>
      <c r="AT109" s="297"/>
      <c r="AU109" s="297"/>
      <c r="AV109" s="297"/>
      <c r="AW109" s="297"/>
      <c r="AX109" s="297"/>
      <c r="AY109" s="297"/>
      <c r="AZ109" s="297"/>
      <c r="BA109" s="297"/>
      <c r="BB109" s="297"/>
      <c r="BC109" s="297"/>
      <c r="BD109" s="297"/>
      <c r="BE109" s="297"/>
      <c r="BF109" s="297"/>
      <c r="BG109" s="297"/>
    </row>
    <row r="110" spans="4:59">
      <c r="D110" s="297"/>
      <c r="E110" s="297"/>
      <c r="F110" s="297"/>
      <c r="G110" s="297"/>
      <c r="H110" s="297"/>
      <c r="I110" s="297"/>
      <c r="J110" s="297"/>
      <c r="K110" s="297"/>
      <c r="L110" s="297"/>
      <c r="M110" s="297"/>
      <c r="N110" s="297"/>
      <c r="O110" s="297"/>
      <c r="P110" s="297"/>
      <c r="Q110" s="297"/>
      <c r="R110" s="297"/>
      <c r="S110" s="297"/>
      <c r="T110" s="297"/>
      <c r="U110" s="297"/>
      <c r="V110" s="297"/>
      <c r="W110" s="297"/>
      <c r="X110" s="297"/>
      <c r="Y110" s="297"/>
      <c r="Z110" s="297"/>
      <c r="AA110" s="297"/>
      <c r="AB110" s="297"/>
      <c r="AC110" s="297"/>
      <c r="AD110" s="297"/>
      <c r="AE110" s="297"/>
      <c r="AF110" s="297"/>
      <c r="AG110" s="297"/>
      <c r="AH110" s="297"/>
      <c r="AI110" s="297"/>
      <c r="AJ110" s="297"/>
      <c r="AK110" s="297"/>
      <c r="AL110" s="297"/>
      <c r="AM110" s="297"/>
      <c r="AN110" s="297"/>
      <c r="AO110" s="297"/>
      <c r="AP110" s="297"/>
      <c r="AQ110" s="297"/>
      <c r="AR110" s="297"/>
      <c r="AS110" s="297"/>
      <c r="AT110" s="297"/>
      <c r="AU110" s="297"/>
      <c r="AV110" s="297"/>
      <c r="AW110" s="297"/>
      <c r="AX110" s="297"/>
      <c r="AY110" s="297"/>
      <c r="AZ110" s="297"/>
      <c r="BA110" s="297"/>
      <c r="BB110" s="297"/>
      <c r="BC110" s="297"/>
      <c r="BD110" s="297"/>
      <c r="BE110" s="297"/>
      <c r="BF110" s="297"/>
      <c r="BG110" s="297"/>
    </row>
    <row r="111" spans="4:59">
      <c r="D111" s="297"/>
      <c r="E111" s="297"/>
      <c r="F111" s="297"/>
      <c r="G111" s="297"/>
      <c r="H111" s="297"/>
      <c r="I111" s="297"/>
      <c r="J111" s="297"/>
      <c r="K111" s="297"/>
      <c r="L111" s="297"/>
      <c r="M111" s="297"/>
      <c r="N111" s="297"/>
      <c r="O111" s="297"/>
      <c r="P111" s="297"/>
      <c r="Q111" s="297"/>
      <c r="R111" s="297"/>
      <c r="S111" s="297"/>
      <c r="T111" s="297"/>
      <c r="U111" s="297"/>
      <c r="V111" s="297"/>
      <c r="W111" s="297"/>
      <c r="X111" s="297"/>
      <c r="Y111" s="297"/>
      <c r="Z111" s="297"/>
      <c r="AA111" s="297"/>
      <c r="AB111" s="297"/>
      <c r="AC111" s="297"/>
      <c r="AD111" s="297"/>
      <c r="AE111" s="297"/>
      <c r="AF111" s="297"/>
      <c r="AG111" s="297"/>
      <c r="AH111" s="297"/>
      <c r="AI111" s="297"/>
      <c r="AJ111" s="297"/>
      <c r="AK111" s="297"/>
      <c r="AL111" s="297"/>
      <c r="AM111" s="297"/>
      <c r="AN111" s="297"/>
      <c r="AO111" s="297"/>
      <c r="AP111" s="297"/>
      <c r="AQ111" s="297"/>
      <c r="AR111" s="297"/>
      <c r="AS111" s="297"/>
      <c r="AT111" s="297"/>
      <c r="AU111" s="297"/>
      <c r="AV111" s="297"/>
      <c r="AW111" s="297"/>
      <c r="AX111" s="297"/>
      <c r="AY111" s="297"/>
      <c r="AZ111" s="297"/>
      <c r="BA111" s="297"/>
      <c r="BB111" s="297"/>
      <c r="BC111" s="297"/>
      <c r="BD111" s="297"/>
      <c r="BE111" s="297"/>
      <c r="BF111" s="297"/>
      <c r="BG111" s="297"/>
    </row>
    <row r="112" spans="4:59">
      <c r="D112" s="297"/>
      <c r="E112" s="297"/>
      <c r="F112" s="297"/>
      <c r="G112" s="297"/>
      <c r="H112" s="297"/>
      <c r="I112" s="297"/>
      <c r="J112" s="297"/>
      <c r="K112" s="297"/>
      <c r="L112" s="297"/>
      <c r="M112" s="297"/>
      <c r="N112" s="297"/>
      <c r="O112" s="297"/>
      <c r="P112" s="297"/>
      <c r="Q112" s="297"/>
      <c r="R112" s="297"/>
      <c r="S112" s="297"/>
      <c r="T112" s="297"/>
      <c r="U112" s="297"/>
      <c r="V112" s="297"/>
      <c r="W112" s="297"/>
      <c r="X112" s="297"/>
      <c r="Y112" s="297"/>
      <c r="Z112" s="297"/>
      <c r="AA112" s="297"/>
      <c r="AB112" s="297"/>
      <c r="AC112" s="297"/>
      <c r="AD112" s="297"/>
      <c r="AE112" s="297"/>
      <c r="AF112" s="297"/>
      <c r="AG112" s="297"/>
      <c r="AH112" s="297"/>
      <c r="AI112" s="297"/>
      <c r="AJ112" s="297"/>
      <c r="AK112" s="297"/>
      <c r="AL112" s="297"/>
      <c r="AM112" s="297"/>
      <c r="AN112" s="297"/>
      <c r="AO112" s="297"/>
      <c r="AP112" s="297"/>
      <c r="AQ112" s="297"/>
      <c r="AR112" s="297"/>
      <c r="AS112" s="297"/>
      <c r="AT112" s="297"/>
      <c r="AU112" s="297"/>
      <c r="AV112" s="297"/>
      <c r="AW112" s="297"/>
      <c r="AX112" s="297"/>
      <c r="AY112" s="297"/>
      <c r="AZ112" s="297"/>
      <c r="BA112" s="297"/>
      <c r="BB112" s="297"/>
      <c r="BC112" s="297"/>
      <c r="BD112" s="297"/>
      <c r="BE112" s="297"/>
      <c r="BF112" s="297"/>
      <c r="BG112" s="297"/>
    </row>
    <row r="113" spans="4:61">
      <c r="D113" s="297"/>
      <c r="E113" s="297"/>
      <c r="F113" s="297"/>
      <c r="G113" s="297"/>
      <c r="H113" s="297"/>
      <c r="I113" s="297"/>
      <c r="J113" s="297"/>
      <c r="K113" s="297"/>
      <c r="L113" s="297"/>
      <c r="M113" s="297"/>
      <c r="N113" s="297"/>
      <c r="O113" s="297"/>
      <c r="P113" s="297"/>
      <c r="Q113" s="297"/>
      <c r="R113" s="297"/>
      <c r="S113" s="297"/>
      <c r="T113" s="297"/>
      <c r="U113" s="297"/>
      <c r="V113" s="297"/>
      <c r="W113" s="297"/>
      <c r="X113" s="297"/>
      <c r="Y113" s="297"/>
      <c r="Z113" s="297"/>
      <c r="AA113" s="297"/>
      <c r="AB113" s="297"/>
      <c r="AC113" s="297"/>
      <c r="AD113" s="297"/>
      <c r="AE113" s="297"/>
      <c r="AF113" s="297"/>
      <c r="AG113" s="297"/>
      <c r="AH113" s="297"/>
      <c r="AI113" s="297"/>
      <c r="AJ113" s="297"/>
      <c r="AK113" s="297"/>
      <c r="AL113" s="297"/>
      <c r="AM113" s="297"/>
      <c r="AN113" s="297"/>
      <c r="AO113" s="297"/>
      <c r="AP113" s="297"/>
      <c r="AQ113" s="297"/>
      <c r="AR113" s="297"/>
      <c r="AS113" s="297"/>
      <c r="AT113" s="297"/>
      <c r="AU113" s="297"/>
      <c r="AV113" s="297"/>
      <c r="AW113" s="297"/>
      <c r="AX113" s="297"/>
      <c r="AY113" s="297"/>
      <c r="AZ113" s="297"/>
      <c r="BA113" s="297"/>
      <c r="BB113" s="297"/>
      <c r="BC113" s="297"/>
      <c r="BD113" s="297"/>
      <c r="BE113" s="297"/>
      <c r="BF113" s="297"/>
      <c r="BG113" s="297"/>
    </row>
    <row r="114" spans="4:61">
      <c r="D114" s="297"/>
      <c r="E114" s="297"/>
      <c r="F114" s="297"/>
      <c r="G114" s="297"/>
      <c r="H114" s="297"/>
      <c r="I114" s="297"/>
      <c r="J114" s="297"/>
      <c r="K114" s="297"/>
      <c r="L114" s="297"/>
      <c r="M114" s="297"/>
      <c r="N114" s="297"/>
      <c r="O114" s="297"/>
      <c r="P114" s="297"/>
      <c r="Q114" s="297"/>
      <c r="R114" s="297"/>
      <c r="S114" s="297"/>
      <c r="T114" s="297"/>
      <c r="U114" s="297"/>
      <c r="V114" s="297"/>
      <c r="W114" s="297"/>
      <c r="X114" s="297"/>
      <c r="Y114" s="297"/>
      <c r="Z114" s="297"/>
      <c r="AA114" s="297"/>
      <c r="AB114" s="297"/>
      <c r="AC114" s="297"/>
      <c r="AD114" s="297"/>
      <c r="AE114" s="297"/>
      <c r="AF114" s="297"/>
      <c r="AG114" s="297"/>
      <c r="AH114" s="297"/>
      <c r="AI114" s="297"/>
      <c r="AJ114" s="297"/>
      <c r="AK114" s="297"/>
      <c r="AL114" s="297"/>
      <c r="AM114" s="297"/>
      <c r="AN114" s="297"/>
      <c r="AO114" s="297"/>
      <c r="AP114" s="297"/>
      <c r="AQ114" s="297"/>
      <c r="AR114" s="297"/>
      <c r="AS114" s="297"/>
      <c r="AT114" s="297"/>
      <c r="AU114" s="297"/>
      <c r="AV114" s="297"/>
      <c r="AW114" s="297"/>
      <c r="AX114" s="297"/>
      <c r="AY114" s="297"/>
      <c r="AZ114" s="297"/>
      <c r="BA114" s="297"/>
      <c r="BB114" s="297"/>
      <c r="BC114" s="297"/>
      <c r="BD114" s="297"/>
      <c r="BE114" s="297"/>
      <c r="BF114" s="297"/>
      <c r="BG114" s="297"/>
    </row>
    <row r="115" spans="4:61">
      <c r="D115" s="297"/>
      <c r="E115" s="297"/>
      <c r="F115" s="297"/>
      <c r="G115" s="297"/>
      <c r="H115" s="297"/>
      <c r="I115" s="297"/>
      <c r="J115" s="297"/>
      <c r="K115" s="297"/>
      <c r="L115" s="297"/>
      <c r="M115" s="297"/>
      <c r="N115" s="297"/>
      <c r="O115" s="297"/>
      <c r="P115" s="297"/>
      <c r="Q115" s="297"/>
      <c r="R115" s="297"/>
      <c r="S115" s="297"/>
      <c r="T115" s="297"/>
      <c r="U115" s="297"/>
      <c r="V115" s="297"/>
      <c r="W115" s="297"/>
      <c r="X115" s="297"/>
      <c r="Y115" s="297"/>
      <c r="Z115" s="297"/>
      <c r="AA115" s="297"/>
      <c r="AB115" s="297"/>
      <c r="AC115" s="297"/>
      <c r="AD115" s="297"/>
      <c r="AE115" s="297"/>
      <c r="AF115" s="297"/>
      <c r="AG115" s="297"/>
      <c r="AH115" s="297"/>
      <c r="AI115" s="297"/>
      <c r="AJ115" s="297"/>
      <c r="AK115" s="297"/>
      <c r="AL115" s="297"/>
      <c r="AM115" s="297"/>
      <c r="AN115" s="297"/>
      <c r="AO115" s="297"/>
      <c r="AP115" s="297"/>
      <c r="AQ115" s="297"/>
      <c r="AR115" s="297"/>
      <c r="AS115" s="297"/>
      <c r="AT115" s="297"/>
      <c r="AU115" s="297"/>
      <c r="AV115" s="297"/>
      <c r="AW115" s="297"/>
      <c r="AX115" s="297"/>
      <c r="AY115" s="297"/>
      <c r="AZ115" s="297"/>
      <c r="BA115" s="297"/>
      <c r="BB115" s="297"/>
      <c r="BC115" s="297"/>
      <c r="BD115" s="297"/>
      <c r="BE115" s="297"/>
      <c r="BF115" s="297"/>
      <c r="BG115" s="297"/>
      <c r="BH115" s="27"/>
      <c r="BI115" s="27"/>
    </row>
    <row r="116" spans="4:61">
      <c r="D116" s="297"/>
      <c r="E116" s="297"/>
      <c r="F116" s="297"/>
      <c r="G116" s="297"/>
      <c r="H116" s="297"/>
      <c r="I116" s="297"/>
      <c r="J116" s="297"/>
      <c r="K116" s="297"/>
      <c r="L116" s="297"/>
      <c r="M116" s="297"/>
      <c r="N116" s="297"/>
      <c r="O116" s="297"/>
      <c r="P116" s="297"/>
      <c r="Q116" s="297"/>
      <c r="R116" s="297"/>
      <c r="S116" s="297"/>
      <c r="T116" s="297"/>
      <c r="U116" s="297"/>
      <c r="V116" s="297"/>
      <c r="W116" s="297"/>
      <c r="X116" s="297"/>
      <c r="Y116" s="297"/>
      <c r="Z116" s="297"/>
      <c r="AA116" s="297"/>
      <c r="AB116" s="297"/>
      <c r="AC116" s="297"/>
      <c r="AD116" s="297"/>
      <c r="AE116" s="297"/>
      <c r="AF116" s="297"/>
      <c r="AG116" s="297"/>
      <c r="AH116" s="297"/>
      <c r="AI116" s="297"/>
      <c r="AJ116" s="297"/>
      <c r="AK116" s="297"/>
      <c r="AL116" s="297"/>
      <c r="AM116" s="297"/>
      <c r="AN116" s="297"/>
      <c r="AO116" s="297"/>
      <c r="AP116" s="297"/>
      <c r="AQ116" s="297"/>
      <c r="AR116" s="297"/>
      <c r="AS116" s="297"/>
      <c r="AT116" s="297"/>
      <c r="AU116" s="297"/>
      <c r="AV116" s="297"/>
      <c r="AW116" s="297"/>
      <c r="AX116" s="297"/>
      <c r="AY116" s="297"/>
      <c r="AZ116" s="297"/>
      <c r="BA116" s="297"/>
      <c r="BB116" s="297"/>
      <c r="BC116" s="297"/>
      <c r="BD116" s="297"/>
      <c r="BE116" s="297"/>
      <c r="BF116" s="297"/>
      <c r="BG116" s="297"/>
      <c r="BI116" s="22"/>
    </row>
    <row r="117" spans="4:61">
      <c r="D117" s="297"/>
      <c r="E117" s="297"/>
      <c r="F117" s="297"/>
      <c r="G117" s="297"/>
      <c r="H117" s="297"/>
      <c r="I117" s="297"/>
      <c r="J117" s="297"/>
      <c r="K117" s="297"/>
      <c r="L117" s="297"/>
      <c r="M117" s="297"/>
      <c r="N117" s="297"/>
      <c r="O117" s="297"/>
      <c r="P117" s="297"/>
      <c r="Q117" s="297"/>
      <c r="R117" s="297"/>
      <c r="S117" s="297"/>
      <c r="T117" s="297"/>
      <c r="U117" s="297"/>
      <c r="V117" s="297"/>
      <c r="W117" s="297"/>
      <c r="X117" s="297"/>
      <c r="Y117" s="297"/>
      <c r="Z117" s="297"/>
      <c r="AA117" s="297"/>
      <c r="AB117" s="297"/>
      <c r="AC117" s="297"/>
      <c r="AD117" s="297"/>
      <c r="AE117" s="297"/>
      <c r="AF117" s="297"/>
      <c r="AG117" s="297"/>
      <c r="AH117" s="297"/>
      <c r="AI117" s="297"/>
      <c r="AJ117" s="297"/>
      <c r="AK117" s="297"/>
      <c r="AL117" s="297"/>
      <c r="AM117" s="297"/>
      <c r="AN117" s="297"/>
      <c r="AO117" s="297"/>
      <c r="AP117" s="297"/>
      <c r="AQ117" s="297"/>
      <c r="AR117" s="297"/>
      <c r="AS117" s="297"/>
      <c r="AT117" s="297"/>
      <c r="AU117" s="297"/>
      <c r="AV117" s="297"/>
      <c r="AW117" s="297"/>
      <c r="AX117" s="297"/>
      <c r="AY117" s="297"/>
      <c r="AZ117" s="297"/>
      <c r="BA117" s="297"/>
      <c r="BB117" s="297"/>
      <c r="BC117" s="297"/>
      <c r="BD117" s="297"/>
      <c r="BE117" s="297"/>
      <c r="BF117" s="297"/>
      <c r="BG117" s="297"/>
    </row>
    <row r="118" spans="4:61">
      <c r="D118" s="297"/>
      <c r="E118" s="297"/>
      <c r="F118" s="297"/>
      <c r="G118" s="297"/>
      <c r="H118" s="297"/>
      <c r="I118" s="297"/>
      <c r="J118" s="297"/>
      <c r="K118" s="297"/>
      <c r="L118" s="297"/>
      <c r="M118" s="297"/>
      <c r="N118" s="297"/>
      <c r="O118" s="297"/>
      <c r="P118" s="297"/>
      <c r="Q118" s="297"/>
      <c r="R118" s="297"/>
      <c r="S118" s="297"/>
      <c r="T118" s="297"/>
      <c r="U118" s="297"/>
      <c r="V118" s="297"/>
      <c r="W118" s="297"/>
      <c r="X118" s="297"/>
      <c r="Y118" s="297"/>
      <c r="Z118" s="297"/>
      <c r="AA118" s="297"/>
      <c r="AB118" s="297"/>
      <c r="AC118" s="297"/>
      <c r="AD118" s="297"/>
      <c r="AE118" s="297"/>
      <c r="AF118" s="297"/>
      <c r="AG118" s="297"/>
      <c r="AH118" s="297"/>
      <c r="AI118" s="297"/>
      <c r="AJ118" s="297"/>
      <c r="AK118" s="297"/>
      <c r="AL118" s="297"/>
      <c r="AM118" s="297"/>
      <c r="AN118" s="297"/>
      <c r="AO118" s="297"/>
      <c r="AP118" s="297"/>
      <c r="AQ118" s="297"/>
      <c r="AR118" s="297"/>
      <c r="AS118" s="297"/>
      <c r="AT118" s="297"/>
      <c r="AU118" s="297"/>
      <c r="AV118" s="297"/>
      <c r="AW118" s="297"/>
      <c r="AX118" s="297"/>
      <c r="AY118" s="297"/>
      <c r="AZ118" s="297"/>
      <c r="BA118" s="297"/>
      <c r="BB118" s="297"/>
      <c r="BC118" s="297"/>
      <c r="BD118" s="297"/>
      <c r="BE118" s="297"/>
      <c r="BF118" s="297"/>
      <c r="BG118" s="297"/>
      <c r="BH118" s="56"/>
    </row>
    <row r="119" spans="4:61"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7"/>
      <c r="P119" s="297"/>
      <c r="Q119" s="297"/>
      <c r="R119" s="297"/>
      <c r="S119" s="297"/>
      <c r="T119" s="297"/>
      <c r="U119" s="297"/>
      <c r="V119" s="297"/>
      <c r="W119" s="297"/>
      <c r="X119" s="297"/>
      <c r="Y119" s="297"/>
      <c r="Z119" s="297"/>
      <c r="AA119" s="297"/>
      <c r="AB119" s="297"/>
      <c r="AC119" s="297"/>
      <c r="AD119" s="297"/>
      <c r="AE119" s="297"/>
      <c r="AF119" s="297"/>
      <c r="AG119" s="297"/>
      <c r="AH119" s="297"/>
      <c r="AI119" s="297"/>
      <c r="AJ119" s="297"/>
      <c r="AK119" s="297"/>
      <c r="AL119" s="297"/>
      <c r="AM119" s="297"/>
      <c r="AN119" s="297"/>
      <c r="AO119" s="297"/>
      <c r="AP119" s="297"/>
      <c r="AQ119" s="297"/>
      <c r="AR119" s="297"/>
      <c r="AS119" s="297"/>
      <c r="AT119" s="297"/>
      <c r="AU119" s="297"/>
      <c r="AV119" s="297"/>
      <c r="AW119" s="297"/>
      <c r="AX119" s="297"/>
      <c r="AY119" s="297"/>
      <c r="AZ119" s="297"/>
      <c r="BA119" s="297"/>
      <c r="BB119" s="297"/>
      <c r="BC119" s="297"/>
      <c r="BD119" s="297"/>
      <c r="BE119" s="297"/>
      <c r="BF119" s="297"/>
      <c r="BG119" s="297"/>
    </row>
    <row r="120" spans="4:61"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297"/>
      <c r="AC120" s="297"/>
      <c r="AD120" s="297"/>
      <c r="AE120" s="297"/>
      <c r="AF120" s="297"/>
      <c r="AG120" s="297"/>
      <c r="AH120" s="297"/>
      <c r="AI120" s="297"/>
      <c r="AJ120" s="297"/>
      <c r="AK120" s="297"/>
      <c r="AL120" s="297"/>
      <c r="AM120" s="297"/>
      <c r="AN120" s="297"/>
      <c r="AO120" s="297"/>
      <c r="AP120" s="297"/>
      <c r="AQ120" s="297"/>
      <c r="AR120" s="297"/>
      <c r="AS120" s="297"/>
      <c r="AT120" s="297"/>
      <c r="AU120" s="297"/>
      <c r="AV120" s="297"/>
      <c r="AW120" s="297"/>
      <c r="AX120" s="297"/>
      <c r="AY120" s="297"/>
      <c r="AZ120" s="297"/>
      <c r="BA120" s="297"/>
      <c r="BB120" s="297"/>
      <c r="BC120" s="297"/>
      <c r="BD120" s="297"/>
      <c r="BE120" s="297"/>
      <c r="BF120" s="297"/>
      <c r="BG120" s="297"/>
    </row>
    <row r="121" spans="4:61">
      <c r="D121" s="297"/>
      <c r="E121" s="297"/>
      <c r="F121" s="297"/>
      <c r="G121" s="297"/>
      <c r="H121" s="297"/>
      <c r="I121" s="297"/>
      <c r="J121" s="297"/>
      <c r="K121" s="297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297"/>
      <c r="AC121" s="297"/>
      <c r="AD121" s="297"/>
      <c r="AE121" s="297"/>
      <c r="AF121" s="297"/>
      <c r="AG121" s="297"/>
      <c r="AH121" s="297"/>
      <c r="AI121" s="297"/>
      <c r="AJ121" s="297"/>
      <c r="AK121" s="297"/>
      <c r="AL121" s="297"/>
      <c r="AM121" s="297"/>
      <c r="AN121" s="297"/>
      <c r="AO121" s="297"/>
      <c r="AP121" s="297"/>
      <c r="AQ121" s="297"/>
      <c r="AR121" s="297"/>
      <c r="AS121" s="297"/>
      <c r="AT121" s="297"/>
      <c r="AU121" s="297"/>
      <c r="AV121" s="297"/>
      <c r="AW121" s="297"/>
      <c r="AX121" s="297"/>
      <c r="AY121" s="297"/>
      <c r="AZ121" s="297"/>
      <c r="BA121" s="297"/>
      <c r="BB121" s="297"/>
      <c r="BC121" s="297"/>
      <c r="BD121" s="297"/>
      <c r="BE121" s="297"/>
      <c r="BF121" s="297"/>
      <c r="BG121" s="297"/>
    </row>
    <row r="122" spans="4:61">
      <c r="D122" s="297"/>
      <c r="E122" s="297"/>
      <c r="F122" s="297"/>
      <c r="G122" s="297"/>
      <c r="H122" s="297"/>
      <c r="I122" s="297"/>
      <c r="J122" s="297"/>
      <c r="K122" s="297"/>
      <c r="L122" s="297"/>
      <c r="M122" s="297"/>
      <c r="N122" s="297"/>
      <c r="O122" s="297"/>
      <c r="P122" s="297"/>
      <c r="Q122" s="297"/>
      <c r="R122" s="297"/>
      <c r="S122" s="297"/>
      <c r="T122" s="297"/>
      <c r="U122" s="297"/>
      <c r="V122" s="297"/>
      <c r="W122" s="297"/>
      <c r="X122" s="297"/>
      <c r="Y122" s="297"/>
      <c r="Z122" s="297"/>
      <c r="AA122" s="297"/>
      <c r="AB122" s="297"/>
      <c r="AC122" s="297"/>
      <c r="AD122" s="297"/>
      <c r="AE122" s="297"/>
      <c r="AF122" s="297"/>
      <c r="AG122" s="297"/>
      <c r="AH122" s="297"/>
      <c r="AI122" s="297"/>
      <c r="AJ122" s="297"/>
      <c r="AK122" s="297"/>
      <c r="AL122" s="297"/>
      <c r="AM122" s="297"/>
      <c r="AN122" s="297"/>
      <c r="AO122" s="297"/>
      <c r="AP122" s="297"/>
      <c r="AQ122" s="297"/>
      <c r="AR122" s="297"/>
      <c r="AS122" s="297"/>
      <c r="AT122" s="297"/>
      <c r="AU122" s="297"/>
      <c r="AV122" s="379"/>
      <c r="AW122" s="379"/>
      <c r="AX122" s="297"/>
      <c r="AY122" s="297"/>
      <c r="AZ122" s="297"/>
      <c r="BA122" s="297"/>
      <c r="BB122" s="297"/>
      <c r="BC122" s="297"/>
      <c r="BD122" s="297"/>
      <c r="BE122" s="297"/>
      <c r="BF122" s="297"/>
      <c r="BG122" s="297"/>
    </row>
    <row r="123" spans="4:61"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7"/>
      <c r="P123" s="297"/>
      <c r="Q123" s="297"/>
      <c r="R123" s="297"/>
      <c r="S123" s="297"/>
      <c r="T123" s="297"/>
      <c r="U123" s="297"/>
      <c r="V123" s="297"/>
      <c r="W123" s="297"/>
      <c r="X123" s="297"/>
      <c r="Y123" s="297"/>
      <c r="Z123" s="297"/>
      <c r="AA123" s="297"/>
      <c r="AB123" s="297"/>
      <c r="AC123" s="297"/>
      <c r="AD123" s="297"/>
      <c r="AE123" s="297"/>
      <c r="AF123" s="297"/>
      <c r="AG123" s="297"/>
      <c r="AH123" s="297"/>
      <c r="AI123" s="297"/>
      <c r="AJ123" s="297"/>
      <c r="AK123" s="297"/>
      <c r="AL123" s="297"/>
      <c r="AM123" s="297"/>
      <c r="AN123" s="297"/>
      <c r="AO123" s="297"/>
      <c r="AP123" s="297"/>
      <c r="AQ123" s="297"/>
      <c r="AR123" s="297"/>
      <c r="AS123" s="297"/>
      <c r="AT123" s="297"/>
      <c r="AU123" s="297"/>
      <c r="AV123" s="297"/>
      <c r="AW123" s="297"/>
      <c r="AX123" s="297"/>
      <c r="AY123" s="297"/>
      <c r="AZ123" s="297"/>
      <c r="BA123" s="297"/>
      <c r="BB123" s="297"/>
      <c r="BC123" s="297"/>
      <c r="BD123" s="297"/>
      <c r="BE123" s="297"/>
      <c r="BF123" s="297"/>
      <c r="BG123" s="297"/>
    </row>
    <row r="124" spans="4:61"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7"/>
      <c r="P124" s="297"/>
      <c r="Q124" s="297"/>
      <c r="R124" s="297"/>
      <c r="S124" s="297"/>
      <c r="T124" s="297"/>
      <c r="U124" s="297"/>
      <c r="V124" s="297"/>
      <c r="W124" s="297"/>
      <c r="X124" s="297"/>
      <c r="Y124" s="297"/>
      <c r="Z124" s="297"/>
      <c r="AA124" s="297"/>
      <c r="AB124" s="297"/>
      <c r="AC124" s="297"/>
      <c r="AD124" s="297"/>
      <c r="AE124" s="297"/>
      <c r="AF124" s="297"/>
      <c r="AG124" s="297"/>
      <c r="AH124" s="297"/>
      <c r="AI124" s="297"/>
      <c r="AJ124" s="297"/>
      <c r="AK124" s="297"/>
      <c r="AL124" s="297"/>
      <c r="AM124" s="297"/>
      <c r="AN124" s="297"/>
      <c r="AO124" s="297"/>
      <c r="AP124" s="297"/>
      <c r="AQ124" s="297"/>
      <c r="AR124" s="297"/>
      <c r="AS124" s="297"/>
      <c r="AT124" s="297"/>
      <c r="AU124" s="297"/>
      <c r="AV124" s="297"/>
      <c r="AW124" s="297"/>
      <c r="AX124" s="297"/>
      <c r="AY124" s="297"/>
      <c r="AZ124" s="297"/>
      <c r="BA124" s="297"/>
      <c r="BB124" s="297"/>
      <c r="BC124" s="297"/>
      <c r="BD124" s="297"/>
      <c r="BE124" s="297"/>
      <c r="BF124" s="297"/>
      <c r="BG124" s="297"/>
    </row>
    <row r="125" spans="4:61">
      <c r="AR125" s="297"/>
    </row>
    <row r="126" spans="4:61">
      <c r="AR126" s="297"/>
      <c r="AT126" s="297"/>
    </row>
    <row r="127" spans="4:61">
      <c r="AR127" s="297"/>
    </row>
    <row r="128" spans="4:61">
      <c r="AR128" s="297"/>
      <c r="AS128" s="297"/>
      <c r="AT128" s="297"/>
      <c r="AU128" s="297"/>
      <c r="AV128" s="297"/>
      <c r="AW128" s="297"/>
      <c r="AX128" s="297"/>
      <c r="AY128" s="297"/>
      <c r="AZ128" s="297"/>
      <c r="BA128" s="297"/>
      <c r="BB128" s="297"/>
      <c r="BC128" s="297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A22" zoomScale="80" zoomScaleNormal="80" workbookViewId="0">
      <selection activeCell="E28" sqref="E28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</row>
    <row r="2" spans="9:38">
      <c r="AK2" s="306"/>
      <c r="AL2" s="306"/>
    </row>
    <row r="3" spans="9:38">
      <c r="AK3" s="306"/>
      <c r="AL3" s="306"/>
    </row>
    <row r="4" spans="9:38">
      <c r="AK4" s="306"/>
      <c r="AL4" s="306"/>
    </row>
    <row r="5" spans="9:38" ht="21" customHeight="1">
      <c r="I5" s="311"/>
      <c r="AK5" s="306"/>
      <c r="AL5" s="306"/>
    </row>
    <row r="6" spans="9:38">
      <c r="I6" s="306"/>
      <c r="AK6" s="306"/>
      <c r="AL6" s="306"/>
    </row>
    <row r="7" spans="9:38" ht="15.75" customHeight="1">
      <c r="I7" s="306"/>
      <c r="AK7" s="306"/>
      <c r="AL7" s="306"/>
    </row>
    <row r="8" spans="9:38">
      <c r="I8" s="306"/>
      <c r="AK8" s="306"/>
      <c r="AL8" s="306"/>
    </row>
    <row r="9" spans="9:38">
      <c r="I9" s="306"/>
      <c r="AK9" s="306"/>
      <c r="AL9" s="306"/>
    </row>
    <row r="10" spans="9:38">
      <c r="I10" s="306"/>
      <c r="AK10" s="306"/>
      <c r="AL10" s="306"/>
    </row>
    <row r="11" spans="9:38">
      <c r="AK11" s="306"/>
      <c r="AL11" s="306"/>
    </row>
    <row r="12" spans="9:38">
      <c r="AK12" s="306"/>
      <c r="AL12" s="306"/>
    </row>
    <row r="13" spans="9:38">
      <c r="AK13" s="306"/>
      <c r="AL13" s="306"/>
    </row>
    <row r="14" spans="9:38">
      <c r="Q14" s="22"/>
      <c r="T14" s="306"/>
      <c r="U14" s="306"/>
      <c r="V14" s="306"/>
      <c r="W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  <c r="AK14" s="306"/>
      <c r="AL14" s="306"/>
    </row>
    <row r="15" spans="9:38">
      <c r="T15" s="306"/>
      <c r="U15" s="306"/>
      <c r="V15" s="306"/>
      <c r="W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</row>
    <row r="16" spans="9:38" ht="21">
      <c r="AB16" s="102"/>
      <c r="AC16" s="306"/>
      <c r="AD16" s="306"/>
      <c r="AE16" s="306"/>
      <c r="AF16" s="306"/>
      <c r="AG16" s="306"/>
      <c r="AH16" s="306"/>
      <c r="AI16" s="306"/>
      <c r="AJ16" s="306"/>
      <c r="AK16" s="306"/>
    </row>
    <row r="17" spans="1:38">
      <c r="H17" s="311"/>
      <c r="Q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208</v>
      </c>
      <c r="N18" s="98"/>
      <c r="O18" s="98"/>
      <c r="Q18" s="306"/>
      <c r="W18" s="306"/>
      <c r="X18" s="306"/>
      <c r="Y18" s="101" t="s">
        <v>210</v>
      </c>
      <c r="Z18" s="101"/>
      <c r="AA18" s="101"/>
      <c r="AB18" s="306"/>
      <c r="AC18" s="306"/>
      <c r="AD18" s="306"/>
      <c r="AE18" s="306"/>
      <c r="AJ18" s="306"/>
      <c r="AK18" s="306"/>
      <c r="AL18" s="306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306"/>
      <c r="AE19" s="306"/>
      <c r="AJ19" s="306"/>
      <c r="AK19" s="306"/>
      <c r="AL19" s="306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306"/>
      <c r="W20" s="306"/>
      <c r="X20" s="403" t="s">
        <v>22</v>
      </c>
      <c r="Y20" s="404"/>
      <c r="Z20" s="404"/>
      <c r="AA20" s="405"/>
      <c r="AB20" s="306"/>
      <c r="AC20" s="306"/>
      <c r="AD20" s="306"/>
      <c r="AK20" s="306"/>
      <c r="AL20" s="306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306"/>
      <c r="O21" s="23"/>
      <c r="X21" s="16"/>
      <c r="Y21" s="17"/>
      <c r="Z21" s="18"/>
      <c r="AK21" s="306"/>
      <c r="AL21" s="306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306"/>
      <c r="L22" s="36" t="s">
        <v>3</v>
      </c>
      <c r="M22" s="34"/>
      <c r="N22" s="15" t="s">
        <v>18</v>
      </c>
      <c r="O22" s="36" t="s">
        <v>49</v>
      </c>
      <c r="P22" s="73"/>
      <c r="Q22" s="306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82.16</v>
      </c>
      <c r="AD22" s="306" t="s">
        <v>18</v>
      </c>
      <c r="AK22" s="306"/>
      <c r="AL22" s="306"/>
    </row>
    <row r="23" spans="1:38" ht="18">
      <c r="B23" s="87"/>
      <c r="C23" s="87"/>
      <c r="D23" s="87"/>
      <c r="E23" s="87"/>
      <c r="K23" s="306"/>
      <c r="L23" s="36" t="s">
        <v>4</v>
      </c>
      <c r="M23" s="34"/>
      <c r="N23" s="15" t="s">
        <v>18</v>
      </c>
      <c r="O23" s="36" t="s">
        <v>27</v>
      </c>
      <c r="P23" s="34"/>
      <c r="Q23" s="306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0.06/100</f>
        <v>5.9999999999999995E-4</v>
      </c>
      <c r="AD23" s="306" t="s">
        <v>33</v>
      </c>
      <c r="AK23" s="306"/>
      <c r="AL23" s="306"/>
    </row>
    <row r="24" spans="1:38">
      <c r="A24" s="161" t="s">
        <v>160</v>
      </c>
      <c r="B24" s="161"/>
      <c r="K24" s="306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306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4.9295999999999993E-2</v>
      </c>
      <c r="AD24" s="306" t="s">
        <v>18</v>
      </c>
      <c r="AK24" s="306"/>
      <c r="AL24" s="306"/>
    </row>
    <row r="25" spans="1:38">
      <c r="L25" s="67" t="s">
        <v>30</v>
      </c>
      <c r="M25" s="37">
        <f>P23*M24</f>
        <v>0</v>
      </c>
      <c r="N25" s="15" t="s">
        <v>18</v>
      </c>
      <c r="Q25" s="306"/>
      <c r="W25" s="306"/>
      <c r="X25" s="312" t="s">
        <v>30</v>
      </c>
      <c r="Y25" s="313"/>
      <c r="Z25" s="104">
        <f>AC23*Z24</f>
        <v>0</v>
      </c>
      <c r="AA25" s="15" t="s">
        <v>18</v>
      </c>
      <c r="AK25" s="306"/>
      <c r="AL25" s="306"/>
    </row>
    <row r="26" spans="1:38">
      <c r="A26" s="23"/>
      <c r="W26" s="306"/>
      <c r="X26" s="306"/>
      <c r="Y26" s="306"/>
      <c r="Z26" s="306"/>
      <c r="AA26" s="23"/>
      <c r="AL26" s="306"/>
    </row>
    <row r="27" spans="1:38">
      <c r="A27" s="23"/>
      <c r="I27" s="306"/>
      <c r="J27" s="306"/>
      <c r="K27" s="306"/>
      <c r="L27" s="306"/>
      <c r="AD27" s="31">
        <f>AC22+Z24</f>
        <v>82.16</v>
      </c>
      <c r="AE27" s="15">
        <f>AC24+Z25</f>
        <v>4.9295999999999993E-2</v>
      </c>
      <c r="AL27" s="306"/>
    </row>
    <row r="28" spans="1:38" ht="21">
      <c r="D28" s="143" t="s">
        <v>45</v>
      </c>
      <c r="E28" s="142">
        <f>B22-(C41+B44)</f>
        <v>109.07048999999999</v>
      </c>
      <c r="F28" s="15" t="s">
        <v>18</v>
      </c>
      <c r="I28" s="306"/>
      <c r="J28" s="306"/>
      <c r="K28" s="306"/>
      <c r="L28" s="306"/>
    </row>
    <row r="29" spans="1:38">
      <c r="I29" s="306"/>
      <c r="J29" s="306"/>
      <c r="K29" s="306"/>
      <c r="L29" s="306"/>
      <c r="V29" s="306"/>
      <c r="W29" s="306"/>
      <c r="X29" s="306"/>
      <c r="AJ29" s="22"/>
    </row>
    <row r="30" spans="1:38" ht="21">
      <c r="I30" s="102"/>
      <c r="V30" s="306"/>
      <c r="W30" s="200">
        <f>AC22+Z24+AC43+V43</f>
        <v>83.36</v>
      </c>
      <c r="X30" s="306"/>
    </row>
    <row r="31" spans="1:38">
      <c r="V31" s="306"/>
      <c r="W31" s="306"/>
      <c r="X31" s="306"/>
    </row>
    <row r="33" spans="1:55">
      <c r="S33" s="15" t="s">
        <v>101</v>
      </c>
      <c r="T33" s="31">
        <f>P22-W30</f>
        <v>-83.36</v>
      </c>
      <c r="U33" s="15" t="s">
        <v>18</v>
      </c>
    </row>
    <row r="34" spans="1:55">
      <c r="D34" s="306"/>
      <c r="E34" s="306"/>
      <c r="F34" s="306"/>
      <c r="G34" s="306"/>
      <c r="H34" s="306"/>
      <c r="S34" s="15" t="s">
        <v>125</v>
      </c>
      <c r="T34" s="76">
        <f>T33/E28</f>
        <v>-0.76427638676602627</v>
      </c>
      <c r="Z34" s="306"/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</row>
    <row r="35" spans="1:55">
      <c r="D35" s="306"/>
      <c r="E35" s="306"/>
      <c r="F35" s="306"/>
      <c r="G35" s="306"/>
      <c r="H35" s="306"/>
      <c r="S35" s="15" t="s">
        <v>126</v>
      </c>
      <c r="T35" s="81">
        <f>T34*B49</f>
        <v>-7.5712651233432302</v>
      </c>
      <c r="U35" s="306" t="s">
        <v>18</v>
      </c>
      <c r="Z35" s="306"/>
    </row>
    <row r="36" spans="1:55">
      <c r="D36" s="306"/>
      <c r="E36" s="306"/>
      <c r="F36" s="306"/>
      <c r="G36" s="306"/>
      <c r="H36" s="200"/>
      <c r="P36" s="307"/>
      <c r="Q36" s="307"/>
      <c r="R36" s="16"/>
      <c r="U36" s="306"/>
      <c r="Z36" s="306"/>
    </row>
    <row r="37" spans="1:55">
      <c r="E37" s="30"/>
      <c r="Z37" s="306"/>
    </row>
    <row r="38" spans="1:55" ht="21">
      <c r="M38" s="98" t="s">
        <v>209</v>
      </c>
      <c r="N38" s="48"/>
      <c r="Z38" s="306"/>
      <c r="AP38" s="306"/>
      <c r="AQ38" s="306"/>
      <c r="AR38" s="306"/>
      <c r="AS38" s="306"/>
      <c r="AT38" s="306"/>
      <c r="AU38" s="306"/>
      <c r="AV38" s="306"/>
      <c r="AW38" s="306"/>
      <c r="AX38" s="306"/>
      <c r="AY38" s="306"/>
      <c r="AZ38" s="306"/>
      <c r="BA38" s="306"/>
      <c r="BB38" s="306"/>
    </row>
    <row r="39" spans="1:55" ht="21">
      <c r="A39" s="392" t="s">
        <v>6</v>
      </c>
      <c r="B39" s="392"/>
      <c r="C39" s="33">
        <v>0.53</v>
      </c>
      <c r="D39" s="15" t="s">
        <v>18</v>
      </c>
      <c r="E39" s="306"/>
      <c r="F39" s="306"/>
      <c r="G39" s="306"/>
      <c r="M39" s="309" t="s">
        <v>20</v>
      </c>
      <c r="N39" s="310"/>
      <c r="Y39" s="101" t="s">
        <v>211</v>
      </c>
      <c r="Z39" s="101"/>
      <c r="AA39" s="101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</row>
    <row r="40" spans="1:55">
      <c r="A40" s="392" t="s">
        <v>5</v>
      </c>
      <c r="B40" s="392"/>
      <c r="C40" s="33">
        <v>0.5</v>
      </c>
      <c r="D40" s="15" t="s">
        <v>18</v>
      </c>
      <c r="E40" s="306"/>
      <c r="F40" s="306"/>
      <c r="G40" s="306"/>
      <c r="S40" s="306"/>
      <c r="V40" s="306"/>
      <c r="X40" s="403" t="s">
        <v>23</v>
      </c>
      <c r="Y40" s="404"/>
      <c r="Z40" s="404"/>
      <c r="AA40" s="405"/>
      <c r="AB40" s="306"/>
      <c r="AK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</row>
    <row r="41" spans="1:55">
      <c r="A41" s="400" t="s">
        <v>17</v>
      </c>
      <c r="B41" s="401"/>
      <c r="C41" s="91">
        <f>SUM(C39:C40)</f>
        <v>1.03</v>
      </c>
      <c r="D41" s="23" t="s">
        <v>18</v>
      </c>
      <c r="E41" s="306"/>
      <c r="F41" s="306"/>
      <c r="G41" s="306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16.57</v>
      </c>
      <c r="R41" s="306" t="s">
        <v>18</v>
      </c>
      <c r="S41" s="306"/>
      <c r="Z41" s="306"/>
      <c r="AK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</row>
    <row r="42" spans="1:55">
      <c r="C42" s="306"/>
      <c r="D42" s="306"/>
      <c r="E42" s="306"/>
      <c r="F42" s="306"/>
      <c r="G42" s="306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56.47/100</f>
        <v>0.56469999999999998</v>
      </c>
      <c r="R42" s="306" t="s">
        <v>33</v>
      </c>
      <c r="S42" s="306"/>
      <c r="AE42" s="306"/>
      <c r="AF42" s="306"/>
      <c r="AG42" s="306"/>
      <c r="AH42" s="306"/>
      <c r="AI42" s="306"/>
      <c r="AJ42" s="306"/>
      <c r="AK42" s="306"/>
      <c r="AL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</row>
    <row r="43" spans="1:55">
      <c r="A43" s="36" t="s">
        <v>44</v>
      </c>
      <c r="B43" s="33"/>
      <c r="C43" s="306" t="s">
        <v>18</v>
      </c>
      <c r="D43" s="306"/>
      <c r="E43" s="306"/>
      <c r="F43" s="306"/>
      <c r="G43" s="306"/>
      <c r="H43" s="308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9.3570790000000006</v>
      </c>
      <c r="R43" s="306" t="s">
        <v>18</v>
      </c>
      <c r="S43" s="306"/>
      <c r="U43" s="35" t="s">
        <v>53</v>
      </c>
      <c r="V43" s="33"/>
      <c r="W43" s="306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1.2</v>
      </c>
      <c r="AD43" s="306" t="s">
        <v>18</v>
      </c>
      <c r="AF43" s="306"/>
      <c r="AG43" s="306"/>
      <c r="AH43" s="306"/>
      <c r="AI43" s="306"/>
      <c r="AJ43" s="306"/>
      <c r="AK43" s="306"/>
      <c r="AL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</row>
    <row r="44" spans="1:55">
      <c r="A44" s="92" t="s">
        <v>17</v>
      </c>
      <c r="B44" s="90">
        <f>SUM(B43)</f>
        <v>0</v>
      </c>
      <c r="C44" s="306" t="s">
        <v>18</v>
      </c>
      <c r="D44" s="306"/>
      <c r="E44" s="306"/>
      <c r="M44" s="67" t="s">
        <v>30</v>
      </c>
      <c r="N44" s="37">
        <f>Q42*N43</f>
        <v>0</v>
      </c>
      <c r="O44" s="15" t="s">
        <v>18</v>
      </c>
      <c r="U44" s="306"/>
      <c r="V44" s="306"/>
      <c r="W44" s="306"/>
      <c r="X44" s="105" t="s">
        <v>4</v>
      </c>
      <c r="Y44" s="106"/>
      <c r="Z44" s="34"/>
      <c r="AA44" s="15" t="s">
        <v>18</v>
      </c>
      <c r="AB44" s="36" t="s">
        <v>27</v>
      </c>
      <c r="AC44" s="34">
        <f>28.66/100</f>
        <v>0.28660000000000002</v>
      </c>
      <c r="AD44" s="306" t="s">
        <v>33</v>
      </c>
      <c r="AL44" s="306"/>
      <c r="AP44" s="306"/>
      <c r="AQ44" s="306"/>
      <c r="AR44" s="306"/>
      <c r="AS44" s="306"/>
      <c r="AT44" s="306"/>
      <c r="AU44" s="306"/>
      <c r="AV44" s="306"/>
      <c r="AW44" s="306"/>
      <c r="AX44" s="306"/>
      <c r="AY44" s="306"/>
      <c r="AZ44" s="306"/>
      <c r="BA44" s="306"/>
      <c r="BB44" s="306"/>
    </row>
    <row r="45" spans="1:55">
      <c r="C45" s="306"/>
      <c r="D45" s="306"/>
      <c r="E45" s="306"/>
      <c r="U45" s="306"/>
      <c r="V45" s="306"/>
      <c r="W45" s="306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0.34392</v>
      </c>
      <c r="AD45" s="306" t="s">
        <v>18</v>
      </c>
      <c r="AL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 s="306"/>
      <c r="BB45" s="306"/>
      <c r="BC45" s="306"/>
    </row>
    <row r="46" spans="1:55">
      <c r="A46" s="15" t="s">
        <v>66</v>
      </c>
      <c r="B46" s="15">
        <f>B43/D22</f>
        <v>0</v>
      </c>
      <c r="C46" s="306" t="s">
        <v>62</v>
      </c>
      <c r="D46" s="306"/>
      <c r="E46" s="306"/>
      <c r="P46" s="31">
        <f>Q41+N43</f>
        <v>16.57</v>
      </c>
      <c r="Q46" s="15">
        <f>Q43+N44</f>
        <v>9.3570790000000006</v>
      </c>
      <c r="X46" s="312" t="s">
        <v>30</v>
      </c>
      <c r="Y46" s="313"/>
      <c r="Z46" s="104">
        <f>AC44*Z45</f>
        <v>0</v>
      </c>
      <c r="AA46" s="15" t="s">
        <v>18</v>
      </c>
      <c r="AF46" s="306"/>
      <c r="AP46" s="306"/>
      <c r="AQ46" s="306"/>
      <c r="AR46" s="306"/>
      <c r="AS46" s="306"/>
      <c r="AT46" s="306"/>
      <c r="AU46" s="306"/>
      <c r="AV46" s="306"/>
      <c r="AW46" s="306"/>
      <c r="AX46" s="306"/>
      <c r="AY46" s="306"/>
      <c r="AZ46" s="306"/>
      <c r="BA46" s="306"/>
      <c r="BB46" s="306"/>
      <c r="BC46" s="306"/>
    </row>
    <row r="47" spans="1:55">
      <c r="A47" s="15" t="s">
        <v>65</v>
      </c>
      <c r="B47" s="15">
        <f>C41/D22</f>
        <v>0.98097339226615898</v>
      </c>
      <c r="C47" s="15" t="s">
        <v>62</v>
      </c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 s="306"/>
      <c r="BB47" s="306"/>
      <c r="BC47" s="306"/>
    </row>
    <row r="48" spans="1:55">
      <c r="A48" s="15" t="s">
        <v>67</v>
      </c>
      <c r="B48" s="15">
        <f>G19*(B46+B47)/1000</f>
        <v>9.3550900636318671E-2</v>
      </c>
      <c r="C48" s="15" t="s">
        <v>18</v>
      </c>
      <c r="E48" s="160"/>
      <c r="AP48" s="306"/>
      <c r="AQ48" s="306"/>
      <c r="AR48" s="306"/>
      <c r="AS48" s="306"/>
      <c r="AT48" s="306"/>
      <c r="AU48" s="306"/>
      <c r="AV48" s="306"/>
      <c r="AW48" s="306"/>
      <c r="AX48" s="306"/>
      <c r="AY48" s="306"/>
      <c r="AZ48" s="306"/>
      <c r="BA48" s="306"/>
      <c r="BB48" s="306"/>
    </row>
    <row r="49" spans="1:59">
      <c r="A49" s="15" t="s">
        <v>64</v>
      </c>
      <c r="B49" s="74">
        <f>B21-B48</f>
        <v>9.906449099363682</v>
      </c>
      <c r="C49" s="15" t="s">
        <v>18</v>
      </c>
      <c r="AC49" s="31">
        <f>AC43+Z45</f>
        <v>1.2</v>
      </c>
      <c r="AD49" s="15">
        <f>AC45+Z46</f>
        <v>0.34392</v>
      </c>
      <c r="AP49" s="306"/>
      <c r="AQ49" s="306"/>
      <c r="AR49" s="306"/>
      <c r="AS49" s="306"/>
      <c r="AT49" s="306"/>
      <c r="AU49" s="306"/>
      <c r="AV49" s="379"/>
      <c r="AW49" s="379"/>
      <c r="AX49" s="379"/>
      <c r="AY49" s="379"/>
      <c r="AZ49" s="379"/>
      <c r="BA49" s="306"/>
      <c r="BB49" s="306"/>
    </row>
    <row r="50" spans="1:59">
      <c r="R50" s="306"/>
      <c r="S50" s="15" t="s">
        <v>27</v>
      </c>
      <c r="U50" s="15" t="s">
        <v>40</v>
      </c>
      <c r="W50" s="15" t="s">
        <v>98</v>
      </c>
      <c r="X50" s="74">
        <f>B49</f>
        <v>9.906449099363682</v>
      </c>
      <c r="Y50" s="15" t="s">
        <v>18</v>
      </c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</row>
    <row r="51" spans="1:59">
      <c r="Q51" s="306"/>
      <c r="R51" s="306"/>
      <c r="S51" s="15" t="s">
        <v>34</v>
      </c>
      <c r="T51" s="15">
        <f>AC24+Z25</f>
        <v>4.9295999999999993E-2</v>
      </c>
      <c r="U51" s="76">
        <f>T51/X50</f>
        <v>4.9761523534367531E-3</v>
      </c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</row>
    <row r="52" spans="1:59">
      <c r="S52" s="15" t="s">
        <v>35</v>
      </c>
      <c r="T52" s="15">
        <f>AC45+Z46</f>
        <v>0.34392</v>
      </c>
      <c r="U52" s="76">
        <f>T52/X50</f>
        <v>3.4716778590432665E-2</v>
      </c>
      <c r="AP52" s="306"/>
      <c r="AQ52" s="306"/>
      <c r="AR52" s="306"/>
      <c r="AS52" s="306"/>
      <c r="AT52" s="306"/>
      <c r="AU52" s="306"/>
      <c r="AV52" s="306"/>
      <c r="AW52" s="306"/>
      <c r="AX52" s="306"/>
      <c r="AY52" s="306"/>
      <c r="AZ52" s="306"/>
      <c r="BA52" s="306"/>
      <c r="BB52" s="306"/>
    </row>
    <row r="53" spans="1:59"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15" t="s">
        <v>36</v>
      </c>
      <c r="T53" s="306">
        <f>Q43+N44</f>
        <v>9.3570790000000006</v>
      </c>
      <c r="U53" s="314">
        <f>T53/X50</f>
        <v>0.94454419602287476</v>
      </c>
      <c r="V53" s="306"/>
      <c r="W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306"/>
      <c r="BD53" s="306"/>
      <c r="BE53" s="306"/>
      <c r="BF53" s="306"/>
      <c r="BG53" s="306"/>
    </row>
    <row r="54" spans="1:59">
      <c r="D54" s="379"/>
      <c r="E54" s="379"/>
      <c r="F54" s="379"/>
      <c r="G54" s="379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15" t="s">
        <v>17</v>
      </c>
      <c r="T54" s="306">
        <f>SUM(T51:T53)</f>
        <v>9.7502950000000013</v>
      </c>
      <c r="U54" s="314">
        <f>SUM(U51:U53)</f>
        <v>0.98423712696674415</v>
      </c>
      <c r="V54" s="306"/>
      <c r="W54" s="306"/>
      <c r="X54" s="306"/>
      <c r="Y54" s="306"/>
      <c r="Z54" s="306"/>
      <c r="AN54" s="306"/>
      <c r="AO54" s="306"/>
      <c r="AP54" s="306"/>
      <c r="AQ54" s="306"/>
      <c r="AR54" s="306"/>
      <c r="AS54" s="306"/>
      <c r="AT54" s="306"/>
      <c r="AU54" s="306"/>
      <c r="AV54" s="306"/>
      <c r="AW54" s="306"/>
      <c r="AX54" s="306"/>
      <c r="AY54" s="306"/>
      <c r="AZ54" s="306"/>
      <c r="BA54" s="306"/>
      <c r="BB54" s="306"/>
      <c r="BC54" s="306"/>
      <c r="BD54" s="306"/>
      <c r="BE54" s="306"/>
      <c r="BF54" s="306"/>
      <c r="BG54" s="306"/>
    </row>
    <row r="55" spans="1:59"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15" t="s">
        <v>37</v>
      </c>
      <c r="T55" s="145">
        <f>X50-T54</f>
        <v>0.15615409936368074</v>
      </c>
      <c r="U55" s="314">
        <f>T55/X50</f>
        <v>1.5762873033255773E-2</v>
      </c>
      <c r="V55" s="306"/>
      <c r="W55" s="306"/>
      <c r="X55" s="306"/>
      <c r="Y55" s="306"/>
      <c r="Z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6"/>
      <c r="AZ55" s="306"/>
      <c r="BA55" s="306"/>
      <c r="BB55" s="306"/>
      <c r="BC55" s="306"/>
      <c r="BD55" s="306"/>
      <c r="BE55" s="306"/>
      <c r="BF55" s="306"/>
      <c r="BG55" s="306"/>
    </row>
    <row r="56" spans="1:59"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T56" s="306"/>
      <c r="U56" s="306"/>
      <c r="V56" s="306"/>
      <c r="W56" s="306"/>
      <c r="X56" s="306"/>
      <c r="Y56" s="306"/>
      <c r="Z56" s="306"/>
      <c r="AN56" s="306"/>
      <c r="AO56" s="306"/>
      <c r="AP56" s="306"/>
      <c r="AQ56" s="306"/>
      <c r="AR56" s="306"/>
      <c r="AS56" s="306"/>
      <c r="AT56" s="306"/>
      <c r="AU56" s="306"/>
      <c r="AV56" s="306"/>
      <c r="AW56" s="306"/>
      <c r="AX56" s="306"/>
      <c r="AY56" s="306"/>
      <c r="AZ56" s="306"/>
      <c r="BA56" s="306"/>
      <c r="BB56" s="306"/>
      <c r="BC56" s="306"/>
      <c r="BD56" s="306"/>
      <c r="BE56" s="306"/>
      <c r="BF56" s="306"/>
      <c r="BG56" s="306"/>
    </row>
    <row r="57" spans="1:59"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W57" s="306"/>
      <c r="X57" s="306"/>
      <c r="Y57" s="306"/>
      <c r="Z57" s="306"/>
      <c r="AN57" s="306"/>
      <c r="AO57" s="306"/>
      <c r="AP57" s="306"/>
      <c r="AQ57" s="306"/>
      <c r="AR57" s="306"/>
      <c r="AS57" s="306"/>
      <c r="AT57" s="306"/>
      <c r="AU57" s="306"/>
      <c r="AV57" s="306"/>
      <c r="AW57" s="306"/>
      <c r="AX57" s="306"/>
      <c r="AY57" s="306"/>
      <c r="AZ57" s="306"/>
      <c r="BA57" s="306"/>
      <c r="BB57" s="306"/>
      <c r="BC57" s="306"/>
      <c r="BD57" s="306"/>
      <c r="BE57" s="306"/>
      <c r="BF57" s="306"/>
      <c r="BG57" s="306"/>
    </row>
    <row r="58" spans="1:59"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6"/>
      <c r="AZ58" s="306"/>
      <c r="BA58" s="306"/>
      <c r="BB58" s="306"/>
      <c r="BC58" s="306"/>
      <c r="BD58" s="306"/>
      <c r="BE58" s="306"/>
      <c r="BF58" s="306"/>
      <c r="BG58" s="306"/>
    </row>
    <row r="59" spans="1:59"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06"/>
      <c r="R59" s="306"/>
      <c r="S59" s="306"/>
      <c r="T59" s="306"/>
      <c r="U59" s="306"/>
      <c r="V59" s="306"/>
      <c r="W59" s="306"/>
      <c r="X59" s="306"/>
      <c r="Y59" s="306"/>
      <c r="Z59" s="306"/>
      <c r="AA59" s="306"/>
      <c r="AB59" s="306"/>
      <c r="AC59" s="306"/>
      <c r="AD59" s="306"/>
      <c r="AE59" s="306"/>
      <c r="AF59" s="306"/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  <c r="AW59" s="306"/>
      <c r="AX59" s="306"/>
      <c r="AY59" s="306"/>
      <c r="AZ59" s="306"/>
      <c r="BA59" s="306"/>
      <c r="BB59" s="306"/>
      <c r="BC59" s="306"/>
      <c r="BD59" s="306"/>
      <c r="BE59" s="306"/>
      <c r="BF59" s="306"/>
      <c r="BG59" s="306"/>
    </row>
    <row r="60" spans="1:59"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 s="306"/>
      <c r="BB60" s="306"/>
      <c r="BC60" s="306"/>
      <c r="BD60" s="306"/>
      <c r="BE60" s="306"/>
      <c r="BF60" s="306"/>
      <c r="BG60" s="306"/>
    </row>
    <row r="61" spans="1:59"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306"/>
      <c r="AB61" s="306"/>
      <c r="AC61" s="306"/>
      <c r="AD61" s="306"/>
      <c r="AE61" s="306"/>
      <c r="AF61" s="306"/>
      <c r="AG61" s="306"/>
      <c r="AH61" s="306"/>
      <c r="AI61" s="306"/>
      <c r="AJ61" s="306"/>
      <c r="AK61" s="306"/>
      <c r="AL61" s="306"/>
      <c r="AM61" s="306"/>
      <c r="AN61" s="306"/>
      <c r="AO61" s="306"/>
      <c r="AP61" s="306"/>
      <c r="AQ61" s="306"/>
      <c r="AR61" s="306"/>
      <c r="AS61" s="306"/>
      <c r="AT61" s="306"/>
      <c r="AU61" s="306"/>
      <c r="AV61" s="306"/>
      <c r="AW61" s="306"/>
      <c r="AX61" s="306"/>
      <c r="AY61" s="306"/>
      <c r="AZ61" s="306"/>
      <c r="BA61" s="306"/>
      <c r="BB61" s="306"/>
      <c r="BC61" s="306"/>
      <c r="BD61" s="306"/>
      <c r="BE61" s="306"/>
      <c r="BF61" s="306"/>
      <c r="BG61" s="306"/>
    </row>
    <row r="62" spans="1:59">
      <c r="D62" s="306"/>
      <c r="E62" s="306"/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06"/>
      <c r="Q62" s="306"/>
      <c r="R62" s="306"/>
      <c r="S62" s="306"/>
      <c r="T62" s="306"/>
      <c r="U62" s="306"/>
      <c r="V62" s="306"/>
      <c r="W62" s="306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306"/>
      <c r="AI62" s="306"/>
      <c r="AJ62" s="306"/>
      <c r="AK62" s="306"/>
      <c r="AL62" s="306"/>
      <c r="AM62" s="306"/>
      <c r="AN62" s="306"/>
      <c r="AO62" s="306"/>
      <c r="AP62" s="306"/>
      <c r="AQ62" s="306"/>
      <c r="AR62" s="306"/>
      <c r="AS62" s="306"/>
      <c r="AT62" s="306"/>
      <c r="AU62" s="306"/>
      <c r="AV62" s="306"/>
      <c r="AW62" s="306"/>
      <c r="AX62" s="306"/>
      <c r="AY62" s="306"/>
      <c r="AZ62" s="306"/>
      <c r="BA62" s="306"/>
      <c r="BB62" s="306"/>
      <c r="BC62" s="306"/>
      <c r="BD62" s="306"/>
      <c r="BE62" s="306"/>
      <c r="BF62" s="306"/>
      <c r="BG62" s="306"/>
    </row>
    <row r="63" spans="1:59"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Y63" s="306"/>
      <c r="Z63" s="306"/>
      <c r="AA63" s="306"/>
      <c r="AB63" s="306"/>
      <c r="AC63" s="306"/>
      <c r="AD63" s="306"/>
      <c r="AE63" s="306"/>
      <c r="AF63" s="306"/>
      <c r="AG63" s="306"/>
      <c r="AH63" s="306"/>
      <c r="AI63" s="306"/>
      <c r="AJ63" s="306"/>
      <c r="AK63" s="306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  <c r="AW63" s="306"/>
      <c r="AX63" s="306"/>
      <c r="AY63" s="306"/>
      <c r="AZ63" s="306"/>
      <c r="BA63" s="306"/>
      <c r="BB63" s="306"/>
      <c r="BC63" s="306"/>
      <c r="BD63" s="306"/>
      <c r="BE63" s="306"/>
      <c r="BF63" s="306"/>
      <c r="BG63" s="306"/>
    </row>
    <row r="64" spans="1:59"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  <c r="X64" s="306"/>
      <c r="Y64" s="306"/>
      <c r="Z64" s="306"/>
      <c r="AA64" s="306"/>
      <c r="AB64" s="306"/>
      <c r="AC64" s="306"/>
      <c r="AD64" s="306"/>
      <c r="AE64" s="306"/>
      <c r="AF64" s="306"/>
      <c r="AG64" s="306"/>
      <c r="AH64" s="306"/>
      <c r="AI64" s="306"/>
      <c r="AJ64" s="306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306"/>
      <c r="AV64" s="306"/>
      <c r="AW64" s="306"/>
      <c r="AX64" s="306"/>
      <c r="AY64" s="306"/>
      <c r="AZ64" s="306"/>
      <c r="BA64" s="306"/>
      <c r="BB64" s="306"/>
      <c r="BC64" s="306"/>
      <c r="BD64" s="306"/>
      <c r="BE64" s="306"/>
      <c r="BF64" s="306"/>
      <c r="BG64" s="306"/>
    </row>
    <row r="65" spans="4:59"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306"/>
      <c r="AB65" s="306"/>
      <c r="AC65" s="306"/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  <c r="AW65" s="306"/>
      <c r="AX65" s="306"/>
      <c r="AY65" s="306"/>
      <c r="AZ65" s="306"/>
      <c r="BA65" s="306"/>
      <c r="BB65" s="306"/>
      <c r="BC65" s="306"/>
      <c r="BD65" s="306"/>
      <c r="BE65" s="306"/>
      <c r="BF65" s="306"/>
      <c r="BG65" s="306"/>
    </row>
    <row r="66" spans="4:59">
      <c r="D66" s="306"/>
      <c r="E66" s="306"/>
      <c r="F66" s="306"/>
      <c r="G66" s="306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6"/>
      <c r="AU66" s="306"/>
      <c r="AV66" s="306"/>
      <c r="AW66" s="306"/>
      <c r="AX66" s="306"/>
      <c r="AY66" s="306"/>
      <c r="AZ66" s="306"/>
      <c r="BA66" s="306"/>
      <c r="BB66" s="306"/>
      <c r="BC66" s="306"/>
      <c r="BD66" s="306"/>
      <c r="BE66" s="306"/>
      <c r="BF66" s="306"/>
      <c r="BG66" s="306"/>
    </row>
    <row r="67" spans="4:59"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  <c r="AB67" s="306"/>
      <c r="AC67" s="306"/>
      <c r="AD67" s="306"/>
      <c r="AE67" s="306"/>
      <c r="AF67" s="306"/>
      <c r="AG67" s="306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  <c r="AW67" s="306"/>
      <c r="AX67" s="306"/>
      <c r="AY67" s="306"/>
      <c r="AZ67" s="306"/>
      <c r="BA67" s="306"/>
      <c r="BB67" s="306"/>
      <c r="BC67" s="306"/>
      <c r="BD67" s="306"/>
      <c r="BE67" s="306"/>
      <c r="BF67" s="306"/>
      <c r="BG67" s="306"/>
    </row>
    <row r="68" spans="4:59"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  <c r="AB68" s="306"/>
      <c r="AC68" s="306"/>
      <c r="AD68" s="306"/>
      <c r="AE68" s="306"/>
      <c r="AF68" s="306"/>
      <c r="AG68" s="306"/>
      <c r="AH68" s="306"/>
      <c r="AI68" s="306"/>
      <c r="AJ68" s="306"/>
      <c r="AK68" s="306"/>
      <c r="AL68" s="306"/>
      <c r="AM68" s="306"/>
      <c r="AN68" s="306"/>
      <c r="AO68" s="306"/>
      <c r="AP68" s="306"/>
      <c r="AQ68" s="306"/>
      <c r="AR68" s="306"/>
      <c r="AS68" s="306"/>
      <c r="AT68" s="306"/>
      <c r="AU68" s="306"/>
      <c r="AV68" s="306"/>
      <c r="AW68" s="306"/>
      <c r="AX68" s="306"/>
      <c r="AY68" s="306"/>
      <c r="AZ68" s="306"/>
      <c r="BA68" s="306"/>
      <c r="BB68" s="306"/>
      <c r="BC68" s="306"/>
      <c r="BD68" s="306"/>
      <c r="BE68" s="306"/>
      <c r="BF68" s="306"/>
      <c r="BG68" s="306"/>
    </row>
    <row r="69" spans="4:59"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  <c r="AB69" s="306"/>
      <c r="AC69" s="306"/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  <c r="AW69" s="306"/>
      <c r="AX69" s="306"/>
      <c r="AY69" s="306"/>
      <c r="AZ69" s="306"/>
      <c r="BA69" s="306"/>
      <c r="BB69" s="306"/>
      <c r="BC69" s="306"/>
      <c r="BD69" s="306"/>
      <c r="BE69" s="306"/>
      <c r="BF69" s="306"/>
      <c r="BG69" s="306"/>
    </row>
    <row r="70" spans="4:59"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  <c r="AB70" s="306"/>
      <c r="AC70" s="306"/>
      <c r="AD70" s="306"/>
      <c r="AE70" s="306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  <c r="AW70" s="306"/>
      <c r="AX70" s="306"/>
      <c r="AY70" s="306"/>
      <c r="AZ70" s="306"/>
      <c r="BA70" s="306"/>
      <c r="BB70" s="306"/>
      <c r="BC70" s="306"/>
      <c r="BD70" s="306"/>
      <c r="BE70" s="306"/>
      <c r="BF70" s="306"/>
      <c r="BG70" s="306"/>
    </row>
    <row r="71" spans="4:59"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  <c r="Z71" s="306"/>
      <c r="AA71" s="306"/>
      <c r="AB71" s="306"/>
      <c r="AC71" s="306"/>
      <c r="AD71" s="306"/>
      <c r="AE71" s="306"/>
      <c r="AF71" s="306"/>
      <c r="AG71" s="306"/>
      <c r="AH71" s="306"/>
      <c r="AI71" s="306"/>
      <c r="AJ71" s="306"/>
      <c r="AK71" s="306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  <c r="AW71" s="306"/>
      <c r="AX71" s="306"/>
      <c r="AY71" s="306"/>
      <c r="AZ71" s="306"/>
      <c r="BA71" s="306"/>
      <c r="BB71" s="306"/>
      <c r="BC71" s="306"/>
      <c r="BD71" s="306"/>
      <c r="BE71" s="306"/>
      <c r="BF71" s="306"/>
      <c r="BG71" s="306"/>
    </row>
    <row r="72" spans="4:59"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  <c r="AB72" s="306"/>
      <c r="AC72" s="306"/>
      <c r="AD72" s="306"/>
      <c r="AE72" s="306"/>
      <c r="AF72" s="306"/>
      <c r="AG72" s="306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  <c r="AW72" s="379"/>
      <c r="AX72" s="379"/>
      <c r="AY72" s="306"/>
      <c r="AZ72" s="306"/>
      <c r="BA72" s="306"/>
      <c r="BB72" s="306"/>
      <c r="BC72" s="306"/>
      <c r="BD72" s="306"/>
      <c r="BE72" s="306"/>
      <c r="BF72" s="306"/>
      <c r="BG72" s="306"/>
    </row>
    <row r="73" spans="4:59"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  <c r="AB73" s="306"/>
      <c r="AC73" s="306"/>
      <c r="AD73" s="306"/>
      <c r="AE73" s="306"/>
      <c r="AF73" s="306"/>
      <c r="AG73" s="306"/>
      <c r="AH73" s="306"/>
      <c r="AI73" s="306"/>
      <c r="AJ73" s="306"/>
      <c r="AK73" s="306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  <c r="AW73" s="306"/>
      <c r="AX73" s="306"/>
      <c r="AY73" s="306"/>
      <c r="AZ73" s="306"/>
      <c r="BA73" s="306"/>
      <c r="BB73" s="306"/>
      <c r="BC73" s="306"/>
      <c r="BD73" s="306"/>
      <c r="BE73" s="306"/>
      <c r="BF73" s="306"/>
      <c r="BG73" s="306"/>
    </row>
    <row r="74" spans="4:59"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  <c r="AW74" s="306"/>
      <c r="AX74" s="306"/>
      <c r="AY74" s="306"/>
      <c r="AZ74" s="306"/>
      <c r="BA74" s="306"/>
      <c r="BB74" s="306"/>
      <c r="BC74" s="306"/>
      <c r="BD74" s="306"/>
      <c r="BE74" s="306"/>
      <c r="BF74" s="306"/>
      <c r="BG74" s="306"/>
    </row>
    <row r="75" spans="4:59">
      <c r="D75" s="306"/>
      <c r="E75" s="306"/>
      <c r="F75" s="306"/>
      <c r="G75" s="306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  <c r="X75" s="306"/>
      <c r="Y75" s="306"/>
      <c r="Z75" s="306"/>
      <c r="AA75" s="306"/>
      <c r="AB75" s="306"/>
      <c r="AC75" s="306"/>
      <c r="AD75" s="306"/>
      <c r="AE75" s="306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  <c r="AR75" s="306"/>
      <c r="AS75" s="306"/>
      <c r="AT75" s="306"/>
      <c r="AU75" s="306"/>
      <c r="AV75" s="306"/>
      <c r="AW75" s="306"/>
      <c r="AX75" s="306"/>
      <c r="AY75" s="306"/>
      <c r="AZ75" s="306"/>
      <c r="BA75" s="306"/>
      <c r="BB75" s="306"/>
      <c r="BC75" s="306"/>
      <c r="BD75" s="306"/>
      <c r="BE75" s="306"/>
      <c r="BF75" s="306"/>
      <c r="BG75" s="306"/>
    </row>
    <row r="76" spans="4:59"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</row>
    <row r="77" spans="4:59"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</row>
    <row r="78" spans="4:59"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  <c r="AW78" s="306"/>
      <c r="AX78" s="306"/>
      <c r="AY78" s="306"/>
      <c r="AZ78" s="306"/>
      <c r="BA78" s="306"/>
      <c r="BB78" s="306"/>
      <c r="BC78" s="306"/>
      <c r="BD78" s="306"/>
      <c r="BE78" s="306"/>
      <c r="BF78" s="306"/>
      <c r="BG78" s="306"/>
    </row>
    <row r="79" spans="4:59"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06"/>
      <c r="AB79" s="306"/>
      <c r="AC79" s="306"/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  <c r="AV79" s="306"/>
      <c r="AW79" s="306"/>
      <c r="AX79" s="306"/>
      <c r="AY79" s="306"/>
      <c r="AZ79" s="306"/>
      <c r="BA79" s="306"/>
      <c r="BB79" s="306"/>
      <c r="BC79" s="306"/>
      <c r="BD79" s="306"/>
      <c r="BE79" s="306"/>
      <c r="BF79" s="306"/>
      <c r="BG79" s="306"/>
    </row>
    <row r="80" spans="4:59"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  <c r="AW80" s="306"/>
      <c r="AX80" s="306"/>
      <c r="AY80" s="306"/>
      <c r="AZ80" s="306"/>
      <c r="BA80" s="306"/>
      <c r="BB80" s="306"/>
      <c r="BC80" s="306"/>
      <c r="BD80" s="306"/>
      <c r="BE80" s="306"/>
      <c r="BF80" s="306"/>
      <c r="BG80" s="306"/>
    </row>
    <row r="81" spans="4:59"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  <c r="AW81" s="306"/>
      <c r="AX81" s="306"/>
      <c r="AY81" s="306"/>
      <c r="AZ81" s="306"/>
      <c r="BA81" s="306"/>
      <c r="BB81" s="306"/>
      <c r="BC81" s="306"/>
      <c r="BD81" s="306"/>
      <c r="BE81" s="306"/>
      <c r="BF81" s="306"/>
      <c r="BG81" s="306"/>
    </row>
    <row r="82" spans="4:59">
      <c r="D82" s="306"/>
      <c r="E82" s="306"/>
      <c r="F82" s="306"/>
      <c r="G82" s="306"/>
      <c r="H82" s="306"/>
      <c r="I82" s="306"/>
      <c r="J82" s="306"/>
      <c r="K82" s="306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  <c r="AS82" s="306"/>
      <c r="AT82" s="306"/>
      <c r="AU82" s="306"/>
      <c r="AV82" s="306"/>
      <c r="AW82" s="306"/>
      <c r="AX82" s="306"/>
      <c r="AY82" s="306"/>
      <c r="AZ82" s="306"/>
      <c r="BA82" s="306"/>
      <c r="BB82" s="306"/>
      <c r="BC82" s="306"/>
      <c r="BD82" s="306"/>
      <c r="BE82" s="306"/>
      <c r="BF82" s="306"/>
      <c r="BG82" s="306"/>
    </row>
    <row r="83" spans="4:59">
      <c r="D83" s="306"/>
      <c r="E83" s="306"/>
      <c r="F83" s="306"/>
      <c r="G83" s="306"/>
      <c r="H83" s="306"/>
      <c r="I83" s="306"/>
      <c r="J83" s="306"/>
      <c r="K83" s="306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  <c r="AR83" s="306"/>
      <c r="AS83" s="306"/>
      <c r="AT83" s="306"/>
      <c r="AU83" s="306"/>
      <c r="AV83" s="306"/>
      <c r="AW83" s="306"/>
      <c r="AX83" s="306"/>
      <c r="AY83" s="306"/>
      <c r="AZ83" s="306"/>
      <c r="BA83" s="306"/>
      <c r="BB83" s="306"/>
      <c r="BC83" s="306"/>
      <c r="BD83" s="306"/>
      <c r="BE83" s="306"/>
      <c r="BF83" s="306"/>
      <c r="BG83" s="306"/>
    </row>
    <row r="84" spans="4:59"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306"/>
      <c r="AB84" s="306"/>
      <c r="AC84" s="306"/>
      <c r="AD84" s="306"/>
      <c r="AE84" s="306"/>
      <c r="AF84" s="306"/>
      <c r="AG84" s="306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  <c r="AR84" s="306"/>
      <c r="AS84" s="306"/>
      <c r="AT84" s="306"/>
      <c r="AU84" s="306"/>
      <c r="AV84" s="306"/>
      <c r="AW84" s="306"/>
      <c r="AX84" s="306"/>
      <c r="AY84" s="306"/>
      <c r="AZ84" s="306"/>
      <c r="BA84" s="306"/>
      <c r="BB84" s="306"/>
      <c r="BC84" s="306"/>
      <c r="BD84" s="306"/>
      <c r="BE84" s="306"/>
      <c r="BF84" s="306"/>
      <c r="BG84" s="306"/>
    </row>
    <row r="85" spans="4:59"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  <c r="X85" s="306"/>
      <c r="Y85" s="306"/>
      <c r="Z85" s="306"/>
      <c r="AA85" s="306"/>
      <c r="AB85" s="306"/>
      <c r="AC85" s="306"/>
      <c r="AD85" s="306"/>
      <c r="AE85" s="306"/>
      <c r="AF85" s="306"/>
      <c r="AG85" s="306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  <c r="AR85" s="306"/>
      <c r="AS85" s="306"/>
      <c r="AT85" s="306"/>
      <c r="AU85" s="306"/>
      <c r="AV85" s="306"/>
      <c r="AW85" s="306"/>
      <c r="AX85" s="306"/>
      <c r="AY85" s="306"/>
      <c r="AZ85" s="306"/>
      <c r="BA85" s="306"/>
      <c r="BB85" s="306"/>
      <c r="BC85" s="306"/>
      <c r="BD85" s="306"/>
      <c r="BE85" s="306"/>
      <c r="BF85" s="306"/>
      <c r="BG85" s="306"/>
    </row>
    <row r="86" spans="4:59"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306"/>
      <c r="AB86" s="306"/>
      <c r="AC86" s="306"/>
      <c r="AD86" s="306"/>
      <c r="AE86" s="306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  <c r="AR86" s="306"/>
      <c r="AS86" s="306"/>
      <c r="AT86" s="306"/>
      <c r="AU86" s="306"/>
      <c r="AV86" s="306"/>
      <c r="AW86" s="306"/>
      <c r="AX86" s="306"/>
      <c r="AY86" s="306"/>
      <c r="AZ86" s="306"/>
      <c r="BA86" s="306"/>
      <c r="BB86" s="306"/>
      <c r="BC86" s="306"/>
      <c r="BD86" s="306"/>
      <c r="BE86" s="306"/>
      <c r="BF86" s="306"/>
      <c r="BG86" s="306"/>
    </row>
    <row r="87" spans="4:59"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306"/>
      <c r="AB87" s="306"/>
      <c r="AC87" s="306"/>
      <c r="AD87" s="306"/>
      <c r="AE87" s="306"/>
      <c r="AF87" s="306"/>
      <c r="AG87" s="306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  <c r="AR87" s="306"/>
      <c r="AS87" s="306"/>
      <c r="AT87" s="306"/>
      <c r="AU87" s="306"/>
      <c r="AV87" s="306"/>
      <c r="AW87" s="306"/>
      <c r="AX87" s="306"/>
      <c r="AY87" s="306"/>
      <c r="AZ87" s="306"/>
      <c r="BA87" s="306"/>
      <c r="BB87" s="306"/>
      <c r="BC87" s="306"/>
      <c r="BD87" s="306"/>
      <c r="BE87" s="306"/>
      <c r="BF87" s="306"/>
      <c r="BG87" s="306"/>
    </row>
    <row r="88" spans="4:59">
      <c r="D88" s="306"/>
      <c r="E88" s="306"/>
      <c r="F88" s="306"/>
      <c r="G88" s="306"/>
      <c r="H88" s="306"/>
      <c r="I88" s="306"/>
      <c r="J88" s="306"/>
      <c r="K88" s="306"/>
      <c r="L88" s="306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306"/>
      <c r="AF88" s="306"/>
      <c r="AG88" s="306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  <c r="AR88" s="306"/>
      <c r="AS88" s="306"/>
      <c r="AT88" s="306"/>
      <c r="AU88" s="306"/>
      <c r="AV88" s="306"/>
      <c r="AW88" s="306"/>
      <c r="AX88" s="306"/>
      <c r="AY88" s="306"/>
      <c r="AZ88" s="306"/>
      <c r="BA88" s="306"/>
      <c r="BB88" s="306"/>
      <c r="BC88" s="306"/>
      <c r="BD88" s="306"/>
      <c r="BE88" s="306"/>
      <c r="BF88" s="306"/>
      <c r="BG88" s="306"/>
    </row>
    <row r="89" spans="4:59"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  <c r="X89" s="306"/>
      <c r="Y89" s="306"/>
      <c r="Z89" s="306"/>
      <c r="AA89" s="306"/>
      <c r="AB89" s="306"/>
      <c r="AC89" s="306"/>
      <c r="AD89" s="306"/>
      <c r="AE89" s="306"/>
      <c r="AF89" s="306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  <c r="AW89" s="306"/>
      <c r="AX89" s="306"/>
      <c r="AY89" s="306"/>
      <c r="AZ89" s="306"/>
      <c r="BA89" s="306"/>
      <c r="BB89" s="306"/>
      <c r="BC89" s="306"/>
      <c r="BD89" s="306"/>
      <c r="BE89" s="306"/>
      <c r="BF89" s="306"/>
      <c r="BG89" s="306"/>
    </row>
    <row r="90" spans="4:59"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  <c r="AR90" s="306"/>
      <c r="AS90" s="306"/>
      <c r="AT90" s="306"/>
      <c r="AU90" s="306"/>
      <c r="AV90" s="306"/>
      <c r="AW90" s="306"/>
      <c r="AX90" s="306"/>
      <c r="AY90" s="306"/>
      <c r="AZ90" s="306"/>
      <c r="BA90" s="306"/>
      <c r="BB90" s="306"/>
      <c r="BC90" s="306"/>
      <c r="BD90" s="306"/>
      <c r="BE90" s="306"/>
      <c r="BF90" s="306"/>
      <c r="BG90" s="306"/>
    </row>
    <row r="91" spans="4:59"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  <c r="AR91" s="306"/>
      <c r="AS91" s="306"/>
      <c r="AT91" s="306"/>
      <c r="AU91" s="306"/>
      <c r="AV91" s="306"/>
      <c r="AW91" s="306"/>
      <c r="AX91" s="306"/>
      <c r="AY91" s="306"/>
      <c r="AZ91" s="306"/>
      <c r="BA91" s="306"/>
      <c r="BB91" s="306"/>
      <c r="BC91" s="306"/>
      <c r="BD91" s="306"/>
      <c r="BE91" s="306"/>
      <c r="BF91" s="306"/>
      <c r="BG91" s="306"/>
    </row>
    <row r="92" spans="4:59"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  <c r="AR92" s="306"/>
      <c r="AS92" s="306"/>
      <c r="AT92" s="306"/>
      <c r="AU92" s="306"/>
      <c r="AV92" s="306"/>
      <c r="AW92" s="306"/>
      <c r="AX92" s="306"/>
      <c r="AY92" s="306"/>
      <c r="AZ92" s="306"/>
      <c r="BA92" s="306"/>
      <c r="BB92" s="306"/>
      <c r="BC92" s="306"/>
      <c r="BD92" s="306"/>
      <c r="BE92" s="306"/>
      <c r="BF92" s="306"/>
      <c r="BG92" s="306"/>
    </row>
    <row r="93" spans="4:59"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/>
      <c r="AC93" s="306"/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  <c r="AW93" s="306"/>
      <c r="AX93" s="306"/>
      <c r="AY93" s="306"/>
      <c r="AZ93" s="306"/>
      <c r="BA93" s="306"/>
      <c r="BB93" s="306"/>
      <c r="BC93" s="306"/>
      <c r="BD93" s="306"/>
      <c r="BE93" s="306"/>
      <c r="BF93" s="306"/>
      <c r="BG93" s="306"/>
    </row>
    <row r="94" spans="4:59"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  <c r="AW94" s="306"/>
      <c r="AX94" s="306"/>
      <c r="AY94" s="306"/>
      <c r="AZ94" s="306"/>
      <c r="BA94" s="306"/>
      <c r="BB94" s="306"/>
      <c r="BC94" s="306"/>
      <c r="BD94" s="306"/>
      <c r="BE94" s="306"/>
      <c r="BF94" s="306"/>
      <c r="BG94" s="306"/>
    </row>
    <row r="95" spans="4:59"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  <c r="AC95" s="306"/>
      <c r="AD95" s="306"/>
      <c r="AE95" s="306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  <c r="AR95" s="306"/>
      <c r="AS95" s="306"/>
      <c r="AT95" s="306"/>
      <c r="AU95" s="306"/>
      <c r="AV95" s="306"/>
      <c r="AW95" s="306"/>
      <c r="AX95" s="306"/>
      <c r="AY95" s="306"/>
      <c r="AZ95" s="306"/>
      <c r="BA95" s="306"/>
      <c r="BB95" s="306"/>
      <c r="BC95" s="306"/>
      <c r="BD95" s="306"/>
      <c r="BE95" s="306"/>
      <c r="BF95" s="306"/>
      <c r="BG95" s="306"/>
    </row>
    <row r="96" spans="4:59"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  <c r="AR96" s="306"/>
      <c r="AS96" s="306"/>
      <c r="AT96" s="306"/>
      <c r="AU96" s="306"/>
      <c r="AV96" s="306"/>
      <c r="AW96" s="306"/>
      <c r="AX96" s="306"/>
      <c r="AY96" s="306"/>
      <c r="AZ96" s="306"/>
      <c r="BA96" s="306"/>
      <c r="BB96" s="306"/>
      <c r="BC96" s="306"/>
      <c r="BD96" s="306"/>
      <c r="BE96" s="306"/>
      <c r="BF96" s="306"/>
      <c r="BG96" s="306"/>
    </row>
    <row r="97" spans="4:59"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  <c r="AC97" s="306"/>
      <c r="AD97" s="306"/>
      <c r="AE97" s="306"/>
      <c r="AF97" s="306"/>
      <c r="AG97" s="306"/>
      <c r="AH97" s="306"/>
      <c r="AI97" s="306"/>
      <c r="AJ97" s="306"/>
      <c r="AK97" s="306"/>
      <c r="AL97" s="306"/>
      <c r="AM97" s="306"/>
      <c r="AN97" s="306"/>
      <c r="AO97" s="306"/>
      <c r="AP97" s="306"/>
      <c r="AQ97" s="306"/>
      <c r="AR97" s="306"/>
      <c r="AS97" s="306"/>
      <c r="AT97" s="306"/>
      <c r="AU97" s="306"/>
      <c r="AV97" s="306"/>
      <c r="AW97" s="306"/>
      <c r="AX97" s="306"/>
      <c r="AY97" s="306"/>
      <c r="AZ97" s="306"/>
      <c r="BA97" s="306"/>
      <c r="BB97" s="306"/>
      <c r="BC97" s="306"/>
      <c r="BD97" s="306"/>
      <c r="BE97" s="306"/>
      <c r="BF97" s="306"/>
      <c r="BG97" s="306"/>
    </row>
    <row r="98" spans="4:59"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  <c r="AC98" s="306"/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  <c r="AR98" s="306"/>
      <c r="AS98" s="306"/>
      <c r="AT98" s="306"/>
      <c r="AU98" s="306"/>
      <c r="AV98" s="306"/>
      <c r="AW98" s="306"/>
      <c r="AX98" s="306"/>
      <c r="AY98" s="306"/>
      <c r="AZ98" s="306"/>
      <c r="BA98" s="306"/>
      <c r="BB98" s="306"/>
      <c r="BC98" s="306"/>
      <c r="BD98" s="306"/>
      <c r="BE98" s="306"/>
      <c r="BF98" s="306"/>
      <c r="BG98" s="306"/>
    </row>
    <row r="99" spans="4:59">
      <c r="D99" s="306"/>
      <c r="E99" s="306"/>
      <c r="F99" s="306"/>
      <c r="G99" s="306"/>
      <c r="H99" s="306"/>
      <c r="I99" s="306"/>
      <c r="J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  <c r="AC99" s="306"/>
      <c r="AD99" s="306"/>
      <c r="AE99" s="306"/>
      <c r="AF99" s="306"/>
      <c r="AG99" s="306"/>
      <c r="AH99" s="306"/>
      <c r="AI99" s="306"/>
      <c r="AJ99" s="306"/>
      <c r="AK99" s="306"/>
      <c r="AL99" s="306"/>
      <c r="AM99" s="306"/>
      <c r="AN99" s="306"/>
      <c r="AO99" s="306"/>
      <c r="AP99" s="306"/>
      <c r="AQ99" s="306"/>
      <c r="AR99" s="306"/>
      <c r="AS99" s="306"/>
      <c r="AT99" s="306"/>
      <c r="AU99" s="306"/>
      <c r="AV99" s="306"/>
      <c r="AW99" s="306"/>
      <c r="AX99" s="306"/>
      <c r="AY99" s="306"/>
      <c r="AZ99" s="306"/>
      <c r="BA99" s="306"/>
      <c r="BB99" s="306"/>
      <c r="BC99" s="306"/>
      <c r="BD99" s="306"/>
      <c r="BE99" s="306"/>
      <c r="BF99" s="306"/>
      <c r="BG99" s="306"/>
    </row>
    <row r="100" spans="4:59"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  <c r="AN100" s="306"/>
      <c r="AO100" s="306"/>
      <c r="AP100" s="306"/>
      <c r="AQ100" s="306"/>
      <c r="AR100" s="306"/>
      <c r="AS100" s="306"/>
      <c r="AT100" s="306"/>
      <c r="AU100" s="306"/>
      <c r="AV100" s="306"/>
      <c r="AW100" s="306"/>
      <c r="AX100" s="306"/>
      <c r="AY100" s="306"/>
      <c r="AZ100" s="306"/>
      <c r="BA100" s="306"/>
      <c r="BB100" s="306"/>
      <c r="BC100" s="306"/>
      <c r="BD100" s="306"/>
      <c r="BE100" s="306"/>
      <c r="BF100" s="306"/>
      <c r="BG100" s="306"/>
    </row>
    <row r="101" spans="4:59">
      <c r="D101" s="306"/>
      <c r="E101" s="306"/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6"/>
      <c r="AH101" s="306"/>
      <c r="AI101" s="306"/>
      <c r="AJ101" s="306"/>
      <c r="AK101" s="306"/>
      <c r="AL101" s="306"/>
      <c r="AM101" s="306"/>
      <c r="AN101" s="306"/>
      <c r="AO101" s="306"/>
      <c r="AP101" s="306"/>
      <c r="AQ101" s="306"/>
      <c r="AR101" s="306"/>
      <c r="AS101" s="306"/>
      <c r="AT101" s="306"/>
      <c r="AU101" s="306"/>
      <c r="AV101" s="306"/>
      <c r="AW101" s="306"/>
      <c r="AX101" s="306"/>
      <c r="AY101" s="306"/>
      <c r="AZ101" s="306"/>
      <c r="BA101" s="306"/>
      <c r="BB101" s="306"/>
      <c r="BC101" s="306"/>
      <c r="BD101" s="306"/>
      <c r="BE101" s="306"/>
      <c r="BF101" s="306"/>
      <c r="BG101" s="306"/>
    </row>
    <row r="102" spans="4:59"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6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6"/>
      <c r="AV102" s="306"/>
      <c r="AW102" s="306"/>
      <c r="AX102" s="306"/>
      <c r="AY102" s="306"/>
      <c r="AZ102" s="306"/>
      <c r="BA102" s="306"/>
      <c r="BB102" s="306"/>
      <c r="BC102" s="306"/>
      <c r="BD102" s="306"/>
      <c r="BE102" s="306"/>
      <c r="BF102" s="306"/>
      <c r="BG102" s="306"/>
    </row>
    <row r="103" spans="4:59">
      <c r="D103" s="306"/>
      <c r="E103" s="306"/>
      <c r="F103" s="306"/>
      <c r="G103" s="306"/>
      <c r="H103" s="306"/>
      <c r="I103" s="306"/>
      <c r="J103" s="306"/>
      <c r="K103" s="30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6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6"/>
      <c r="AV103" s="306"/>
      <c r="AW103" s="306"/>
      <c r="AX103" s="306"/>
      <c r="AY103" s="306"/>
      <c r="AZ103" s="306"/>
      <c r="BA103" s="306"/>
      <c r="BB103" s="306"/>
      <c r="BC103" s="306"/>
      <c r="BD103" s="306"/>
      <c r="BE103" s="306"/>
      <c r="BF103" s="306"/>
      <c r="BG103" s="306"/>
    </row>
    <row r="104" spans="4:59"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6"/>
      <c r="AH104" s="306"/>
      <c r="AI104" s="306"/>
      <c r="AJ104" s="306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  <c r="AW104" s="306"/>
      <c r="AX104" s="306"/>
      <c r="AY104" s="306"/>
      <c r="AZ104" s="306"/>
      <c r="BA104" s="306"/>
      <c r="BB104" s="306"/>
      <c r="BC104" s="306"/>
      <c r="BD104" s="306"/>
      <c r="BE104" s="306"/>
      <c r="BF104" s="306"/>
      <c r="BG104" s="306"/>
    </row>
    <row r="105" spans="4:59"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6"/>
      <c r="AH105" s="306"/>
      <c r="AI105" s="306"/>
      <c r="AJ105" s="306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  <c r="AW105" s="306"/>
      <c r="AX105" s="306"/>
      <c r="AY105" s="306"/>
      <c r="AZ105" s="306"/>
      <c r="BA105" s="306"/>
      <c r="BB105" s="306"/>
      <c r="BC105" s="306"/>
      <c r="BD105" s="306"/>
      <c r="BE105" s="306"/>
      <c r="BF105" s="306"/>
      <c r="BG105" s="306"/>
    </row>
    <row r="106" spans="4:59"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6"/>
      <c r="AV106" s="306"/>
      <c r="AW106" s="306"/>
      <c r="AX106" s="306"/>
      <c r="AY106" s="306"/>
      <c r="AZ106" s="306"/>
      <c r="BA106" s="306"/>
      <c r="BB106" s="306"/>
      <c r="BC106" s="306"/>
      <c r="BD106" s="306"/>
      <c r="BE106" s="306"/>
      <c r="BF106" s="306"/>
      <c r="BG106" s="306"/>
    </row>
    <row r="107" spans="4:59"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6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  <c r="AW107" s="306"/>
      <c r="AX107" s="306"/>
      <c r="AY107" s="306"/>
      <c r="AZ107" s="306"/>
      <c r="BA107" s="306"/>
      <c r="BB107" s="306"/>
      <c r="BC107" s="306"/>
      <c r="BD107" s="306"/>
      <c r="BE107" s="306"/>
      <c r="BF107" s="306"/>
      <c r="BG107" s="306"/>
    </row>
    <row r="108" spans="4:59"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  <c r="AW108" s="306"/>
      <c r="AX108" s="306"/>
      <c r="AY108" s="306"/>
      <c r="AZ108" s="306"/>
      <c r="BA108" s="306"/>
      <c r="BB108" s="306"/>
      <c r="BC108" s="306"/>
      <c r="BD108" s="306"/>
      <c r="BE108" s="306"/>
      <c r="BF108" s="306"/>
      <c r="BG108" s="306"/>
    </row>
    <row r="109" spans="4:59"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6"/>
      <c r="AH109" s="306"/>
      <c r="AI109" s="306"/>
      <c r="AJ109" s="306"/>
      <c r="AK109" s="306"/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6"/>
      <c r="AV109" s="306"/>
      <c r="AW109" s="306"/>
      <c r="AX109" s="306"/>
      <c r="AY109" s="306"/>
      <c r="AZ109" s="306"/>
      <c r="BA109" s="306"/>
      <c r="BB109" s="306"/>
      <c r="BC109" s="306"/>
      <c r="BD109" s="306"/>
      <c r="BE109" s="306"/>
      <c r="BF109" s="306"/>
      <c r="BG109" s="306"/>
    </row>
    <row r="110" spans="4:59"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6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  <c r="AW110" s="306"/>
      <c r="AX110" s="306"/>
      <c r="AY110" s="306"/>
      <c r="AZ110" s="306"/>
      <c r="BA110" s="306"/>
      <c r="BB110" s="306"/>
      <c r="BC110" s="306"/>
      <c r="BD110" s="306"/>
      <c r="BE110" s="306"/>
      <c r="BF110" s="306"/>
      <c r="BG110" s="306"/>
    </row>
    <row r="111" spans="4:59"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6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  <c r="AW111" s="306"/>
      <c r="AX111" s="306"/>
      <c r="AY111" s="306"/>
      <c r="AZ111" s="306"/>
      <c r="BA111" s="306"/>
      <c r="BB111" s="306"/>
      <c r="BC111" s="306"/>
      <c r="BD111" s="306"/>
      <c r="BE111" s="306"/>
      <c r="BF111" s="306"/>
      <c r="BG111" s="306"/>
    </row>
    <row r="112" spans="4:59"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6"/>
      <c r="AH112" s="306"/>
      <c r="AI112" s="306"/>
      <c r="AJ112" s="306"/>
      <c r="AK112" s="306"/>
      <c r="AL112" s="306"/>
      <c r="AM112" s="306"/>
      <c r="AN112" s="306"/>
      <c r="AO112" s="306"/>
      <c r="AP112" s="306"/>
      <c r="AQ112" s="306"/>
      <c r="AR112" s="306"/>
      <c r="AS112" s="306"/>
      <c r="AT112" s="306"/>
      <c r="AU112" s="306"/>
      <c r="AV112" s="306"/>
      <c r="AW112" s="306"/>
      <c r="AX112" s="306"/>
      <c r="AY112" s="306"/>
      <c r="AZ112" s="306"/>
      <c r="BA112" s="306"/>
      <c r="BB112" s="306"/>
      <c r="BC112" s="306"/>
      <c r="BD112" s="306"/>
      <c r="BE112" s="306"/>
      <c r="BF112" s="306"/>
      <c r="BG112" s="306"/>
    </row>
    <row r="113" spans="4:61"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6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6"/>
      <c r="AV113" s="306"/>
      <c r="AW113" s="306"/>
      <c r="AX113" s="306"/>
      <c r="AY113" s="306"/>
      <c r="AZ113" s="306"/>
      <c r="BA113" s="306"/>
      <c r="BB113" s="306"/>
      <c r="BC113" s="306"/>
      <c r="BD113" s="306"/>
      <c r="BE113" s="306"/>
      <c r="BF113" s="306"/>
      <c r="BG113" s="306"/>
    </row>
    <row r="114" spans="4:61"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6"/>
      <c r="AH114" s="306"/>
      <c r="AI114" s="306"/>
      <c r="AJ114" s="306"/>
      <c r="AK114" s="306"/>
      <c r="AL114" s="306"/>
      <c r="AM114" s="306"/>
      <c r="AN114" s="306"/>
      <c r="AO114" s="306"/>
      <c r="AP114" s="306"/>
      <c r="AQ114" s="306"/>
      <c r="AR114" s="306"/>
      <c r="AS114" s="306"/>
      <c r="AT114" s="306"/>
      <c r="AU114" s="306"/>
      <c r="AV114" s="306"/>
      <c r="AW114" s="306"/>
      <c r="AX114" s="306"/>
      <c r="AY114" s="306"/>
      <c r="AZ114" s="306"/>
      <c r="BA114" s="306"/>
      <c r="BB114" s="306"/>
      <c r="BC114" s="306"/>
      <c r="BD114" s="306"/>
      <c r="BE114" s="306"/>
      <c r="BF114" s="306"/>
      <c r="BG114" s="306"/>
    </row>
    <row r="115" spans="4:61"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6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6"/>
      <c r="AV115" s="306"/>
      <c r="AW115" s="306"/>
      <c r="AX115" s="306"/>
      <c r="AY115" s="306"/>
      <c r="AZ115" s="306"/>
      <c r="BA115" s="306"/>
      <c r="BB115" s="306"/>
      <c r="BC115" s="306"/>
      <c r="BD115" s="306"/>
      <c r="BE115" s="306"/>
      <c r="BF115" s="306"/>
      <c r="BG115" s="306"/>
      <c r="BH115" s="27"/>
      <c r="BI115" s="27"/>
    </row>
    <row r="116" spans="4:61"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6"/>
      <c r="AH116" s="306"/>
      <c r="AI116" s="306"/>
      <c r="AJ116" s="306"/>
      <c r="AK116" s="306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6"/>
      <c r="AV116" s="306"/>
      <c r="AW116" s="306"/>
      <c r="AX116" s="306"/>
      <c r="AY116" s="306"/>
      <c r="AZ116" s="306"/>
      <c r="BA116" s="306"/>
      <c r="BB116" s="306"/>
      <c r="BC116" s="306"/>
      <c r="BD116" s="306"/>
      <c r="BE116" s="306"/>
      <c r="BF116" s="306"/>
      <c r="BG116" s="306"/>
      <c r="BI116" s="22"/>
    </row>
    <row r="117" spans="4:61"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6"/>
      <c r="AH117" s="306"/>
      <c r="AI117" s="306"/>
      <c r="AJ117" s="306"/>
      <c r="AK117" s="306"/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6"/>
      <c r="AV117" s="306"/>
      <c r="AW117" s="306"/>
      <c r="AX117" s="306"/>
      <c r="AY117" s="306"/>
      <c r="AZ117" s="306"/>
      <c r="BA117" s="306"/>
      <c r="BB117" s="306"/>
      <c r="BC117" s="306"/>
      <c r="BD117" s="306"/>
      <c r="BE117" s="306"/>
      <c r="BF117" s="306"/>
      <c r="BG117" s="306"/>
    </row>
    <row r="118" spans="4:61"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6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  <c r="AW118" s="306"/>
      <c r="AX118" s="306"/>
      <c r="AY118" s="306"/>
      <c r="AZ118" s="306"/>
      <c r="BA118" s="306"/>
      <c r="BB118" s="306"/>
      <c r="BC118" s="306"/>
      <c r="BD118" s="306"/>
      <c r="BE118" s="306"/>
      <c r="BF118" s="306"/>
      <c r="BG118" s="306"/>
      <c r="BH118" s="56"/>
    </row>
    <row r="119" spans="4:61"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6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  <c r="AW119" s="306"/>
      <c r="AX119" s="306"/>
      <c r="AY119" s="306"/>
      <c r="AZ119" s="306"/>
      <c r="BA119" s="306"/>
      <c r="BB119" s="306"/>
      <c r="BC119" s="306"/>
      <c r="BD119" s="306"/>
      <c r="BE119" s="306"/>
      <c r="BF119" s="306"/>
      <c r="BG119" s="306"/>
    </row>
    <row r="120" spans="4:61"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306"/>
      <c r="AI120" s="306"/>
      <c r="AJ120" s="306"/>
      <c r="AK120" s="306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  <c r="AW120" s="306"/>
      <c r="AX120" s="306"/>
      <c r="AY120" s="306"/>
      <c r="AZ120" s="306"/>
      <c r="BA120" s="306"/>
      <c r="BB120" s="306"/>
      <c r="BC120" s="306"/>
      <c r="BD120" s="306"/>
      <c r="BE120" s="306"/>
      <c r="BF120" s="306"/>
      <c r="BG120" s="306"/>
    </row>
    <row r="121" spans="4:61"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6"/>
      <c r="AH121" s="306"/>
      <c r="AI121" s="306"/>
      <c r="AJ121" s="306"/>
      <c r="AK121" s="306"/>
      <c r="AL121" s="306"/>
      <c r="AM121" s="306"/>
      <c r="AN121" s="306"/>
      <c r="AO121" s="306"/>
      <c r="AP121" s="306"/>
      <c r="AQ121" s="306"/>
      <c r="AR121" s="306"/>
      <c r="AS121" s="306"/>
      <c r="AT121" s="306"/>
      <c r="AU121" s="306"/>
      <c r="AV121" s="306"/>
      <c r="AW121" s="306"/>
      <c r="AX121" s="306"/>
      <c r="AY121" s="306"/>
      <c r="AZ121" s="306"/>
      <c r="BA121" s="306"/>
      <c r="BB121" s="306"/>
      <c r="BC121" s="306"/>
      <c r="BD121" s="306"/>
      <c r="BE121" s="306"/>
      <c r="BF121" s="306"/>
      <c r="BG121" s="306"/>
    </row>
    <row r="122" spans="4:61"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6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79"/>
      <c r="AW122" s="379"/>
      <c r="AX122" s="306"/>
      <c r="AY122" s="306"/>
      <c r="AZ122" s="306"/>
      <c r="BA122" s="306"/>
      <c r="BB122" s="306"/>
      <c r="BC122" s="306"/>
      <c r="BD122" s="306"/>
      <c r="BE122" s="306"/>
      <c r="BF122" s="306"/>
      <c r="BG122" s="306"/>
    </row>
    <row r="123" spans="4:61"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6"/>
      <c r="AH123" s="306"/>
      <c r="AI123" s="306"/>
      <c r="AJ123" s="306"/>
      <c r="AK123" s="306"/>
      <c r="AL123" s="306"/>
      <c r="AM123" s="306"/>
      <c r="AN123" s="306"/>
      <c r="AO123" s="306"/>
      <c r="AP123" s="306"/>
      <c r="AQ123" s="306"/>
      <c r="AR123" s="306"/>
      <c r="AS123" s="306"/>
      <c r="AT123" s="306"/>
      <c r="AU123" s="306"/>
      <c r="AV123" s="306"/>
      <c r="AW123" s="306"/>
      <c r="AX123" s="306"/>
      <c r="AY123" s="306"/>
      <c r="AZ123" s="306"/>
      <c r="BA123" s="306"/>
      <c r="BB123" s="306"/>
      <c r="BC123" s="306"/>
      <c r="BD123" s="306"/>
      <c r="BE123" s="306"/>
      <c r="BF123" s="306"/>
      <c r="BG123" s="306"/>
    </row>
    <row r="124" spans="4:61"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6"/>
      <c r="AH124" s="306"/>
      <c r="AI124" s="306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 s="306"/>
      <c r="BB124" s="306"/>
      <c r="BC124" s="306"/>
      <c r="BD124" s="306"/>
      <c r="BE124" s="306"/>
      <c r="BF124" s="306"/>
      <c r="BG124" s="306"/>
    </row>
    <row r="125" spans="4:61">
      <c r="AR125" s="306"/>
    </row>
    <row r="126" spans="4:61">
      <c r="AR126" s="306"/>
      <c r="AT126" s="306"/>
    </row>
    <row r="127" spans="4:61">
      <c r="AR127" s="306"/>
    </row>
    <row r="128" spans="4:61">
      <c r="AR128" s="306"/>
      <c r="AS128" s="306"/>
      <c r="AT128" s="306"/>
      <c r="AU128" s="306"/>
      <c r="AV128" s="306"/>
      <c r="AW128" s="306"/>
      <c r="AX128" s="306"/>
      <c r="AY128" s="306"/>
      <c r="AZ128" s="306"/>
      <c r="BA128" s="306"/>
      <c r="BB128" s="306"/>
      <c r="BC128" s="306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F37" zoomScale="80" zoomScaleNormal="80" workbookViewId="0">
      <selection activeCell="C38" sqref="C38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</row>
    <row r="2" spans="9:38">
      <c r="AK2" s="306"/>
      <c r="AL2" s="306"/>
    </row>
    <row r="3" spans="9:38">
      <c r="AK3" s="306"/>
      <c r="AL3" s="306"/>
    </row>
    <row r="4" spans="9:38">
      <c r="AK4" s="306"/>
      <c r="AL4" s="306"/>
    </row>
    <row r="5" spans="9:38" ht="21" customHeight="1">
      <c r="I5" s="311"/>
      <c r="AK5" s="306"/>
      <c r="AL5" s="306"/>
    </row>
    <row r="6" spans="9:38">
      <c r="I6" s="306"/>
      <c r="AK6" s="306"/>
      <c r="AL6" s="306"/>
    </row>
    <row r="7" spans="9:38" ht="15.75" customHeight="1">
      <c r="I7" s="306"/>
      <c r="AK7" s="306"/>
      <c r="AL7" s="306"/>
    </row>
    <row r="8" spans="9:38">
      <c r="I8" s="306"/>
      <c r="AK8" s="306"/>
      <c r="AL8" s="306"/>
    </row>
    <row r="9" spans="9:38">
      <c r="I9" s="306"/>
      <c r="AK9" s="306"/>
      <c r="AL9" s="306"/>
    </row>
    <row r="10" spans="9:38">
      <c r="I10" s="306"/>
      <c r="AK10" s="306"/>
      <c r="AL10" s="306"/>
    </row>
    <row r="11" spans="9:38">
      <c r="AK11" s="306"/>
      <c r="AL11" s="306"/>
    </row>
    <row r="12" spans="9:38">
      <c r="AK12" s="306"/>
      <c r="AL12" s="306"/>
    </row>
    <row r="13" spans="9:38">
      <c r="AK13" s="306"/>
      <c r="AL13" s="306"/>
    </row>
    <row r="14" spans="9:38">
      <c r="Q14" s="22"/>
      <c r="T14" s="306"/>
      <c r="U14" s="306"/>
      <c r="V14" s="306"/>
      <c r="W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  <c r="AK14" s="306"/>
      <c r="AL14" s="306"/>
    </row>
    <row r="15" spans="9:38">
      <c r="T15" s="306"/>
      <c r="U15" s="306"/>
      <c r="V15" s="306"/>
      <c r="W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</row>
    <row r="16" spans="9:38" ht="21">
      <c r="AB16" s="102"/>
      <c r="AC16" s="306"/>
      <c r="AD16" s="306"/>
      <c r="AE16" s="306"/>
      <c r="AF16" s="306"/>
      <c r="AG16" s="306"/>
      <c r="AH16" s="306"/>
      <c r="AI16" s="306"/>
      <c r="AJ16" s="306"/>
      <c r="AK16" s="306"/>
    </row>
    <row r="17" spans="1:38">
      <c r="H17" s="311"/>
      <c r="Q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212</v>
      </c>
      <c r="N18" s="98"/>
      <c r="O18" s="98"/>
      <c r="Q18" s="306"/>
      <c r="W18" s="306"/>
      <c r="X18" s="306"/>
      <c r="Y18" s="101" t="s">
        <v>214</v>
      </c>
      <c r="Z18" s="101"/>
      <c r="AA18" s="101"/>
      <c r="AB18" s="306"/>
      <c r="AC18" s="306"/>
      <c r="AD18" s="306"/>
      <c r="AE18" s="306"/>
      <c r="AJ18" s="306"/>
      <c r="AK18" s="306"/>
      <c r="AL18" s="306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306"/>
      <c r="AE19" s="306"/>
      <c r="AJ19" s="306"/>
      <c r="AK19" s="306"/>
      <c r="AL19" s="306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306"/>
      <c r="W20" s="306"/>
      <c r="X20" s="403" t="s">
        <v>22</v>
      </c>
      <c r="Y20" s="404"/>
      <c r="Z20" s="404"/>
      <c r="AA20" s="405"/>
      <c r="AB20" s="306"/>
      <c r="AC20" s="306"/>
      <c r="AD20" s="306"/>
      <c r="AK20" s="306"/>
      <c r="AL20" s="306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306"/>
      <c r="O21" s="23"/>
      <c r="X21" s="16"/>
      <c r="Y21" s="17"/>
      <c r="Z21" s="18"/>
      <c r="AK21" s="306"/>
      <c r="AL21" s="306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306"/>
      <c r="L22" s="36" t="s">
        <v>3</v>
      </c>
      <c r="M22" s="34"/>
      <c r="N22" s="15" t="s">
        <v>18</v>
      </c>
      <c r="O22" s="36" t="s">
        <v>49</v>
      </c>
      <c r="P22" s="73"/>
      <c r="Q22" s="306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80.87</v>
      </c>
      <c r="AD22" s="306" t="s">
        <v>18</v>
      </c>
      <c r="AK22" s="306"/>
      <c r="AL22" s="306"/>
    </row>
    <row r="23" spans="1:38" ht="18">
      <c r="B23" s="87"/>
      <c r="C23" s="87"/>
      <c r="D23" s="87"/>
      <c r="E23" s="87"/>
      <c r="K23" s="306"/>
      <c r="L23" s="36" t="s">
        <v>4</v>
      </c>
      <c r="M23" s="34"/>
      <c r="N23" s="15" t="s">
        <v>18</v>
      </c>
      <c r="O23" s="36" t="s">
        <v>27</v>
      </c>
      <c r="P23" s="34"/>
      <c r="Q23" s="306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0.04/100</f>
        <v>4.0000000000000002E-4</v>
      </c>
      <c r="AD23" s="306" t="s">
        <v>33</v>
      </c>
      <c r="AK23" s="306"/>
      <c r="AL23" s="306"/>
    </row>
    <row r="24" spans="1:38">
      <c r="A24" s="161" t="s">
        <v>160</v>
      </c>
      <c r="B24" s="161"/>
      <c r="K24" s="306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306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3.2348000000000002E-2</v>
      </c>
      <c r="AD24" s="306" t="s">
        <v>18</v>
      </c>
      <c r="AK24" s="306"/>
      <c r="AL24" s="306"/>
    </row>
    <row r="25" spans="1:38">
      <c r="L25" s="67" t="s">
        <v>30</v>
      </c>
      <c r="M25" s="37">
        <f>P23*M24</f>
        <v>0</v>
      </c>
      <c r="N25" s="15" t="s">
        <v>18</v>
      </c>
      <c r="Q25" s="306"/>
      <c r="W25" s="306"/>
      <c r="X25" s="312" t="s">
        <v>30</v>
      </c>
      <c r="Y25" s="313"/>
      <c r="Z25" s="104">
        <f>AC23*Z24</f>
        <v>0</v>
      </c>
      <c r="AA25" s="15" t="s">
        <v>18</v>
      </c>
      <c r="AK25" s="306"/>
      <c r="AL25" s="306"/>
    </row>
    <row r="26" spans="1:38">
      <c r="A26" s="23"/>
      <c r="W26" s="306"/>
      <c r="X26" s="306"/>
      <c r="Y26" s="306"/>
      <c r="Z26" s="306"/>
      <c r="AA26" s="23"/>
      <c r="AL26" s="306"/>
    </row>
    <row r="27" spans="1:38">
      <c r="A27" s="23"/>
      <c r="I27" s="306"/>
      <c r="J27" s="306"/>
      <c r="K27" s="306"/>
      <c r="L27" s="306"/>
      <c r="AD27" s="31">
        <f>AC22+Z24</f>
        <v>80.87</v>
      </c>
      <c r="AE27" s="15">
        <f>AC24+Z25</f>
        <v>3.2348000000000002E-2</v>
      </c>
      <c r="AL27" s="306"/>
    </row>
    <row r="28" spans="1:38" ht="21">
      <c r="D28" s="143" t="s">
        <v>45</v>
      </c>
      <c r="E28" s="142">
        <f>B22-(C41+B44)</f>
        <v>109.07048999999999</v>
      </c>
      <c r="F28" s="15" t="s">
        <v>18</v>
      </c>
      <c r="I28" s="306"/>
      <c r="J28" s="306"/>
      <c r="K28" s="306"/>
      <c r="L28" s="306"/>
    </row>
    <row r="29" spans="1:38">
      <c r="I29" s="306"/>
      <c r="J29" s="306"/>
      <c r="K29" s="306"/>
      <c r="L29" s="306"/>
      <c r="V29" s="306"/>
      <c r="W29" s="306"/>
      <c r="X29" s="306"/>
      <c r="AJ29" s="22"/>
    </row>
    <row r="30" spans="1:38" ht="21">
      <c r="I30" s="102"/>
      <c r="V30" s="306"/>
      <c r="W30" s="200">
        <f>AC22+Z24+AC43+V43</f>
        <v>82.070000000000007</v>
      </c>
      <c r="X30" s="306"/>
    </row>
    <row r="31" spans="1:38">
      <c r="V31" s="306"/>
      <c r="W31" s="306"/>
      <c r="X31" s="306"/>
    </row>
    <row r="33" spans="1:55">
      <c r="S33" s="15" t="s">
        <v>101</v>
      </c>
      <c r="T33" s="31">
        <f>P22-W30</f>
        <v>-82.070000000000007</v>
      </c>
      <c r="U33" s="15" t="s">
        <v>18</v>
      </c>
    </row>
    <row r="34" spans="1:55">
      <c r="D34" s="306"/>
      <c r="E34" s="306"/>
      <c r="F34" s="306"/>
      <c r="G34" s="306"/>
      <c r="H34" s="306"/>
      <c r="S34" s="15" t="s">
        <v>125</v>
      </c>
      <c r="T34" s="76">
        <f>T33/E28</f>
        <v>-0.75244917300729108</v>
      </c>
      <c r="Z34" s="306"/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</row>
    <row r="35" spans="1:55">
      <c r="D35" s="306"/>
      <c r="E35" s="306"/>
      <c r="F35" s="306"/>
      <c r="G35" s="306"/>
      <c r="H35" s="306"/>
      <c r="S35" s="15" t="s">
        <v>126</v>
      </c>
      <c r="T35" s="81">
        <f>T34*B49</f>
        <v>-7.4540994322550258</v>
      </c>
      <c r="U35" s="306" t="s">
        <v>18</v>
      </c>
      <c r="Z35" s="306"/>
    </row>
    <row r="36" spans="1:55">
      <c r="D36" s="306"/>
      <c r="E36" s="306"/>
      <c r="F36" s="306"/>
      <c r="G36" s="306"/>
      <c r="H36" s="200"/>
      <c r="P36" s="307"/>
      <c r="Q36" s="307"/>
      <c r="R36" s="16"/>
      <c r="U36" s="306"/>
      <c r="Z36" s="306"/>
    </row>
    <row r="37" spans="1:55">
      <c r="E37" s="30"/>
      <c r="Z37" s="306"/>
    </row>
    <row r="38" spans="1:55" ht="21">
      <c r="M38" s="98" t="s">
        <v>213</v>
      </c>
      <c r="N38" s="48"/>
      <c r="Z38" s="306"/>
      <c r="AP38" s="306"/>
      <c r="AQ38" s="306"/>
      <c r="AR38" s="306"/>
      <c r="AS38" s="306"/>
      <c r="AT38" s="306"/>
      <c r="AU38" s="306"/>
      <c r="AV38" s="306"/>
      <c r="AW38" s="306"/>
      <c r="AX38" s="306"/>
      <c r="AY38" s="306"/>
      <c r="AZ38" s="306"/>
      <c r="BA38" s="306"/>
      <c r="BB38" s="306"/>
    </row>
    <row r="39" spans="1:55" ht="21">
      <c r="A39" s="392" t="s">
        <v>6</v>
      </c>
      <c r="B39" s="392"/>
      <c r="C39" s="33">
        <v>0.53</v>
      </c>
      <c r="D39" s="15" t="s">
        <v>18</v>
      </c>
      <c r="E39" s="306"/>
      <c r="F39" s="306"/>
      <c r="G39" s="306"/>
      <c r="M39" s="309" t="s">
        <v>20</v>
      </c>
      <c r="N39" s="310"/>
      <c r="Y39" s="101" t="s">
        <v>215</v>
      </c>
      <c r="Z39" s="101"/>
      <c r="AA39" s="101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</row>
    <row r="40" spans="1:55">
      <c r="A40" s="392" t="s">
        <v>5</v>
      </c>
      <c r="B40" s="392"/>
      <c r="C40" s="33">
        <v>0.5</v>
      </c>
      <c r="D40" s="15" t="s">
        <v>18</v>
      </c>
      <c r="E40" s="306"/>
      <c r="F40" s="306"/>
      <c r="G40" s="306"/>
      <c r="S40" s="306"/>
      <c r="V40" s="306"/>
      <c r="X40" s="403" t="s">
        <v>23</v>
      </c>
      <c r="Y40" s="404"/>
      <c r="Z40" s="404"/>
      <c r="AA40" s="405"/>
      <c r="AB40" s="306"/>
      <c r="AK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</row>
    <row r="41" spans="1:55">
      <c r="A41" s="400" t="s">
        <v>17</v>
      </c>
      <c r="B41" s="401"/>
      <c r="C41" s="91">
        <f>SUM(C39:C40)</f>
        <v>1.03</v>
      </c>
      <c r="D41" s="23" t="s">
        <v>18</v>
      </c>
      <c r="E41" s="306"/>
      <c r="F41" s="306"/>
      <c r="G41" s="306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15.75</v>
      </c>
      <c r="R41" s="306" t="s">
        <v>18</v>
      </c>
      <c r="S41" s="306"/>
      <c r="Z41" s="306"/>
      <c r="AK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</row>
    <row r="42" spans="1:55">
      <c r="C42" s="306"/>
      <c r="D42" s="306"/>
      <c r="E42" s="306"/>
      <c r="F42" s="306"/>
      <c r="G42" s="306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55.6/100</f>
        <v>0.55600000000000005</v>
      </c>
      <c r="R42" s="306" t="s">
        <v>33</v>
      </c>
      <c r="S42" s="306"/>
      <c r="AE42" s="306"/>
      <c r="AF42" s="306"/>
      <c r="AG42" s="306"/>
      <c r="AH42" s="306"/>
      <c r="AI42" s="306"/>
      <c r="AJ42" s="306"/>
      <c r="AK42" s="306"/>
      <c r="AL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</row>
    <row r="43" spans="1:55">
      <c r="A43" s="36" t="s">
        <v>44</v>
      </c>
      <c r="B43" s="33"/>
      <c r="C43" s="306" t="s">
        <v>18</v>
      </c>
      <c r="D43" s="306"/>
      <c r="E43" s="306"/>
      <c r="F43" s="306"/>
      <c r="G43" s="306"/>
      <c r="H43" s="308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8.7570000000000014</v>
      </c>
      <c r="R43" s="306" t="s">
        <v>18</v>
      </c>
      <c r="S43" s="306"/>
      <c r="U43" s="35" t="s">
        <v>53</v>
      </c>
      <c r="V43" s="33"/>
      <c r="W43" s="306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1.2</v>
      </c>
      <c r="AD43" s="306" t="s">
        <v>18</v>
      </c>
      <c r="AF43" s="306"/>
      <c r="AG43" s="306"/>
      <c r="AH43" s="306"/>
      <c r="AI43" s="306"/>
      <c r="AJ43" s="306"/>
      <c r="AK43" s="306"/>
      <c r="AL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</row>
    <row r="44" spans="1:55">
      <c r="A44" s="92" t="s">
        <v>17</v>
      </c>
      <c r="B44" s="90">
        <f>SUM(B43)</f>
        <v>0</v>
      </c>
      <c r="C44" s="306" t="s">
        <v>18</v>
      </c>
      <c r="D44" s="306"/>
      <c r="E44" s="306"/>
      <c r="M44" s="67" t="s">
        <v>30</v>
      </c>
      <c r="N44" s="37">
        <f>Q42*N43</f>
        <v>0</v>
      </c>
      <c r="O44" s="15" t="s">
        <v>18</v>
      </c>
      <c r="U44" s="306"/>
      <c r="V44" s="306"/>
      <c r="W44" s="306"/>
      <c r="X44" s="105" t="s">
        <v>4</v>
      </c>
      <c r="Y44" s="106"/>
      <c r="Z44" s="34"/>
      <c r="AA44" s="15" t="s">
        <v>18</v>
      </c>
      <c r="AB44" s="36" t="s">
        <v>27</v>
      </c>
      <c r="AC44" s="34">
        <f>32.64/100</f>
        <v>0.32640000000000002</v>
      </c>
      <c r="AD44" s="306" t="s">
        <v>33</v>
      </c>
      <c r="AL44" s="306"/>
      <c r="AP44" s="306"/>
      <c r="AQ44" s="306"/>
      <c r="AR44" s="306"/>
      <c r="AS44" s="306"/>
      <c r="AT44" s="306"/>
      <c r="AU44" s="306"/>
      <c r="AV44" s="306"/>
      <c r="AW44" s="306"/>
      <c r="AX44" s="306"/>
      <c r="AY44" s="306"/>
      <c r="AZ44" s="306"/>
      <c r="BA44" s="306"/>
      <c r="BB44" s="306"/>
    </row>
    <row r="45" spans="1:55">
      <c r="C45" s="306"/>
      <c r="D45" s="306"/>
      <c r="E45" s="306"/>
      <c r="U45" s="306"/>
      <c r="V45" s="306"/>
      <c r="W45" s="306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0.39168000000000003</v>
      </c>
      <c r="AD45" s="306" t="s">
        <v>18</v>
      </c>
      <c r="AL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 s="306"/>
      <c r="BB45" s="306"/>
      <c r="BC45" s="306"/>
    </row>
    <row r="46" spans="1:55">
      <c r="A46" s="15" t="s">
        <v>66</v>
      </c>
      <c r="B46" s="15">
        <f>B43/D22</f>
        <v>0</v>
      </c>
      <c r="C46" s="306" t="s">
        <v>62</v>
      </c>
      <c r="D46" s="306"/>
      <c r="E46" s="306"/>
      <c r="P46" s="31">
        <f>Q41+N43</f>
        <v>15.75</v>
      </c>
      <c r="Q46" s="15">
        <f>Q43+N44</f>
        <v>8.7570000000000014</v>
      </c>
      <c r="X46" s="312" t="s">
        <v>30</v>
      </c>
      <c r="Y46" s="313"/>
      <c r="Z46" s="104">
        <f>AC44*Z45</f>
        <v>0</v>
      </c>
      <c r="AA46" s="15" t="s">
        <v>18</v>
      </c>
      <c r="AF46" s="306"/>
      <c r="AP46" s="306"/>
      <c r="AQ46" s="306"/>
      <c r="AR46" s="306"/>
      <c r="AS46" s="306"/>
      <c r="AT46" s="306"/>
      <c r="AU46" s="306"/>
      <c r="AV46" s="306"/>
      <c r="AW46" s="306"/>
      <c r="AX46" s="306"/>
      <c r="AY46" s="306"/>
      <c r="AZ46" s="306"/>
      <c r="BA46" s="306"/>
      <c r="BB46" s="306"/>
      <c r="BC46" s="306"/>
    </row>
    <row r="47" spans="1:55">
      <c r="A47" s="15" t="s">
        <v>65</v>
      </c>
      <c r="B47" s="15">
        <f>C41/D22</f>
        <v>0.98097339226615898</v>
      </c>
      <c r="C47" s="15" t="s">
        <v>62</v>
      </c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 s="306"/>
      <c r="BB47" s="306"/>
      <c r="BC47" s="306"/>
    </row>
    <row r="48" spans="1:55">
      <c r="A48" s="15" t="s">
        <v>67</v>
      </c>
      <c r="B48" s="15">
        <f>G19*(B46+B47)/1000</f>
        <v>9.3550900636318671E-2</v>
      </c>
      <c r="C48" s="15" t="s">
        <v>18</v>
      </c>
      <c r="E48" s="160"/>
      <c r="AP48" s="306"/>
      <c r="AQ48" s="306"/>
      <c r="AR48" s="306"/>
      <c r="AS48" s="306"/>
      <c r="AT48" s="306"/>
      <c r="AU48" s="306"/>
      <c r="AV48" s="306"/>
      <c r="AW48" s="306"/>
      <c r="AX48" s="306"/>
      <c r="AY48" s="306"/>
      <c r="AZ48" s="306"/>
      <c r="BA48" s="306"/>
      <c r="BB48" s="306"/>
    </row>
    <row r="49" spans="1:59">
      <c r="A49" s="15" t="s">
        <v>64</v>
      </c>
      <c r="B49" s="74">
        <f>B21-B48</f>
        <v>9.906449099363682</v>
      </c>
      <c r="C49" s="15" t="s">
        <v>18</v>
      </c>
      <c r="AC49" s="31">
        <f>AC43+Z45</f>
        <v>1.2</v>
      </c>
      <c r="AD49" s="15">
        <f>AC45+Z46</f>
        <v>0.39168000000000003</v>
      </c>
      <c r="AP49" s="306"/>
      <c r="AQ49" s="306"/>
      <c r="AR49" s="306"/>
      <c r="AS49" s="306"/>
      <c r="AT49" s="306"/>
      <c r="AU49" s="306"/>
      <c r="AV49" s="379"/>
      <c r="AW49" s="379"/>
      <c r="AX49" s="379"/>
      <c r="AY49" s="379"/>
      <c r="AZ49" s="379"/>
      <c r="BA49" s="306"/>
      <c r="BB49" s="306"/>
    </row>
    <row r="50" spans="1:59">
      <c r="R50" s="306"/>
      <c r="S50" s="15" t="s">
        <v>27</v>
      </c>
      <c r="U50" s="15" t="s">
        <v>40</v>
      </c>
      <c r="W50" s="15" t="s">
        <v>98</v>
      </c>
      <c r="X50" s="74">
        <f>B49</f>
        <v>9.906449099363682</v>
      </c>
      <c r="Y50" s="15" t="s">
        <v>18</v>
      </c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</row>
    <row r="51" spans="1:59">
      <c r="Q51" s="306"/>
      <c r="R51" s="306"/>
      <c r="S51" s="15" t="s">
        <v>34</v>
      </c>
      <c r="T51" s="15">
        <f>AC24+Z25</f>
        <v>3.2348000000000002E-2</v>
      </c>
      <c r="U51" s="76">
        <f>T51/X50</f>
        <v>3.2653476210843099E-3</v>
      </c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</row>
    <row r="52" spans="1:59">
      <c r="S52" s="15" t="s">
        <v>35</v>
      </c>
      <c r="T52" s="15">
        <f>AC45+Z46</f>
        <v>0.39168000000000003</v>
      </c>
      <c r="U52" s="76">
        <f>T52/X50</f>
        <v>3.9537880432369929E-2</v>
      </c>
      <c r="AP52" s="306"/>
      <c r="AQ52" s="306"/>
      <c r="AR52" s="306"/>
      <c r="AS52" s="306"/>
      <c r="AT52" s="306"/>
      <c r="AU52" s="306"/>
      <c r="AV52" s="306"/>
      <c r="AW52" s="306"/>
      <c r="AX52" s="306"/>
      <c r="AY52" s="306"/>
      <c r="AZ52" s="306"/>
      <c r="BA52" s="306"/>
      <c r="BB52" s="306"/>
    </row>
    <row r="53" spans="1:59"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15" t="s">
        <v>36</v>
      </c>
      <c r="T53" s="306">
        <f>Q43+N44</f>
        <v>8.7570000000000014</v>
      </c>
      <c r="U53" s="314">
        <f>T53/X50</f>
        <v>0.88396961536525609</v>
      </c>
      <c r="V53" s="306"/>
      <c r="W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306"/>
      <c r="BD53" s="306"/>
      <c r="BE53" s="306"/>
      <c r="BF53" s="306"/>
      <c r="BG53" s="306"/>
    </row>
    <row r="54" spans="1:59">
      <c r="D54" s="379"/>
      <c r="E54" s="379"/>
      <c r="F54" s="379"/>
      <c r="G54" s="379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15" t="s">
        <v>17</v>
      </c>
      <c r="T54" s="306">
        <f>SUM(T51:T53)</f>
        <v>9.1810280000000013</v>
      </c>
      <c r="U54" s="314">
        <f>SUM(U51:U53)</f>
        <v>0.92677284341871036</v>
      </c>
      <c r="V54" s="306"/>
      <c r="W54" s="306"/>
      <c r="X54" s="306"/>
      <c r="Y54" s="306"/>
      <c r="Z54" s="306"/>
      <c r="AN54" s="306"/>
      <c r="AO54" s="306"/>
      <c r="AP54" s="306"/>
      <c r="AQ54" s="306"/>
      <c r="AR54" s="306"/>
      <c r="AS54" s="306"/>
      <c r="AT54" s="306"/>
      <c r="AU54" s="306"/>
      <c r="AV54" s="306"/>
      <c r="AW54" s="306"/>
      <c r="AX54" s="306"/>
      <c r="AY54" s="306"/>
      <c r="AZ54" s="306"/>
      <c r="BA54" s="306"/>
      <c r="BB54" s="306"/>
      <c r="BC54" s="306"/>
      <c r="BD54" s="306"/>
      <c r="BE54" s="306"/>
      <c r="BF54" s="306"/>
      <c r="BG54" s="306"/>
    </row>
    <row r="55" spans="1:59"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15" t="s">
        <v>37</v>
      </c>
      <c r="T55" s="145">
        <f>X50-T54</f>
        <v>0.72542109936368071</v>
      </c>
      <c r="U55" s="314">
        <f>T55/X50</f>
        <v>7.3227156581289699E-2</v>
      </c>
      <c r="V55" s="306"/>
      <c r="W55" s="306"/>
      <c r="X55" s="306"/>
      <c r="Y55" s="306"/>
      <c r="Z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6"/>
      <c r="AZ55" s="306"/>
      <c r="BA55" s="306"/>
      <c r="BB55" s="306"/>
      <c r="BC55" s="306"/>
      <c r="BD55" s="306"/>
      <c r="BE55" s="306"/>
      <c r="BF55" s="306"/>
      <c r="BG55" s="306"/>
    </row>
    <row r="56" spans="1:59"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T56" s="306"/>
      <c r="U56" s="306"/>
      <c r="V56" s="306"/>
      <c r="W56" s="306"/>
      <c r="X56" s="306"/>
      <c r="Y56" s="306"/>
      <c r="Z56" s="306"/>
      <c r="AN56" s="306"/>
      <c r="AO56" s="306"/>
      <c r="AP56" s="306"/>
      <c r="AQ56" s="306"/>
      <c r="AR56" s="306"/>
      <c r="AS56" s="306"/>
      <c r="AT56" s="306"/>
      <c r="AU56" s="306"/>
      <c r="AV56" s="306"/>
      <c r="AW56" s="306"/>
      <c r="AX56" s="306"/>
      <c r="AY56" s="306"/>
      <c r="AZ56" s="306"/>
      <c r="BA56" s="306"/>
      <c r="BB56" s="306"/>
      <c r="BC56" s="306"/>
      <c r="BD56" s="306"/>
      <c r="BE56" s="306"/>
      <c r="BF56" s="306"/>
      <c r="BG56" s="306"/>
    </row>
    <row r="57" spans="1:59"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W57" s="306"/>
      <c r="X57" s="306"/>
      <c r="Y57" s="306"/>
      <c r="Z57" s="306"/>
      <c r="AN57" s="306"/>
      <c r="AO57" s="306"/>
      <c r="AP57" s="306"/>
      <c r="AQ57" s="306"/>
      <c r="AR57" s="306"/>
      <c r="AS57" s="306"/>
      <c r="AT57" s="306"/>
      <c r="AU57" s="306"/>
      <c r="AV57" s="306"/>
      <c r="AW57" s="306"/>
      <c r="AX57" s="306"/>
      <c r="AY57" s="306"/>
      <c r="AZ57" s="306"/>
      <c r="BA57" s="306"/>
      <c r="BB57" s="306"/>
      <c r="BC57" s="306"/>
      <c r="BD57" s="306"/>
      <c r="BE57" s="306"/>
      <c r="BF57" s="306"/>
      <c r="BG57" s="306"/>
    </row>
    <row r="58" spans="1:59"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6"/>
      <c r="AZ58" s="306"/>
      <c r="BA58" s="306"/>
      <c r="BB58" s="306"/>
      <c r="BC58" s="306"/>
      <c r="BD58" s="306"/>
      <c r="BE58" s="306"/>
      <c r="BF58" s="306"/>
      <c r="BG58" s="306"/>
    </row>
    <row r="59" spans="1:59"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06"/>
      <c r="R59" s="306"/>
      <c r="S59" s="306"/>
      <c r="T59" s="306"/>
      <c r="U59" s="306"/>
      <c r="V59" s="306"/>
      <c r="W59" s="306"/>
      <c r="X59" s="306"/>
      <c r="Y59" s="306"/>
      <c r="Z59" s="306"/>
      <c r="AA59" s="306"/>
      <c r="AB59" s="306"/>
      <c r="AC59" s="306"/>
      <c r="AD59" s="306"/>
      <c r="AE59" s="306"/>
      <c r="AF59" s="306"/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  <c r="AW59" s="306"/>
      <c r="AX59" s="306"/>
      <c r="AY59" s="306"/>
      <c r="AZ59" s="306"/>
      <c r="BA59" s="306"/>
      <c r="BB59" s="306"/>
      <c r="BC59" s="306"/>
      <c r="BD59" s="306"/>
      <c r="BE59" s="306"/>
      <c r="BF59" s="306"/>
      <c r="BG59" s="306"/>
    </row>
    <row r="60" spans="1:59"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 s="306"/>
      <c r="BB60" s="306"/>
      <c r="BC60" s="306"/>
      <c r="BD60" s="306"/>
      <c r="BE60" s="306"/>
      <c r="BF60" s="306"/>
      <c r="BG60" s="306"/>
    </row>
    <row r="61" spans="1:59"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306"/>
      <c r="AB61" s="306"/>
      <c r="AC61" s="306"/>
      <c r="AD61" s="306"/>
      <c r="AE61" s="306"/>
      <c r="AF61" s="306"/>
      <c r="AG61" s="306"/>
      <c r="AH61" s="306"/>
      <c r="AI61" s="306"/>
      <c r="AJ61" s="306"/>
      <c r="AK61" s="306"/>
      <c r="AL61" s="306"/>
      <c r="AM61" s="306"/>
      <c r="AN61" s="306"/>
      <c r="AO61" s="306"/>
      <c r="AP61" s="306"/>
      <c r="AQ61" s="306"/>
      <c r="AR61" s="306"/>
      <c r="AS61" s="306"/>
      <c r="AT61" s="306"/>
      <c r="AU61" s="306"/>
      <c r="AV61" s="306"/>
      <c r="AW61" s="306"/>
      <c r="AX61" s="306"/>
      <c r="AY61" s="306"/>
      <c r="AZ61" s="306"/>
      <c r="BA61" s="306"/>
      <c r="BB61" s="306"/>
      <c r="BC61" s="306"/>
      <c r="BD61" s="306"/>
      <c r="BE61" s="306"/>
      <c r="BF61" s="306"/>
      <c r="BG61" s="306"/>
    </row>
    <row r="62" spans="1:59">
      <c r="D62" s="306"/>
      <c r="E62" s="306"/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06"/>
      <c r="Q62" s="306"/>
      <c r="R62" s="306"/>
      <c r="S62" s="306"/>
      <c r="T62" s="306"/>
      <c r="U62" s="306"/>
      <c r="V62" s="306"/>
      <c r="W62" s="306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306"/>
      <c r="AI62" s="306"/>
      <c r="AJ62" s="306"/>
      <c r="AK62" s="306"/>
      <c r="AL62" s="306"/>
      <c r="AM62" s="306"/>
      <c r="AN62" s="306"/>
      <c r="AO62" s="306"/>
      <c r="AP62" s="306"/>
      <c r="AQ62" s="306"/>
      <c r="AR62" s="306"/>
      <c r="AS62" s="306"/>
      <c r="AT62" s="306"/>
      <c r="AU62" s="306"/>
      <c r="AV62" s="306"/>
      <c r="AW62" s="306"/>
      <c r="AX62" s="306"/>
      <c r="AY62" s="306"/>
      <c r="AZ62" s="306"/>
      <c r="BA62" s="306"/>
      <c r="BB62" s="306"/>
      <c r="BC62" s="306"/>
      <c r="BD62" s="306"/>
      <c r="BE62" s="306"/>
      <c r="BF62" s="306"/>
      <c r="BG62" s="306"/>
    </row>
    <row r="63" spans="1:59"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Y63" s="306"/>
      <c r="Z63" s="306"/>
      <c r="AA63" s="306"/>
      <c r="AB63" s="306"/>
      <c r="AC63" s="306"/>
      <c r="AD63" s="306"/>
      <c r="AE63" s="306"/>
      <c r="AF63" s="306"/>
      <c r="AG63" s="306"/>
      <c r="AH63" s="306"/>
      <c r="AI63" s="306"/>
      <c r="AJ63" s="306"/>
      <c r="AK63" s="306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  <c r="AW63" s="306"/>
      <c r="AX63" s="306"/>
      <c r="AY63" s="306"/>
      <c r="AZ63" s="306"/>
      <c r="BA63" s="306"/>
      <c r="BB63" s="306"/>
      <c r="BC63" s="306"/>
      <c r="BD63" s="306"/>
      <c r="BE63" s="306"/>
      <c r="BF63" s="306"/>
      <c r="BG63" s="306"/>
    </row>
    <row r="64" spans="1:59"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  <c r="X64" s="306"/>
      <c r="Y64" s="306"/>
      <c r="Z64" s="306"/>
      <c r="AA64" s="306"/>
      <c r="AB64" s="306"/>
      <c r="AC64" s="306"/>
      <c r="AD64" s="306"/>
      <c r="AE64" s="306"/>
      <c r="AF64" s="306"/>
      <c r="AG64" s="306"/>
      <c r="AH64" s="306"/>
      <c r="AI64" s="306"/>
      <c r="AJ64" s="306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306"/>
      <c r="AV64" s="306"/>
      <c r="AW64" s="306"/>
      <c r="AX64" s="306"/>
      <c r="AY64" s="306"/>
      <c r="AZ64" s="306"/>
      <c r="BA64" s="306"/>
      <c r="BB64" s="306"/>
      <c r="BC64" s="306"/>
      <c r="BD64" s="306"/>
      <c r="BE64" s="306"/>
      <c r="BF64" s="306"/>
      <c r="BG64" s="306"/>
    </row>
    <row r="65" spans="4:59"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306"/>
      <c r="AB65" s="306"/>
      <c r="AC65" s="306"/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  <c r="AW65" s="306"/>
      <c r="AX65" s="306"/>
      <c r="AY65" s="306"/>
      <c r="AZ65" s="306"/>
      <c r="BA65" s="306"/>
      <c r="BB65" s="306"/>
      <c r="BC65" s="306"/>
      <c r="BD65" s="306"/>
      <c r="BE65" s="306"/>
      <c r="BF65" s="306"/>
      <c r="BG65" s="306"/>
    </row>
    <row r="66" spans="4:59">
      <c r="D66" s="306"/>
      <c r="E66" s="306"/>
      <c r="F66" s="306"/>
      <c r="G66" s="306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6"/>
      <c r="AU66" s="306"/>
      <c r="AV66" s="306"/>
      <c r="AW66" s="306"/>
      <c r="AX66" s="306"/>
      <c r="AY66" s="306"/>
      <c r="AZ66" s="306"/>
      <c r="BA66" s="306"/>
      <c r="BB66" s="306"/>
      <c r="BC66" s="306"/>
      <c r="BD66" s="306"/>
      <c r="BE66" s="306"/>
      <c r="BF66" s="306"/>
      <c r="BG66" s="306"/>
    </row>
    <row r="67" spans="4:59"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  <c r="AB67" s="306"/>
      <c r="AC67" s="306"/>
      <c r="AD67" s="306"/>
      <c r="AE67" s="306"/>
      <c r="AF67" s="306"/>
      <c r="AG67" s="306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  <c r="AW67" s="306"/>
      <c r="AX67" s="306"/>
      <c r="AY67" s="306"/>
      <c r="AZ67" s="306"/>
      <c r="BA67" s="306"/>
      <c r="BB67" s="306"/>
      <c r="BC67" s="306"/>
      <c r="BD67" s="306"/>
      <c r="BE67" s="306"/>
      <c r="BF67" s="306"/>
      <c r="BG67" s="306"/>
    </row>
    <row r="68" spans="4:59"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  <c r="AB68" s="306"/>
      <c r="AC68" s="306"/>
      <c r="AD68" s="306"/>
      <c r="AE68" s="306"/>
      <c r="AF68" s="306"/>
      <c r="AG68" s="306"/>
      <c r="AH68" s="306"/>
      <c r="AI68" s="306"/>
      <c r="AJ68" s="306"/>
      <c r="AK68" s="306"/>
      <c r="AL68" s="306"/>
      <c r="AM68" s="306"/>
      <c r="AN68" s="306"/>
      <c r="AO68" s="306"/>
      <c r="AP68" s="306"/>
      <c r="AQ68" s="306"/>
      <c r="AR68" s="306"/>
      <c r="AS68" s="306"/>
      <c r="AT68" s="306"/>
      <c r="AU68" s="306"/>
      <c r="AV68" s="306"/>
      <c r="AW68" s="306"/>
      <c r="AX68" s="306"/>
      <c r="AY68" s="306"/>
      <c r="AZ68" s="306"/>
      <c r="BA68" s="306"/>
      <c r="BB68" s="306"/>
      <c r="BC68" s="306"/>
      <c r="BD68" s="306"/>
      <c r="BE68" s="306"/>
      <c r="BF68" s="306"/>
      <c r="BG68" s="306"/>
    </row>
    <row r="69" spans="4:59"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  <c r="AB69" s="306"/>
      <c r="AC69" s="306"/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  <c r="AW69" s="306"/>
      <c r="AX69" s="306"/>
      <c r="AY69" s="306"/>
      <c r="AZ69" s="306"/>
      <c r="BA69" s="306"/>
      <c r="BB69" s="306"/>
      <c r="BC69" s="306"/>
      <c r="BD69" s="306"/>
      <c r="BE69" s="306"/>
      <c r="BF69" s="306"/>
      <c r="BG69" s="306"/>
    </row>
    <row r="70" spans="4:59"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  <c r="AB70" s="306"/>
      <c r="AC70" s="306"/>
      <c r="AD70" s="306"/>
      <c r="AE70" s="306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  <c r="AW70" s="306"/>
      <c r="AX70" s="306"/>
      <c r="AY70" s="306"/>
      <c r="AZ70" s="306"/>
      <c r="BA70" s="306"/>
      <c r="BB70" s="306"/>
      <c r="BC70" s="306"/>
      <c r="BD70" s="306"/>
      <c r="BE70" s="306"/>
      <c r="BF70" s="306"/>
      <c r="BG70" s="306"/>
    </row>
    <row r="71" spans="4:59"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  <c r="Z71" s="306"/>
      <c r="AA71" s="306"/>
      <c r="AB71" s="306"/>
      <c r="AC71" s="306"/>
      <c r="AD71" s="306"/>
      <c r="AE71" s="306"/>
      <c r="AF71" s="306"/>
      <c r="AG71" s="306"/>
      <c r="AH71" s="306"/>
      <c r="AI71" s="306"/>
      <c r="AJ71" s="306"/>
      <c r="AK71" s="306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  <c r="AW71" s="306"/>
      <c r="AX71" s="306"/>
      <c r="AY71" s="306"/>
      <c r="AZ71" s="306"/>
      <c r="BA71" s="306"/>
      <c r="BB71" s="306"/>
      <c r="BC71" s="306"/>
      <c r="BD71" s="306"/>
      <c r="BE71" s="306"/>
      <c r="BF71" s="306"/>
      <c r="BG71" s="306"/>
    </row>
    <row r="72" spans="4:59"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  <c r="AB72" s="306"/>
      <c r="AC72" s="306"/>
      <c r="AD72" s="306"/>
      <c r="AE72" s="306"/>
      <c r="AF72" s="306"/>
      <c r="AG72" s="306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  <c r="AW72" s="379"/>
      <c r="AX72" s="379"/>
      <c r="AY72" s="306"/>
      <c r="AZ72" s="306"/>
      <c r="BA72" s="306"/>
      <c r="BB72" s="306"/>
      <c r="BC72" s="306"/>
      <c r="BD72" s="306"/>
      <c r="BE72" s="306"/>
      <c r="BF72" s="306"/>
      <c r="BG72" s="306"/>
    </row>
    <row r="73" spans="4:59"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  <c r="AB73" s="306"/>
      <c r="AC73" s="306"/>
      <c r="AD73" s="306"/>
      <c r="AE73" s="306"/>
      <c r="AF73" s="306"/>
      <c r="AG73" s="306"/>
      <c r="AH73" s="306"/>
      <c r="AI73" s="306"/>
      <c r="AJ73" s="306"/>
      <c r="AK73" s="306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  <c r="AW73" s="306"/>
      <c r="AX73" s="306"/>
      <c r="AY73" s="306"/>
      <c r="AZ73" s="306"/>
      <c r="BA73" s="306"/>
      <c r="BB73" s="306"/>
      <c r="BC73" s="306"/>
      <c r="BD73" s="306"/>
      <c r="BE73" s="306"/>
      <c r="BF73" s="306"/>
      <c r="BG73" s="306"/>
    </row>
    <row r="74" spans="4:59"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  <c r="AW74" s="306"/>
      <c r="AX74" s="306"/>
      <c r="AY74" s="306"/>
      <c r="AZ74" s="306"/>
      <c r="BA74" s="306"/>
      <c r="BB74" s="306"/>
      <c r="BC74" s="306"/>
      <c r="BD74" s="306"/>
      <c r="BE74" s="306"/>
      <c r="BF74" s="306"/>
      <c r="BG74" s="306"/>
    </row>
    <row r="75" spans="4:59">
      <c r="D75" s="306"/>
      <c r="E75" s="306"/>
      <c r="F75" s="306"/>
      <c r="G75" s="306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  <c r="X75" s="306"/>
      <c r="Y75" s="306"/>
      <c r="Z75" s="306"/>
      <c r="AA75" s="306"/>
      <c r="AB75" s="306"/>
      <c r="AC75" s="306"/>
      <c r="AD75" s="306"/>
      <c r="AE75" s="306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  <c r="AR75" s="306"/>
      <c r="AS75" s="306"/>
      <c r="AT75" s="306"/>
      <c r="AU75" s="306"/>
      <c r="AV75" s="306"/>
      <c r="AW75" s="306"/>
      <c r="AX75" s="306"/>
      <c r="AY75" s="306"/>
      <c r="AZ75" s="306"/>
      <c r="BA75" s="306"/>
      <c r="BB75" s="306"/>
      <c r="BC75" s="306"/>
      <c r="BD75" s="306"/>
      <c r="BE75" s="306"/>
      <c r="BF75" s="306"/>
      <c r="BG75" s="306"/>
    </row>
    <row r="76" spans="4:59"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</row>
    <row r="77" spans="4:59"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</row>
    <row r="78" spans="4:59"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  <c r="AW78" s="306"/>
      <c r="AX78" s="306"/>
      <c r="AY78" s="306"/>
      <c r="AZ78" s="306"/>
      <c r="BA78" s="306"/>
      <c r="BB78" s="306"/>
      <c r="BC78" s="306"/>
      <c r="BD78" s="306"/>
      <c r="BE78" s="306"/>
      <c r="BF78" s="306"/>
      <c r="BG78" s="306"/>
    </row>
    <row r="79" spans="4:59"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06"/>
      <c r="AB79" s="306"/>
      <c r="AC79" s="306"/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  <c r="AV79" s="306"/>
      <c r="AW79" s="306"/>
      <c r="AX79" s="306"/>
      <c r="AY79" s="306"/>
      <c r="AZ79" s="306"/>
      <c r="BA79" s="306"/>
      <c r="BB79" s="306"/>
      <c r="BC79" s="306"/>
      <c r="BD79" s="306"/>
      <c r="BE79" s="306"/>
      <c r="BF79" s="306"/>
      <c r="BG79" s="306"/>
    </row>
    <row r="80" spans="4:59"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  <c r="AW80" s="306"/>
      <c r="AX80" s="306"/>
      <c r="AY80" s="306"/>
      <c r="AZ80" s="306"/>
      <c r="BA80" s="306"/>
      <c r="BB80" s="306"/>
      <c r="BC80" s="306"/>
      <c r="BD80" s="306"/>
      <c r="BE80" s="306"/>
      <c r="BF80" s="306"/>
      <c r="BG80" s="306"/>
    </row>
    <row r="81" spans="4:59"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  <c r="AW81" s="306"/>
      <c r="AX81" s="306"/>
      <c r="AY81" s="306"/>
      <c r="AZ81" s="306"/>
      <c r="BA81" s="306"/>
      <c r="BB81" s="306"/>
      <c r="BC81" s="306"/>
      <c r="BD81" s="306"/>
      <c r="BE81" s="306"/>
      <c r="BF81" s="306"/>
      <c r="BG81" s="306"/>
    </row>
    <row r="82" spans="4:59">
      <c r="D82" s="306"/>
      <c r="E82" s="306"/>
      <c r="F82" s="306"/>
      <c r="G82" s="306"/>
      <c r="H82" s="306"/>
      <c r="I82" s="306"/>
      <c r="J82" s="306"/>
      <c r="K82" s="306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  <c r="AS82" s="306"/>
      <c r="AT82" s="306"/>
      <c r="AU82" s="306"/>
      <c r="AV82" s="306"/>
      <c r="AW82" s="306"/>
      <c r="AX82" s="306"/>
      <c r="AY82" s="306"/>
      <c r="AZ82" s="306"/>
      <c r="BA82" s="306"/>
      <c r="BB82" s="306"/>
      <c r="BC82" s="306"/>
      <c r="BD82" s="306"/>
      <c r="BE82" s="306"/>
      <c r="BF82" s="306"/>
      <c r="BG82" s="306"/>
    </row>
    <row r="83" spans="4:59">
      <c r="D83" s="306"/>
      <c r="E83" s="306"/>
      <c r="F83" s="306"/>
      <c r="G83" s="306"/>
      <c r="H83" s="306"/>
      <c r="I83" s="306"/>
      <c r="J83" s="306"/>
      <c r="K83" s="306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  <c r="AR83" s="306"/>
      <c r="AS83" s="306"/>
      <c r="AT83" s="306"/>
      <c r="AU83" s="306"/>
      <c r="AV83" s="306"/>
      <c r="AW83" s="306"/>
      <c r="AX83" s="306"/>
      <c r="AY83" s="306"/>
      <c r="AZ83" s="306"/>
      <c r="BA83" s="306"/>
      <c r="BB83" s="306"/>
      <c r="BC83" s="306"/>
      <c r="BD83" s="306"/>
      <c r="BE83" s="306"/>
      <c r="BF83" s="306"/>
      <c r="BG83" s="306"/>
    </row>
    <row r="84" spans="4:59"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306"/>
      <c r="AB84" s="306"/>
      <c r="AC84" s="306"/>
      <c r="AD84" s="306"/>
      <c r="AE84" s="306"/>
      <c r="AF84" s="306"/>
      <c r="AG84" s="306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  <c r="AR84" s="306"/>
      <c r="AS84" s="306"/>
      <c r="AT84" s="306"/>
      <c r="AU84" s="306"/>
      <c r="AV84" s="306"/>
      <c r="AW84" s="306"/>
      <c r="AX84" s="306"/>
      <c r="AY84" s="306"/>
      <c r="AZ84" s="306"/>
      <c r="BA84" s="306"/>
      <c r="BB84" s="306"/>
      <c r="BC84" s="306"/>
      <c r="BD84" s="306"/>
      <c r="BE84" s="306"/>
      <c r="BF84" s="306"/>
      <c r="BG84" s="306"/>
    </row>
    <row r="85" spans="4:59"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  <c r="X85" s="306"/>
      <c r="Y85" s="306"/>
      <c r="Z85" s="306"/>
      <c r="AA85" s="306"/>
      <c r="AB85" s="306"/>
      <c r="AC85" s="306"/>
      <c r="AD85" s="306"/>
      <c r="AE85" s="306"/>
      <c r="AF85" s="306"/>
      <c r="AG85" s="306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  <c r="AR85" s="306"/>
      <c r="AS85" s="306"/>
      <c r="AT85" s="306"/>
      <c r="AU85" s="306"/>
      <c r="AV85" s="306"/>
      <c r="AW85" s="306"/>
      <c r="AX85" s="306"/>
      <c r="AY85" s="306"/>
      <c r="AZ85" s="306"/>
      <c r="BA85" s="306"/>
      <c r="BB85" s="306"/>
      <c r="BC85" s="306"/>
      <c r="BD85" s="306"/>
      <c r="BE85" s="306"/>
      <c r="BF85" s="306"/>
      <c r="BG85" s="306"/>
    </row>
    <row r="86" spans="4:59"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306"/>
      <c r="AB86" s="306"/>
      <c r="AC86" s="306"/>
      <c r="AD86" s="306"/>
      <c r="AE86" s="306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  <c r="AR86" s="306"/>
      <c r="AS86" s="306"/>
      <c r="AT86" s="306"/>
      <c r="AU86" s="306"/>
      <c r="AV86" s="306"/>
      <c r="AW86" s="306"/>
      <c r="AX86" s="306"/>
      <c r="AY86" s="306"/>
      <c r="AZ86" s="306"/>
      <c r="BA86" s="306"/>
      <c r="BB86" s="306"/>
      <c r="BC86" s="306"/>
      <c r="BD86" s="306"/>
      <c r="BE86" s="306"/>
      <c r="BF86" s="306"/>
      <c r="BG86" s="306"/>
    </row>
    <row r="87" spans="4:59"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306"/>
      <c r="AB87" s="306"/>
      <c r="AC87" s="306"/>
      <c r="AD87" s="306"/>
      <c r="AE87" s="306"/>
      <c r="AF87" s="306"/>
      <c r="AG87" s="306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  <c r="AR87" s="306"/>
      <c r="AS87" s="306"/>
      <c r="AT87" s="306"/>
      <c r="AU87" s="306"/>
      <c r="AV87" s="306"/>
      <c r="AW87" s="306"/>
      <c r="AX87" s="306"/>
      <c r="AY87" s="306"/>
      <c r="AZ87" s="306"/>
      <c r="BA87" s="306"/>
      <c r="BB87" s="306"/>
      <c r="BC87" s="306"/>
      <c r="BD87" s="306"/>
      <c r="BE87" s="306"/>
      <c r="BF87" s="306"/>
      <c r="BG87" s="306"/>
    </row>
    <row r="88" spans="4:59">
      <c r="D88" s="306"/>
      <c r="E88" s="306"/>
      <c r="F88" s="306"/>
      <c r="G88" s="306"/>
      <c r="H88" s="306"/>
      <c r="I88" s="306"/>
      <c r="J88" s="306"/>
      <c r="K88" s="306"/>
      <c r="L88" s="306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306"/>
      <c r="AF88" s="306"/>
      <c r="AG88" s="306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  <c r="AR88" s="306"/>
      <c r="AS88" s="306"/>
      <c r="AT88" s="306"/>
      <c r="AU88" s="306"/>
      <c r="AV88" s="306"/>
      <c r="AW88" s="306"/>
      <c r="AX88" s="306"/>
      <c r="AY88" s="306"/>
      <c r="AZ88" s="306"/>
      <c r="BA88" s="306"/>
      <c r="BB88" s="306"/>
      <c r="BC88" s="306"/>
      <c r="BD88" s="306"/>
      <c r="BE88" s="306"/>
      <c r="BF88" s="306"/>
      <c r="BG88" s="306"/>
    </row>
    <row r="89" spans="4:59"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  <c r="X89" s="306"/>
      <c r="Y89" s="306"/>
      <c r="Z89" s="306"/>
      <c r="AA89" s="306"/>
      <c r="AB89" s="306"/>
      <c r="AC89" s="306"/>
      <c r="AD89" s="306"/>
      <c r="AE89" s="306"/>
      <c r="AF89" s="306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  <c r="AW89" s="306"/>
      <c r="AX89" s="306"/>
      <c r="AY89" s="306"/>
      <c r="AZ89" s="306"/>
      <c r="BA89" s="306"/>
      <c r="BB89" s="306"/>
      <c r="BC89" s="306"/>
      <c r="BD89" s="306"/>
      <c r="BE89" s="306"/>
      <c r="BF89" s="306"/>
      <c r="BG89" s="306"/>
    </row>
    <row r="90" spans="4:59"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  <c r="AR90" s="306"/>
      <c r="AS90" s="306"/>
      <c r="AT90" s="306"/>
      <c r="AU90" s="306"/>
      <c r="AV90" s="306"/>
      <c r="AW90" s="306"/>
      <c r="AX90" s="306"/>
      <c r="AY90" s="306"/>
      <c r="AZ90" s="306"/>
      <c r="BA90" s="306"/>
      <c r="BB90" s="306"/>
      <c r="BC90" s="306"/>
      <c r="BD90" s="306"/>
      <c r="BE90" s="306"/>
      <c r="BF90" s="306"/>
      <c r="BG90" s="306"/>
    </row>
    <row r="91" spans="4:59"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  <c r="AR91" s="306"/>
      <c r="AS91" s="306"/>
      <c r="AT91" s="306"/>
      <c r="AU91" s="306"/>
      <c r="AV91" s="306"/>
      <c r="AW91" s="306"/>
      <c r="AX91" s="306"/>
      <c r="AY91" s="306"/>
      <c r="AZ91" s="306"/>
      <c r="BA91" s="306"/>
      <c r="BB91" s="306"/>
      <c r="BC91" s="306"/>
      <c r="BD91" s="306"/>
      <c r="BE91" s="306"/>
      <c r="BF91" s="306"/>
      <c r="BG91" s="306"/>
    </row>
    <row r="92" spans="4:59"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  <c r="AR92" s="306"/>
      <c r="AS92" s="306"/>
      <c r="AT92" s="306"/>
      <c r="AU92" s="306"/>
      <c r="AV92" s="306"/>
      <c r="AW92" s="306"/>
      <c r="AX92" s="306"/>
      <c r="AY92" s="306"/>
      <c r="AZ92" s="306"/>
      <c r="BA92" s="306"/>
      <c r="BB92" s="306"/>
      <c r="BC92" s="306"/>
      <c r="BD92" s="306"/>
      <c r="BE92" s="306"/>
      <c r="BF92" s="306"/>
      <c r="BG92" s="306"/>
    </row>
    <row r="93" spans="4:59"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/>
      <c r="AC93" s="306"/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  <c r="AW93" s="306"/>
      <c r="AX93" s="306"/>
      <c r="AY93" s="306"/>
      <c r="AZ93" s="306"/>
      <c r="BA93" s="306"/>
      <c r="BB93" s="306"/>
      <c r="BC93" s="306"/>
      <c r="BD93" s="306"/>
      <c r="BE93" s="306"/>
      <c r="BF93" s="306"/>
      <c r="BG93" s="306"/>
    </row>
    <row r="94" spans="4:59"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  <c r="AW94" s="306"/>
      <c r="AX94" s="306"/>
      <c r="AY94" s="306"/>
      <c r="AZ94" s="306"/>
      <c r="BA94" s="306"/>
      <c r="BB94" s="306"/>
      <c r="BC94" s="306"/>
      <c r="BD94" s="306"/>
      <c r="BE94" s="306"/>
      <c r="BF94" s="306"/>
      <c r="BG94" s="306"/>
    </row>
    <row r="95" spans="4:59"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  <c r="AC95" s="306"/>
      <c r="AD95" s="306"/>
      <c r="AE95" s="306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  <c r="AR95" s="306"/>
      <c r="AS95" s="306"/>
      <c r="AT95" s="306"/>
      <c r="AU95" s="306"/>
      <c r="AV95" s="306"/>
      <c r="AW95" s="306"/>
      <c r="AX95" s="306"/>
      <c r="AY95" s="306"/>
      <c r="AZ95" s="306"/>
      <c r="BA95" s="306"/>
      <c r="BB95" s="306"/>
      <c r="BC95" s="306"/>
      <c r="BD95" s="306"/>
      <c r="BE95" s="306"/>
      <c r="BF95" s="306"/>
      <c r="BG95" s="306"/>
    </row>
    <row r="96" spans="4:59"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  <c r="AR96" s="306"/>
      <c r="AS96" s="306"/>
      <c r="AT96" s="306"/>
      <c r="AU96" s="306"/>
      <c r="AV96" s="306"/>
      <c r="AW96" s="306"/>
      <c r="AX96" s="306"/>
      <c r="AY96" s="306"/>
      <c r="AZ96" s="306"/>
      <c r="BA96" s="306"/>
      <c r="BB96" s="306"/>
      <c r="BC96" s="306"/>
      <c r="BD96" s="306"/>
      <c r="BE96" s="306"/>
      <c r="BF96" s="306"/>
      <c r="BG96" s="306"/>
    </row>
    <row r="97" spans="4:59"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  <c r="AC97" s="306"/>
      <c r="AD97" s="306"/>
      <c r="AE97" s="306"/>
      <c r="AF97" s="306"/>
      <c r="AG97" s="306"/>
      <c r="AH97" s="306"/>
      <c r="AI97" s="306"/>
      <c r="AJ97" s="306"/>
      <c r="AK97" s="306"/>
      <c r="AL97" s="306"/>
      <c r="AM97" s="306"/>
      <c r="AN97" s="306"/>
      <c r="AO97" s="306"/>
      <c r="AP97" s="306"/>
      <c r="AQ97" s="306"/>
      <c r="AR97" s="306"/>
      <c r="AS97" s="306"/>
      <c r="AT97" s="306"/>
      <c r="AU97" s="306"/>
      <c r="AV97" s="306"/>
      <c r="AW97" s="306"/>
      <c r="AX97" s="306"/>
      <c r="AY97" s="306"/>
      <c r="AZ97" s="306"/>
      <c r="BA97" s="306"/>
      <c r="BB97" s="306"/>
      <c r="BC97" s="306"/>
      <c r="BD97" s="306"/>
      <c r="BE97" s="306"/>
      <c r="BF97" s="306"/>
      <c r="BG97" s="306"/>
    </row>
    <row r="98" spans="4:59"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  <c r="AC98" s="306"/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  <c r="AR98" s="306"/>
      <c r="AS98" s="306"/>
      <c r="AT98" s="306"/>
      <c r="AU98" s="306"/>
      <c r="AV98" s="306"/>
      <c r="AW98" s="306"/>
      <c r="AX98" s="306"/>
      <c r="AY98" s="306"/>
      <c r="AZ98" s="306"/>
      <c r="BA98" s="306"/>
      <c r="BB98" s="306"/>
      <c r="BC98" s="306"/>
      <c r="BD98" s="306"/>
      <c r="BE98" s="306"/>
      <c r="BF98" s="306"/>
      <c r="BG98" s="306"/>
    </row>
    <row r="99" spans="4:59">
      <c r="D99" s="306"/>
      <c r="E99" s="306"/>
      <c r="F99" s="306"/>
      <c r="G99" s="306"/>
      <c r="H99" s="306"/>
      <c r="I99" s="306"/>
      <c r="J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  <c r="AC99" s="306"/>
      <c r="AD99" s="306"/>
      <c r="AE99" s="306"/>
      <c r="AF99" s="306"/>
      <c r="AG99" s="306"/>
      <c r="AH99" s="306"/>
      <c r="AI99" s="306"/>
      <c r="AJ99" s="306"/>
      <c r="AK99" s="306"/>
      <c r="AL99" s="306"/>
      <c r="AM99" s="306"/>
      <c r="AN99" s="306"/>
      <c r="AO99" s="306"/>
      <c r="AP99" s="306"/>
      <c r="AQ99" s="306"/>
      <c r="AR99" s="306"/>
      <c r="AS99" s="306"/>
      <c r="AT99" s="306"/>
      <c r="AU99" s="306"/>
      <c r="AV99" s="306"/>
      <c r="AW99" s="306"/>
      <c r="AX99" s="306"/>
      <c r="AY99" s="306"/>
      <c r="AZ99" s="306"/>
      <c r="BA99" s="306"/>
      <c r="BB99" s="306"/>
      <c r="BC99" s="306"/>
      <c r="BD99" s="306"/>
      <c r="BE99" s="306"/>
      <c r="BF99" s="306"/>
      <c r="BG99" s="306"/>
    </row>
    <row r="100" spans="4:59"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  <c r="AN100" s="306"/>
      <c r="AO100" s="306"/>
      <c r="AP100" s="306"/>
      <c r="AQ100" s="306"/>
      <c r="AR100" s="306"/>
      <c r="AS100" s="306"/>
      <c r="AT100" s="306"/>
      <c r="AU100" s="306"/>
      <c r="AV100" s="306"/>
      <c r="AW100" s="306"/>
      <c r="AX100" s="306"/>
      <c r="AY100" s="306"/>
      <c r="AZ100" s="306"/>
      <c r="BA100" s="306"/>
      <c r="BB100" s="306"/>
      <c r="BC100" s="306"/>
      <c r="BD100" s="306"/>
      <c r="BE100" s="306"/>
      <c r="BF100" s="306"/>
      <c r="BG100" s="306"/>
    </row>
    <row r="101" spans="4:59">
      <c r="D101" s="306"/>
      <c r="E101" s="306"/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6"/>
      <c r="AH101" s="306"/>
      <c r="AI101" s="306"/>
      <c r="AJ101" s="306"/>
      <c r="AK101" s="306"/>
      <c r="AL101" s="306"/>
      <c r="AM101" s="306"/>
      <c r="AN101" s="306"/>
      <c r="AO101" s="306"/>
      <c r="AP101" s="306"/>
      <c r="AQ101" s="306"/>
      <c r="AR101" s="306"/>
      <c r="AS101" s="306"/>
      <c r="AT101" s="306"/>
      <c r="AU101" s="306"/>
      <c r="AV101" s="306"/>
      <c r="AW101" s="306"/>
      <c r="AX101" s="306"/>
      <c r="AY101" s="306"/>
      <c r="AZ101" s="306"/>
      <c r="BA101" s="306"/>
      <c r="BB101" s="306"/>
      <c r="BC101" s="306"/>
      <c r="BD101" s="306"/>
      <c r="BE101" s="306"/>
      <c r="BF101" s="306"/>
      <c r="BG101" s="306"/>
    </row>
    <row r="102" spans="4:59"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6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6"/>
      <c r="AV102" s="306"/>
      <c r="AW102" s="306"/>
      <c r="AX102" s="306"/>
      <c r="AY102" s="306"/>
      <c r="AZ102" s="306"/>
      <c r="BA102" s="306"/>
      <c r="BB102" s="306"/>
      <c r="BC102" s="306"/>
      <c r="BD102" s="306"/>
      <c r="BE102" s="306"/>
      <c r="BF102" s="306"/>
      <c r="BG102" s="306"/>
    </row>
    <row r="103" spans="4:59">
      <c r="D103" s="306"/>
      <c r="E103" s="306"/>
      <c r="F103" s="306"/>
      <c r="G103" s="306"/>
      <c r="H103" s="306"/>
      <c r="I103" s="306"/>
      <c r="J103" s="306"/>
      <c r="K103" s="30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6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6"/>
      <c r="AV103" s="306"/>
      <c r="AW103" s="306"/>
      <c r="AX103" s="306"/>
      <c r="AY103" s="306"/>
      <c r="AZ103" s="306"/>
      <c r="BA103" s="306"/>
      <c r="BB103" s="306"/>
      <c r="BC103" s="306"/>
      <c r="BD103" s="306"/>
      <c r="BE103" s="306"/>
      <c r="BF103" s="306"/>
      <c r="BG103" s="306"/>
    </row>
    <row r="104" spans="4:59"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6"/>
      <c r="AH104" s="306"/>
      <c r="AI104" s="306"/>
      <c r="AJ104" s="306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  <c r="AW104" s="306"/>
      <c r="AX104" s="306"/>
      <c r="AY104" s="306"/>
      <c r="AZ104" s="306"/>
      <c r="BA104" s="306"/>
      <c r="BB104" s="306"/>
      <c r="BC104" s="306"/>
      <c r="BD104" s="306"/>
      <c r="BE104" s="306"/>
      <c r="BF104" s="306"/>
      <c r="BG104" s="306"/>
    </row>
    <row r="105" spans="4:59"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6"/>
      <c r="AH105" s="306"/>
      <c r="AI105" s="306"/>
      <c r="AJ105" s="306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  <c r="AW105" s="306"/>
      <c r="AX105" s="306"/>
      <c r="AY105" s="306"/>
      <c r="AZ105" s="306"/>
      <c r="BA105" s="306"/>
      <c r="BB105" s="306"/>
      <c r="BC105" s="306"/>
      <c r="BD105" s="306"/>
      <c r="BE105" s="306"/>
      <c r="BF105" s="306"/>
      <c r="BG105" s="306"/>
    </row>
    <row r="106" spans="4:59"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6"/>
      <c r="AV106" s="306"/>
      <c r="AW106" s="306"/>
      <c r="AX106" s="306"/>
      <c r="AY106" s="306"/>
      <c r="AZ106" s="306"/>
      <c r="BA106" s="306"/>
      <c r="BB106" s="306"/>
      <c r="BC106" s="306"/>
      <c r="BD106" s="306"/>
      <c r="BE106" s="306"/>
      <c r="BF106" s="306"/>
      <c r="BG106" s="306"/>
    </row>
    <row r="107" spans="4:59"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6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  <c r="AW107" s="306"/>
      <c r="AX107" s="306"/>
      <c r="AY107" s="306"/>
      <c r="AZ107" s="306"/>
      <c r="BA107" s="306"/>
      <c r="BB107" s="306"/>
      <c r="BC107" s="306"/>
      <c r="BD107" s="306"/>
      <c r="BE107" s="306"/>
      <c r="BF107" s="306"/>
      <c r="BG107" s="306"/>
    </row>
    <row r="108" spans="4:59"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  <c r="AW108" s="306"/>
      <c r="AX108" s="306"/>
      <c r="AY108" s="306"/>
      <c r="AZ108" s="306"/>
      <c r="BA108" s="306"/>
      <c r="BB108" s="306"/>
      <c r="BC108" s="306"/>
      <c r="BD108" s="306"/>
      <c r="BE108" s="306"/>
      <c r="BF108" s="306"/>
      <c r="BG108" s="306"/>
    </row>
    <row r="109" spans="4:59"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6"/>
      <c r="AH109" s="306"/>
      <c r="AI109" s="306"/>
      <c r="AJ109" s="306"/>
      <c r="AK109" s="306"/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6"/>
      <c r="AV109" s="306"/>
      <c r="AW109" s="306"/>
      <c r="AX109" s="306"/>
      <c r="AY109" s="306"/>
      <c r="AZ109" s="306"/>
      <c r="BA109" s="306"/>
      <c r="BB109" s="306"/>
      <c r="BC109" s="306"/>
      <c r="BD109" s="306"/>
      <c r="BE109" s="306"/>
      <c r="BF109" s="306"/>
      <c r="BG109" s="306"/>
    </row>
    <row r="110" spans="4:59"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6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  <c r="AW110" s="306"/>
      <c r="AX110" s="306"/>
      <c r="AY110" s="306"/>
      <c r="AZ110" s="306"/>
      <c r="BA110" s="306"/>
      <c r="BB110" s="306"/>
      <c r="BC110" s="306"/>
      <c r="BD110" s="306"/>
      <c r="BE110" s="306"/>
      <c r="BF110" s="306"/>
      <c r="BG110" s="306"/>
    </row>
    <row r="111" spans="4:59"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6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  <c r="AW111" s="306"/>
      <c r="AX111" s="306"/>
      <c r="AY111" s="306"/>
      <c r="AZ111" s="306"/>
      <c r="BA111" s="306"/>
      <c r="BB111" s="306"/>
      <c r="BC111" s="306"/>
      <c r="BD111" s="306"/>
      <c r="BE111" s="306"/>
      <c r="BF111" s="306"/>
      <c r="BG111" s="306"/>
    </row>
    <row r="112" spans="4:59"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6"/>
      <c r="AH112" s="306"/>
      <c r="AI112" s="306"/>
      <c r="AJ112" s="306"/>
      <c r="AK112" s="306"/>
      <c r="AL112" s="306"/>
      <c r="AM112" s="306"/>
      <c r="AN112" s="306"/>
      <c r="AO112" s="306"/>
      <c r="AP112" s="306"/>
      <c r="AQ112" s="306"/>
      <c r="AR112" s="306"/>
      <c r="AS112" s="306"/>
      <c r="AT112" s="306"/>
      <c r="AU112" s="306"/>
      <c r="AV112" s="306"/>
      <c r="AW112" s="306"/>
      <c r="AX112" s="306"/>
      <c r="AY112" s="306"/>
      <c r="AZ112" s="306"/>
      <c r="BA112" s="306"/>
      <c r="BB112" s="306"/>
      <c r="BC112" s="306"/>
      <c r="BD112" s="306"/>
      <c r="BE112" s="306"/>
      <c r="BF112" s="306"/>
      <c r="BG112" s="306"/>
    </row>
    <row r="113" spans="4:61"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6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6"/>
      <c r="AV113" s="306"/>
      <c r="AW113" s="306"/>
      <c r="AX113" s="306"/>
      <c r="AY113" s="306"/>
      <c r="AZ113" s="306"/>
      <c r="BA113" s="306"/>
      <c r="BB113" s="306"/>
      <c r="BC113" s="306"/>
      <c r="BD113" s="306"/>
      <c r="BE113" s="306"/>
      <c r="BF113" s="306"/>
      <c r="BG113" s="306"/>
    </row>
    <row r="114" spans="4:61"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6"/>
      <c r="AH114" s="306"/>
      <c r="AI114" s="306"/>
      <c r="AJ114" s="306"/>
      <c r="AK114" s="306"/>
      <c r="AL114" s="306"/>
      <c r="AM114" s="306"/>
      <c r="AN114" s="306"/>
      <c r="AO114" s="306"/>
      <c r="AP114" s="306"/>
      <c r="AQ114" s="306"/>
      <c r="AR114" s="306"/>
      <c r="AS114" s="306"/>
      <c r="AT114" s="306"/>
      <c r="AU114" s="306"/>
      <c r="AV114" s="306"/>
      <c r="AW114" s="306"/>
      <c r="AX114" s="306"/>
      <c r="AY114" s="306"/>
      <c r="AZ114" s="306"/>
      <c r="BA114" s="306"/>
      <c r="BB114" s="306"/>
      <c r="BC114" s="306"/>
      <c r="BD114" s="306"/>
      <c r="BE114" s="306"/>
      <c r="BF114" s="306"/>
      <c r="BG114" s="306"/>
    </row>
    <row r="115" spans="4:61"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6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6"/>
      <c r="AV115" s="306"/>
      <c r="AW115" s="306"/>
      <c r="AX115" s="306"/>
      <c r="AY115" s="306"/>
      <c r="AZ115" s="306"/>
      <c r="BA115" s="306"/>
      <c r="BB115" s="306"/>
      <c r="BC115" s="306"/>
      <c r="BD115" s="306"/>
      <c r="BE115" s="306"/>
      <c r="BF115" s="306"/>
      <c r="BG115" s="306"/>
      <c r="BH115" s="27"/>
      <c r="BI115" s="27"/>
    </row>
    <row r="116" spans="4:61"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6"/>
      <c r="AH116" s="306"/>
      <c r="AI116" s="306"/>
      <c r="AJ116" s="306"/>
      <c r="AK116" s="306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6"/>
      <c r="AV116" s="306"/>
      <c r="AW116" s="306"/>
      <c r="AX116" s="306"/>
      <c r="AY116" s="306"/>
      <c r="AZ116" s="306"/>
      <c r="BA116" s="306"/>
      <c r="BB116" s="306"/>
      <c r="BC116" s="306"/>
      <c r="BD116" s="306"/>
      <c r="BE116" s="306"/>
      <c r="BF116" s="306"/>
      <c r="BG116" s="306"/>
      <c r="BI116" s="22"/>
    </row>
    <row r="117" spans="4:61"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6"/>
      <c r="AH117" s="306"/>
      <c r="AI117" s="306"/>
      <c r="AJ117" s="306"/>
      <c r="AK117" s="306"/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6"/>
      <c r="AV117" s="306"/>
      <c r="AW117" s="306"/>
      <c r="AX117" s="306"/>
      <c r="AY117" s="306"/>
      <c r="AZ117" s="306"/>
      <c r="BA117" s="306"/>
      <c r="BB117" s="306"/>
      <c r="BC117" s="306"/>
      <c r="BD117" s="306"/>
      <c r="BE117" s="306"/>
      <c r="BF117" s="306"/>
      <c r="BG117" s="306"/>
    </row>
    <row r="118" spans="4:61"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6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  <c r="AW118" s="306"/>
      <c r="AX118" s="306"/>
      <c r="AY118" s="306"/>
      <c r="AZ118" s="306"/>
      <c r="BA118" s="306"/>
      <c r="BB118" s="306"/>
      <c r="BC118" s="306"/>
      <c r="BD118" s="306"/>
      <c r="BE118" s="306"/>
      <c r="BF118" s="306"/>
      <c r="BG118" s="306"/>
      <c r="BH118" s="56"/>
    </row>
    <row r="119" spans="4:61"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6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  <c r="AW119" s="306"/>
      <c r="AX119" s="306"/>
      <c r="AY119" s="306"/>
      <c r="AZ119" s="306"/>
      <c r="BA119" s="306"/>
      <c r="BB119" s="306"/>
      <c r="BC119" s="306"/>
      <c r="BD119" s="306"/>
      <c r="BE119" s="306"/>
      <c r="BF119" s="306"/>
      <c r="BG119" s="306"/>
    </row>
    <row r="120" spans="4:61"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306"/>
      <c r="AI120" s="306"/>
      <c r="AJ120" s="306"/>
      <c r="AK120" s="306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  <c r="AW120" s="306"/>
      <c r="AX120" s="306"/>
      <c r="AY120" s="306"/>
      <c r="AZ120" s="306"/>
      <c r="BA120" s="306"/>
      <c r="BB120" s="306"/>
      <c r="BC120" s="306"/>
      <c r="BD120" s="306"/>
      <c r="BE120" s="306"/>
      <c r="BF120" s="306"/>
      <c r="BG120" s="306"/>
    </row>
    <row r="121" spans="4:61"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6"/>
      <c r="AH121" s="306"/>
      <c r="AI121" s="306"/>
      <c r="AJ121" s="306"/>
      <c r="AK121" s="306"/>
      <c r="AL121" s="306"/>
      <c r="AM121" s="306"/>
      <c r="AN121" s="306"/>
      <c r="AO121" s="306"/>
      <c r="AP121" s="306"/>
      <c r="AQ121" s="306"/>
      <c r="AR121" s="306"/>
      <c r="AS121" s="306"/>
      <c r="AT121" s="306"/>
      <c r="AU121" s="306"/>
      <c r="AV121" s="306"/>
      <c r="AW121" s="306"/>
      <c r="AX121" s="306"/>
      <c r="AY121" s="306"/>
      <c r="AZ121" s="306"/>
      <c r="BA121" s="306"/>
      <c r="BB121" s="306"/>
      <c r="BC121" s="306"/>
      <c r="BD121" s="306"/>
      <c r="BE121" s="306"/>
      <c r="BF121" s="306"/>
      <c r="BG121" s="306"/>
    </row>
    <row r="122" spans="4:61"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6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79"/>
      <c r="AW122" s="379"/>
      <c r="AX122" s="306"/>
      <c r="AY122" s="306"/>
      <c r="AZ122" s="306"/>
      <c r="BA122" s="306"/>
      <c r="BB122" s="306"/>
      <c r="BC122" s="306"/>
      <c r="BD122" s="306"/>
      <c r="BE122" s="306"/>
      <c r="BF122" s="306"/>
      <c r="BG122" s="306"/>
    </row>
    <row r="123" spans="4:61"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6"/>
      <c r="AH123" s="306"/>
      <c r="AI123" s="306"/>
      <c r="AJ123" s="306"/>
      <c r="AK123" s="306"/>
      <c r="AL123" s="306"/>
      <c r="AM123" s="306"/>
      <c r="AN123" s="306"/>
      <c r="AO123" s="306"/>
      <c r="AP123" s="306"/>
      <c r="AQ123" s="306"/>
      <c r="AR123" s="306"/>
      <c r="AS123" s="306"/>
      <c r="AT123" s="306"/>
      <c r="AU123" s="306"/>
      <c r="AV123" s="306"/>
      <c r="AW123" s="306"/>
      <c r="AX123" s="306"/>
      <c r="AY123" s="306"/>
      <c r="AZ123" s="306"/>
      <c r="BA123" s="306"/>
      <c r="BB123" s="306"/>
      <c r="BC123" s="306"/>
      <c r="BD123" s="306"/>
      <c r="BE123" s="306"/>
      <c r="BF123" s="306"/>
      <c r="BG123" s="306"/>
    </row>
    <row r="124" spans="4:61"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6"/>
      <c r="AH124" s="306"/>
      <c r="AI124" s="306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 s="306"/>
      <c r="BB124" s="306"/>
      <c r="BC124" s="306"/>
      <c r="BD124" s="306"/>
      <c r="BE124" s="306"/>
      <c r="BF124" s="306"/>
      <c r="BG124" s="306"/>
    </row>
    <row r="125" spans="4:61">
      <c r="AR125" s="306"/>
    </row>
    <row r="126" spans="4:61">
      <c r="AR126" s="306"/>
      <c r="AT126" s="306"/>
    </row>
    <row r="127" spans="4:61">
      <c r="AR127" s="306"/>
    </row>
    <row r="128" spans="4:61">
      <c r="AR128" s="306"/>
      <c r="AS128" s="306"/>
      <c r="AT128" s="306"/>
      <c r="AU128" s="306"/>
      <c r="AV128" s="306"/>
      <c r="AW128" s="306"/>
      <c r="AX128" s="306"/>
      <c r="AY128" s="306"/>
      <c r="AZ128" s="306"/>
      <c r="BA128" s="306"/>
      <c r="BB128" s="306"/>
      <c r="BC128" s="306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F38" zoomScale="80" zoomScaleNormal="80" workbookViewId="0">
      <selection activeCell="E36" sqref="E36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6"/>
    </row>
    <row r="2" spans="9:38">
      <c r="AK2" s="306"/>
      <c r="AL2" s="306"/>
    </row>
    <row r="3" spans="9:38">
      <c r="AK3" s="306"/>
      <c r="AL3" s="306"/>
    </row>
    <row r="4" spans="9:38">
      <c r="AK4" s="306"/>
      <c r="AL4" s="306"/>
    </row>
    <row r="5" spans="9:38" ht="21" customHeight="1">
      <c r="I5" s="311"/>
      <c r="AK5" s="306"/>
      <c r="AL5" s="306"/>
    </row>
    <row r="6" spans="9:38">
      <c r="I6" s="306"/>
      <c r="AK6" s="306"/>
      <c r="AL6" s="306"/>
    </row>
    <row r="7" spans="9:38" ht="15.75" customHeight="1">
      <c r="I7" s="306"/>
      <c r="AK7" s="306"/>
      <c r="AL7" s="306"/>
    </row>
    <row r="8" spans="9:38">
      <c r="I8" s="306"/>
      <c r="AK8" s="306"/>
      <c r="AL8" s="306"/>
    </row>
    <row r="9" spans="9:38">
      <c r="I9" s="306"/>
      <c r="AK9" s="306"/>
      <c r="AL9" s="306"/>
    </row>
    <row r="10" spans="9:38">
      <c r="I10" s="306"/>
      <c r="AK10" s="306"/>
      <c r="AL10" s="306"/>
    </row>
    <row r="11" spans="9:38">
      <c r="AK11" s="306"/>
      <c r="AL11" s="306"/>
    </row>
    <row r="12" spans="9:38">
      <c r="AK12" s="306"/>
      <c r="AL12" s="306"/>
    </row>
    <row r="13" spans="9:38">
      <c r="AK13" s="306"/>
      <c r="AL13" s="306"/>
    </row>
    <row r="14" spans="9:38">
      <c r="Q14" s="22"/>
      <c r="T14" s="306"/>
      <c r="U14" s="306"/>
      <c r="V14" s="306"/>
      <c r="W14" s="306"/>
      <c r="AA14" s="306"/>
      <c r="AB14" s="306"/>
      <c r="AC14" s="306"/>
      <c r="AD14" s="306"/>
      <c r="AE14" s="306"/>
      <c r="AF14" s="306"/>
      <c r="AG14" s="306"/>
      <c r="AH14" s="306"/>
      <c r="AI14" s="306"/>
      <c r="AJ14" s="306"/>
      <c r="AK14" s="306"/>
      <c r="AL14" s="306"/>
    </row>
    <row r="15" spans="9:38">
      <c r="T15" s="306"/>
      <c r="U15" s="306"/>
      <c r="V15" s="306"/>
      <c r="W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</row>
    <row r="16" spans="9:38" ht="21">
      <c r="AB16" s="102"/>
      <c r="AC16" s="306"/>
      <c r="AD16" s="306"/>
      <c r="AE16" s="306"/>
      <c r="AF16" s="306"/>
      <c r="AG16" s="306"/>
      <c r="AH16" s="306"/>
      <c r="AI16" s="306"/>
      <c r="AJ16" s="306"/>
      <c r="AK16" s="306"/>
    </row>
    <row r="17" spans="1:38">
      <c r="H17" s="311"/>
      <c r="Q17" s="306"/>
      <c r="W17" s="306"/>
      <c r="X17" s="306"/>
      <c r="Y17" s="306"/>
      <c r="Z17" s="306"/>
      <c r="AA17" s="306"/>
      <c r="AB17" s="306"/>
      <c r="AC17" s="306"/>
      <c r="AD17" s="306"/>
      <c r="AE17" s="306"/>
      <c r="AF17" s="306"/>
      <c r="AG17" s="306"/>
      <c r="AH17" s="306"/>
      <c r="AI17" s="306"/>
      <c r="AJ17" s="306"/>
      <c r="AK17" s="306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216</v>
      </c>
      <c r="N18" s="98"/>
      <c r="O18" s="98"/>
      <c r="Q18" s="306"/>
      <c r="W18" s="306"/>
      <c r="X18" s="306"/>
      <c r="Y18" s="101" t="s">
        <v>218</v>
      </c>
      <c r="Z18" s="101"/>
      <c r="AA18" s="101"/>
      <c r="AB18" s="306"/>
      <c r="AC18" s="306"/>
      <c r="AD18" s="306"/>
      <c r="AE18" s="306"/>
      <c r="AJ18" s="306"/>
      <c r="AK18" s="306"/>
      <c r="AL18" s="306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306"/>
      <c r="AE19" s="306"/>
      <c r="AJ19" s="306"/>
      <c r="AK19" s="306"/>
      <c r="AL19" s="306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306"/>
      <c r="W20" s="306"/>
      <c r="X20" s="403" t="s">
        <v>22</v>
      </c>
      <c r="Y20" s="404"/>
      <c r="Z20" s="404"/>
      <c r="AA20" s="405"/>
      <c r="AB20" s="306"/>
      <c r="AC20" s="306"/>
      <c r="AD20" s="306"/>
      <c r="AK20" s="306"/>
      <c r="AL20" s="306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306"/>
      <c r="O21" s="23"/>
      <c r="X21" s="16"/>
      <c r="Y21" s="17"/>
      <c r="Z21" s="18"/>
      <c r="AK21" s="306"/>
      <c r="AL21" s="306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306"/>
      <c r="L22" s="36" t="s">
        <v>3</v>
      </c>
      <c r="M22" s="34"/>
      <c r="N22" s="15" t="s">
        <v>18</v>
      </c>
      <c r="O22" s="36" t="s">
        <v>49</v>
      </c>
      <c r="P22" s="73">
        <v>84.82</v>
      </c>
      <c r="Q22" s="306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81.31</v>
      </c>
      <c r="AD22" s="306" t="s">
        <v>18</v>
      </c>
      <c r="AK22" s="306"/>
      <c r="AL22" s="306"/>
    </row>
    <row r="23" spans="1:38" ht="18">
      <c r="B23" s="87"/>
      <c r="C23" s="87"/>
      <c r="D23" s="87"/>
      <c r="E23" s="87"/>
      <c r="K23" s="306"/>
      <c r="L23" s="36" t="s">
        <v>4</v>
      </c>
      <c r="M23" s="34"/>
      <c r="N23" s="15" t="s">
        <v>18</v>
      </c>
      <c r="O23" s="36" t="s">
        <v>27</v>
      </c>
      <c r="P23" s="34">
        <f>0.5/100</f>
        <v>5.0000000000000001E-3</v>
      </c>
      <c r="Q23" s="306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0.06/100</f>
        <v>5.9999999999999995E-4</v>
      </c>
      <c r="AD23" s="306" t="s">
        <v>33</v>
      </c>
      <c r="AK23" s="306"/>
      <c r="AL23" s="306"/>
    </row>
    <row r="24" spans="1:38">
      <c r="A24" s="161" t="s">
        <v>160</v>
      </c>
      <c r="B24" s="161"/>
      <c r="K24" s="306"/>
      <c r="L24" s="103" t="s">
        <v>17</v>
      </c>
      <c r="M24" s="34"/>
      <c r="N24" s="15" t="s">
        <v>18</v>
      </c>
      <c r="O24" s="67" t="s">
        <v>30</v>
      </c>
      <c r="P24" s="37">
        <f>P23*P22</f>
        <v>0.42409999999999998</v>
      </c>
      <c r="Q24" s="306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4.8785999999999996E-2</v>
      </c>
      <c r="AD24" s="306" t="s">
        <v>18</v>
      </c>
      <c r="AK24" s="306"/>
      <c r="AL24" s="306"/>
    </row>
    <row r="25" spans="1:38">
      <c r="L25" s="67" t="s">
        <v>30</v>
      </c>
      <c r="M25" s="37">
        <f>P23*M24</f>
        <v>0</v>
      </c>
      <c r="N25" s="15" t="s">
        <v>18</v>
      </c>
      <c r="Q25" s="306"/>
      <c r="W25" s="306"/>
      <c r="X25" s="312" t="s">
        <v>30</v>
      </c>
      <c r="Y25" s="313"/>
      <c r="Z25" s="104">
        <f>AC23*Z24</f>
        <v>0</v>
      </c>
      <c r="AA25" s="15" t="s">
        <v>18</v>
      </c>
      <c r="AK25" s="306"/>
      <c r="AL25" s="306"/>
    </row>
    <row r="26" spans="1:38">
      <c r="A26" s="23"/>
      <c r="W26" s="306"/>
      <c r="X26" s="306"/>
      <c r="Y26" s="306"/>
      <c r="Z26" s="306"/>
      <c r="AA26" s="23"/>
      <c r="AL26" s="306"/>
    </row>
    <row r="27" spans="1:38">
      <c r="A27" s="23"/>
      <c r="I27" s="306"/>
      <c r="J27" s="306"/>
      <c r="K27" s="306"/>
      <c r="L27" s="306"/>
      <c r="AD27" s="31">
        <f>AC22+Z24</f>
        <v>81.31</v>
      </c>
      <c r="AE27" s="15">
        <f>AC24+Z25</f>
        <v>4.8785999999999996E-2</v>
      </c>
      <c r="AL27" s="306"/>
    </row>
    <row r="28" spans="1:38" ht="21">
      <c r="D28" s="143" t="s">
        <v>45</v>
      </c>
      <c r="E28" s="142">
        <f>B22-(C41+B44)</f>
        <v>109.07048999999999</v>
      </c>
      <c r="F28" s="15" t="s">
        <v>18</v>
      </c>
      <c r="I28" s="306"/>
      <c r="J28" s="306"/>
      <c r="K28" s="306"/>
      <c r="L28" s="306"/>
    </row>
    <row r="29" spans="1:38">
      <c r="I29" s="306"/>
      <c r="J29" s="306"/>
      <c r="K29" s="306"/>
      <c r="L29" s="306"/>
      <c r="V29" s="306"/>
      <c r="W29" s="306"/>
      <c r="X29" s="306"/>
      <c r="AJ29" s="22"/>
    </row>
    <row r="30" spans="1:38" ht="21">
      <c r="I30" s="102"/>
      <c r="V30" s="306"/>
      <c r="W30" s="200">
        <f>AC22+Z24+AC43+V43</f>
        <v>82.41</v>
      </c>
      <c r="X30" s="306"/>
    </row>
    <row r="31" spans="1:38">
      <c r="V31" s="306"/>
      <c r="W31" s="306"/>
      <c r="X31" s="306"/>
    </row>
    <row r="33" spans="1:55">
      <c r="G33" s="15" t="s">
        <v>101</v>
      </c>
      <c r="H33" s="31">
        <f>E28-P22-Q41</f>
        <v>9.010489999999999</v>
      </c>
      <c r="I33" s="15" t="s">
        <v>18</v>
      </c>
      <c r="S33" s="15" t="s">
        <v>101</v>
      </c>
      <c r="T33" s="31">
        <f>P22-W30</f>
        <v>2.4099999999999966</v>
      </c>
      <c r="U33" s="15" t="s">
        <v>18</v>
      </c>
    </row>
    <row r="34" spans="1:55">
      <c r="D34" s="306"/>
      <c r="E34" s="306"/>
      <c r="F34" s="306"/>
      <c r="G34" s="15" t="s">
        <v>125</v>
      </c>
      <c r="H34" s="76">
        <f>H33/E28</f>
        <v>8.2611621163524607E-2</v>
      </c>
      <c r="S34" s="15" t="s">
        <v>125</v>
      </c>
      <c r="T34" s="76">
        <f>T33/E28</f>
        <v>2.2095802448489934E-2</v>
      </c>
      <c r="Z34" s="306"/>
      <c r="AA34" s="306"/>
      <c r="AB34" s="306"/>
      <c r="AC34" s="306"/>
      <c r="AD34" s="306"/>
      <c r="AE34" s="306"/>
      <c r="AF34" s="306"/>
      <c r="AG34" s="306"/>
      <c r="AH34" s="306"/>
      <c r="AI34" s="306"/>
      <c r="AJ34" s="306"/>
    </row>
    <row r="35" spans="1:55">
      <c r="D35" s="306"/>
      <c r="E35" s="306"/>
      <c r="F35" s="306"/>
      <c r="G35" s="15" t="s">
        <v>126</v>
      </c>
      <c r="H35" s="81">
        <f>H34*B49</f>
        <v>0.81838782007237199</v>
      </c>
      <c r="I35" s="315" t="s">
        <v>18</v>
      </c>
      <c r="S35" s="15" t="s">
        <v>126</v>
      </c>
      <c r="T35" s="81">
        <f>T34*B49</f>
        <v>0.21889094226556094</v>
      </c>
      <c r="U35" s="306" t="s">
        <v>18</v>
      </c>
      <c r="Z35" s="306"/>
    </row>
    <row r="36" spans="1:55">
      <c r="D36" s="306"/>
      <c r="E36" s="306"/>
      <c r="F36" s="306"/>
      <c r="G36" s="306"/>
      <c r="H36" s="200"/>
      <c r="P36" s="307"/>
      <c r="Q36" s="307"/>
      <c r="R36" s="16"/>
      <c r="U36" s="306"/>
      <c r="Z36" s="306"/>
    </row>
    <row r="37" spans="1:55">
      <c r="E37" s="30"/>
      <c r="Z37" s="306"/>
    </row>
    <row r="38" spans="1:55" ht="21">
      <c r="M38" s="98" t="s">
        <v>217</v>
      </c>
      <c r="N38" s="48"/>
      <c r="Z38" s="306"/>
      <c r="AP38" s="306"/>
      <c r="AQ38" s="306"/>
      <c r="AR38" s="306"/>
      <c r="AS38" s="306"/>
      <c r="AT38" s="306"/>
      <c r="AU38" s="306"/>
      <c r="AV38" s="306"/>
      <c r="AW38" s="306"/>
      <c r="AX38" s="306"/>
      <c r="AY38" s="306"/>
      <c r="AZ38" s="306"/>
      <c r="BA38" s="306"/>
      <c r="BB38" s="306"/>
    </row>
    <row r="39" spans="1:55" ht="21">
      <c r="A39" s="392" t="s">
        <v>6</v>
      </c>
      <c r="B39" s="392"/>
      <c r="C39" s="33">
        <v>0.53</v>
      </c>
      <c r="D39" s="15" t="s">
        <v>18</v>
      </c>
      <c r="E39" s="306"/>
      <c r="F39" s="306"/>
      <c r="G39" s="306"/>
      <c r="M39" s="309" t="s">
        <v>20</v>
      </c>
      <c r="N39" s="310"/>
      <c r="Y39" s="101" t="s">
        <v>219</v>
      </c>
      <c r="Z39" s="101"/>
      <c r="AA39" s="101"/>
      <c r="AP39" s="306"/>
      <c r="AQ39" s="306"/>
      <c r="AR39" s="306"/>
      <c r="AS39" s="306"/>
      <c r="AT39" s="306"/>
      <c r="AU39" s="306"/>
      <c r="AV39" s="306"/>
      <c r="AW39" s="306"/>
      <c r="AX39" s="306"/>
      <c r="AY39" s="306"/>
      <c r="AZ39" s="306"/>
      <c r="BA39" s="306"/>
      <c r="BB39" s="306"/>
    </row>
    <row r="40" spans="1:55">
      <c r="A40" s="392" t="s">
        <v>5</v>
      </c>
      <c r="B40" s="392"/>
      <c r="C40" s="33">
        <v>0.5</v>
      </c>
      <c r="D40" s="15" t="s">
        <v>18</v>
      </c>
      <c r="E40" s="306"/>
      <c r="F40" s="306"/>
      <c r="G40" s="306"/>
      <c r="S40" s="306"/>
      <c r="V40" s="306"/>
      <c r="X40" s="403" t="s">
        <v>23</v>
      </c>
      <c r="Y40" s="404"/>
      <c r="Z40" s="404"/>
      <c r="AA40" s="405"/>
      <c r="AB40" s="306"/>
      <c r="AK40" s="306"/>
      <c r="AP40" s="306"/>
      <c r="AQ40" s="306"/>
      <c r="AR40" s="306"/>
      <c r="AS40" s="306"/>
      <c r="AT40" s="306"/>
      <c r="AU40" s="306"/>
      <c r="AV40" s="306"/>
      <c r="AW40" s="306"/>
      <c r="AX40" s="306"/>
      <c r="AY40" s="306"/>
      <c r="AZ40" s="306"/>
      <c r="BA40" s="306"/>
      <c r="BB40" s="306"/>
    </row>
    <row r="41" spans="1:55">
      <c r="A41" s="400" t="s">
        <v>17</v>
      </c>
      <c r="B41" s="401"/>
      <c r="C41" s="91">
        <f>SUM(C39:C40)</f>
        <v>1.03</v>
      </c>
      <c r="D41" s="23" t="s">
        <v>18</v>
      </c>
      <c r="E41" s="306"/>
      <c r="F41" s="306"/>
      <c r="G41" s="306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15.24</v>
      </c>
      <c r="R41" s="306" t="s">
        <v>18</v>
      </c>
      <c r="S41" s="306"/>
      <c r="Z41" s="306"/>
      <c r="AK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</row>
    <row r="42" spans="1:55">
      <c r="C42" s="306"/>
      <c r="D42" s="306"/>
      <c r="E42" s="306"/>
      <c r="F42" s="306"/>
      <c r="G42" s="306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57.48/100</f>
        <v>0.57479999999999998</v>
      </c>
      <c r="R42" s="306" t="s">
        <v>33</v>
      </c>
      <c r="S42" s="306"/>
      <c r="AE42" s="306"/>
      <c r="AF42" s="306"/>
      <c r="AG42" s="306"/>
      <c r="AH42" s="306"/>
      <c r="AI42" s="306"/>
      <c r="AJ42" s="306"/>
      <c r="AK42" s="306"/>
      <c r="AL42" s="306"/>
      <c r="AP42" s="306"/>
      <c r="AQ42" s="306"/>
      <c r="AR42" s="306"/>
      <c r="AS42" s="306"/>
      <c r="AT42" s="306"/>
      <c r="AU42" s="306"/>
      <c r="AV42" s="306"/>
      <c r="AW42" s="306"/>
      <c r="AX42" s="306"/>
      <c r="AY42" s="306"/>
      <c r="AZ42" s="306"/>
      <c r="BA42" s="306"/>
      <c r="BB42" s="306"/>
    </row>
    <row r="43" spans="1:55">
      <c r="A43" s="36" t="s">
        <v>44</v>
      </c>
      <c r="B43" s="33"/>
      <c r="C43" s="306" t="s">
        <v>18</v>
      </c>
      <c r="D43" s="306"/>
      <c r="E43" s="306"/>
      <c r="F43" s="306"/>
      <c r="G43" s="306"/>
      <c r="H43" s="308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8.7599520000000002</v>
      </c>
      <c r="R43" s="306" t="s">
        <v>18</v>
      </c>
      <c r="S43" s="306"/>
      <c r="U43" s="35" t="s">
        <v>53</v>
      </c>
      <c r="V43" s="33"/>
      <c r="W43" s="306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1.1000000000000001</v>
      </c>
      <c r="AD43" s="306" t="s">
        <v>18</v>
      </c>
      <c r="AF43" s="306"/>
      <c r="AG43" s="306"/>
      <c r="AH43" s="306"/>
      <c r="AI43" s="306"/>
      <c r="AJ43" s="306"/>
      <c r="AK43" s="306"/>
      <c r="AL43" s="306"/>
      <c r="AP43" s="306"/>
      <c r="AQ43" s="306"/>
      <c r="AR43" s="306"/>
      <c r="AS43" s="306"/>
      <c r="AT43" s="306"/>
      <c r="AU43" s="306"/>
      <c r="AV43" s="306"/>
      <c r="AW43" s="306"/>
      <c r="AX43" s="306"/>
      <c r="AY43" s="306"/>
      <c r="AZ43" s="306"/>
      <c r="BA43" s="306"/>
      <c r="BB43" s="306"/>
    </row>
    <row r="44" spans="1:55">
      <c r="A44" s="92" t="s">
        <v>17</v>
      </c>
      <c r="B44" s="90">
        <f>SUM(B43)</f>
        <v>0</v>
      </c>
      <c r="C44" s="306" t="s">
        <v>18</v>
      </c>
      <c r="D44" s="306"/>
      <c r="E44" s="306"/>
      <c r="M44" s="67" t="s">
        <v>30</v>
      </c>
      <c r="N44" s="37">
        <f>Q42*N43</f>
        <v>0</v>
      </c>
      <c r="O44" s="15" t="s">
        <v>18</v>
      </c>
      <c r="U44" s="306"/>
      <c r="V44" s="306"/>
      <c r="W44" s="306"/>
      <c r="X44" s="105" t="s">
        <v>4</v>
      </c>
      <c r="Y44" s="106"/>
      <c r="Z44" s="34"/>
      <c r="AA44" s="15" t="s">
        <v>18</v>
      </c>
      <c r="AB44" s="36" t="s">
        <v>27</v>
      </c>
      <c r="AC44" s="34">
        <f>31.91/100</f>
        <v>0.31909999999999999</v>
      </c>
      <c r="AD44" s="306" t="s">
        <v>33</v>
      </c>
      <c r="AL44" s="306"/>
      <c r="AP44" s="306"/>
      <c r="AQ44" s="306"/>
      <c r="AR44" s="306"/>
      <c r="AS44" s="306"/>
      <c r="AT44" s="306"/>
      <c r="AU44" s="306"/>
      <c r="AV44" s="306"/>
      <c r="AW44" s="306"/>
      <c r="AX44" s="306"/>
      <c r="AY44" s="306"/>
      <c r="AZ44" s="306"/>
      <c r="BA44" s="306"/>
      <c r="BB44" s="306"/>
    </row>
    <row r="45" spans="1:55">
      <c r="C45" s="306"/>
      <c r="D45" s="306"/>
      <c r="E45" s="306"/>
      <c r="U45" s="306"/>
      <c r="V45" s="306"/>
      <c r="W45" s="306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0.35101000000000004</v>
      </c>
      <c r="AD45" s="306" t="s">
        <v>18</v>
      </c>
      <c r="AL45" s="306"/>
      <c r="AP45" s="306"/>
      <c r="AQ45" s="306"/>
      <c r="AR45" s="306"/>
      <c r="AS45" s="306"/>
      <c r="AT45" s="306"/>
      <c r="AU45" s="306"/>
      <c r="AV45" s="306"/>
      <c r="AW45" s="306"/>
      <c r="AX45" s="306"/>
      <c r="AY45" s="306"/>
      <c r="AZ45" s="306"/>
      <c r="BA45" s="306"/>
      <c r="BB45" s="306"/>
      <c r="BC45" s="306"/>
    </row>
    <row r="46" spans="1:55">
      <c r="A46" s="15" t="s">
        <v>66</v>
      </c>
      <c r="B46" s="15">
        <f>B43/D22</f>
        <v>0</v>
      </c>
      <c r="C46" s="306" t="s">
        <v>62</v>
      </c>
      <c r="D46" s="306"/>
      <c r="E46" s="306"/>
      <c r="P46" s="31">
        <f>Q41+N43</f>
        <v>15.24</v>
      </c>
      <c r="Q46" s="15">
        <f>Q43+N44</f>
        <v>8.7599520000000002</v>
      </c>
      <c r="X46" s="312" t="s">
        <v>30</v>
      </c>
      <c r="Y46" s="313"/>
      <c r="Z46" s="104">
        <f>AC44*Z45</f>
        <v>0</v>
      </c>
      <c r="AA46" s="15" t="s">
        <v>18</v>
      </c>
      <c r="AF46" s="306"/>
      <c r="AP46" s="306"/>
      <c r="AQ46" s="306"/>
      <c r="AR46" s="306"/>
      <c r="AS46" s="306"/>
      <c r="AT46" s="306"/>
      <c r="AU46" s="306"/>
      <c r="AV46" s="306"/>
      <c r="AW46" s="306"/>
      <c r="AX46" s="306"/>
      <c r="AY46" s="306"/>
      <c r="AZ46" s="306"/>
      <c r="BA46" s="306"/>
      <c r="BB46" s="306"/>
      <c r="BC46" s="306"/>
    </row>
    <row r="47" spans="1:55">
      <c r="A47" s="15" t="s">
        <v>65</v>
      </c>
      <c r="B47" s="15">
        <f>C41/D22</f>
        <v>0.98097339226615898</v>
      </c>
      <c r="C47" s="15" t="s">
        <v>62</v>
      </c>
      <c r="AP47" s="306"/>
      <c r="AQ47" s="306"/>
      <c r="AR47" s="306"/>
      <c r="AS47" s="306"/>
      <c r="AT47" s="306"/>
      <c r="AU47" s="306"/>
      <c r="AV47" s="306"/>
      <c r="AW47" s="306"/>
      <c r="AX47" s="306"/>
      <c r="AY47" s="306"/>
      <c r="AZ47" s="306"/>
      <c r="BA47" s="306"/>
      <c r="BB47" s="306"/>
      <c r="BC47" s="306"/>
    </row>
    <row r="48" spans="1:55">
      <c r="A48" s="15" t="s">
        <v>67</v>
      </c>
      <c r="B48" s="15">
        <f>G19*(B46+B47)/1000</f>
        <v>9.3550900636318671E-2</v>
      </c>
      <c r="C48" s="15" t="s">
        <v>18</v>
      </c>
      <c r="E48" s="160"/>
      <c r="AP48" s="306"/>
      <c r="AQ48" s="306"/>
      <c r="AR48" s="306"/>
      <c r="AS48" s="306"/>
      <c r="AT48" s="306"/>
      <c r="AU48" s="306"/>
      <c r="AV48" s="306"/>
      <c r="AW48" s="306"/>
      <c r="AX48" s="306"/>
      <c r="AY48" s="306"/>
      <c r="AZ48" s="306"/>
      <c r="BA48" s="306"/>
      <c r="BB48" s="306"/>
    </row>
    <row r="49" spans="1:59">
      <c r="A49" s="15" t="s">
        <v>64</v>
      </c>
      <c r="B49" s="74">
        <f>B21-B48</f>
        <v>9.906449099363682</v>
      </c>
      <c r="C49" s="15" t="s">
        <v>18</v>
      </c>
      <c r="AC49" s="31">
        <f>AC43+Z45</f>
        <v>1.1000000000000001</v>
      </c>
      <c r="AD49" s="15">
        <f>AC45+Z46</f>
        <v>0.35101000000000004</v>
      </c>
      <c r="AP49" s="306"/>
      <c r="AQ49" s="306"/>
      <c r="AR49" s="306"/>
      <c r="AS49" s="306"/>
      <c r="AT49" s="306"/>
      <c r="AU49" s="306"/>
      <c r="AV49" s="379"/>
      <c r="AW49" s="379"/>
      <c r="AX49" s="379"/>
      <c r="AY49" s="379"/>
      <c r="AZ49" s="379"/>
      <c r="BA49" s="306"/>
      <c r="BB49" s="306"/>
    </row>
    <row r="50" spans="1:59">
      <c r="R50" s="306"/>
      <c r="S50" s="15" t="s">
        <v>27</v>
      </c>
      <c r="U50" s="15" t="s">
        <v>40</v>
      </c>
      <c r="W50" s="15" t="s">
        <v>98</v>
      </c>
      <c r="X50" s="74">
        <f>B49</f>
        <v>9.906449099363682</v>
      </c>
      <c r="Y50" s="15" t="s">
        <v>18</v>
      </c>
      <c r="AP50" s="306"/>
      <c r="AQ50" s="306"/>
      <c r="AR50" s="306"/>
      <c r="AS50" s="306"/>
      <c r="AT50" s="306"/>
      <c r="AU50" s="306"/>
      <c r="AV50" s="306"/>
      <c r="AW50" s="306"/>
      <c r="AX50" s="306"/>
      <c r="AY50" s="306"/>
      <c r="AZ50" s="306"/>
      <c r="BA50" s="306"/>
      <c r="BB50" s="306"/>
    </row>
    <row r="51" spans="1:59">
      <c r="Q51" s="306"/>
      <c r="R51" s="306"/>
      <c r="S51" s="15" t="s">
        <v>34</v>
      </c>
      <c r="T51" s="15">
        <f>AC24+Z25</f>
        <v>4.8785999999999996E-2</v>
      </c>
      <c r="U51" s="76">
        <f>T51/X50</f>
        <v>4.9246707382904391E-3</v>
      </c>
      <c r="AP51" s="306"/>
      <c r="AQ51" s="306"/>
      <c r="AR51" s="306"/>
      <c r="AS51" s="306"/>
      <c r="AT51" s="306"/>
      <c r="AU51" s="306"/>
      <c r="AV51" s="306"/>
      <c r="AW51" s="306"/>
      <c r="AX51" s="306"/>
      <c r="AY51" s="306"/>
      <c r="AZ51" s="306"/>
      <c r="BA51" s="306"/>
      <c r="BB51" s="306"/>
    </row>
    <row r="52" spans="1:59">
      <c r="S52" s="15" t="s">
        <v>35</v>
      </c>
      <c r="T52" s="15">
        <f>AC45+Z46</f>
        <v>0.35101000000000004</v>
      </c>
      <c r="U52" s="76">
        <f>T52/X50</f>
        <v>3.5432473985309867E-2</v>
      </c>
      <c r="AP52" s="306"/>
      <c r="AQ52" s="306"/>
      <c r="AR52" s="306"/>
      <c r="AS52" s="306"/>
      <c r="AT52" s="306"/>
      <c r="AU52" s="306"/>
      <c r="AV52" s="306"/>
      <c r="AW52" s="306"/>
      <c r="AX52" s="306"/>
      <c r="AY52" s="306"/>
      <c r="AZ52" s="306"/>
      <c r="BA52" s="306"/>
      <c r="BB52" s="306"/>
    </row>
    <row r="53" spans="1:59"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15" t="s">
        <v>36</v>
      </c>
      <c r="T53" s="306">
        <f>Q43+N44</f>
        <v>8.7599520000000002</v>
      </c>
      <c r="U53" s="314">
        <f>T53/X50</f>
        <v>0.88426760306704399</v>
      </c>
      <c r="V53" s="306"/>
      <c r="W53" s="306"/>
      <c r="AN53" s="306"/>
      <c r="AO53" s="306"/>
      <c r="AP53" s="306"/>
      <c r="AQ53" s="306"/>
      <c r="AR53" s="306"/>
      <c r="AS53" s="306"/>
      <c r="AT53" s="306"/>
      <c r="AU53" s="306"/>
      <c r="AV53" s="306"/>
      <c r="AW53" s="306"/>
      <c r="AX53" s="306"/>
      <c r="AY53" s="306"/>
      <c r="AZ53" s="306"/>
      <c r="BA53" s="306"/>
      <c r="BB53" s="306"/>
      <c r="BC53" s="306"/>
      <c r="BD53" s="306"/>
      <c r="BE53" s="306"/>
      <c r="BF53" s="306"/>
      <c r="BG53" s="306"/>
    </row>
    <row r="54" spans="1:59">
      <c r="D54" s="379"/>
      <c r="E54" s="379"/>
      <c r="F54" s="379"/>
      <c r="G54" s="379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15" t="s">
        <v>17</v>
      </c>
      <c r="T54" s="306">
        <f>SUM(T51:T53)</f>
        <v>9.1597480000000004</v>
      </c>
      <c r="U54" s="314">
        <f>SUM(U51:U53)</f>
        <v>0.9246247477906443</v>
      </c>
      <c r="V54" s="306"/>
      <c r="W54" s="306"/>
      <c r="X54" s="306"/>
      <c r="Y54" s="306"/>
      <c r="Z54" s="306"/>
      <c r="AN54" s="306"/>
      <c r="AO54" s="306"/>
      <c r="AP54" s="306"/>
      <c r="AQ54" s="306"/>
      <c r="AR54" s="306"/>
      <c r="AS54" s="306"/>
      <c r="AT54" s="306"/>
      <c r="AU54" s="306"/>
      <c r="AV54" s="306"/>
      <c r="AW54" s="306"/>
      <c r="AX54" s="306"/>
      <c r="AY54" s="306"/>
      <c r="AZ54" s="306"/>
      <c r="BA54" s="306"/>
      <c r="BB54" s="306"/>
      <c r="BC54" s="306"/>
      <c r="BD54" s="306"/>
      <c r="BE54" s="306"/>
      <c r="BF54" s="306"/>
      <c r="BG54" s="306"/>
    </row>
    <row r="55" spans="1:59">
      <c r="D55" s="306"/>
      <c r="E55" s="306"/>
      <c r="F55" s="306"/>
      <c r="G55" s="306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15" t="s">
        <v>37</v>
      </c>
      <c r="T55" s="145">
        <f>X50-T54</f>
        <v>0.74670109936368156</v>
      </c>
      <c r="U55" s="314">
        <f>T55/X50</f>
        <v>7.5375252209355634E-2</v>
      </c>
      <c r="V55" s="306"/>
      <c r="W55" s="306"/>
      <c r="X55" s="306"/>
      <c r="Y55" s="306"/>
      <c r="Z55" s="306"/>
      <c r="AN55" s="306"/>
      <c r="AO55" s="306"/>
      <c r="AP55" s="306"/>
      <c r="AQ55" s="306"/>
      <c r="AR55" s="306"/>
      <c r="AS55" s="306"/>
      <c r="AT55" s="306"/>
      <c r="AU55" s="306"/>
      <c r="AV55" s="306"/>
      <c r="AW55" s="306"/>
      <c r="AX55" s="306"/>
      <c r="AY55" s="306"/>
      <c r="AZ55" s="306"/>
      <c r="BA55" s="306"/>
      <c r="BB55" s="306"/>
      <c r="BC55" s="306"/>
      <c r="BD55" s="306"/>
      <c r="BE55" s="306"/>
      <c r="BF55" s="306"/>
      <c r="BG55" s="306"/>
    </row>
    <row r="56" spans="1:59">
      <c r="D56" s="306"/>
      <c r="E56" s="306"/>
      <c r="F56" s="306"/>
      <c r="G56" s="306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T56" s="306"/>
      <c r="U56" s="306"/>
      <c r="V56" s="306"/>
      <c r="W56" s="306"/>
      <c r="X56" s="306"/>
      <c r="Y56" s="306"/>
      <c r="Z56" s="306"/>
      <c r="AN56" s="306"/>
      <c r="AO56" s="306"/>
      <c r="AP56" s="306"/>
      <c r="AQ56" s="306"/>
      <c r="AR56" s="306"/>
      <c r="AS56" s="306"/>
      <c r="AT56" s="306"/>
      <c r="AU56" s="306"/>
      <c r="AV56" s="306"/>
      <c r="AW56" s="306"/>
      <c r="AX56" s="306"/>
      <c r="AY56" s="306"/>
      <c r="AZ56" s="306"/>
      <c r="BA56" s="306"/>
      <c r="BB56" s="306"/>
      <c r="BC56" s="306"/>
      <c r="BD56" s="306"/>
      <c r="BE56" s="306"/>
      <c r="BF56" s="306"/>
      <c r="BG56" s="306"/>
    </row>
    <row r="57" spans="1:59">
      <c r="D57" s="306"/>
      <c r="E57" s="306"/>
      <c r="F57" s="306"/>
      <c r="G57" s="306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W57" s="306"/>
      <c r="X57" s="306"/>
      <c r="Y57" s="306"/>
      <c r="Z57" s="306"/>
      <c r="AN57" s="306"/>
      <c r="AO57" s="306"/>
      <c r="AP57" s="306"/>
      <c r="AQ57" s="306"/>
      <c r="AR57" s="306"/>
      <c r="AS57" s="306"/>
      <c r="AT57" s="306"/>
      <c r="AU57" s="306"/>
      <c r="AV57" s="306"/>
      <c r="AW57" s="306"/>
      <c r="AX57" s="306"/>
      <c r="AY57" s="306"/>
      <c r="AZ57" s="306"/>
      <c r="BA57" s="306"/>
      <c r="BB57" s="306"/>
      <c r="BC57" s="306"/>
      <c r="BD57" s="306"/>
      <c r="BE57" s="306"/>
      <c r="BF57" s="306"/>
      <c r="BG57" s="306"/>
    </row>
    <row r="58" spans="1:59"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6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6"/>
      <c r="AM58" s="306"/>
      <c r="AN58" s="306"/>
      <c r="AO58" s="306"/>
      <c r="AP58" s="306"/>
      <c r="AQ58" s="306"/>
      <c r="AR58" s="306"/>
      <c r="AS58" s="306"/>
      <c r="AT58" s="306"/>
      <c r="AU58" s="306"/>
      <c r="AV58" s="306"/>
      <c r="AW58" s="306"/>
      <c r="AX58" s="306"/>
      <c r="AY58" s="306"/>
      <c r="AZ58" s="306"/>
      <c r="BA58" s="306"/>
      <c r="BB58" s="306"/>
      <c r="BC58" s="306"/>
      <c r="BD58" s="306"/>
      <c r="BE58" s="306"/>
      <c r="BF58" s="306"/>
      <c r="BG58" s="306"/>
    </row>
    <row r="59" spans="1:59"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6"/>
      <c r="P59" s="306"/>
      <c r="Q59" s="306"/>
      <c r="R59" s="306"/>
      <c r="S59" s="306"/>
      <c r="T59" s="306"/>
      <c r="U59" s="306"/>
      <c r="V59" s="306"/>
      <c r="W59" s="306"/>
      <c r="X59" s="306"/>
      <c r="Y59" s="306"/>
      <c r="Z59" s="306"/>
      <c r="AA59" s="306"/>
      <c r="AB59" s="306"/>
      <c r="AC59" s="306"/>
      <c r="AD59" s="306"/>
      <c r="AE59" s="306"/>
      <c r="AF59" s="306"/>
      <c r="AG59" s="306"/>
      <c r="AH59" s="306"/>
      <c r="AI59" s="306"/>
      <c r="AJ59" s="306"/>
      <c r="AK59" s="306"/>
      <c r="AL59" s="306"/>
      <c r="AM59" s="306"/>
      <c r="AN59" s="306"/>
      <c r="AO59" s="306"/>
      <c r="AP59" s="306"/>
      <c r="AQ59" s="306"/>
      <c r="AR59" s="306"/>
      <c r="AS59" s="306"/>
      <c r="AT59" s="306"/>
      <c r="AU59" s="306"/>
      <c r="AV59" s="306"/>
      <c r="AW59" s="306"/>
      <c r="AX59" s="306"/>
      <c r="AY59" s="306"/>
      <c r="AZ59" s="306"/>
      <c r="BA59" s="306"/>
      <c r="BB59" s="306"/>
      <c r="BC59" s="306"/>
      <c r="BD59" s="306"/>
      <c r="BE59" s="306"/>
      <c r="BF59" s="306"/>
      <c r="BG59" s="306"/>
    </row>
    <row r="60" spans="1:59"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306"/>
      <c r="AB60" s="306"/>
      <c r="AC60" s="306"/>
      <c r="AD60" s="306"/>
      <c r="AE60" s="306"/>
      <c r="AF60" s="306"/>
      <c r="AG60" s="306"/>
      <c r="AH60" s="306"/>
      <c r="AI60" s="306"/>
      <c r="AJ60" s="306"/>
      <c r="AK60" s="306"/>
      <c r="AL60" s="306"/>
      <c r="AM60" s="306"/>
      <c r="AN60" s="306"/>
      <c r="AO60" s="306"/>
      <c r="AP60" s="306"/>
      <c r="AQ60" s="306"/>
      <c r="AR60" s="306"/>
      <c r="AS60" s="306"/>
      <c r="AT60" s="306"/>
      <c r="AU60" s="306"/>
      <c r="AV60" s="306"/>
      <c r="AW60" s="306"/>
      <c r="AX60" s="306"/>
      <c r="AY60" s="306"/>
      <c r="AZ60" s="306"/>
      <c r="BA60" s="306"/>
      <c r="BB60" s="306"/>
      <c r="BC60" s="306"/>
      <c r="BD60" s="306"/>
      <c r="BE60" s="306"/>
      <c r="BF60" s="306"/>
      <c r="BG60" s="306"/>
    </row>
    <row r="61" spans="1:59"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306"/>
      <c r="AB61" s="306"/>
      <c r="AC61" s="306"/>
      <c r="AD61" s="306"/>
      <c r="AE61" s="306"/>
      <c r="AF61" s="306"/>
      <c r="AG61" s="306"/>
      <c r="AH61" s="306"/>
      <c r="AI61" s="306"/>
      <c r="AJ61" s="306"/>
      <c r="AK61" s="306"/>
      <c r="AL61" s="306"/>
      <c r="AM61" s="306"/>
      <c r="AN61" s="306"/>
      <c r="AO61" s="306"/>
      <c r="AP61" s="306"/>
      <c r="AQ61" s="306"/>
      <c r="AR61" s="306"/>
      <c r="AS61" s="306"/>
      <c r="AT61" s="306"/>
      <c r="AU61" s="306"/>
      <c r="AV61" s="306"/>
      <c r="AW61" s="306"/>
      <c r="AX61" s="306"/>
      <c r="AY61" s="306"/>
      <c r="AZ61" s="306"/>
      <c r="BA61" s="306"/>
      <c r="BB61" s="306"/>
      <c r="BC61" s="306"/>
      <c r="BD61" s="306"/>
      <c r="BE61" s="306"/>
      <c r="BF61" s="306"/>
      <c r="BG61" s="306"/>
    </row>
    <row r="62" spans="1:59">
      <c r="D62" s="306"/>
      <c r="E62" s="306"/>
      <c r="F62" s="306"/>
      <c r="G62" s="306"/>
      <c r="H62" s="306"/>
      <c r="I62" s="306"/>
      <c r="J62" s="306"/>
      <c r="K62" s="306"/>
      <c r="L62" s="306"/>
      <c r="M62" s="306"/>
      <c r="N62" s="306"/>
      <c r="O62" s="306"/>
      <c r="P62" s="306"/>
      <c r="Q62" s="306"/>
      <c r="R62" s="306"/>
      <c r="S62" s="306"/>
      <c r="T62" s="306"/>
      <c r="U62" s="306"/>
      <c r="V62" s="306"/>
      <c r="W62" s="306"/>
      <c r="X62" s="306"/>
      <c r="Y62" s="306"/>
      <c r="Z62" s="306"/>
      <c r="AA62" s="306"/>
      <c r="AB62" s="306"/>
      <c r="AC62" s="306"/>
      <c r="AD62" s="306"/>
      <c r="AE62" s="306"/>
      <c r="AF62" s="306"/>
      <c r="AG62" s="306"/>
      <c r="AH62" s="306"/>
      <c r="AI62" s="306"/>
      <c r="AJ62" s="306"/>
      <c r="AK62" s="306"/>
      <c r="AL62" s="306"/>
      <c r="AM62" s="306"/>
      <c r="AN62" s="306"/>
      <c r="AO62" s="306"/>
      <c r="AP62" s="306"/>
      <c r="AQ62" s="306"/>
      <c r="AR62" s="306"/>
      <c r="AS62" s="306"/>
      <c r="AT62" s="306"/>
      <c r="AU62" s="306"/>
      <c r="AV62" s="306"/>
      <c r="AW62" s="306"/>
      <c r="AX62" s="306"/>
      <c r="AY62" s="306"/>
      <c r="AZ62" s="306"/>
      <c r="BA62" s="306"/>
      <c r="BB62" s="306"/>
      <c r="BC62" s="306"/>
      <c r="BD62" s="306"/>
      <c r="BE62" s="306"/>
      <c r="BF62" s="306"/>
      <c r="BG62" s="306"/>
    </row>
    <row r="63" spans="1:59"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Y63" s="306"/>
      <c r="Z63" s="306"/>
      <c r="AA63" s="306"/>
      <c r="AB63" s="306"/>
      <c r="AC63" s="306"/>
      <c r="AD63" s="306"/>
      <c r="AE63" s="306"/>
      <c r="AF63" s="306"/>
      <c r="AG63" s="306"/>
      <c r="AH63" s="306"/>
      <c r="AI63" s="306"/>
      <c r="AJ63" s="306"/>
      <c r="AK63" s="306"/>
      <c r="AL63" s="306"/>
      <c r="AM63" s="306"/>
      <c r="AN63" s="306"/>
      <c r="AO63" s="306"/>
      <c r="AP63" s="306"/>
      <c r="AQ63" s="306"/>
      <c r="AR63" s="306"/>
      <c r="AS63" s="306"/>
      <c r="AT63" s="306"/>
      <c r="AU63" s="306"/>
      <c r="AV63" s="306"/>
      <c r="AW63" s="306"/>
      <c r="AX63" s="306"/>
      <c r="AY63" s="306"/>
      <c r="AZ63" s="306"/>
      <c r="BA63" s="306"/>
      <c r="BB63" s="306"/>
      <c r="BC63" s="306"/>
      <c r="BD63" s="306"/>
      <c r="BE63" s="306"/>
      <c r="BF63" s="306"/>
      <c r="BG63" s="306"/>
    </row>
    <row r="64" spans="1:59"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  <c r="X64" s="306"/>
      <c r="Y64" s="306"/>
      <c r="Z64" s="306"/>
      <c r="AA64" s="306"/>
      <c r="AB64" s="306"/>
      <c r="AC64" s="306"/>
      <c r="AD64" s="306"/>
      <c r="AE64" s="306"/>
      <c r="AF64" s="306"/>
      <c r="AG64" s="306"/>
      <c r="AH64" s="306"/>
      <c r="AI64" s="306"/>
      <c r="AJ64" s="306"/>
      <c r="AK64" s="306"/>
      <c r="AL64" s="306"/>
      <c r="AM64" s="306"/>
      <c r="AN64" s="306"/>
      <c r="AO64" s="306"/>
      <c r="AP64" s="306"/>
      <c r="AQ64" s="306"/>
      <c r="AR64" s="306"/>
      <c r="AS64" s="306"/>
      <c r="AT64" s="306"/>
      <c r="AU64" s="306"/>
      <c r="AV64" s="306"/>
      <c r="AW64" s="306"/>
      <c r="AX64" s="306"/>
      <c r="AY64" s="306"/>
      <c r="AZ64" s="306"/>
      <c r="BA64" s="306"/>
      <c r="BB64" s="306"/>
      <c r="BC64" s="306"/>
      <c r="BD64" s="306"/>
      <c r="BE64" s="306"/>
      <c r="BF64" s="306"/>
      <c r="BG64" s="306"/>
    </row>
    <row r="65" spans="4:59"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306"/>
      <c r="AB65" s="306"/>
      <c r="AC65" s="306"/>
      <c r="AD65" s="306"/>
      <c r="AE65" s="306"/>
      <c r="AF65" s="306"/>
      <c r="AG65" s="306"/>
      <c r="AH65" s="306"/>
      <c r="AI65" s="306"/>
      <c r="AJ65" s="306"/>
      <c r="AK65" s="306"/>
      <c r="AL65" s="306"/>
      <c r="AM65" s="306"/>
      <c r="AN65" s="306"/>
      <c r="AO65" s="306"/>
      <c r="AP65" s="306"/>
      <c r="AQ65" s="306"/>
      <c r="AR65" s="306"/>
      <c r="AS65" s="306"/>
      <c r="AT65" s="306"/>
      <c r="AU65" s="306"/>
      <c r="AV65" s="306"/>
      <c r="AW65" s="306"/>
      <c r="AX65" s="306"/>
      <c r="AY65" s="306"/>
      <c r="AZ65" s="306"/>
      <c r="BA65" s="306"/>
      <c r="BB65" s="306"/>
      <c r="BC65" s="306"/>
      <c r="BD65" s="306"/>
      <c r="BE65" s="306"/>
      <c r="BF65" s="306"/>
      <c r="BG65" s="306"/>
    </row>
    <row r="66" spans="4:59">
      <c r="D66" s="306"/>
      <c r="E66" s="306"/>
      <c r="F66" s="306"/>
      <c r="G66" s="306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6"/>
      <c r="AM66" s="306"/>
      <c r="AN66" s="306"/>
      <c r="AO66" s="306"/>
      <c r="AP66" s="306"/>
      <c r="AQ66" s="306"/>
      <c r="AR66" s="306"/>
      <c r="AS66" s="306"/>
      <c r="AT66" s="306"/>
      <c r="AU66" s="306"/>
      <c r="AV66" s="306"/>
      <c r="AW66" s="306"/>
      <c r="AX66" s="306"/>
      <c r="AY66" s="306"/>
      <c r="AZ66" s="306"/>
      <c r="BA66" s="306"/>
      <c r="BB66" s="306"/>
      <c r="BC66" s="306"/>
      <c r="BD66" s="306"/>
      <c r="BE66" s="306"/>
      <c r="BF66" s="306"/>
      <c r="BG66" s="306"/>
    </row>
    <row r="67" spans="4:59"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  <c r="AB67" s="306"/>
      <c r="AC67" s="306"/>
      <c r="AD67" s="306"/>
      <c r="AE67" s="306"/>
      <c r="AF67" s="306"/>
      <c r="AG67" s="306"/>
      <c r="AH67" s="306"/>
      <c r="AI67" s="306"/>
      <c r="AJ67" s="306"/>
      <c r="AK67" s="306"/>
      <c r="AL67" s="306"/>
      <c r="AM67" s="306"/>
      <c r="AN67" s="306"/>
      <c r="AO67" s="306"/>
      <c r="AP67" s="306"/>
      <c r="AQ67" s="306"/>
      <c r="AR67" s="306"/>
      <c r="AS67" s="306"/>
      <c r="AT67" s="306"/>
      <c r="AU67" s="306"/>
      <c r="AV67" s="306"/>
      <c r="AW67" s="306"/>
      <c r="AX67" s="306"/>
      <c r="AY67" s="306"/>
      <c r="AZ67" s="306"/>
      <c r="BA67" s="306"/>
      <c r="BB67" s="306"/>
      <c r="BC67" s="306"/>
      <c r="BD67" s="306"/>
      <c r="BE67" s="306"/>
      <c r="BF67" s="306"/>
      <c r="BG67" s="306"/>
    </row>
    <row r="68" spans="4:59"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  <c r="AB68" s="306"/>
      <c r="AC68" s="306"/>
      <c r="AD68" s="306"/>
      <c r="AE68" s="306"/>
      <c r="AF68" s="306"/>
      <c r="AG68" s="306"/>
      <c r="AH68" s="306"/>
      <c r="AI68" s="306"/>
      <c r="AJ68" s="306"/>
      <c r="AK68" s="306"/>
      <c r="AL68" s="306"/>
      <c r="AM68" s="306"/>
      <c r="AN68" s="306"/>
      <c r="AO68" s="306"/>
      <c r="AP68" s="306"/>
      <c r="AQ68" s="306"/>
      <c r="AR68" s="306"/>
      <c r="AS68" s="306"/>
      <c r="AT68" s="306"/>
      <c r="AU68" s="306"/>
      <c r="AV68" s="306"/>
      <c r="AW68" s="306"/>
      <c r="AX68" s="306"/>
      <c r="AY68" s="306"/>
      <c r="AZ68" s="306"/>
      <c r="BA68" s="306"/>
      <c r="BB68" s="306"/>
      <c r="BC68" s="306"/>
      <c r="BD68" s="306"/>
      <c r="BE68" s="306"/>
      <c r="BF68" s="306"/>
      <c r="BG68" s="306"/>
    </row>
    <row r="69" spans="4:59"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  <c r="AB69" s="306"/>
      <c r="AC69" s="306"/>
      <c r="AD69" s="306"/>
      <c r="AE69" s="306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  <c r="AW69" s="306"/>
      <c r="AX69" s="306"/>
      <c r="AY69" s="306"/>
      <c r="AZ69" s="306"/>
      <c r="BA69" s="306"/>
      <c r="BB69" s="306"/>
      <c r="BC69" s="306"/>
      <c r="BD69" s="306"/>
      <c r="BE69" s="306"/>
      <c r="BF69" s="306"/>
      <c r="BG69" s="306"/>
    </row>
    <row r="70" spans="4:59">
      <c r="D70" s="306"/>
      <c r="E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  <c r="AB70" s="306"/>
      <c r="AC70" s="306"/>
      <c r="AD70" s="306"/>
      <c r="AE70" s="306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  <c r="AW70" s="306"/>
      <c r="AX70" s="306"/>
      <c r="AY70" s="306"/>
      <c r="AZ70" s="306"/>
      <c r="BA70" s="306"/>
      <c r="BB70" s="306"/>
      <c r="BC70" s="306"/>
      <c r="BD70" s="306"/>
      <c r="BE70" s="306"/>
      <c r="BF70" s="306"/>
      <c r="BG70" s="306"/>
    </row>
    <row r="71" spans="4:59"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  <c r="Z71" s="306"/>
      <c r="AA71" s="306"/>
      <c r="AB71" s="306"/>
      <c r="AC71" s="306"/>
      <c r="AD71" s="306"/>
      <c r="AE71" s="306"/>
      <c r="AF71" s="306"/>
      <c r="AG71" s="306"/>
      <c r="AH71" s="306"/>
      <c r="AI71" s="306"/>
      <c r="AJ71" s="306"/>
      <c r="AK71" s="306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  <c r="AW71" s="306"/>
      <c r="AX71" s="306"/>
      <c r="AY71" s="306"/>
      <c r="AZ71" s="306"/>
      <c r="BA71" s="306"/>
      <c r="BB71" s="306"/>
      <c r="BC71" s="306"/>
      <c r="BD71" s="306"/>
      <c r="BE71" s="306"/>
      <c r="BF71" s="306"/>
      <c r="BG71" s="306"/>
    </row>
    <row r="72" spans="4:59"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  <c r="AA72" s="306"/>
      <c r="AB72" s="306"/>
      <c r="AC72" s="306"/>
      <c r="AD72" s="306"/>
      <c r="AE72" s="306"/>
      <c r="AF72" s="306"/>
      <c r="AG72" s="306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  <c r="AW72" s="379"/>
      <c r="AX72" s="379"/>
      <c r="AY72" s="306"/>
      <c r="AZ72" s="306"/>
      <c r="BA72" s="306"/>
      <c r="BB72" s="306"/>
      <c r="BC72" s="306"/>
      <c r="BD72" s="306"/>
      <c r="BE72" s="306"/>
      <c r="BF72" s="306"/>
      <c r="BG72" s="306"/>
    </row>
    <row r="73" spans="4:59"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  <c r="AA73" s="306"/>
      <c r="AB73" s="306"/>
      <c r="AC73" s="306"/>
      <c r="AD73" s="306"/>
      <c r="AE73" s="306"/>
      <c r="AF73" s="306"/>
      <c r="AG73" s="306"/>
      <c r="AH73" s="306"/>
      <c r="AI73" s="306"/>
      <c r="AJ73" s="306"/>
      <c r="AK73" s="306"/>
      <c r="AL73" s="306"/>
      <c r="AM73" s="306"/>
      <c r="AN73" s="306"/>
      <c r="AO73" s="306"/>
      <c r="AP73" s="306"/>
      <c r="AQ73" s="306"/>
      <c r="AR73" s="306"/>
      <c r="AS73" s="306"/>
      <c r="AT73" s="306"/>
      <c r="AU73" s="306"/>
      <c r="AV73" s="306"/>
      <c r="AW73" s="306"/>
      <c r="AX73" s="306"/>
      <c r="AY73" s="306"/>
      <c r="AZ73" s="306"/>
      <c r="BA73" s="306"/>
      <c r="BB73" s="306"/>
      <c r="BC73" s="306"/>
      <c r="BD73" s="306"/>
      <c r="BE73" s="306"/>
      <c r="BF73" s="306"/>
      <c r="BG73" s="306"/>
    </row>
    <row r="74" spans="4:59"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306"/>
      <c r="AB74" s="306"/>
      <c r="AC74" s="306"/>
      <c r="AD74" s="306"/>
      <c r="AE74" s="306"/>
      <c r="AF74" s="306"/>
      <c r="AG74" s="306"/>
      <c r="AH74" s="306"/>
      <c r="AI74" s="306"/>
      <c r="AJ74" s="306"/>
      <c r="AK74" s="306"/>
      <c r="AL74" s="306"/>
      <c r="AM74" s="306"/>
      <c r="AN74" s="306"/>
      <c r="AO74" s="306"/>
      <c r="AP74" s="306"/>
      <c r="AQ74" s="306"/>
      <c r="AR74" s="306"/>
      <c r="AS74" s="306"/>
      <c r="AT74" s="306"/>
      <c r="AU74" s="306"/>
      <c r="AV74" s="306"/>
      <c r="AW74" s="306"/>
      <c r="AX74" s="306"/>
      <c r="AY74" s="306"/>
      <c r="AZ74" s="306"/>
      <c r="BA74" s="306"/>
      <c r="BB74" s="306"/>
      <c r="BC74" s="306"/>
      <c r="BD74" s="306"/>
      <c r="BE74" s="306"/>
      <c r="BF74" s="306"/>
      <c r="BG74" s="306"/>
    </row>
    <row r="75" spans="4:59">
      <c r="D75" s="306"/>
      <c r="E75" s="306"/>
      <c r="F75" s="306"/>
      <c r="G75" s="306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  <c r="X75" s="306"/>
      <c r="Y75" s="306"/>
      <c r="Z75" s="306"/>
      <c r="AA75" s="306"/>
      <c r="AB75" s="306"/>
      <c r="AC75" s="306"/>
      <c r="AD75" s="306"/>
      <c r="AE75" s="306"/>
      <c r="AF75" s="306"/>
      <c r="AG75" s="306"/>
      <c r="AH75" s="306"/>
      <c r="AI75" s="306"/>
      <c r="AJ75" s="306"/>
      <c r="AK75" s="306"/>
      <c r="AL75" s="306"/>
      <c r="AM75" s="306"/>
      <c r="AN75" s="306"/>
      <c r="AO75" s="306"/>
      <c r="AP75" s="306"/>
      <c r="AQ75" s="306"/>
      <c r="AR75" s="306"/>
      <c r="AS75" s="306"/>
      <c r="AT75" s="306"/>
      <c r="AU75" s="306"/>
      <c r="AV75" s="306"/>
      <c r="AW75" s="306"/>
      <c r="AX75" s="306"/>
      <c r="AY75" s="306"/>
      <c r="AZ75" s="306"/>
      <c r="BA75" s="306"/>
      <c r="BB75" s="306"/>
      <c r="BC75" s="306"/>
      <c r="BD75" s="306"/>
      <c r="BE75" s="306"/>
      <c r="BF75" s="306"/>
      <c r="BG75" s="306"/>
    </row>
    <row r="76" spans="4:59">
      <c r="D76" s="306"/>
      <c r="E76" s="306"/>
      <c r="F76" s="306"/>
      <c r="G76" s="306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  <c r="AA76" s="306"/>
      <c r="AB76" s="306"/>
      <c r="AC76" s="306"/>
      <c r="AD76" s="306"/>
      <c r="AE76" s="306"/>
      <c r="AF76" s="306"/>
      <c r="AG76" s="306"/>
      <c r="AH76" s="306"/>
      <c r="AI76" s="306"/>
      <c r="AJ76" s="306"/>
      <c r="AK76" s="306"/>
      <c r="AL76" s="306"/>
      <c r="AM76" s="306"/>
      <c r="AN76" s="306"/>
      <c r="AO76" s="306"/>
      <c r="AP76" s="306"/>
      <c r="AQ76" s="306"/>
      <c r="AR76" s="306"/>
      <c r="AS76" s="306"/>
      <c r="AT76" s="306"/>
      <c r="AU76" s="306"/>
      <c r="AV76" s="306"/>
      <c r="AW76" s="306"/>
      <c r="AX76" s="306"/>
      <c r="AY76" s="306"/>
      <c r="AZ76" s="306"/>
      <c r="BA76" s="306"/>
      <c r="BB76" s="306"/>
      <c r="BC76" s="306"/>
      <c r="BD76" s="306"/>
      <c r="BE76" s="306"/>
      <c r="BF76" s="306"/>
      <c r="BG76" s="306"/>
    </row>
    <row r="77" spans="4:59">
      <c r="D77" s="306"/>
      <c r="E77" s="306"/>
      <c r="F77" s="306"/>
      <c r="G77" s="306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  <c r="AA77" s="306"/>
      <c r="AB77" s="306"/>
      <c r="AC77" s="306"/>
      <c r="AD77" s="306"/>
      <c r="AE77" s="306"/>
      <c r="AF77" s="306"/>
      <c r="AG77" s="306"/>
      <c r="AH77" s="306"/>
      <c r="AI77" s="306"/>
      <c r="AJ77" s="306"/>
      <c r="AK77" s="306"/>
      <c r="AL77" s="306"/>
      <c r="AM77" s="306"/>
      <c r="AN77" s="306"/>
      <c r="AO77" s="306"/>
      <c r="AP77" s="306"/>
      <c r="AQ77" s="306"/>
      <c r="AR77" s="306"/>
      <c r="AS77" s="306"/>
      <c r="AT77" s="306"/>
      <c r="AU77" s="306"/>
      <c r="AV77" s="306"/>
      <c r="AW77" s="306"/>
      <c r="AX77" s="306"/>
      <c r="AY77" s="306"/>
      <c r="AZ77" s="306"/>
      <c r="BA77" s="306"/>
      <c r="BB77" s="306"/>
      <c r="BC77" s="306"/>
      <c r="BD77" s="306"/>
      <c r="BE77" s="306"/>
      <c r="BF77" s="306"/>
      <c r="BG77" s="306"/>
    </row>
    <row r="78" spans="4:59"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  <c r="AA78" s="306"/>
      <c r="AB78" s="306"/>
      <c r="AC78" s="306"/>
      <c r="AD78" s="306"/>
      <c r="AE78" s="306"/>
      <c r="AF78" s="306"/>
      <c r="AG78" s="306"/>
      <c r="AH78" s="306"/>
      <c r="AI78" s="306"/>
      <c r="AJ78" s="306"/>
      <c r="AK78" s="306"/>
      <c r="AL78" s="306"/>
      <c r="AM78" s="306"/>
      <c r="AN78" s="306"/>
      <c r="AO78" s="306"/>
      <c r="AP78" s="306"/>
      <c r="AQ78" s="306"/>
      <c r="AR78" s="306"/>
      <c r="AS78" s="306"/>
      <c r="AT78" s="306"/>
      <c r="AU78" s="306"/>
      <c r="AV78" s="306"/>
      <c r="AW78" s="306"/>
      <c r="AX78" s="306"/>
      <c r="AY78" s="306"/>
      <c r="AZ78" s="306"/>
      <c r="BA78" s="306"/>
      <c r="BB78" s="306"/>
      <c r="BC78" s="306"/>
      <c r="BD78" s="306"/>
      <c r="BE78" s="306"/>
      <c r="BF78" s="306"/>
      <c r="BG78" s="306"/>
    </row>
    <row r="79" spans="4:59"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  <c r="AA79" s="306"/>
      <c r="AB79" s="306"/>
      <c r="AC79" s="306"/>
      <c r="AD79" s="306"/>
      <c r="AE79" s="306"/>
      <c r="AF79" s="306"/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  <c r="AV79" s="306"/>
      <c r="AW79" s="306"/>
      <c r="AX79" s="306"/>
      <c r="AY79" s="306"/>
      <c r="AZ79" s="306"/>
      <c r="BA79" s="306"/>
      <c r="BB79" s="306"/>
      <c r="BC79" s="306"/>
      <c r="BD79" s="306"/>
      <c r="BE79" s="306"/>
      <c r="BF79" s="306"/>
      <c r="BG79" s="306"/>
    </row>
    <row r="80" spans="4:59"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306"/>
      <c r="AB80" s="306"/>
      <c r="AC80" s="306"/>
      <c r="AD80" s="306"/>
      <c r="AE80" s="306"/>
      <c r="AF80" s="306"/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  <c r="AV80" s="306"/>
      <c r="AW80" s="306"/>
      <c r="AX80" s="306"/>
      <c r="AY80" s="306"/>
      <c r="AZ80" s="306"/>
      <c r="BA80" s="306"/>
      <c r="BB80" s="306"/>
      <c r="BC80" s="306"/>
      <c r="BD80" s="306"/>
      <c r="BE80" s="306"/>
      <c r="BF80" s="306"/>
      <c r="BG80" s="306"/>
    </row>
    <row r="81" spans="4:59"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  <c r="AW81" s="306"/>
      <c r="AX81" s="306"/>
      <c r="AY81" s="306"/>
      <c r="AZ81" s="306"/>
      <c r="BA81" s="306"/>
      <c r="BB81" s="306"/>
      <c r="BC81" s="306"/>
      <c r="BD81" s="306"/>
      <c r="BE81" s="306"/>
      <c r="BF81" s="306"/>
      <c r="BG81" s="306"/>
    </row>
    <row r="82" spans="4:59">
      <c r="D82" s="306"/>
      <c r="E82" s="306"/>
      <c r="F82" s="306"/>
      <c r="G82" s="306"/>
      <c r="H82" s="306"/>
      <c r="I82" s="306"/>
      <c r="J82" s="306"/>
      <c r="K82" s="306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  <c r="AA82" s="306"/>
      <c r="AB82" s="306"/>
      <c r="AC82" s="306"/>
      <c r="AD82" s="306"/>
      <c r="AE82" s="306"/>
      <c r="AF82" s="306"/>
      <c r="AG82" s="306"/>
      <c r="AH82" s="306"/>
      <c r="AI82" s="306"/>
      <c r="AJ82" s="306"/>
      <c r="AK82" s="306"/>
      <c r="AL82" s="306"/>
      <c r="AM82" s="306"/>
      <c r="AN82" s="306"/>
      <c r="AO82" s="306"/>
      <c r="AP82" s="306"/>
      <c r="AQ82" s="306"/>
      <c r="AR82" s="306"/>
      <c r="AS82" s="306"/>
      <c r="AT82" s="306"/>
      <c r="AU82" s="306"/>
      <c r="AV82" s="306"/>
      <c r="AW82" s="306"/>
      <c r="AX82" s="306"/>
      <c r="AY82" s="306"/>
      <c r="AZ82" s="306"/>
      <c r="BA82" s="306"/>
      <c r="BB82" s="306"/>
      <c r="BC82" s="306"/>
      <c r="BD82" s="306"/>
      <c r="BE82" s="306"/>
      <c r="BF82" s="306"/>
      <c r="BG82" s="306"/>
    </row>
    <row r="83" spans="4:59">
      <c r="D83" s="306"/>
      <c r="E83" s="306"/>
      <c r="F83" s="306"/>
      <c r="G83" s="306"/>
      <c r="H83" s="306"/>
      <c r="I83" s="306"/>
      <c r="J83" s="306"/>
      <c r="K83" s="306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  <c r="AA83" s="306"/>
      <c r="AB83" s="306"/>
      <c r="AC83" s="306"/>
      <c r="AD83" s="306"/>
      <c r="AE83" s="306"/>
      <c r="AF83" s="306"/>
      <c r="AG83" s="306"/>
      <c r="AH83" s="306"/>
      <c r="AI83" s="306"/>
      <c r="AJ83" s="306"/>
      <c r="AK83" s="306"/>
      <c r="AL83" s="306"/>
      <c r="AM83" s="306"/>
      <c r="AN83" s="306"/>
      <c r="AO83" s="306"/>
      <c r="AP83" s="306"/>
      <c r="AQ83" s="306"/>
      <c r="AR83" s="306"/>
      <c r="AS83" s="306"/>
      <c r="AT83" s="306"/>
      <c r="AU83" s="306"/>
      <c r="AV83" s="306"/>
      <c r="AW83" s="306"/>
      <c r="AX83" s="306"/>
      <c r="AY83" s="306"/>
      <c r="AZ83" s="306"/>
      <c r="BA83" s="306"/>
      <c r="BB83" s="306"/>
      <c r="BC83" s="306"/>
      <c r="BD83" s="306"/>
      <c r="BE83" s="306"/>
      <c r="BF83" s="306"/>
      <c r="BG83" s="306"/>
    </row>
    <row r="84" spans="4:59"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  <c r="X84" s="306"/>
      <c r="Y84" s="306"/>
      <c r="Z84" s="306"/>
      <c r="AA84" s="306"/>
      <c r="AB84" s="306"/>
      <c r="AC84" s="306"/>
      <c r="AD84" s="306"/>
      <c r="AE84" s="306"/>
      <c r="AF84" s="306"/>
      <c r="AG84" s="306"/>
      <c r="AH84" s="306"/>
      <c r="AI84" s="306"/>
      <c r="AJ84" s="306"/>
      <c r="AK84" s="306"/>
      <c r="AL84" s="306"/>
      <c r="AM84" s="306"/>
      <c r="AN84" s="306"/>
      <c r="AO84" s="306"/>
      <c r="AP84" s="306"/>
      <c r="AQ84" s="306"/>
      <c r="AR84" s="306"/>
      <c r="AS84" s="306"/>
      <c r="AT84" s="306"/>
      <c r="AU84" s="306"/>
      <c r="AV84" s="306"/>
      <c r="AW84" s="306"/>
      <c r="AX84" s="306"/>
      <c r="AY84" s="306"/>
      <c r="AZ84" s="306"/>
      <c r="BA84" s="306"/>
      <c r="BB84" s="306"/>
      <c r="BC84" s="306"/>
      <c r="BD84" s="306"/>
      <c r="BE84" s="306"/>
      <c r="BF84" s="306"/>
      <c r="BG84" s="306"/>
    </row>
    <row r="85" spans="4:59"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  <c r="X85" s="306"/>
      <c r="Y85" s="306"/>
      <c r="Z85" s="306"/>
      <c r="AA85" s="306"/>
      <c r="AB85" s="306"/>
      <c r="AC85" s="306"/>
      <c r="AD85" s="306"/>
      <c r="AE85" s="306"/>
      <c r="AF85" s="306"/>
      <c r="AG85" s="306"/>
      <c r="AH85" s="306"/>
      <c r="AI85" s="306"/>
      <c r="AJ85" s="306"/>
      <c r="AK85" s="306"/>
      <c r="AL85" s="306"/>
      <c r="AM85" s="306"/>
      <c r="AN85" s="306"/>
      <c r="AO85" s="306"/>
      <c r="AP85" s="306"/>
      <c r="AQ85" s="306"/>
      <c r="AR85" s="306"/>
      <c r="AS85" s="306"/>
      <c r="AT85" s="306"/>
      <c r="AU85" s="306"/>
      <c r="AV85" s="306"/>
      <c r="AW85" s="306"/>
      <c r="AX85" s="306"/>
      <c r="AY85" s="306"/>
      <c r="AZ85" s="306"/>
      <c r="BA85" s="306"/>
      <c r="BB85" s="306"/>
      <c r="BC85" s="306"/>
      <c r="BD85" s="306"/>
      <c r="BE85" s="306"/>
      <c r="BF85" s="306"/>
      <c r="BG85" s="306"/>
    </row>
    <row r="86" spans="4:59"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306"/>
      <c r="AB86" s="306"/>
      <c r="AC86" s="306"/>
      <c r="AD86" s="306"/>
      <c r="AE86" s="306"/>
      <c r="AF86" s="306"/>
      <c r="AG86" s="306"/>
      <c r="AH86" s="306"/>
      <c r="AI86" s="306"/>
      <c r="AJ86" s="306"/>
      <c r="AK86" s="306"/>
      <c r="AL86" s="306"/>
      <c r="AM86" s="306"/>
      <c r="AN86" s="306"/>
      <c r="AO86" s="306"/>
      <c r="AP86" s="306"/>
      <c r="AQ86" s="306"/>
      <c r="AR86" s="306"/>
      <c r="AS86" s="306"/>
      <c r="AT86" s="306"/>
      <c r="AU86" s="306"/>
      <c r="AV86" s="306"/>
      <c r="AW86" s="306"/>
      <c r="AX86" s="306"/>
      <c r="AY86" s="306"/>
      <c r="AZ86" s="306"/>
      <c r="BA86" s="306"/>
      <c r="BB86" s="306"/>
      <c r="BC86" s="306"/>
      <c r="BD86" s="306"/>
      <c r="BE86" s="306"/>
      <c r="BF86" s="306"/>
      <c r="BG86" s="306"/>
    </row>
    <row r="87" spans="4:59"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306"/>
      <c r="AB87" s="306"/>
      <c r="AC87" s="306"/>
      <c r="AD87" s="306"/>
      <c r="AE87" s="306"/>
      <c r="AF87" s="306"/>
      <c r="AG87" s="306"/>
      <c r="AH87" s="306"/>
      <c r="AI87" s="306"/>
      <c r="AJ87" s="306"/>
      <c r="AK87" s="306"/>
      <c r="AL87" s="306"/>
      <c r="AM87" s="306"/>
      <c r="AN87" s="306"/>
      <c r="AO87" s="306"/>
      <c r="AP87" s="306"/>
      <c r="AQ87" s="306"/>
      <c r="AR87" s="306"/>
      <c r="AS87" s="306"/>
      <c r="AT87" s="306"/>
      <c r="AU87" s="306"/>
      <c r="AV87" s="306"/>
      <c r="AW87" s="306"/>
      <c r="AX87" s="306"/>
      <c r="AY87" s="306"/>
      <c r="AZ87" s="306"/>
      <c r="BA87" s="306"/>
      <c r="BB87" s="306"/>
      <c r="BC87" s="306"/>
      <c r="BD87" s="306"/>
      <c r="BE87" s="306"/>
      <c r="BF87" s="306"/>
      <c r="BG87" s="306"/>
    </row>
    <row r="88" spans="4:59">
      <c r="D88" s="306"/>
      <c r="E88" s="306"/>
      <c r="F88" s="306"/>
      <c r="G88" s="306"/>
      <c r="H88" s="306"/>
      <c r="I88" s="306"/>
      <c r="J88" s="306"/>
      <c r="K88" s="306"/>
      <c r="L88" s="306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  <c r="X88" s="306"/>
      <c r="Y88" s="306"/>
      <c r="Z88" s="306"/>
      <c r="AA88" s="306"/>
      <c r="AB88" s="306"/>
      <c r="AC88" s="306"/>
      <c r="AD88" s="306"/>
      <c r="AE88" s="306"/>
      <c r="AF88" s="306"/>
      <c r="AG88" s="306"/>
      <c r="AH88" s="306"/>
      <c r="AI88" s="306"/>
      <c r="AJ88" s="306"/>
      <c r="AK88" s="306"/>
      <c r="AL88" s="306"/>
      <c r="AM88" s="306"/>
      <c r="AN88" s="306"/>
      <c r="AO88" s="306"/>
      <c r="AP88" s="306"/>
      <c r="AQ88" s="306"/>
      <c r="AR88" s="306"/>
      <c r="AS88" s="306"/>
      <c r="AT88" s="306"/>
      <c r="AU88" s="306"/>
      <c r="AV88" s="306"/>
      <c r="AW88" s="306"/>
      <c r="AX88" s="306"/>
      <c r="AY88" s="306"/>
      <c r="AZ88" s="306"/>
      <c r="BA88" s="306"/>
      <c r="BB88" s="306"/>
      <c r="BC88" s="306"/>
      <c r="BD88" s="306"/>
      <c r="BE88" s="306"/>
      <c r="BF88" s="306"/>
      <c r="BG88" s="306"/>
    </row>
    <row r="89" spans="4:59"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  <c r="X89" s="306"/>
      <c r="Y89" s="306"/>
      <c r="Z89" s="306"/>
      <c r="AA89" s="306"/>
      <c r="AB89" s="306"/>
      <c r="AC89" s="306"/>
      <c r="AD89" s="306"/>
      <c r="AE89" s="306"/>
      <c r="AF89" s="306"/>
      <c r="AG89" s="306"/>
      <c r="AH89" s="306"/>
      <c r="AI89" s="306"/>
      <c r="AJ89" s="306"/>
      <c r="AK89" s="306"/>
      <c r="AL89" s="306"/>
      <c r="AM89" s="306"/>
      <c r="AN89" s="306"/>
      <c r="AO89" s="306"/>
      <c r="AP89" s="306"/>
      <c r="AQ89" s="306"/>
      <c r="AR89" s="306"/>
      <c r="AS89" s="306"/>
      <c r="AT89" s="306"/>
      <c r="AU89" s="306"/>
      <c r="AV89" s="306"/>
      <c r="AW89" s="306"/>
      <c r="AX89" s="306"/>
      <c r="AY89" s="306"/>
      <c r="AZ89" s="306"/>
      <c r="BA89" s="306"/>
      <c r="BB89" s="306"/>
      <c r="BC89" s="306"/>
      <c r="BD89" s="306"/>
      <c r="BE89" s="306"/>
      <c r="BF89" s="306"/>
      <c r="BG89" s="306"/>
    </row>
    <row r="90" spans="4:59"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6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6"/>
      <c r="AM90" s="306"/>
      <c r="AN90" s="306"/>
      <c r="AO90" s="306"/>
      <c r="AP90" s="306"/>
      <c r="AQ90" s="306"/>
      <c r="AR90" s="306"/>
      <c r="AS90" s="306"/>
      <c r="AT90" s="306"/>
      <c r="AU90" s="306"/>
      <c r="AV90" s="306"/>
      <c r="AW90" s="306"/>
      <c r="AX90" s="306"/>
      <c r="AY90" s="306"/>
      <c r="AZ90" s="306"/>
      <c r="BA90" s="306"/>
      <c r="BB90" s="306"/>
      <c r="BC90" s="306"/>
      <c r="BD90" s="306"/>
      <c r="BE90" s="306"/>
      <c r="BF90" s="306"/>
      <c r="BG90" s="306"/>
    </row>
    <row r="91" spans="4:59"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306"/>
      <c r="AB91" s="306"/>
      <c r="AC91" s="306"/>
      <c r="AD91" s="306"/>
      <c r="AE91" s="306"/>
      <c r="AF91" s="306"/>
      <c r="AG91" s="306"/>
      <c r="AH91" s="306"/>
      <c r="AI91" s="306"/>
      <c r="AJ91" s="306"/>
      <c r="AK91" s="306"/>
      <c r="AL91" s="306"/>
      <c r="AM91" s="306"/>
      <c r="AN91" s="306"/>
      <c r="AO91" s="306"/>
      <c r="AP91" s="306"/>
      <c r="AQ91" s="306"/>
      <c r="AR91" s="306"/>
      <c r="AS91" s="306"/>
      <c r="AT91" s="306"/>
      <c r="AU91" s="306"/>
      <c r="AV91" s="306"/>
      <c r="AW91" s="306"/>
      <c r="AX91" s="306"/>
      <c r="AY91" s="306"/>
      <c r="AZ91" s="306"/>
      <c r="BA91" s="306"/>
      <c r="BB91" s="306"/>
      <c r="BC91" s="306"/>
      <c r="BD91" s="306"/>
      <c r="BE91" s="306"/>
      <c r="BF91" s="306"/>
      <c r="BG91" s="306"/>
    </row>
    <row r="92" spans="4:59"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306"/>
      <c r="AB92" s="306"/>
      <c r="AC92" s="306"/>
      <c r="AD92" s="306"/>
      <c r="AE92" s="306"/>
      <c r="AF92" s="306"/>
      <c r="AG92" s="306"/>
      <c r="AH92" s="306"/>
      <c r="AI92" s="306"/>
      <c r="AJ92" s="306"/>
      <c r="AK92" s="306"/>
      <c r="AL92" s="306"/>
      <c r="AM92" s="306"/>
      <c r="AN92" s="306"/>
      <c r="AO92" s="306"/>
      <c r="AP92" s="306"/>
      <c r="AQ92" s="306"/>
      <c r="AR92" s="306"/>
      <c r="AS92" s="306"/>
      <c r="AT92" s="306"/>
      <c r="AU92" s="306"/>
      <c r="AV92" s="306"/>
      <c r="AW92" s="306"/>
      <c r="AX92" s="306"/>
      <c r="AY92" s="306"/>
      <c r="AZ92" s="306"/>
      <c r="BA92" s="306"/>
      <c r="BB92" s="306"/>
      <c r="BC92" s="306"/>
      <c r="BD92" s="306"/>
      <c r="BE92" s="306"/>
      <c r="BF92" s="306"/>
      <c r="BG92" s="306"/>
    </row>
    <row r="93" spans="4:59">
      <c r="D93" s="306"/>
      <c r="E93" s="306"/>
      <c r="F93" s="306"/>
      <c r="G93" s="306"/>
      <c r="H93" s="306"/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  <c r="AA93" s="306"/>
      <c r="AB93" s="306"/>
      <c r="AC93" s="306"/>
      <c r="AD93" s="30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  <c r="AV93" s="306"/>
      <c r="AW93" s="306"/>
      <c r="AX93" s="306"/>
      <c r="AY93" s="306"/>
      <c r="AZ93" s="306"/>
      <c r="BA93" s="306"/>
      <c r="BB93" s="306"/>
      <c r="BC93" s="306"/>
      <c r="BD93" s="306"/>
      <c r="BE93" s="306"/>
      <c r="BF93" s="306"/>
      <c r="BG93" s="306"/>
    </row>
    <row r="94" spans="4:59">
      <c r="D94" s="306"/>
      <c r="E94" s="306"/>
      <c r="F94" s="306"/>
      <c r="G94" s="306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  <c r="AV94" s="306"/>
      <c r="AW94" s="306"/>
      <c r="AX94" s="306"/>
      <c r="AY94" s="306"/>
      <c r="AZ94" s="306"/>
      <c r="BA94" s="306"/>
      <c r="BB94" s="306"/>
      <c r="BC94" s="306"/>
      <c r="BD94" s="306"/>
      <c r="BE94" s="306"/>
      <c r="BF94" s="306"/>
      <c r="BG94" s="306"/>
    </row>
    <row r="95" spans="4:59"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  <c r="AA95" s="306"/>
      <c r="AB95" s="306"/>
      <c r="AC95" s="306"/>
      <c r="AD95" s="306"/>
      <c r="AE95" s="306"/>
      <c r="AF95" s="306"/>
      <c r="AG95" s="306"/>
      <c r="AH95" s="306"/>
      <c r="AI95" s="306"/>
      <c r="AJ95" s="306"/>
      <c r="AK95" s="306"/>
      <c r="AL95" s="306"/>
      <c r="AM95" s="306"/>
      <c r="AN95" s="306"/>
      <c r="AO95" s="306"/>
      <c r="AP95" s="306"/>
      <c r="AQ95" s="306"/>
      <c r="AR95" s="306"/>
      <c r="AS95" s="306"/>
      <c r="AT95" s="306"/>
      <c r="AU95" s="306"/>
      <c r="AV95" s="306"/>
      <c r="AW95" s="306"/>
      <c r="AX95" s="306"/>
      <c r="AY95" s="306"/>
      <c r="AZ95" s="306"/>
      <c r="BA95" s="306"/>
      <c r="BB95" s="306"/>
      <c r="BC95" s="306"/>
      <c r="BD95" s="306"/>
      <c r="BE95" s="306"/>
      <c r="BF95" s="306"/>
      <c r="BG95" s="306"/>
    </row>
    <row r="96" spans="4:59"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  <c r="AA96" s="306"/>
      <c r="AB96" s="306"/>
      <c r="AC96" s="306"/>
      <c r="AD96" s="306"/>
      <c r="AE96" s="306"/>
      <c r="AF96" s="306"/>
      <c r="AG96" s="306"/>
      <c r="AH96" s="306"/>
      <c r="AI96" s="306"/>
      <c r="AJ96" s="306"/>
      <c r="AK96" s="306"/>
      <c r="AL96" s="306"/>
      <c r="AM96" s="306"/>
      <c r="AN96" s="306"/>
      <c r="AO96" s="306"/>
      <c r="AP96" s="306"/>
      <c r="AQ96" s="306"/>
      <c r="AR96" s="306"/>
      <c r="AS96" s="306"/>
      <c r="AT96" s="306"/>
      <c r="AU96" s="306"/>
      <c r="AV96" s="306"/>
      <c r="AW96" s="306"/>
      <c r="AX96" s="306"/>
      <c r="AY96" s="306"/>
      <c r="AZ96" s="306"/>
      <c r="BA96" s="306"/>
      <c r="BB96" s="306"/>
      <c r="BC96" s="306"/>
      <c r="BD96" s="306"/>
      <c r="BE96" s="306"/>
      <c r="BF96" s="306"/>
      <c r="BG96" s="306"/>
    </row>
    <row r="97" spans="4:59"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306"/>
      <c r="AB97" s="306"/>
      <c r="AC97" s="306"/>
      <c r="AD97" s="306"/>
      <c r="AE97" s="306"/>
      <c r="AF97" s="306"/>
      <c r="AG97" s="306"/>
      <c r="AH97" s="306"/>
      <c r="AI97" s="306"/>
      <c r="AJ97" s="306"/>
      <c r="AK97" s="306"/>
      <c r="AL97" s="306"/>
      <c r="AM97" s="306"/>
      <c r="AN97" s="306"/>
      <c r="AO97" s="306"/>
      <c r="AP97" s="306"/>
      <c r="AQ97" s="306"/>
      <c r="AR97" s="306"/>
      <c r="AS97" s="306"/>
      <c r="AT97" s="306"/>
      <c r="AU97" s="306"/>
      <c r="AV97" s="306"/>
      <c r="AW97" s="306"/>
      <c r="AX97" s="306"/>
      <c r="AY97" s="306"/>
      <c r="AZ97" s="306"/>
      <c r="BA97" s="306"/>
      <c r="BB97" s="306"/>
      <c r="BC97" s="306"/>
      <c r="BD97" s="306"/>
      <c r="BE97" s="306"/>
      <c r="BF97" s="306"/>
      <c r="BG97" s="306"/>
    </row>
    <row r="98" spans="4:59"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306"/>
      <c r="AB98" s="306"/>
      <c r="AC98" s="306"/>
      <c r="AD98" s="306"/>
      <c r="AE98" s="306"/>
      <c r="AF98" s="306"/>
      <c r="AG98" s="306"/>
      <c r="AH98" s="306"/>
      <c r="AI98" s="306"/>
      <c r="AJ98" s="306"/>
      <c r="AK98" s="306"/>
      <c r="AL98" s="306"/>
      <c r="AM98" s="306"/>
      <c r="AN98" s="306"/>
      <c r="AO98" s="306"/>
      <c r="AP98" s="306"/>
      <c r="AQ98" s="306"/>
      <c r="AR98" s="306"/>
      <c r="AS98" s="306"/>
      <c r="AT98" s="306"/>
      <c r="AU98" s="306"/>
      <c r="AV98" s="306"/>
      <c r="AW98" s="306"/>
      <c r="AX98" s="306"/>
      <c r="AY98" s="306"/>
      <c r="AZ98" s="306"/>
      <c r="BA98" s="306"/>
      <c r="BB98" s="306"/>
      <c r="BC98" s="306"/>
      <c r="BD98" s="306"/>
      <c r="BE98" s="306"/>
      <c r="BF98" s="306"/>
      <c r="BG98" s="306"/>
    </row>
    <row r="99" spans="4:59">
      <c r="D99" s="306"/>
      <c r="E99" s="306"/>
      <c r="F99" s="306"/>
      <c r="G99" s="306"/>
      <c r="H99" s="306"/>
      <c r="I99" s="306"/>
      <c r="J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  <c r="AA99" s="306"/>
      <c r="AB99" s="306"/>
      <c r="AC99" s="306"/>
      <c r="AD99" s="306"/>
      <c r="AE99" s="306"/>
      <c r="AF99" s="306"/>
      <c r="AG99" s="306"/>
      <c r="AH99" s="306"/>
      <c r="AI99" s="306"/>
      <c r="AJ99" s="306"/>
      <c r="AK99" s="306"/>
      <c r="AL99" s="306"/>
      <c r="AM99" s="306"/>
      <c r="AN99" s="306"/>
      <c r="AO99" s="306"/>
      <c r="AP99" s="306"/>
      <c r="AQ99" s="306"/>
      <c r="AR99" s="306"/>
      <c r="AS99" s="306"/>
      <c r="AT99" s="306"/>
      <c r="AU99" s="306"/>
      <c r="AV99" s="306"/>
      <c r="AW99" s="306"/>
      <c r="AX99" s="306"/>
      <c r="AY99" s="306"/>
      <c r="AZ99" s="306"/>
      <c r="BA99" s="306"/>
      <c r="BB99" s="306"/>
      <c r="BC99" s="306"/>
      <c r="BD99" s="306"/>
      <c r="BE99" s="306"/>
      <c r="BF99" s="306"/>
      <c r="BG99" s="306"/>
    </row>
    <row r="100" spans="4:59">
      <c r="D100" s="306"/>
      <c r="E100" s="306"/>
      <c r="F100" s="306"/>
      <c r="G100" s="306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  <c r="AA100" s="306"/>
      <c r="AB100" s="306"/>
      <c r="AC100" s="306"/>
      <c r="AD100" s="306"/>
      <c r="AE100" s="306"/>
      <c r="AF100" s="306"/>
      <c r="AG100" s="306"/>
      <c r="AH100" s="306"/>
      <c r="AI100" s="306"/>
      <c r="AJ100" s="306"/>
      <c r="AK100" s="306"/>
      <c r="AL100" s="306"/>
      <c r="AM100" s="306"/>
      <c r="AN100" s="306"/>
      <c r="AO100" s="306"/>
      <c r="AP100" s="306"/>
      <c r="AQ100" s="306"/>
      <c r="AR100" s="306"/>
      <c r="AS100" s="306"/>
      <c r="AT100" s="306"/>
      <c r="AU100" s="306"/>
      <c r="AV100" s="306"/>
      <c r="AW100" s="306"/>
      <c r="AX100" s="306"/>
      <c r="AY100" s="306"/>
      <c r="AZ100" s="306"/>
      <c r="BA100" s="306"/>
      <c r="BB100" s="306"/>
      <c r="BC100" s="306"/>
      <c r="BD100" s="306"/>
      <c r="BE100" s="306"/>
      <c r="BF100" s="306"/>
      <c r="BG100" s="306"/>
    </row>
    <row r="101" spans="4:59">
      <c r="D101" s="306"/>
      <c r="E101" s="306"/>
      <c r="F101" s="306"/>
      <c r="G101" s="306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  <c r="AA101" s="306"/>
      <c r="AB101" s="306"/>
      <c r="AC101" s="306"/>
      <c r="AD101" s="306"/>
      <c r="AE101" s="306"/>
      <c r="AF101" s="306"/>
      <c r="AG101" s="306"/>
      <c r="AH101" s="306"/>
      <c r="AI101" s="306"/>
      <c r="AJ101" s="306"/>
      <c r="AK101" s="306"/>
      <c r="AL101" s="306"/>
      <c r="AM101" s="306"/>
      <c r="AN101" s="306"/>
      <c r="AO101" s="306"/>
      <c r="AP101" s="306"/>
      <c r="AQ101" s="306"/>
      <c r="AR101" s="306"/>
      <c r="AS101" s="306"/>
      <c r="AT101" s="306"/>
      <c r="AU101" s="306"/>
      <c r="AV101" s="306"/>
      <c r="AW101" s="306"/>
      <c r="AX101" s="306"/>
      <c r="AY101" s="306"/>
      <c r="AZ101" s="306"/>
      <c r="BA101" s="306"/>
      <c r="BB101" s="306"/>
      <c r="BC101" s="306"/>
      <c r="BD101" s="306"/>
      <c r="BE101" s="306"/>
      <c r="BF101" s="306"/>
      <c r="BG101" s="306"/>
    </row>
    <row r="102" spans="4:59">
      <c r="D102" s="306"/>
      <c r="E102" s="306"/>
      <c r="F102" s="306"/>
      <c r="G102" s="306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  <c r="AA102" s="306"/>
      <c r="AB102" s="306"/>
      <c r="AC102" s="306"/>
      <c r="AD102" s="306"/>
      <c r="AE102" s="306"/>
      <c r="AF102" s="306"/>
      <c r="AG102" s="306"/>
      <c r="AH102" s="306"/>
      <c r="AI102" s="306"/>
      <c r="AJ102" s="306"/>
      <c r="AK102" s="306"/>
      <c r="AL102" s="306"/>
      <c r="AM102" s="306"/>
      <c r="AN102" s="306"/>
      <c r="AO102" s="306"/>
      <c r="AP102" s="306"/>
      <c r="AQ102" s="306"/>
      <c r="AR102" s="306"/>
      <c r="AS102" s="306"/>
      <c r="AT102" s="306"/>
      <c r="AU102" s="306"/>
      <c r="AV102" s="306"/>
      <c r="AW102" s="306"/>
      <c r="AX102" s="306"/>
      <c r="AY102" s="306"/>
      <c r="AZ102" s="306"/>
      <c r="BA102" s="306"/>
      <c r="BB102" s="306"/>
      <c r="BC102" s="306"/>
      <c r="BD102" s="306"/>
      <c r="BE102" s="306"/>
      <c r="BF102" s="306"/>
      <c r="BG102" s="306"/>
    </row>
    <row r="103" spans="4:59">
      <c r="D103" s="306"/>
      <c r="E103" s="306"/>
      <c r="F103" s="306"/>
      <c r="G103" s="306"/>
      <c r="H103" s="306"/>
      <c r="I103" s="306"/>
      <c r="J103" s="306"/>
      <c r="K103" s="30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  <c r="AA103" s="306"/>
      <c r="AB103" s="306"/>
      <c r="AC103" s="306"/>
      <c r="AD103" s="306"/>
      <c r="AE103" s="306"/>
      <c r="AF103" s="306"/>
      <c r="AG103" s="306"/>
      <c r="AH103" s="306"/>
      <c r="AI103" s="306"/>
      <c r="AJ103" s="306"/>
      <c r="AK103" s="306"/>
      <c r="AL103" s="306"/>
      <c r="AM103" s="306"/>
      <c r="AN103" s="306"/>
      <c r="AO103" s="306"/>
      <c r="AP103" s="306"/>
      <c r="AQ103" s="306"/>
      <c r="AR103" s="306"/>
      <c r="AS103" s="306"/>
      <c r="AT103" s="306"/>
      <c r="AU103" s="306"/>
      <c r="AV103" s="306"/>
      <c r="AW103" s="306"/>
      <c r="AX103" s="306"/>
      <c r="AY103" s="306"/>
      <c r="AZ103" s="306"/>
      <c r="BA103" s="306"/>
      <c r="BB103" s="306"/>
      <c r="BC103" s="306"/>
      <c r="BD103" s="306"/>
      <c r="BE103" s="306"/>
      <c r="BF103" s="306"/>
      <c r="BG103" s="306"/>
    </row>
    <row r="104" spans="4:59">
      <c r="D104" s="306"/>
      <c r="E104" s="306"/>
      <c r="F104" s="306"/>
      <c r="G104" s="306"/>
      <c r="H104" s="306"/>
      <c r="I104" s="306"/>
      <c r="J104" s="306"/>
      <c r="K104" s="306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  <c r="AA104" s="306"/>
      <c r="AB104" s="306"/>
      <c r="AC104" s="306"/>
      <c r="AD104" s="306"/>
      <c r="AE104" s="306"/>
      <c r="AF104" s="306"/>
      <c r="AG104" s="306"/>
      <c r="AH104" s="306"/>
      <c r="AI104" s="306"/>
      <c r="AJ104" s="306"/>
      <c r="AK104" s="306"/>
      <c r="AL104" s="306"/>
      <c r="AM104" s="306"/>
      <c r="AN104" s="306"/>
      <c r="AO104" s="306"/>
      <c r="AP104" s="306"/>
      <c r="AQ104" s="306"/>
      <c r="AR104" s="306"/>
      <c r="AS104" s="306"/>
      <c r="AT104" s="306"/>
      <c r="AU104" s="306"/>
      <c r="AV104" s="306"/>
      <c r="AW104" s="306"/>
      <c r="AX104" s="306"/>
      <c r="AY104" s="306"/>
      <c r="AZ104" s="306"/>
      <c r="BA104" s="306"/>
      <c r="BB104" s="306"/>
      <c r="BC104" s="306"/>
      <c r="BD104" s="306"/>
      <c r="BE104" s="306"/>
      <c r="BF104" s="306"/>
      <c r="BG104" s="306"/>
    </row>
    <row r="105" spans="4:59"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  <c r="AA105" s="306"/>
      <c r="AB105" s="306"/>
      <c r="AC105" s="306"/>
      <c r="AD105" s="306"/>
      <c r="AE105" s="306"/>
      <c r="AF105" s="306"/>
      <c r="AG105" s="306"/>
      <c r="AH105" s="306"/>
      <c r="AI105" s="306"/>
      <c r="AJ105" s="306"/>
      <c r="AK105" s="306"/>
      <c r="AL105" s="306"/>
      <c r="AM105" s="306"/>
      <c r="AN105" s="306"/>
      <c r="AO105" s="306"/>
      <c r="AP105" s="306"/>
      <c r="AQ105" s="306"/>
      <c r="AR105" s="306"/>
      <c r="AS105" s="306"/>
      <c r="AT105" s="306"/>
      <c r="AU105" s="306"/>
      <c r="AV105" s="306"/>
      <c r="AW105" s="306"/>
      <c r="AX105" s="306"/>
      <c r="AY105" s="306"/>
      <c r="AZ105" s="306"/>
      <c r="BA105" s="306"/>
      <c r="BB105" s="306"/>
      <c r="BC105" s="306"/>
      <c r="BD105" s="306"/>
      <c r="BE105" s="306"/>
      <c r="BF105" s="306"/>
      <c r="BG105" s="306"/>
    </row>
    <row r="106" spans="4:59"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  <c r="AA106" s="306"/>
      <c r="AB106" s="306"/>
      <c r="AC106" s="306"/>
      <c r="AD106" s="306"/>
      <c r="AE106" s="306"/>
      <c r="AF106" s="306"/>
      <c r="AG106" s="306"/>
      <c r="AH106" s="306"/>
      <c r="AI106" s="306"/>
      <c r="AJ106" s="306"/>
      <c r="AK106" s="306"/>
      <c r="AL106" s="306"/>
      <c r="AM106" s="306"/>
      <c r="AN106" s="306"/>
      <c r="AO106" s="306"/>
      <c r="AP106" s="306"/>
      <c r="AQ106" s="306"/>
      <c r="AR106" s="306"/>
      <c r="AS106" s="306"/>
      <c r="AT106" s="306"/>
      <c r="AU106" s="306"/>
      <c r="AV106" s="306"/>
      <c r="AW106" s="306"/>
      <c r="AX106" s="306"/>
      <c r="AY106" s="306"/>
      <c r="AZ106" s="306"/>
      <c r="BA106" s="306"/>
      <c r="BB106" s="306"/>
      <c r="BC106" s="306"/>
      <c r="BD106" s="306"/>
      <c r="BE106" s="306"/>
      <c r="BF106" s="306"/>
      <c r="BG106" s="306"/>
    </row>
    <row r="107" spans="4:59"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306"/>
      <c r="AB107" s="306"/>
      <c r="AC107" s="306"/>
      <c r="AD107" s="306"/>
      <c r="AE107" s="306"/>
      <c r="AF107" s="306"/>
      <c r="AG107" s="306"/>
      <c r="AH107" s="306"/>
      <c r="AI107" s="306"/>
      <c r="AJ107" s="306"/>
      <c r="AK107" s="306"/>
      <c r="AL107" s="306"/>
      <c r="AM107" s="306"/>
      <c r="AN107" s="306"/>
      <c r="AO107" s="306"/>
      <c r="AP107" s="306"/>
      <c r="AQ107" s="306"/>
      <c r="AR107" s="306"/>
      <c r="AS107" s="306"/>
      <c r="AT107" s="306"/>
      <c r="AU107" s="306"/>
      <c r="AV107" s="306"/>
      <c r="AW107" s="306"/>
      <c r="AX107" s="306"/>
      <c r="AY107" s="306"/>
      <c r="AZ107" s="306"/>
      <c r="BA107" s="306"/>
      <c r="BB107" s="306"/>
      <c r="BC107" s="306"/>
      <c r="BD107" s="306"/>
      <c r="BE107" s="306"/>
      <c r="BF107" s="306"/>
      <c r="BG107" s="306"/>
    </row>
    <row r="108" spans="4:59"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306"/>
      <c r="AB108" s="306"/>
      <c r="AC108" s="306"/>
      <c r="AD108" s="306"/>
      <c r="AE108" s="306"/>
      <c r="AF108" s="306"/>
      <c r="AG108" s="306"/>
      <c r="AH108" s="306"/>
      <c r="AI108" s="306"/>
      <c r="AJ108" s="306"/>
      <c r="AK108" s="306"/>
      <c r="AL108" s="306"/>
      <c r="AM108" s="306"/>
      <c r="AN108" s="306"/>
      <c r="AO108" s="306"/>
      <c r="AP108" s="306"/>
      <c r="AQ108" s="306"/>
      <c r="AR108" s="306"/>
      <c r="AS108" s="306"/>
      <c r="AT108" s="306"/>
      <c r="AU108" s="306"/>
      <c r="AV108" s="306"/>
      <c r="AW108" s="306"/>
      <c r="AX108" s="306"/>
      <c r="AY108" s="306"/>
      <c r="AZ108" s="306"/>
      <c r="BA108" s="306"/>
      <c r="BB108" s="306"/>
      <c r="BC108" s="306"/>
      <c r="BD108" s="306"/>
      <c r="BE108" s="306"/>
      <c r="BF108" s="306"/>
      <c r="BG108" s="306"/>
    </row>
    <row r="109" spans="4:59">
      <c r="D109" s="306"/>
      <c r="E109" s="306"/>
      <c r="F109" s="306"/>
      <c r="G109" s="306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  <c r="AA109" s="306"/>
      <c r="AB109" s="306"/>
      <c r="AC109" s="306"/>
      <c r="AD109" s="306"/>
      <c r="AE109" s="306"/>
      <c r="AF109" s="306"/>
      <c r="AG109" s="306"/>
      <c r="AH109" s="306"/>
      <c r="AI109" s="306"/>
      <c r="AJ109" s="306"/>
      <c r="AK109" s="306"/>
      <c r="AL109" s="306"/>
      <c r="AM109" s="306"/>
      <c r="AN109" s="306"/>
      <c r="AO109" s="306"/>
      <c r="AP109" s="306"/>
      <c r="AQ109" s="306"/>
      <c r="AR109" s="306"/>
      <c r="AS109" s="306"/>
      <c r="AT109" s="306"/>
      <c r="AU109" s="306"/>
      <c r="AV109" s="306"/>
      <c r="AW109" s="306"/>
      <c r="AX109" s="306"/>
      <c r="AY109" s="306"/>
      <c r="AZ109" s="306"/>
      <c r="BA109" s="306"/>
      <c r="BB109" s="306"/>
      <c r="BC109" s="306"/>
      <c r="BD109" s="306"/>
      <c r="BE109" s="306"/>
      <c r="BF109" s="306"/>
      <c r="BG109" s="306"/>
    </row>
    <row r="110" spans="4:59">
      <c r="D110" s="306"/>
      <c r="E110" s="306"/>
      <c r="F110" s="306"/>
      <c r="G110" s="306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  <c r="AA110" s="306"/>
      <c r="AB110" s="306"/>
      <c r="AC110" s="306"/>
      <c r="AD110" s="306"/>
      <c r="AE110" s="306"/>
      <c r="AF110" s="306"/>
      <c r="AG110" s="306"/>
      <c r="AH110" s="306"/>
      <c r="AI110" s="306"/>
      <c r="AJ110" s="306"/>
      <c r="AK110" s="306"/>
      <c r="AL110" s="306"/>
      <c r="AM110" s="306"/>
      <c r="AN110" s="306"/>
      <c r="AO110" s="306"/>
      <c r="AP110" s="306"/>
      <c r="AQ110" s="306"/>
      <c r="AR110" s="306"/>
      <c r="AS110" s="306"/>
      <c r="AT110" s="306"/>
      <c r="AU110" s="306"/>
      <c r="AV110" s="306"/>
      <c r="AW110" s="306"/>
      <c r="AX110" s="306"/>
      <c r="AY110" s="306"/>
      <c r="AZ110" s="306"/>
      <c r="BA110" s="306"/>
      <c r="BB110" s="306"/>
      <c r="BC110" s="306"/>
      <c r="BD110" s="306"/>
      <c r="BE110" s="306"/>
      <c r="BF110" s="306"/>
      <c r="BG110" s="306"/>
    </row>
    <row r="111" spans="4:59"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  <c r="AA111" s="306"/>
      <c r="AB111" s="306"/>
      <c r="AC111" s="306"/>
      <c r="AD111" s="306"/>
      <c r="AE111" s="306"/>
      <c r="AF111" s="306"/>
      <c r="AG111" s="306"/>
      <c r="AH111" s="306"/>
      <c r="AI111" s="306"/>
      <c r="AJ111" s="306"/>
      <c r="AK111" s="306"/>
      <c r="AL111" s="306"/>
      <c r="AM111" s="306"/>
      <c r="AN111" s="306"/>
      <c r="AO111" s="306"/>
      <c r="AP111" s="306"/>
      <c r="AQ111" s="306"/>
      <c r="AR111" s="306"/>
      <c r="AS111" s="306"/>
      <c r="AT111" s="306"/>
      <c r="AU111" s="306"/>
      <c r="AV111" s="306"/>
      <c r="AW111" s="306"/>
      <c r="AX111" s="306"/>
      <c r="AY111" s="306"/>
      <c r="AZ111" s="306"/>
      <c r="BA111" s="306"/>
      <c r="BB111" s="306"/>
      <c r="BC111" s="306"/>
      <c r="BD111" s="306"/>
      <c r="BE111" s="306"/>
      <c r="BF111" s="306"/>
      <c r="BG111" s="306"/>
    </row>
    <row r="112" spans="4:59"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  <c r="AA112" s="306"/>
      <c r="AB112" s="306"/>
      <c r="AC112" s="306"/>
      <c r="AD112" s="306"/>
      <c r="AE112" s="306"/>
      <c r="AF112" s="306"/>
      <c r="AG112" s="306"/>
      <c r="AH112" s="306"/>
      <c r="AI112" s="306"/>
      <c r="AJ112" s="306"/>
      <c r="AK112" s="306"/>
      <c r="AL112" s="306"/>
      <c r="AM112" s="306"/>
      <c r="AN112" s="306"/>
      <c r="AO112" s="306"/>
      <c r="AP112" s="306"/>
      <c r="AQ112" s="306"/>
      <c r="AR112" s="306"/>
      <c r="AS112" s="306"/>
      <c r="AT112" s="306"/>
      <c r="AU112" s="306"/>
      <c r="AV112" s="306"/>
      <c r="AW112" s="306"/>
      <c r="AX112" s="306"/>
      <c r="AY112" s="306"/>
      <c r="AZ112" s="306"/>
      <c r="BA112" s="306"/>
      <c r="BB112" s="306"/>
      <c r="BC112" s="306"/>
      <c r="BD112" s="306"/>
      <c r="BE112" s="306"/>
      <c r="BF112" s="306"/>
      <c r="BG112" s="306"/>
    </row>
    <row r="113" spans="4:61"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306"/>
      <c r="AB113" s="306"/>
      <c r="AC113" s="306"/>
      <c r="AD113" s="306"/>
      <c r="AE113" s="306"/>
      <c r="AF113" s="306"/>
      <c r="AG113" s="306"/>
      <c r="AH113" s="306"/>
      <c r="AI113" s="306"/>
      <c r="AJ113" s="306"/>
      <c r="AK113" s="306"/>
      <c r="AL113" s="306"/>
      <c r="AM113" s="306"/>
      <c r="AN113" s="306"/>
      <c r="AO113" s="306"/>
      <c r="AP113" s="306"/>
      <c r="AQ113" s="306"/>
      <c r="AR113" s="306"/>
      <c r="AS113" s="306"/>
      <c r="AT113" s="306"/>
      <c r="AU113" s="306"/>
      <c r="AV113" s="306"/>
      <c r="AW113" s="306"/>
      <c r="AX113" s="306"/>
      <c r="AY113" s="306"/>
      <c r="AZ113" s="306"/>
      <c r="BA113" s="306"/>
      <c r="BB113" s="306"/>
      <c r="BC113" s="306"/>
      <c r="BD113" s="306"/>
      <c r="BE113" s="306"/>
      <c r="BF113" s="306"/>
      <c r="BG113" s="306"/>
    </row>
    <row r="114" spans="4:61"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306"/>
      <c r="AB114" s="306"/>
      <c r="AC114" s="306"/>
      <c r="AD114" s="306"/>
      <c r="AE114" s="306"/>
      <c r="AF114" s="306"/>
      <c r="AG114" s="306"/>
      <c r="AH114" s="306"/>
      <c r="AI114" s="306"/>
      <c r="AJ114" s="306"/>
      <c r="AK114" s="306"/>
      <c r="AL114" s="306"/>
      <c r="AM114" s="306"/>
      <c r="AN114" s="306"/>
      <c r="AO114" s="306"/>
      <c r="AP114" s="306"/>
      <c r="AQ114" s="306"/>
      <c r="AR114" s="306"/>
      <c r="AS114" s="306"/>
      <c r="AT114" s="306"/>
      <c r="AU114" s="306"/>
      <c r="AV114" s="306"/>
      <c r="AW114" s="306"/>
      <c r="AX114" s="306"/>
      <c r="AY114" s="306"/>
      <c r="AZ114" s="306"/>
      <c r="BA114" s="306"/>
      <c r="BB114" s="306"/>
      <c r="BC114" s="306"/>
      <c r="BD114" s="306"/>
      <c r="BE114" s="306"/>
      <c r="BF114" s="306"/>
      <c r="BG114" s="306"/>
    </row>
    <row r="115" spans="4:61">
      <c r="D115" s="306"/>
      <c r="E115" s="306"/>
      <c r="F115" s="306"/>
      <c r="G115" s="306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  <c r="AA115" s="306"/>
      <c r="AB115" s="306"/>
      <c r="AC115" s="306"/>
      <c r="AD115" s="306"/>
      <c r="AE115" s="306"/>
      <c r="AF115" s="306"/>
      <c r="AG115" s="306"/>
      <c r="AH115" s="306"/>
      <c r="AI115" s="306"/>
      <c r="AJ115" s="306"/>
      <c r="AK115" s="306"/>
      <c r="AL115" s="306"/>
      <c r="AM115" s="306"/>
      <c r="AN115" s="306"/>
      <c r="AO115" s="306"/>
      <c r="AP115" s="306"/>
      <c r="AQ115" s="306"/>
      <c r="AR115" s="306"/>
      <c r="AS115" s="306"/>
      <c r="AT115" s="306"/>
      <c r="AU115" s="306"/>
      <c r="AV115" s="306"/>
      <c r="AW115" s="306"/>
      <c r="AX115" s="306"/>
      <c r="AY115" s="306"/>
      <c r="AZ115" s="306"/>
      <c r="BA115" s="306"/>
      <c r="BB115" s="306"/>
      <c r="BC115" s="306"/>
      <c r="BD115" s="306"/>
      <c r="BE115" s="306"/>
      <c r="BF115" s="306"/>
      <c r="BG115" s="306"/>
      <c r="BH115" s="27"/>
      <c r="BI115" s="27"/>
    </row>
    <row r="116" spans="4:61">
      <c r="D116" s="306"/>
      <c r="E116" s="306"/>
      <c r="F116" s="306"/>
      <c r="G116" s="306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  <c r="AA116" s="306"/>
      <c r="AB116" s="306"/>
      <c r="AC116" s="306"/>
      <c r="AD116" s="306"/>
      <c r="AE116" s="306"/>
      <c r="AF116" s="306"/>
      <c r="AG116" s="306"/>
      <c r="AH116" s="306"/>
      <c r="AI116" s="306"/>
      <c r="AJ116" s="306"/>
      <c r="AK116" s="306"/>
      <c r="AL116" s="306"/>
      <c r="AM116" s="306"/>
      <c r="AN116" s="306"/>
      <c r="AO116" s="306"/>
      <c r="AP116" s="306"/>
      <c r="AQ116" s="306"/>
      <c r="AR116" s="306"/>
      <c r="AS116" s="306"/>
      <c r="AT116" s="306"/>
      <c r="AU116" s="306"/>
      <c r="AV116" s="306"/>
      <c r="AW116" s="306"/>
      <c r="AX116" s="306"/>
      <c r="AY116" s="306"/>
      <c r="AZ116" s="306"/>
      <c r="BA116" s="306"/>
      <c r="BB116" s="306"/>
      <c r="BC116" s="306"/>
      <c r="BD116" s="306"/>
      <c r="BE116" s="306"/>
      <c r="BF116" s="306"/>
      <c r="BG116" s="306"/>
      <c r="BI116" s="22"/>
    </row>
    <row r="117" spans="4:61">
      <c r="D117" s="306"/>
      <c r="E117" s="306"/>
      <c r="F117" s="306"/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  <c r="AA117" s="306"/>
      <c r="AB117" s="306"/>
      <c r="AC117" s="306"/>
      <c r="AD117" s="306"/>
      <c r="AE117" s="306"/>
      <c r="AF117" s="306"/>
      <c r="AG117" s="306"/>
      <c r="AH117" s="306"/>
      <c r="AI117" s="306"/>
      <c r="AJ117" s="306"/>
      <c r="AK117" s="306"/>
      <c r="AL117" s="306"/>
      <c r="AM117" s="306"/>
      <c r="AN117" s="306"/>
      <c r="AO117" s="306"/>
      <c r="AP117" s="306"/>
      <c r="AQ117" s="306"/>
      <c r="AR117" s="306"/>
      <c r="AS117" s="306"/>
      <c r="AT117" s="306"/>
      <c r="AU117" s="306"/>
      <c r="AV117" s="306"/>
      <c r="AW117" s="306"/>
      <c r="AX117" s="306"/>
      <c r="AY117" s="306"/>
      <c r="AZ117" s="306"/>
      <c r="BA117" s="306"/>
      <c r="BB117" s="306"/>
      <c r="BC117" s="306"/>
      <c r="BD117" s="306"/>
      <c r="BE117" s="306"/>
      <c r="BF117" s="306"/>
      <c r="BG117" s="306"/>
    </row>
    <row r="118" spans="4:61">
      <c r="D118" s="306"/>
      <c r="E118" s="30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  <c r="AA118" s="306"/>
      <c r="AB118" s="306"/>
      <c r="AC118" s="306"/>
      <c r="AD118" s="306"/>
      <c r="AE118" s="306"/>
      <c r="AF118" s="306"/>
      <c r="AG118" s="306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  <c r="AV118" s="306"/>
      <c r="AW118" s="306"/>
      <c r="AX118" s="306"/>
      <c r="AY118" s="306"/>
      <c r="AZ118" s="306"/>
      <c r="BA118" s="306"/>
      <c r="BB118" s="306"/>
      <c r="BC118" s="306"/>
      <c r="BD118" s="306"/>
      <c r="BE118" s="306"/>
      <c r="BF118" s="306"/>
      <c r="BG118" s="306"/>
      <c r="BH118" s="56"/>
    </row>
    <row r="119" spans="4:61">
      <c r="D119" s="306"/>
      <c r="E119" s="30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  <c r="AA119" s="306"/>
      <c r="AB119" s="306"/>
      <c r="AC119" s="306"/>
      <c r="AD119" s="306"/>
      <c r="AE119" s="306"/>
      <c r="AF119" s="306"/>
      <c r="AG119" s="306"/>
      <c r="AH119" s="306"/>
      <c r="AI119" s="306"/>
      <c r="AJ119" s="306"/>
      <c r="AK119" s="306"/>
      <c r="AL119" s="306"/>
      <c r="AM119" s="306"/>
      <c r="AN119" s="306"/>
      <c r="AO119" s="306"/>
      <c r="AP119" s="306"/>
      <c r="AQ119" s="306"/>
      <c r="AR119" s="306"/>
      <c r="AS119" s="306"/>
      <c r="AT119" s="306"/>
      <c r="AU119" s="306"/>
      <c r="AV119" s="306"/>
      <c r="AW119" s="306"/>
      <c r="AX119" s="306"/>
      <c r="AY119" s="306"/>
      <c r="AZ119" s="306"/>
      <c r="BA119" s="306"/>
      <c r="BB119" s="306"/>
      <c r="BC119" s="306"/>
      <c r="BD119" s="306"/>
      <c r="BE119" s="306"/>
      <c r="BF119" s="306"/>
      <c r="BG119" s="306"/>
    </row>
    <row r="120" spans="4:61">
      <c r="D120" s="306"/>
      <c r="E120" s="30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  <c r="AA120" s="306"/>
      <c r="AB120" s="306"/>
      <c r="AC120" s="306"/>
      <c r="AD120" s="306"/>
      <c r="AE120" s="306"/>
      <c r="AF120" s="306"/>
      <c r="AG120" s="306"/>
      <c r="AH120" s="306"/>
      <c r="AI120" s="306"/>
      <c r="AJ120" s="306"/>
      <c r="AK120" s="306"/>
      <c r="AL120" s="306"/>
      <c r="AM120" s="306"/>
      <c r="AN120" s="306"/>
      <c r="AO120" s="306"/>
      <c r="AP120" s="306"/>
      <c r="AQ120" s="306"/>
      <c r="AR120" s="306"/>
      <c r="AS120" s="306"/>
      <c r="AT120" s="306"/>
      <c r="AU120" s="306"/>
      <c r="AV120" s="306"/>
      <c r="AW120" s="306"/>
      <c r="AX120" s="306"/>
      <c r="AY120" s="306"/>
      <c r="AZ120" s="306"/>
      <c r="BA120" s="306"/>
      <c r="BB120" s="306"/>
      <c r="BC120" s="306"/>
      <c r="BD120" s="306"/>
      <c r="BE120" s="306"/>
      <c r="BF120" s="306"/>
      <c r="BG120" s="306"/>
    </row>
    <row r="121" spans="4:61">
      <c r="D121" s="306"/>
      <c r="E121" s="30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  <c r="AA121" s="306"/>
      <c r="AB121" s="306"/>
      <c r="AC121" s="306"/>
      <c r="AD121" s="306"/>
      <c r="AE121" s="306"/>
      <c r="AF121" s="306"/>
      <c r="AG121" s="306"/>
      <c r="AH121" s="306"/>
      <c r="AI121" s="306"/>
      <c r="AJ121" s="306"/>
      <c r="AK121" s="306"/>
      <c r="AL121" s="306"/>
      <c r="AM121" s="306"/>
      <c r="AN121" s="306"/>
      <c r="AO121" s="306"/>
      <c r="AP121" s="306"/>
      <c r="AQ121" s="306"/>
      <c r="AR121" s="306"/>
      <c r="AS121" s="306"/>
      <c r="AT121" s="306"/>
      <c r="AU121" s="306"/>
      <c r="AV121" s="306"/>
      <c r="AW121" s="306"/>
      <c r="AX121" s="306"/>
      <c r="AY121" s="306"/>
      <c r="AZ121" s="306"/>
      <c r="BA121" s="306"/>
      <c r="BB121" s="306"/>
      <c r="BC121" s="306"/>
      <c r="BD121" s="306"/>
      <c r="BE121" s="306"/>
      <c r="BF121" s="306"/>
      <c r="BG121" s="306"/>
    </row>
    <row r="122" spans="4:61"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  <c r="AA122" s="306"/>
      <c r="AB122" s="306"/>
      <c r="AC122" s="306"/>
      <c r="AD122" s="306"/>
      <c r="AE122" s="306"/>
      <c r="AF122" s="306"/>
      <c r="AG122" s="306"/>
      <c r="AH122" s="306"/>
      <c r="AI122" s="306"/>
      <c r="AJ122" s="306"/>
      <c r="AK122" s="306"/>
      <c r="AL122" s="306"/>
      <c r="AM122" s="306"/>
      <c r="AN122" s="306"/>
      <c r="AO122" s="306"/>
      <c r="AP122" s="306"/>
      <c r="AQ122" s="306"/>
      <c r="AR122" s="306"/>
      <c r="AS122" s="306"/>
      <c r="AT122" s="306"/>
      <c r="AU122" s="306"/>
      <c r="AV122" s="379"/>
      <c r="AW122" s="379"/>
      <c r="AX122" s="306"/>
      <c r="AY122" s="306"/>
      <c r="AZ122" s="306"/>
      <c r="BA122" s="306"/>
      <c r="BB122" s="306"/>
      <c r="BC122" s="306"/>
      <c r="BD122" s="306"/>
      <c r="BE122" s="306"/>
      <c r="BF122" s="306"/>
      <c r="BG122" s="306"/>
    </row>
    <row r="123" spans="4:61"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  <c r="AA123" s="306"/>
      <c r="AB123" s="306"/>
      <c r="AC123" s="306"/>
      <c r="AD123" s="306"/>
      <c r="AE123" s="306"/>
      <c r="AF123" s="306"/>
      <c r="AG123" s="306"/>
      <c r="AH123" s="306"/>
      <c r="AI123" s="306"/>
      <c r="AJ123" s="306"/>
      <c r="AK123" s="306"/>
      <c r="AL123" s="306"/>
      <c r="AM123" s="306"/>
      <c r="AN123" s="306"/>
      <c r="AO123" s="306"/>
      <c r="AP123" s="306"/>
      <c r="AQ123" s="306"/>
      <c r="AR123" s="306"/>
      <c r="AS123" s="306"/>
      <c r="AT123" s="306"/>
      <c r="AU123" s="306"/>
      <c r="AV123" s="306"/>
      <c r="AW123" s="306"/>
      <c r="AX123" s="306"/>
      <c r="AY123" s="306"/>
      <c r="AZ123" s="306"/>
      <c r="BA123" s="306"/>
      <c r="BB123" s="306"/>
      <c r="BC123" s="306"/>
      <c r="BD123" s="306"/>
      <c r="BE123" s="306"/>
      <c r="BF123" s="306"/>
      <c r="BG123" s="306"/>
    </row>
    <row r="124" spans="4:61"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306"/>
      <c r="AB124" s="306"/>
      <c r="AC124" s="306"/>
      <c r="AD124" s="306"/>
      <c r="AE124" s="306"/>
      <c r="AF124" s="306"/>
      <c r="AG124" s="306"/>
      <c r="AH124" s="306"/>
      <c r="AI124" s="306"/>
      <c r="AJ124" s="306"/>
      <c r="AK124" s="306"/>
      <c r="AL124" s="306"/>
      <c r="AM124" s="306"/>
      <c r="AN124" s="306"/>
      <c r="AO124" s="306"/>
      <c r="AP124" s="306"/>
      <c r="AQ124" s="306"/>
      <c r="AR124" s="306"/>
      <c r="AS124" s="306"/>
      <c r="AT124" s="306"/>
      <c r="AU124" s="306"/>
      <c r="AV124" s="306"/>
      <c r="AW124" s="306"/>
      <c r="AX124" s="306"/>
      <c r="AY124" s="306"/>
      <c r="AZ124" s="306"/>
      <c r="BA124" s="306"/>
      <c r="BB124" s="306"/>
      <c r="BC124" s="306"/>
      <c r="BD124" s="306"/>
      <c r="BE124" s="306"/>
      <c r="BF124" s="306"/>
      <c r="BG124" s="306"/>
    </row>
    <row r="125" spans="4:61">
      <c r="AR125" s="306"/>
    </row>
    <row r="126" spans="4:61">
      <c r="AR126" s="306"/>
      <c r="AT126" s="306"/>
    </row>
    <row r="127" spans="4:61">
      <c r="AR127" s="306"/>
    </row>
    <row r="128" spans="4:61">
      <c r="AR128" s="306"/>
      <c r="AS128" s="306"/>
      <c r="AT128" s="306"/>
      <c r="AU128" s="306"/>
      <c r="AV128" s="306"/>
      <c r="AW128" s="306"/>
      <c r="AX128" s="306"/>
      <c r="AY128" s="306"/>
      <c r="AZ128" s="306"/>
      <c r="BA128" s="306"/>
      <c r="BB128" s="306"/>
      <c r="BC128" s="306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G38" zoomScale="80" zoomScaleNormal="80" workbookViewId="0">
      <selection activeCell="T51" sqref="T51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319"/>
    </row>
    <row r="2" spans="9:38">
      <c r="AK2" s="319"/>
      <c r="AL2" s="319"/>
    </row>
    <row r="3" spans="9:38">
      <c r="AK3" s="319"/>
      <c r="AL3" s="319"/>
    </row>
    <row r="4" spans="9:38">
      <c r="AK4" s="319"/>
      <c r="AL4" s="319"/>
    </row>
    <row r="5" spans="9:38" ht="21" customHeight="1">
      <c r="I5" s="318"/>
      <c r="AK5" s="319"/>
      <c r="AL5" s="319"/>
    </row>
    <row r="6" spans="9:38">
      <c r="I6" s="319"/>
      <c r="AK6" s="319"/>
      <c r="AL6" s="319"/>
    </row>
    <row r="7" spans="9:38" ht="15.75" customHeight="1">
      <c r="I7" s="319"/>
      <c r="AK7" s="319"/>
      <c r="AL7" s="319"/>
    </row>
    <row r="8" spans="9:38">
      <c r="I8" s="319"/>
      <c r="AK8" s="319"/>
      <c r="AL8" s="319"/>
    </row>
    <row r="9" spans="9:38">
      <c r="I9" s="319"/>
      <c r="AK9" s="319"/>
      <c r="AL9" s="319"/>
    </row>
    <row r="10" spans="9:38">
      <c r="I10" s="319"/>
      <c r="AK10" s="319"/>
      <c r="AL10" s="319"/>
    </row>
    <row r="11" spans="9:38">
      <c r="AK11" s="319"/>
      <c r="AL11" s="319"/>
    </row>
    <row r="12" spans="9:38">
      <c r="AK12" s="319"/>
      <c r="AL12" s="319"/>
    </row>
    <row r="13" spans="9:38">
      <c r="AK13" s="319"/>
      <c r="AL13" s="319"/>
    </row>
    <row r="14" spans="9:38">
      <c r="Q14" s="22"/>
      <c r="T14" s="319"/>
      <c r="U14" s="319"/>
      <c r="V14" s="319"/>
      <c r="W14" s="319"/>
      <c r="AA14" s="319"/>
      <c r="AB14" s="319"/>
      <c r="AC14" s="319"/>
      <c r="AD14" s="319"/>
      <c r="AE14" s="319"/>
      <c r="AF14" s="319"/>
      <c r="AG14" s="319"/>
      <c r="AH14" s="319"/>
      <c r="AI14" s="319"/>
      <c r="AJ14" s="319"/>
      <c r="AK14" s="319"/>
      <c r="AL14" s="319"/>
    </row>
    <row r="15" spans="9:38">
      <c r="T15" s="319"/>
      <c r="U15" s="319"/>
      <c r="V15" s="319"/>
      <c r="W15" s="319"/>
      <c r="Y15" s="319"/>
      <c r="Z15" s="319"/>
      <c r="AA15" s="319"/>
      <c r="AB15" s="319"/>
      <c r="AC15" s="319"/>
      <c r="AD15" s="319"/>
      <c r="AE15" s="319"/>
      <c r="AF15" s="319"/>
      <c r="AG15" s="319"/>
      <c r="AH15" s="319"/>
      <c r="AI15" s="319"/>
      <c r="AJ15" s="319"/>
      <c r="AK15" s="319"/>
    </row>
    <row r="16" spans="9:38" ht="21">
      <c r="AB16" s="102"/>
      <c r="AC16" s="319"/>
      <c r="AD16" s="319"/>
      <c r="AE16" s="319"/>
      <c r="AF16" s="319"/>
      <c r="AG16" s="319"/>
      <c r="AH16" s="319"/>
      <c r="AI16" s="319"/>
      <c r="AJ16" s="319"/>
      <c r="AK16" s="319"/>
    </row>
    <row r="17" spans="1:38">
      <c r="H17" s="318"/>
      <c r="Q17" s="319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9"/>
      <c r="AH17" s="319"/>
      <c r="AI17" s="319"/>
      <c r="AJ17" s="319"/>
      <c r="AK17" s="319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220</v>
      </c>
      <c r="N18" s="98"/>
      <c r="O18" s="98"/>
      <c r="Q18" s="319"/>
      <c r="W18" s="319"/>
      <c r="X18" s="319"/>
      <c r="Y18" s="101" t="s">
        <v>223</v>
      </c>
      <c r="Z18" s="101"/>
      <c r="AA18" s="101"/>
      <c r="AB18" s="319"/>
      <c r="AC18" s="319"/>
      <c r="AD18" s="319"/>
      <c r="AE18" s="319"/>
      <c r="AJ18" s="319"/>
      <c r="AK18" s="319"/>
      <c r="AL18" s="319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319"/>
      <c r="AE19" s="319"/>
      <c r="AJ19" s="319"/>
      <c r="AK19" s="319"/>
      <c r="AL19" s="319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319"/>
      <c r="W20" s="319"/>
      <c r="X20" s="403" t="s">
        <v>22</v>
      </c>
      <c r="Y20" s="404"/>
      <c r="Z20" s="404"/>
      <c r="AA20" s="405"/>
      <c r="AB20" s="319"/>
      <c r="AC20" s="319"/>
      <c r="AD20" s="319"/>
      <c r="AK20" s="319"/>
      <c r="AL20" s="319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319"/>
      <c r="O21" s="23"/>
      <c r="X21" s="16"/>
      <c r="Y21" s="17"/>
      <c r="Z21" s="18"/>
      <c r="AK21" s="319"/>
      <c r="AL21" s="319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319"/>
      <c r="L22" s="36" t="s">
        <v>3</v>
      </c>
      <c r="M22" s="34"/>
      <c r="N22" s="15" t="s">
        <v>18</v>
      </c>
      <c r="O22" s="36" t="s">
        <v>49</v>
      </c>
      <c r="P22" s="73">
        <v>84.82</v>
      </c>
      <c r="Q22" s="319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80.77</v>
      </c>
      <c r="AD22" s="319" t="s">
        <v>18</v>
      </c>
      <c r="AK22" s="319"/>
      <c r="AL22" s="319"/>
    </row>
    <row r="23" spans="1:38" ht="18">
      <c r="B23" s="87"/>
      <c r="C23" s="87"/>
      <c r="D23" s="87"/>
      <c r="E23" s="87"/>
      <c r="K23" s="319"/>
      <c r="L23" s="36" t="s">
        <v>4</v>
      </c>
      <c r="M23" s="34"/>
      <c r="N23" s="15" t="s">
        <v>18</v>
      </c>
      <c r="O23" s="36" t="s">
        <v>27</v>
      </c>
      <c r="P23" s="34"/>
      <c r="Q23" s="319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0.06/100</f>
        <v>5.9999999999999995E-4</v>
      </c>
      <c r="AD23" s="319" t="s">
        <v>33</v>
      </c>
      <c r="AK23" s="319"/>
      <c r="AL23" s="319"/>
    </row>
    <row r="24" spans="1:38">
      <c r="A24" s="161" t="s">
        <v>160</v>
      </c>
      <c r="B24" s="161"/>
      <c r="K24" s="319"/>
      <c r="L24" s="103" t="s">
        <v>17</v>
      </c>
      <c r="M24" s="34"/>
      <c r="N24" s="15" t="s">
        <v>18</v>
      </c>
      <c r="O24" s="67" t="s">
        <v>30</v>
      </c>
      <c r="P24" s="37">
        <f>P23*P22</f>
        <v>0</v>
      </c>
      <c r="Q24" s="319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4.8461999999999991E-2</v>
      </c>
      <c r="AD24" s="319" t="s">
        <v>18</v>
      </c>
      <c r="AK24" s="319"/>
      <c r="AL24" s="319"/>
    </row>
    <row r="25" spans="1:38">
      <c r="L25" s="67" t="s">
        <v>30</v>
      </c>
      <c r="M25" s="37">
        <f>P23*M24</f>
        <v>0</v>
      </c>
      <c r="N25" s="15" t="s">
        <v>18</v>
      </c>
      <c r="Q25" s="319"/>
      <c r="W25" s="319"/>
      <c r="X25" s="322" t="s">
        <v>30</v>
      </c>
      <c r="Y25" s="323"/>
      <c r="Z25" s="104">
        <f>AC23*Z24</f>
        <v>0</v>
      </c>
      <c r="AA25" s="15" t="s">
        <v>18</v>
      </c>
      <c r="AK25" s="319"/>
      <c r="AL25" s="319"/>
    </row>
    <row r="26" spans="1:38">
      <c r="A26" s="23"/>
      <c r="W26" s="319"/>
      <c r="X26" s="319"/>
      <c r="Y26" s="319"/>
      <c r="Z26" s="319"/>
      <c r="AA26" s="23"/>
      <c r="AL26" s="319"/>
    </row>
    <row r="27" spans="1:38">
      <c r="A27" s="23"/>
      <c r="I27" s="319"/>
      <c r="J27" s="319"/>
      <c r="K27" s="319"/>
      <c r="L27" s="319"/>
      <c r="AD27" s="31">
        <f>AC22+Z24</f>
        <v>80.77</v>
      </c>
      <c r="AE27" s="15">
        <f>AC24+Z25</f>
        <v>4.8461999999999991E-2</v>
      </c>
      <c r="AL27" s="319"/>
    </row>
    <row r="28" spans="1:38" ht="21">
      <c r="D28" s="143" t="s">
        <v>45</v>
      </c>
      <c r="E28" s="142">
        <f>B22-(C41+B44)</f>
        <v>109.07048999999999</v>
      </c>
      <c r="F28" s="15" t="s">
        <v>18</v>
      </c>
      <c r="I28" s="319"/>
      <c r="J28" s="319"/>
      <c r="K28" s="319"/>
      <c r="L28" s="319"/>
    </row>
    <row r="29" spans="1:38">
      <c r="I29" s="319"/>
      <c r="J29" s="319"/>
      <c r="K29" s="319"/>
      <c r="L29" s="319"/>
      <c r="V29" s="319"/>
      <c r="W29" s="319"/>
      <c r="X29" s="319"/>
      <c r="AJ29" s="22"/>
    </row>
    <row r="30" spans="1:38" ht="21">
      <c r="I30" s="102"/>
      <c r="V30" s="319"/>
      <c r="W30" s="200">
        <f>AC22+Z24+AC43+V43</f>
        <v>81.91</v>
      </c>
      <c r="X30" s="319"/>
    </row>
    <row r="31" spans="1:38">
      <c r="V31" s="319"/>
      <c r="W31" s="319"/>
      <c r="X31" s="319"/>
    </row>
    <row r="33" spans="1:55">
      <c r="G33" s="15" t="s">
        <v>101</v>
      </c>
      <c r="H33" s="31">
        <f>E28-P22-Q41</f>
        <v>9.0404899999999984</v>
      </c>
      <c r="I33" s="15" t="s">
        <v>18</v>
      </c>
      <c r="S33" s="15" t="s">
        <v>101</v>
      </c>
      <c r="T33" s="31">
        <f>P22-W30</f>
        <v>2.9099999999999966</v>
      </c>
      <c r="U33" s="15" t="s">
        <v>18</v>
      </c>
    </row>
    <row r="34" spans="1:55">
      <c r="D34" s="319"/>
      <c r="E34" s="319"/>
      <c r="F34" s="319"/>
      <c r="G34" s="15" t="s">
        <v>125</v>
      </c>
      <c r="H34" s="76">
        <f>H33/E28</f>
        <v>8.2886672646285894E-2</v>
      </c>
      <c r="S34" s="15" t="s">
        <v>125</v>
      </c>
      <c r="T34" s="76">
        <f>T33/E28</f>
        <v>2.6679993827844698E-2</v>
      </c>
      <c r="Z34" s="319"/>
      <c r="AA34" s="319"/>
      <c r="AB34" s="319"/>
      <c r="AC34" s="319"/>
      <c r="AD34" s="319"/>
      <c r="AE34" s="319"/>
      <c r="AF34" s="319"/>
      <c r="AG34" s="319"/>
      <c r="AH34" s="319"/>
      <c r="AI34" s="319"/>
      <c r="AJ34" s="319"/>
    </row>
    <row r="35" spans="1:55">
      <c r="D35" s="319"/>
      <c r="E35" s="319"/>
      <c r="F35" s="319"/>
      <c r="G35" s="15" t="s">
        <v>126</v>
      </c>
      <c r="H35" s="81">
        <f>H34*B49</f>
        <v>0.8211126035860512</v>
      </c>
      <c r="I35" s="319" t="s">
        <v>18</v>
      </c>
      <c r="S35" s="15" t="s">
        <v>126</v>
      </c>
      <c r="T35" s="81">
        <f>T34*B49</f>
        <v>0.26430400082688071</v>
      </c>
      <c r="U35" s="319" t="s">
        <v>18</v>
      </c>
      <c r="Z35" s="319"/>
    </row>
    <row r="36" spans="1:55">
      <c r="D36" s="319"/>
      <c r="E36" s="319"/>
      <c r="F36" s="319"/>
      <c r="G36" s="319"/>
      <c r="H36" s="200"/>
      <c r="P36" s="321"/>
      <c r="Q36" s="321"/>
      <c r="R36" s="16"/>
      <c r="U36" s="319"/>
      <c r="Z36" s="319"/>
    </row>
    <row r="37" spans="1:55">
      <c r="E37" s="30"/>
      <c r="Z37" s="319"/>
    </row>
    <row r="38" spans="1:55" ht="21">
      <c r="M38" s="98" t="s">
        <v>221</v>
      </c>
      <c r="N38" s="48"/>
      <c r="Z38" s="319"/>
      <c r="AP38" s="319"/>
      <c r="AQ38" s="319"/>
      <c r="AR38" s="319"/>
      <c r="AS38" s="319"/>
      <c r="AT38" s="319"/>
      <c r="AU38" s="319"/>
      <c r="AV38" s="319"/>
      <c r="AW38" s="319"/>
      <c r="AX38" s="319"/>
      <c r="AY38" s="319"/>
      <c r="AZ38" s="319"/>
      <c r="BA38" s="319"/>
      <c r="BB38" s="319"/>
    </row>
    <row r="39" spans="1:55" ht="21">
      <c r="A39" s="392" t="s">
        <v>6</v>
      </c>
      <c r="B39" s="392"/>
      <c r="C39" s="33">
        <v>0.53</v>
      </c>
      <c r="D39" s="15" t="s">
        <v>18</v>
      </c>
      <c r="E39" s="319"/>
      <c r="F39" s="319"/>
      <c r="G39" s="319"/>
      <c r="M39" s="316" t="s">
        <v>20</v>
      </c>
      <c r="N39" s="317"/>
      <c r="Y39" s="101" t="s">
        <v>222</v>
      </c>
      <c r="Z39" s="101"/>
      <c r="AA39" s="101"/>
      <c r="AP39" s="319"/>
      <c r="AQ39" s="319"/>
      <c r="AR39" s="319"/>
      <c r="AS39" s="319"/>
      <c r="AT39" s="319"/>
      <c r="AU39" s="319"/>
      <c r="AV39" s="319"/>
      <c r="AW39" s="319"/>
      <c r="AX39" s="319"/>
      <c r="AY39" s="319"/>
      <c r="AZ39" s="319"/>
      <c r="BA39" s="319"/>
      <c r="BB39" s="319"/>
    </row>
    <row r="40" spans="1:55">
      <c r="A40" s="392" t="s">
        <v>5</v>
      </c>
      <c r="B40" s="392"/>
      <c r="C40" s="33">
        <v>0.5</v>
      </c>
      <c r="D40" s="15" t="s">
        <v>18</v>
      </c>
      <c r="E40" s="319"/>
      <c r="F40" s="319"/>
      <c r="G40" s="319"/>
      <c r="S40" s="319"/>
      <c r="V40" s="319"/>
      <c r="X40" s="403" t="s">
        <v>23</v>
      </c>
      <c r="Y40" s="404"/>
      <c r="Z40" s="404"/>
      <c r="AA40" s="405"/>
      <c r="AB40" s="319"/>
      <c r="AK40" s="319"/>
      <c r="AP40" s="319"/>
      <c r="AQ40" s="319"/>
      <c r="AR40" s="319"/>
      <c r="AS40" s="319"/>
      <c r="AT40" s="319"/>
      <c r="AU40" s="319"/>
      <c r="AV40" s="319"/>
      <c r="AW40" s="319"/>
      <c r="AX40" s="319"/>
      <c r="AY40" s="319"/>
      <c r="AZ40" s="319"/>
      <c r="BA40" s="319"/>
      <c r="BB40" s="319"/>
    </row>
    <row r="41" spans="1:55">
      <c r="A41" s="400" t="s">
        <v>17</v>
      </c>
      <c r="B41" s="401"/>
      <c r="C41" s="91">
        <f>SUM(C39:C40)</f>
        <v>1.03</v>
      </c>
      <c r="D41" s="23" t="s">
        <v>18</v>
      </c>
      <c r="E41" s="319"/>
      <c r="F41" s="319"/>
      <c r="G41" s="319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15.21</v>
      </c>
      <c r="R41" s="319" t="s">
        <v>18</v>
      </c>
      <c r="S41" s="319"/>
      <c r="Z41" s="319"/>
      <c r="AK41" s="319"/>
      <c r="AP41" s="319"/>
      <c r="AQ41" s="319"/>
      <c r="AR41" s="319"/>
      <c r="AS41" s="319"/>
      <c r="AT41" s="319"/>
      <c r="AU41" s="319"/>
      <c r="AV41" s="319"/>
      <c r="AW41" s="319"/>
      <c r="AX41" s="319"/>
      <c r="AY41" s="319"/>
      <c r="AZ41" s="319"/>
      <c r="BA41" s="319"/>
      <c r="BB41" s="319"/>
    </row>
    <row r="42" spans="1:55">
      <c r="C42" s="319"/>
      <c r="D42" s="319"/>
      <c r="E42" s="319"/>
      <c r="F42" s="319"/>
      <c r="G42" s="319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57.02/100</f>
        <v>0.57020000000000004</v>
      </c>
      <c r="R42" s="319" t="s">
        <v>33</v>
      </c>
      <c r="S42" s="319"/>
      <c r="AE42" s="319"/>
      <c r="AF42" s="319"/>
      <c r="AG42" s="319"/>
      <c r="AH42" s="319"/>
      <c r="AI42" s="319"/>
      <c r="AJ42" s="319"/>
      <c r="AK42" s="319"/>
      <c r="AL42" s="319"/>
      <c r="AP42" s="319"/>
      <c r="AQ42" s="319"/>
      <c r="AR42" s="319"/>
      <c r="AS42" s="319"/>
      <c r="AT42" s="319"/>
      <c r="AU42" s="319"/>
      <c r="AV42" s="319"/>
      <c r="AW42" s="319"/>
      <c r="AX42" s="319"/>
      <c r="AY42" s="319"/>
      <c r="AZ42" s="319"/>
      <c r="BA42" s="319"/>
      <c r="BB42" s="319"/>
    </row>
    <row r="43" spans="1:55">
      <c r="A43" s="36" t="s">
        <v>44</v>
      </c>
      <c r="B43" s="33"/>
      <c r="C43" s="319" t="s">
        <v>18</v>
      </c>
      <c r="D43" s="319"/>
      <c r="E43" s="319"/>
      <c r="F43" s="319"/>
      <c r="G43" s="319"/>
      <c r="H43" s="320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8.6727420000000013</v>
      </c>
      <c r="R43" s="319" t="s">
        <v>18</v>
      </c>
      <c r="S43" s="319"/>
      <c r="U43" s="35" t="s">
        <v>53</v>
      </c>
      <c r="V43" s="33"/>
      <c r="W43" s="319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1.1399999999999999</v>
      </c>
      <c r="AD43" s="319" t="s">
        <v>18</v>
      </c>
      <c r="AF43" s="319"/>
      <c r="AG43" s="319"/>
      <c r="AH43" s="319"/>
      <c r="AI43" s="319"/>
      <c r="AJ43" s="319"/>
      <c r="AK43" s="319"/>
      <c r="AL43" s="319"/>
      <c r="AP43" s="319"/>
      <c r="AQ43" s="319"/>
      <c r="AR43" s="319"/>
      <c r="AS43" s="319"/>
      <c r="AT43" s="319"/>
      <c r="AU43" s="319"/>
      <c r="AV43" s="319"/>
      <c r="AW43" s="319"/>
      <c r="AX43" s="319"/>
      <c r="AY43" s="319"/>
      <c r="AZ43" s="319"/>
      <c r="BA43" s="319"/>
      <c r="BB43" s="319"/>
    </row>
    <row r="44" spans="1:55">
      <c r="A44" s="92" t="s">
        <v>17</v>
      </c>
      <c r="B44" s="90">
        <f>SUM(B43)</f>
        <v>0</v>
      </c>
      <c r="C44" s="319" t="s">
        <v>18</v>
      </c>
      <c r="D44" s="319"/>
      <c r="E44" s="319"/>
      <c r="M44" s="67" t="s">
        <v>30</v>
      </c>
      <c r="N44" s="37">
        <f>Q42*N43</f>
        <v>0</v>
      </c>
      <c r="O44" s="15" t="s">
        <v>18</v>
      </c>
      <c r="U44" s="319"/>
      <c r="V44" s="319"/>
      <c r="W44" s="319"/>
      <c r="X44" s="105" t="s">
        <v>4</v>
      </c>
      <c r="Y44" s="106"/>
      <c r="Z44" s="34"/>
      <c r="AA44" s="15" t="s">
        <v>18</v>
      </c>
      <c r="AB44" s="36" t="s">
        <v>27</v>
      </c>
      <c r="AC44" s="34">
        <f>29.36/100</f>
        <v>0.29359999999999997</v>
      </c>
      <c r="AD44" s="319" t="s">
        <v>33</v>
      </c>
      <c r="AL44" s="319"/>
      <c r="AP44" s="319"/>
      <c r="AQ44" s="319"/>
      <c r="AR44" s="319"/>
      <c r="AS44" s="319"/>
      <c r="AT44" s="319"/>
      <c r="AU44" s="319"/>
      <c r="AV44" s="319"/>
      <c r="AW44" s="319"/>
      <c r="AX44" s="319"/>
      <c r="AY44" s="319"/>
      <c r="AZ44" s="319"/>
      <c r="BA44" s="319"/>
      <c r="BB44" s="319"/>
    </row>
    <row r="45" spans="1:55">
      <c r="C45" s="319"/>
      <c r="D45" s="319"/>
      <c r="E45" s="319"/>
      <c r="U45" s="319"/>
      <c r="V45" s="319"/>
      <c r="W45" s="319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0.33470399999999995</v>
      </c>
      <c r="AD45" s="319" t="s">
        <v>18</v>
      </c>
      <c r="AL45" s="319"/>
      <c r="AP45" s="319"/>
      <c r="AQ45" s="319"/>
      <c r="AR45" s="319"/>
      <c r="AS45" s="319"/>
      <c r="AT45" s="319"/>
      <c r="AU45" s="319"/>
      <c r="AV45" s="319"/>
      <c r="AW45" s="319"/>
      <c r="AX45" s="319"/>
      <c r="AY45" s="319"/>
      <c r="AZ45" s="319"/>
      <c r="BA45" s="319"/>
      <c r="BB45" s="319"/>
      <c r="BC45" s="319"/>
    </row>
    <row r="46" spans="1:55">
      <c r="A46" s="15" t="s">
        <v>66</v>
      </c>
      <c r="B46" s="15">
        <f>B43/D22</f>
        <v>0</v>
      </c>
      <c r="C46" s="319" t="s">
        <v>62</v>
      </c>
      <c r="D46" s="319"/>
      <c r="E46" s="319"/>
      <c r="P46" s="31">
        <f>Q41+N43</f>
        <v>15.21</v>
      </c>
      <c r="Q46" s="15">
        <f>Q43+N44</f>
        <v>8.6727420000000013</v>
      </c>
      <c r="X46" s="322" t="s">
        <v>30</v>
      </c>
      <c r="Y46" s="323"/>
      <c r="Z46" s="104">
        <f>AC44*Z45</f>
        <v>0</v>
      </c>
      <c r="AA46" s="15" t="s">
        <v>18</v>
      </c>
      <c r="AF46" s="319"/>
      <c r="AP46" s="319"/>
      <c r="AQ46" s="319"/>
      <c r="AR46" s="319"/>
      <c r="AS46" s="319"/>
      <c r="AT46" s="319"/>
      <c r="AU46" s="319"/>
      <c r="AV46" s="319"/>
      <c r="AW46" s="319"/>
      <c r="AX46" s="319"/>
      <c r="AY46" s="319"/>
      <c r="AZ46" s="319"/>
      <c r="BA46" s="319"/>
      <c r="BB46" s="319"/>
      <c r="BC46" s="319"/>
    </row>
    <row r="47" spans="1:55">
      <c r="A47" s="15" t="s">
        <v>65</v>
      </c>
      <c r="B47" s="15">
        <f>C41/D22</f>
        <v>0.98097339226615898</v>
      </c>
      <c r="C47" s="15" t="s">
        <v>62</v>
      </c>
      <c r="AP47" s="319"/>
      <c r="AQ47" s="319"/>
      <c r="AR47" s="319"/>
      <c r="AS47" s="319"/>
      <c r="AT47" s="319"/>
      <c r="AU47" s="319"/>
      <c r="AV47" s="319"/>
      <c r="AW47" s="319"/>
      <c r="AX47" s="319"/>
      <c r="AY47" s="319"/>
      <c r="AZ47" s="319"/>
      <c r="BA47" s="319"/>
      <c r="BB47" s="319"/>
      <c r="BC47" s="319"/>
    </row>
    <row r="48" spans="1:55">
      <c r="A48" s="15" t="s">
        <v>67</v>
      </c>
      <c r="B48" s="15">
        <f>G19*(B46+B47)/1000</f>
        <v>9.3550900636318671E-2</v>
      </c>
      <c r="C48" s="15" t="s">
        <v>18</v>
      </c>
      <c r="E48" s="160"/>
      <c r="AP48" s="319"/>
      <c r="AQ48" s="319"/>
      <c r="AR48" s="319"/>
      <c r="AS48" s="319"/>
      <c r="AT48" s="319"/>
      <c r="AU48" s="319"/>
      <c r="AV48" s="319"/>
      <c r="AW48" s="319"/>
      <c r="AX48" s="319"/>
      <c r="AY48" s="319"/>
      <c r="AZ48" s="319"/>
      <c r="BA48" s="319"/>
      <c r="BB48" s="319"/>
    </row>
    <row r="49" spans="1:59">
      <c r="A49" s="15" t="s">
        <v>64</v>
      </c>
      <c r="B49" s="74">
        <f>B21-B48</f>
        <v>9.906449099363682</v>
      </c>
      <c r="C49" s="15" t="s">
        <v>18</v>
      </c>
      <c r="AC49" s="31">
        <f>AC43+Z45</f>
        <v>1.1399999999999999</v>
      </c>
      <c r="AD49" s="15">
        <f>AC45+Z46</f>
        <v>0.33470399999999995</v>
      </c>
      <c r="AP49" s="319"/>
      <c r="AQ49" s="319"/>
      <c r="AR49" s="319"/>
      <c r="AS49" s="319"/>
      <c r="AT49" s="319"/>
      <c r="AU49" s="319"/>
      <c r="AV49" s="379"/>
      <c r="AW49" s="379"/>
      <c r="AX49" s="379"/>
      <c r="AY49" s="379"/>
      <c r="AZ49" s="379"/>
      <c r="BA49" s="319"/>
      <c r="BB49" s="319"/>
    </row>
    <row r="50" spans="1:59">
      <c r="R50" s="319"/>
      <c r="S50" s="15" t="s">
        <v>27</v>
      </c>
      <c r="U50" s="15" t="s">
        <v>40</v>
      </c>
      <c r="W50" s="15" t="s">
        <v>98</v>
      </c>
      <c r="X50" s="74">
        <f>B49</f>
        <v>9.906449099363682</v>
      </c>
      <c r="Y50" s="15" t="s">
        <v>18</v>
      </c>
      <c r="AP50" s="319"/>
      <c r="AQ50" s="319"/>
      <c r="AR50" s="319"/>
      <c r="AS50" s="319"/>
      <c r="AT50" s="319"/>
      <c r="AU50" s="319"/>
      <c r="AV50" s="319"/>
      <c r="AW50" s="319"/>
      <c r="AX50" s="319"/>
      <c r="AY50" s="319"/>
      <c r="AZ50" s="319"/>
      <c r="BA50" s="319"/>
      <c r="BB50" s="319"/>
    </row>
    <row r="51" spans="1:59">
      <c r="Q51" s="319"/>
      <c r="R51" s="319"/>
      <c r="S51" s="15" t="s">
        <v>34</v>
      </c>
      <c r="T51" s="15">
        <f>AC24+Z25</f>
        <v>4.8461999999999991E-2</v>
      </c>
      <c r="U51" s="76">
        <f>T51/X50</f>
        <v>4.8919647710210148E-3</v>
      </c>
      <c r="AP51" s="319"/>
      <c r="AQ51" s="319"/>
      <c r="AR51" s="319"/>
      <c r="AS51" s="319"/>
      <c r="AT51" s="319"/>
      <c r="AU51" s="319"/>
      <c r="AV51" s="319"/>
      <c r="AW51" s="319"/>
      <c r="AX51" s="319"/>
      <c r="AY51" s="319"/>
      <c r="AZ51" s="319"/>
      <c r="BA51" s="319"/>
      <c r="BB51" s="319"/>
    </row>
    <row r="52" spans="1:59">
      <c r="S52" s="15" t="s">
        <v>35</v>
      </c>
      <c r="T52" s="15">
        <f>AC45+Z46</f>
        <v>0.33470399999999995</v>
      </c>
      <c r="U52" s="76">
        <f>T52/X50</f>
        <v>3.3786475521435717E-2</v>
      </c>
      <c r="AP52" s="319"/>
      <c r="AQ52" s="319"/>
      <c r="AR52" s="319"/>
      <c r="AS52" s="319"/>
      <c r="AT52" s="319"/>
      <c r="AU52" s="319"/>
      <c r="AV52" s="319"/>
      <c r="AW52" s="319"/>
      <c r="AX52" s="319"/>
      <c r="AY52" s="319"/>
      <c r="AZ52" s="319"/>
      <c r="BA52" s="319"/>
      <c r="BB52" s="319"/>
    </row>
    <row r="53" spans="1:59"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15" t="s">
        <v>36</v>
      </c>
      <c r="T53" s="319">
        <f>Q43+N44</f>
        <v>8.6727420000000013</v>
      </c>
      <c r="U53" s="324">
        <f>T53/X50</f>
        <v>0.87546424687702429</v>
      </c>
      <c r="V53" s="319"/>
      <c r="W53" s="319"/>
      <c r="AN53" s="319"/>
      <c r="AO53" s="319"/>
      <c r="AP53" s="319"/>
      <c r="AQ53" s="319"/>
      <c r="AR53" s="319"/>
      <c r="AS53" s="319"/>
      <c r="AT53" s="319"/>
      <c r="AU53" s="319"/>
      <c r="AV53" s="319"/>
      <c r="AW53" s="319"/>
      <c r="AX53" s="319"/>
      <c r="AY53" s="319"/>
      <c r="AZ53" s="319"/>
      <c r="BA53" s="319"/>
      <c r="BB53" s="319"/>
      <c r="BC53" s="319"/>
      <c r="BD53" s="319"/>
      <c r="BE53" s="319"/>
      <c r="BF53" s="319"/>
      <c r="BG53" s="319"/>
    </row>
    <row r="54" spans="1:59">
      <c r="D54" s="379"/>
      <c r="E54" s="379"/>
      <c r="F54" s="379"/>
      <c r="G54" s="379"/>
      <c r="H54" s="319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15" t="s">
        <v>17</v>
      </c>
      <c r="T54" s="319">
        <f>SUM(T51:T53)</f>
        <v>9.0559080000000005</v>
      </c>
      <c r="U54" s="324">
        <f>SUM(U51:U53)</f>
        <v>0.91414268716948099</v>
      </c>
      <c r="V54" s="319"/>
      <c r="W54" s="319"/>
      <c r="X54" s="319"/>
      <c r="Y54" s="319"/>
      <c r="Z54" s="319"/>
      <c r="AN54" s="319"/>
      <c r="AO54" s="319"/>
      <c r="AP54" s="319"/>
      <c r="AQ54" s="319"/>
      <c r="AR54" s="319"/>
      <c r="AS54" s="319"/>
      <c r="AT54" s="319"/>
      <c r="AU54" s="319"/>
      <c r="AV54" s="319"/>
      <c r="AW54" s="319"/>
      <c r="AX54" s="319"/>
      <c r="AY54" s="319"/>
      <c r="AZ54" s="319"/>
      <c r="BA54" s="319"/>
      <c r="BB54" s="319"/>
      <c r="BC54" s="319"/>
      <c r="BD54" s="319"/>
      <c r="BE54" s="319"/>
      <c r="BF54" s="319"/>
      <c r="BG54" s="319"/>
    </row>
    <row r="55" spans="1:59"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15" t="s">
        <v>37</v>
      </c>
      <c r="T55" s="145">
        <f>X50-T54</f>
        <v>0.8505410993636815</v>
      </c>
      <c r="U55" s="324">
        <f>T55/X50</f>
        <v>8.5857312830519061E-2</v>
      </c>
      <c r="V55" s="319"/>
      <c r="W55" s="319"/>
      <c r="X55" s="319"/>
      <c r="Y55" s="319"/>
      <c r="Z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19"/>
      <c r="AZ55" s="319"/>
      <c r="BA55" s="319"/>
      <c r="BB55" s="319"/>
      <c r="BC55" s="319"/>
      <c r="BD55" s="319"/>
      <c r="BE55" s="319"/>
      <c r="BF55" s="319"/>
      <c r="BG55" s="319"/>
    </row>
    <row r="56" spans="1:59">
      <c r="D56" s="319"/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T56" s="319"/>
      <c r="U56" s="319"/>
      <c r="V56" s="319"/>
      <c r="W56" s="319"/>
      <c r="X56" s="319"/>
      <c r="Y56" s="319"/>
      <c r="Z56" s="319"/>
      <c r="AN56" s="319"/>
      <c r="AO56" s="319"/>
      <c r="AP56" s="319"/>
      <c r="AQ56" s="319"/>
      <c r="AR56" s="319"/>
      <c r="AS56" s="319"/>
      <c r="AT56" s="319"/>
      <c r="AU56" s="319"/>
      <c r="AV56" s="319"/>
      <c r="AW56" s="319"/>
      <c r="AX56" s="319"/>
      <c r="AY56" s="319"/>
      <c r="AZ56" s="319"/>
      <c r="BA56" s="319"/>
      <c r="BB56" s="319"/>
      <c r="BC56" s="319"/>
      <c r="BD56" s="319"/>
      <c r="BE56" s="319"/>
      <c r="BF56" s="319"/>
      <c r="BG56" s="319"/>
    </row>
    <row r="57" spans="1:59"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W57" s="319"/>
      <c r="X57" s="319"/>
      <c r="Y57" s="319"/>
      <c r="Z57" s="319"/>
      <c r="AN57" s="319"/>
      <c r="AO57" s="319"/>
      <c r="AP57" s="319"/>
      <c r="AQ57" s="319"/>
      <c r="AR57" s="319"/>
      <c r="AS57" s="319"/>
      <c r="AT57" s="319"/>
      <c r="AU57" s="319"/>
      <c r="AV57" s="319"/>
      <c r="AW57" s="319"/>
      <c r="AX57" s="319"/>
      <c r="AY57" s="319"/>
      <c r="AZ57" s="319"/>
      <c r="BA57" s="319"/>
      <c r="BB57" s="319"/>
      <c r="BC57" s="319"/>
      <c r="BD57" s="319"/>
      <c r="BE57" s="319"/>
      <c r="BF57" s="319"/>
      <c r="BG57" s="319"/>
    </row>
    <row r="58" spans="1:59"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  <c r="AD58" s="319"/>
      <c r="AE58" s="319"/>
      <c r="AF58" s="319"/>
      <c r="AG58" s="319"/>
      <c r="AH58" s="319"/>
      <c r="AI58" s="319"/>
      <c r="AJ58" s="319"/>
      <c r="AK58" s="319"/>
      <c r="AL58" s="319"/>
      <c r="AM58" s="319"/>
      <c r="AN58" s="319"/>
      <c r="AO58" s="319"/>
      <c r="AP58" s="319"/>
      <c r="AQ58" s="319"/>
      <c r="AR58" s="319"/>
      <c r="AS58" s="319"/>
      <c r="AT58" s="319"/>
      <c r="AU58" s="319"/>
      <c r="AV58" s="319"/>
      <c r="AW58" s="319"/>
      <c r="AX58" s="319"/>
      <c r="AY58" s="319"/>
      <c r="AZ58" s="319"/>
      <c r="BA58" s="319"/>
      <c r="BB58" s="319"/>
      <c r="BC58" s="319"/>
      <c r="BD58" s="319"/>
      <c r="BE58" s="319"/>
      <c r="BF58" s="319"/>
      <c r="BG58" s="319"/>
    </row>
    <row r="59" spans="1:59"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  <c r="AC59" s="319"/>
      <c r="AD59" s="319"/>
      <c r="AE59" s="319"/>
      <c r="AF59" s="319"/>
      <c r="AG59" s="319"/>
      <c r="AH59" s="319"/>
      <c r="AI59" s="319"/>
      <c r="AJ59" s="319"/>
      <c r="AK59" s="319"/>
      <c r="AL59" s="319"/>
      <c r="AM59" s="319"/>
      <c r="AN59" s="319"/>
      <c r="AO59" s="319"/>
      <c r="AP59" s="319"/>
      <c r="AQ59" s="319"/>
      <c r="AR59" s="319"/>
      <c r="AS59" s="319"/>
      <c r="AT59" s="319"/>
      <c r="AU59" s="319"/>
      <c r="AV59" s="319"/>
      <c r="AW59" s="319"/>
      <c r="AX59" s="319"/>
      <c r="AY59" s="319"/>
      <c r="AZ59" s="319"/>
      <c r="BA59" s="319"/>
      <c r="BB59" s="319"/>
      <c r="BC59" s="319"/>
      <c r="BD59" s="319"/>
      <c r="BE59" s="319"/>
      <c r="BF59" s="319"/>
      <c r="BG59" s="319"/>
    </row>
    <row r="60" spans="1:59"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  <c r="AC60" s="319"/>
      <c r="AD60" s="319"/>
      <c r="AE60" s="319"/>
      <c r="AF60" s="319"/>
      <c r="AG60" s="319"/>
      <c r="AH60" s="319"/>
      <c r="AI60" s="319"/>
      <c r="AJ60" s="319"/>
      <c r="AK60" s="319"/>
      <c r="AL60" s="319"/>
      <c r="AM60" s="319"/>
      <c r="AN60" s="319"/>
      <c r="AO60" s="319"/>
      <c r="AP60" s="319"/>
      <c r="AQ60" s="319"/>
      <c r="AR60" s="319"/>
      <c r="AS60" s="319"/>
      <c r="AT60" s="319"/>
      <c r="AU60" s="319"/>
      <c r="AV60" s="319"/>
      <c r="AW60" s="319"/>
      <c r="AX60" s="319"/>
      <c r="AY60" s="319"/>
      <c r="AZ60" s="319"/>
      <c r="BA60" s="319"/>
      <c r="BB60" s="319"/>
      <c r="BC60" s="319"/>
      <c r="BD60" s="319"/>
      <c r="BE60" s="319"/>
      <c r="BF60" s="319"/>
      <c r="BG60" s="319"/>
    </row>
    <row r="61" spans="1:59">
      <c r="D61" s="319"/>
      <c r="E61" s="319"/>
      <c r="F61" s="319"/>
      <c r="G61" s="319"/>
      <c r="H61" s="319"/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  <c r="AA61" s="319"/>
      <c r="AB61" s="319"/>
      <c r="AC61" s="319"/>
      <c r="AD61" s="319"/>
      <c r="AE61" s="319"/>
      <c r="AF61" s="319"/>
      <c r="AG61" s="319"/>
      <c r="AH61" s="319"/>
      <c r="AI61" s="319"/>
      <c r="AJ61" s="319"/>
      <c r="AK61" s="319"/>
      <c r="AL61" s="319"/>
      <c r="AM61" s="319"/>
      <c r="AN61" s="319"/>
      <c r="AO61" s="319"/>
      <c r="AP61" s="319"/>
      <c r="AQ61" s="319"/>
      <c r="AR61" s="319"/>
      <c r="AS61" s="319"/>
      <c r="AT61" s="319"/>
      <c r="AU61" s="319"/>
      <c r="AV61" s="319"/>
      <c r="AW61" s="319"/>
      <c r="AX61" s="319"/>
      <c r="AY61" s="319"/>
      <c r="AZ61" s="319"/>
      <c r="BA61" s="319"/>
      <c r="BB61" s="319"/>
      <c r="BC61" s="319"/>
      <c r="BD61" s="319"/>
      <c r="BE61" s="319"/>
      <c r="BF61" s="319"/>
      <c r="BG61" s="319"/>
    </row>
    <row r="62" spans="1:59"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319"/>
      <c r="AQ62" s="319"/>
      <c r="AR62" s="319"/>
      <c r="AS62" s="319"/>
      <c r="AT62" s="319"/>
      <c r="AU62" s="319"/>
      <c r="AV62" s="319"/>
      <c r="AW62" s="319"/>
      <c r="AX62" s="319"/>
      <c r="AY62" s="319"/>
      <c r="AZ62" s="319"/>
      <c r="BA62" s="319"/>
      <c r="BB62" s="319"/>
      <c r="BC62" s="319"/>
      <c r="BD62" s="319"/>
      <c r="BE62" s="319"/>
      <c r="BF62" s="319"/>
      <c r="BG62" s="319"/>
    </row>
    <row r="63" spans="1:59"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19"/>
      <c r="AM63" s="319"/>
      <c r="AN63" s="319"/>
      <c r="AO63" s="319"/>
      <c r="AP63" s="319"/>
      <c r="AQ63" s="319"/>
      <c r="AR63" s="319"/>
      <c r="AS63" s="319"/>
      <c r="AT63" s="319"/>
      <c r="AU63" s="319"/>
      <c r="AV63" s="319"/>
      <c r="AW63" s="319"/>
      <c r="AX63" s="319"/>
      <c r="AY63" s="319"/>
      <c r="AZ63" s="319"/>
      <c r="BA63" s="319"/>
      <c r="BB63" s="319"/>
      <c r="BC63" s="319"/>
      <c r="BD63" s="319"/>
      <c r="BE63" s="319"/>
      <c r="BF63" s="319"/>
      <c r="BG63" s="319"/>
    </row>
    <row r="64" spans="1:59"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319"/>
      <c r="AQ64" s="319"/>
      <c r="AR64" s="319"/>
      <c r="AS64" s="319"/>
      <c r="AT64" s="319"/>
      <c r="AU64" s="319"/>
      <c r="AV64" s="319"/>
      <c r="AW64" s="319"/>
      <c r="AX64" s="319"/>
      <c r="AY64" s="319"/>
      <c r="AZ64" s="319"/>
      <c r="BA64" s="319"/>
      <c r="BB64" s="319"/>
      <c r="BC64" s="319"/>
      <c r="BD64" s="319"/>
      <c r="BE64" s="319"/>
      <c r="BF64" s="319"/>
      <c r="BG64" s="319"/>
    </row>
    <row r="65" spans="4:59"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319"/>
      <c r="AQ65" s="319"/>
      <c r="AR65" s="319"/>
      <c r="AS65" s="319"/>
      <c r="AT65" s="319"/>
      <c r="AU65" s="319"/>
      <c r="AV65" s="319"/>
      <c r="AW65" s="319"/>
      <c r="AX65" s="319"/>
      <c r="AY65" s="319"/>
      <c r="AZ65" s="319"/>
      <c r="BA65" s="319"/>
      <c r="BB65" s="319"/>
      <c r="BC65" s="319"/>
      <c r="BD65" s="319"/>
      <c r="BE65" s="319"/>
      <c r="BF65" s="319"/>
      <c r="BG65" s="319"/>
    </row>
    <row r="66" spans="4:59"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  <c r="AN66" s="319"/>
      <c r="AO66" s="319"/>
      <c r="AP66" s="319"/>
      <c r="AQ66" s="319"/>
      <c r="AR66" s="319"/>
      <c r="AS66" s="319"/>
      <c r="AT66" s="319"/>
      <c r="AU66" s="319"/>
      <c r="AV66" s="319"/>
      <c r="AW66" s="319"/>
      <c r="AX66" s="319"/>
      <c r="AY66" s="319"/>
      <c r="AZ66" s="319"/>
      <c r="BA66" s="319"/>
      <c r="BB66" s="319"/>
      <c r="BC66" s="319"/>
      <c r="BD66" s="319"/>
      <c r="BE66" s="319"/>
      <c r="BF66" s="319"/>
      <c r="BG66" s="319"/>
    </row>
    <row r="67" spans="4:59"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319"/>
      <c r="AQ67" s="319"/>
      <c r="AR67" s="319"/>
      <c r="AS67" s="319"/>
      <c r="AT67" s="319"/>
      <c r="AU67" s="319"/>
      <c r="AV67" s="319"/>
      <c r="AW67" s="319"/>
      <c r="AX67" s="319"/>
      <c r="AY67" s="319"/>
      <c r="AZ67" s="319"/>
      <c r="BA67" s="319"/>
      <c r="BB67" s="319"/>
      <c r="BC67" s="319"/>
      <c r="BD67" s="319"/>
      <c r="BE67" s="319"/>
      <c r="BF67" s="319"/>
      <c r="BG67" s="319"/>
    </row>
    <row r="68" spans="4:59"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319"/>
      <c r="AQ68" s="319"/>
      <c r="AR68" s="319"/>
      <c r="AS68" s="319"/>
      <c r="AT68" s="319"/>
      <c r="AU68" s="319"/>
      <c r="AV68" s="319"/>
      <c r="AW68" s="319"/>
      <c r="AX68" s="319"/>
      <c r="AY68" s="319"/>
      <c r="AZ68" s="319"/>
      <c r="BA68" s="319"/>
      <c r="BB68" s="319"/>
      <c r="BC68" s="319"/>
      <c r="BD68" s="319"/>
      <c r="BE68" s="319"/>
      <c r="BF68" s="319"/>
      <c r="BG68" s="319"/>
    </row>
    <row r="69" spans="4:59"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319"/>
      <c r="AQ69" s="319"/>
      <c r="AR69" s="319"/>
      <c r="AS69" s="319"/>
      <c r="AT69" s="319"/>
      <c r="AU69" s="319"/>
      <c r="AV69" s="319"/>
      <c r="AW69" s="319"/>
      <c r="AX69" s="319"/>
      <c r="AY69" s="319"/>
      <c r="AZ69" s="319"/>
      <c r="BA69" s="319"/>
      <c r="BB69" s="319"/>
      <c r="BC69" s="319"/>
      <c r="BD69" s="319"/>
      <c r="BE69" s="319"/>
      <c r="BF69" s="319"/>
      <c r="BG69" s="319"/>
    </row>
    <row r="70" spans="4:59"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319"/>
      <c r="AQ70" s="319"/>
      <c r="AR70" s="319"/>
      <c r="AS70" s="319"/>
      <c r="AT70" s="319"/>
      <c r="AU70" s="319"/>
      <c r="AV70" s="319"/>
      <c r="AW70" s="319"/>
      <c r="AX70" s="319"/>
      <c r="AY70" s="319"/>
      <c r="AZ70" s="319"/>
      <c r="BA70" s="319"/>
      <c r="BB70" s="319"/>
      <c r="BC70" s="319"/>
      <c r="BD70" s="319"/>
      <c r="BE70" s="319"/>
      <c r="BF70" s="319"/>
      <c r="BG70" s="319"/>
    </row>
    <row r="71" spans="4:59"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319"/>
      <c r="AQ71" s="319"/>
      <c r="AR71" s="319"/>
      <c r="AS71" s="319"/>
      <c r="AT71" s="319"/>
      <c r="AU71" s="319"/>
      <c r="AV71" s="319"/>
      <c r="AW71" s="319"/>
      <c r="AX71" s="319"/>
      <c r="AY71" s="319"/>
      <c r="AZ71" s="319"/>
      <c r="BA71" s="319"/>
      <c r="BB71" s="319"/>
      <c r="BC71" s="319"/>
      <c r="BD71" s="319"/>
      <c r="BE71" s="319"/>
      <c r="BF71" s="319"/>
      <c r="BG71" s="319"/>
    </row>
    <row r="72" spans="4:59">
      <c r="D72" s="319"/>
      <c r="E72" s="319"/>
      <c r="F72" s="319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319"/>
      <c r="AQ72" s="319"/>
      <c r="AR72" s="319"/>
      <c r="AS72" s="319"/>
      <c r="AT72" s="319"/>
      <c r="AU72" s="319"/>
      <c r="AV72" s="319"/>
      <c r="AW72" s="379"/>
      <c r="AX72" s="379"/>
      <c r="AY72" s="319"/>
      <c r="AZ72" s="319"/>
      <c r="BA72" s="319"/>
      <c r="BB72" s="319"/>
      <c r="BC72" s="319"/>
      <c r="BD72" s="319"/>
      <c r="BE72" s="319"/>
      <c r="BF72" s="319"/>
      <c r="BG72" s="319"/>
    </row>
    <row r="73" spans="4:59">
      <c r="D73" s="319"/>
      <c r="E73" s="319"/>
      <c r="F73" s="319"/>
      <c r="G73" s="319"/>
      <c r="H73" s="319"/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  <c r="AN73" s="319"/>
      <c r="AO73" s="319"/>
      <c r="AP73" s="319"/>
      <c r="AQ73" s="319"/>
      <c r="AR73" s="319"/>
      <c r="AS73" s="319"/>
      <c r="AT73" s="319"/>
      <c r="AU73" s="319"/>
      <c r="AV73" s="319"/>
      <c r="AW73" s="319"/>
      <c r="AX73" s="319"/>
      <c r="AY73" s="319"/>
      <c r="AZ73" s="319"/>
      <c r="BA73" s="319"/>
      <c r="BB73" s="319"/>
      <c r="BC73" s="319"/>
      <c r="BD73" s="319"/>
      <c r="BE73" s="319"/>
      <c r="BF73" s="319"/>
      <c r="BG73" s="319"/>
    </row>
    <row r="74" spans="4:59">
      <c r="D74" s="319"/>
      <c r="E74" s="319"/>
      <c r="F74" s="319"/>
      <c r="G74" s="319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319"/>
      <c r="AQ74" s="319"/>
      <c r="AR74" s="319"/>
      <c r="AS74" s="319"/>
      <c r="AT74" s="319"/>
      <c r="AU74" s="319"/>
      <c r="AV74" s="319"/>
      <c r="AW74" s="319"/>
      <c r="AX74" s="319"/>
      <c r="AY74" s="319"/>
      <c r="AZ74" s="319"/>
      <c r="BA74" s="319"/>
      <c r="BB74" s="319"/>
      <c r="BC74" s="319"/>
      <c r="BD74" s="319"/>
      <c r="BE74" s="319"/>
      <c r="BF74" s="319"/>
      <c r="BG74" s="319"/>
    </row>
    <row r="75" spans="4:59"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  <c r="AN75" s="319"/>
      <c r="AO75" s="319"/>
      <c r="AP75" s="319"/>
      <c r="AQ75" s="319"/>
      <c r="AR75" s="319"/>
      <c r="AS75" s="319"/>
      <c r="AT75" s="319"/>
      <c r="AU75" s="319"/>
      <c r="AV75" s="319"/>
      <c r="AW75" s="319"/>
      <c r="AX75" s="319"/>
      <c r="AY75" s="319"/>
      <c r="AZ75" s="319"/>
      <c r="BA75" s="319"/>
      <c r="BB75" s="319"/>
      <c r="BC75" s="319"/>
      <c r="BD75" s="319"/>
      <c r="BE75" s="319"/>
      <c r="BF75" s="319"/>
      <c r="BG75" s="319"/>
    </row>
    <row r="76" spans="4:59">
      <c r="D76" s="319"/>
      <c r="E76" s="319"/>
      <c r="F76" s="319"/>
      <c r="G76" s="319"/>
      <c r="H76" s="319"/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  <c r="AN76" s="319"/>
      <c r="AO76" s="319"/>
      <c r="AP76" s="319"/>
      <c r="AQ76" s="319"/>
      <c r="AR76" s="319"/>
      <c r="AS76" s="319"/>
      <c r="AT76" s="319"/>
      <c r="AU76" s="319"/>
      <c r="AV76" s="319"/>
      <c r="AW76" s="319"/>
      <c r="AX76" s="319"/>
      <c r="AY76" s="319"/>
      <c r="AZ76" s="319"/>
      <c r="BA76" s="319"/>
      <c r="BB76" s="319"/>
      <c r="BC76" s="319"/>
      <c r="BD76" s="319"/>
      <c r="BE76" s="319"/>
      <c r="BF76" s="319"/>
      <c r="BG76" s="319"/>
    </row>
    <row r="77" spans="4:59"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19"/>
      <c r="AI77" s="319"/>
      <c r="AJ77" s="319"/>
      <c r="AK77" s="319"/>
      <c r="AL77" s="319"/>
      <c r="AM77" s="319"/>
      <c r="AN77" s="319"/>
      <c r="AO77" s="319"/>
      <c r="AP77" s="319"/>
      <c r="AQ77" s="319"/>
      <c r="AR77" s="319"/>
      <c r="AS77" s="319"/>
      <c r="AT77" s="319"/>
      <c r="AU77" s="319"/>
      <c r="AV77" s="319"/>
      <c r="AW77" s="319"/>
      <c r="AX77" s="319"/>
      <c r="AY77" s="319"/>
      <c r="AZ77" s="319"/>
      <c r="BA77" s="319"/>
      <c r="BB77" s="319"/>
      <c r="BC77" s="319"/>
      <c r="BD77" s="319"/>
      <c r="BE77" s="319"/>
      <c r="BF77" s="319"/>
      <c r="BG77" s="319"/>
    </row>
    <row r="78" spans="4:59"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  <c r="AD78" s="319"/>
      <c r="AE78" s="319"/>
      <c r="AF78" s="319"/>
      <c r="AG78" s="319"/>
      <c r="AH78" s="319"/>
      <c r="AI78" s="319"/>
      <c r="AJ78" s="319"/>
      <c r="AK78" s="319"/>
      <c r="AL78" s="319"/>
      <c r="AM78" s="319"/>
      <c r="AN78" s="319"/>
      <c r="AO78" s="319"/>
      <c r="AP78" s="319"/>
      <c r="AQ78" s="319"/>
      <c r="AR78" s="319"/>
      <c r="AS78" s="319"/>
      <c r="AT78" s="319"/>
      <c r="AU78" s="319"/>
      <c r="AV78" s="319"/>
      <c r="AW78" s="319"/>
      <c r="AX78" s="319"/>
      <c r="AY78" s="319"/>
      <c r="AZ78" s="319"/>
      <c r="BA78" s="319"/>
      <c r="BB78" s="319"/>
      <c r="BC78" s="319"/>
      <c r="BD78" s="319"/>
      <c r="BE78" s="319"/>
      <c r="BF78" s="319"/>
      <c r="BG78" s="319"/>
    </row>
    <row r="79" spans="4:59"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  <c r="AD79" s="319"/>
      <c r="AE79" s="319"/>
      <c r="AF79" s="319"/>
      <c r="AG79" s="319"/>
      <c r="AH79" s="319"/>
      <c r="AI79" s="319"/>
      <c r="AJ79" s="319"/>
      <c r="AK79" s="319"/>
      <c r="AL79" s="319"/>
      <c r="AM79" s="319"/>
      <c r="AN79" s="319"/>
      <c r="AO79" s="319"/>
      <c r="AP79" s="319"/>
      <c r="AQ79" s="319"/>
      <c r="AR79" s="319"/>
      <c r="AS79" s="319"/>
      <c r="AT79" s="319"/>
      <c r="AU79" s="319"/>
      <c r="AV79" s="319"/>
      <c r="AW79" s="319"/>
      <c r="AX79" s="319"/>
      <c r="AY79" s="319"/>
      <c r="AZ79" s="319"/>
      <c r="BA79" s="319"/>
      <c r="BB79" s="319"/>
      <c r="BC79" s="319"/>
      <c r="BD79" s="319"/>
      <c r="BE79" s="319"/>
      <c r="BF79" s="319"/>
      <c r="BG79" s="319"/>
    </row>
    <row r="80" spans="4:59"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  <c r="AC80" s="319"/>
      <c r="AD80" s="319"/>
      <c r="AE80" s="319"/>
      <c r="AF80" s="319"/>
      <c r="AG80" s="319"/>
      <c r="AH80" s="319"/>
      <c r="AI80" s="319"/>
      <c r="AJ80" s="319"/>
      <c r="AK80" s="319"/>
      <c r="AL80" s="319"/>
      <c r="AM80" s="319"/>
      <c r="AN80" s="319"/>
      <c r="AO80" s="319"/>
      <c r="AP80" s="319"/>
      <c r="AQ80" s="319"/>
      <c r="AR80" s="319"/>
      <c r="AS80" s="319"/>
      <c r="AT80" s="319"/>
      <c r="AU80" s="319"/>
      <c r="AV80" s="319"/>
      <c r="AW80" s="319"/>
      <c r="AX80" s="319"/>
      <c r="AY80" s="319"/>
      <c r="AZ80" s="319"/>
      <c r="BA80" s="319"/>
      <c r="BB80" s="319"/>
      <c r="BC80" s="319"/>
      <c r="BD80" s="319"/>
      <c r="BE80" s="319"/>
      <c r="BF80" s="319"/>
      <c r="BG80" s="319"/>
    </row>
    <row r="81" spans="4:59"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319"/>
      <c r="AB81" s="319"/>
      <c r="AC81" s="319"/>
      <c r="AD81" s="319"/>
      <c r="AE81" s="319"/>
      <c r="AF81" s="319"/>
      <c r="AG81" s="319"/>
      <c r="AH81" s="319"/>
      <c r="AI81" s="319"/>
      <c r="AJ81" s="319"/>
      <c r="AK81" s="319"/>
      <c r="AL81" s="319"/>
      <c r="AM81" s="319"/>
      <c r="AN81" s="319"/>
      <c r="AO81" s="319"/>
      <c r="AP81" s="319"/>
      <c r="AQ81" s="319"/>
      <c r="AR81" s="319"/>
      <c r="AS81" s="319"/>
      <c r="AT81" s="319"/>
      <c r="AU81" s="319"/>
      <c r="AV81" s="319"/>
      <c r="AW81" s="319"/>
      <c r="AX81" s="319"/>
      <c r="AY81" s="319"/>
      <c r="AZ81" s="319"/>
      <c r="BA81" s="319"/>
      <c r="BB81" s="319"/>
      <c r="BC81" s="319"/>
      <c r="BD81" s="319"/>
      <c r="BE81" s="319"/>
      <c r="BF81" s="319"/>
      <c r="BG81" s="319"/>
    </row>
    <row r="82" spans="4:59"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  <c r="AA82" s="319"/>
      <c r="AB82" s="319"/>
      <c r="AC82" s="319"/>
      <c r="AD82" s="319"/>
      <c r="AE82" s="319"/>
      <c r="AF82" s="319"/>
      <c r="AG82" s="319"/>
      <c r="AH82" s="319"/>
      <c r="AI82" s="319"/>
      <c r="AJ82" s="319"/>
      <c r="AK82" s="319"/>
      <c r="AL82" s="319"/>
      <c r="AM82" s="319"/>
      <c r="AN82" s="319"/>
      <c r="AO82" s="319"/>
      <c r="AP82" s="319"/>
      <c r="AQ82" s="319"/>
      <c r="AR82" s="319"/>
      <c r="AS82" s="319"/>
      <c r="AT82" s="319"/>
      <c r="AU82" s="319"/>
      <c r="AV82" s="319"/>
      <c r="AW82" s="319"/>
      <c r="AX82" s="319"/>
      <c r="AY82" s="319"/>
      <c r="AZ82" s="319"/>
      <c r="BA82" s="319"/>
      <c r="BB82" s="319"/>
      <c r="BC82" s="319"/>
      <c r="BD82" s="319"/>
      <c r="BE82" s="319"/>
      <c r="BF82" s="319"/>
      <c r="BG82" s="319"/>
    </row>
    <row r="83" spans="4:59"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  <c r="AD83" s="319"/>
      <c r="AE83" s="319"/>
      <c r="AF83" s="319"/>
      <c r="AG83" s="319"/>
      <c r="AH83" s="319"/>
      <c r="AI83" s="319"/>
      <c r="AJ83" s="319"/>
      <c r="AK83" s="319"/>
      <c r="AL83" s="319"/>
      <c r="AM83" s="319"/>
      <c r="AN83" s="319"/>
      <c r="AO83" s="319"/>
      <c r="AP83" s="319"/>
      <c r="AQ83" s="319"/>
      <c r="AR83" s="319"/>
      <c r="AS83" s="319"/>
      <c r="AT83" s="319"/>
      <c r="AU83" s="319"/>
      <c r="AV83" s="319"/>
      <c r="AW83" s="319"/>
      <c r="AX83" s="319"/>
      <c r="AY83" s="319"/>
      <c r="AZ83" s="319"/>
      <c r="BA83" s="319"/>
      <c r="BB83" s="319"/>
      <c r="BC83" s="319"/>
      <c r="BD83" s="319"/>
      <c r="BE83" s="319"/>
      <c r="BF83" s="319"/>
      <c r="BG83" s="319"/>
    </row>
    <row r="84" spans="4:59"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  <c r="AA84" s="319"/>
      <c r="AB84" s="319"/>
      <c r="AC84" s="319"/>
      <c r="AD84" s="319"/>
      <c r="AE84" s="319"/>
      <c r="AF84" s="319"/>
      <c r="AG84" s="319"/>
      <c r="AH84" s="319"/>
      <c r="AI84" s="319"/>
      <c r="AJ84" s="319"/>
      <c r="AK84" s="319"/>
      <c r="AL84" s="319"/>
      <c r="AM84" s="319"/>
      <c r="AN84" s="319"/>
      <c r="AO84" s="319"/>
      <c r="AP84" s="319"/>
      <c r="AQ84" s="319"/>
      <c r="AR84" s="319"/>
      <c r="AS84" s="319"/>
      <c r="AT84" s="319"/>
      <c r="AU84" s="319"/>
      <c r="AV84" s="319"/>
      <c r="AW84" s="319"/>
      <c r="AX84" s="319"/>
      <c r="AY84" s="319"/>
      <c r="AZ84" s="319"/>
      <c r="BA84" s="319"/>
      <c r="BB84" s="319"/>
      <c r="BC84" s="319"/>
      <c r="BD84" s="319"/>
      <c r="BE84" s="319"/>
      <c r="BF84" s="319"/>
      <c r="BG84" s="319"/>
    </row>
    <row r="85" spans="4:59"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319"/>
      <c r="AB85" s="319"/>
      <c r="AC85" s="319"/>
      <c r="AD85" s="319"/>
      <c r="AE85" s="319"/>
      <c r="AF85" s="319"/>
      <c r="AG85" s="319"/>
      <c r="AH85" s="319"/>
      <c r="AI85" s="319"/>
      <c r="AJ85" s="319"/>
      <c r="AK85" s="319"/>
      <c r="AL85" s="319"/>
      <c r="AM85" s="319"/>
      <c r="AN85" s="319"/>
      <c r="AO85" s="319"/>
      <c r="AP85" s="319"/>
      <c r="AQ85" s="319"/>
      <c r="AR85" s="319"/>
      <c r="AS85" s="319"/>
      <c r="AT85" s="319"/>
      <c r="AU85" s="319"/>
      <c r="AV85" s="319"/>
      <c r="AW85" s="319"/>
      <c r="AX85" s="319"/>
      <c r="AY85" s="319"/>
      <c r="AZ85" s="319"/>
      <c r="BA85" s="319"/>
      <c r="BB85" s="319"/>
      <c r="BC85" s="319"/>
      <c r="BD85" s="319"/>
      <c r="BE85" s="319"/>
      <c r="BF85" s="319"/>
      <c r="BG85" s="319"/>
    </row>
    <row r="86" spans="4:59"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  <c r="AD86" s="319"/>
      <c r="AE86" s="319"/>
      <c r="AF86" s="319"/>
      <c r="AG86" s="319"/>
      <c r="AH86" s="319"/>
      <c r="AI86" s="319"/>
      <c r="AJ86" s="319"/>
      <c r="AK86" s="319"/>
      <c r="AL86" s="319"/>
      <c r="AM86" s="319"/>
      <c r="AN86" s="319"/>
      <c r="AO86" s="319"/>
      <c r="AP86" s="319"/>
      <c r="AQ86" s="319"/>
      <c r="AR86" s="319"/>
      <c r="AS86" s="319"/>
      <c r="AT86" s="319"/>
      <c r="AU86" s="319"/>
      <c r="AV86" s="319"/>
      <c r="AW86" s="319"/>
      <c r="AX86" s="319"/>
      <c r="AY86" s="319"/>
      <c r="AZ86" s="319"/>
      <c r="BA86" s="319"/>
      <c r="BB86" s="319"/>
      <c r="BC86" s="319"/>
      <c r="BD86" s="319"/>
      <c r="BE86" s="319"/>
      <c r="BF86" s="319"/>
      <c r="BG86" s="319"/>
    </row>
    <row r="87" spans="4:59"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319"/>
      <c r="Z87" s="319"/>
      <c r="AA87" s="319"/>
      <c r="AB87" s="319"/>
      <c r="AC87" s="319"/>
      <c r="AD87" s="319"/>
      <c r="AE87" s="319"/>
      <c r="AF87" s="319"/>
      <c r="AG87" s="319"/>
      <c r="AH87" s="319"/>
      <c r="AI87" s="319"/>
      <c r="AJ87" s="319"/>
      <c r="AK87" s="319"/>
      <c r="AL87" s="319"/>
      <c r="AM87" s="319"/>
      <c r="AN87" s="319"/>
      <c r="AO87" s="319"/>
      <c r="AP87" s="319"/>
      <c r="AQ87" s="319"/>
      <c r="AR87" s="319"/>
      <c r="AS87" s="319"/>
      <c r="AT87" s="319"/>
      <c r="AU87" s="319"/>
      <c r="AV87" s="319"/>
      <c r="AW87" s="319"/>
      <c r="AX87" s="319"/>
      <c r="AY87" s="319"/>
      <c r="AZ87" s="319"/>
      <c r="BA87" s="319"/>
      <c r="BB87" s="319"/>
      <c r="BC87" s="319"/>
      <c r="BD87" s="319"/>
      <c r="BE87" s="319"/>
      <c r="BF87" s="319"/>
      <c r="BG87" s="319"/>
    </row>
    <row r="88" spans="4:59"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  <c r="AA88" s="319"/>
      <c r="AB88" s="319"/>
      <c r="AC88" s="319"/>
      <c r="AD88" s="319"/>
      <c r="AE88" s="319"/>
      <c r="AF88" s="319"/>
      <c r="AG88" s="319"/>
      <c r="AH88" s="319"/>
      <c r="AI88" s="319"/>
      <c r="AJ88" s="319"/>
      <c r="AK88" s="319"/>
      <c r="AL88" s="319"/>
      <c r="AM88" s="319"/>
      <c r="AN88" s="319"/>
      <c r="AO88" s="319"/>
      <c r="AP88" s="319"/>
      <c r="AQ88" s="319"/>
      <c r="AR88" s="319"/>
      <c r="AS88" s="319"/>
      <c r="AT88" s="319"/>
      <c r="AU88" s="319"/>
      <c r="AV88" s="319"/>
      <c r="AW88" s="319"/>
      <c r="AX88" s="319"/>
      <c r="AY88" s="319"/>
      <c r="AZ88" s="319"/>
      <c r="BA88" s="319"/>
      <c r="BB88" s="319"/>
      <c r="BC88" s="319"/>
      <c r="BD88" s="319"/>
      <c r="BE88" s="319"/>
      <c r="BF88" s="319"/>
      <c r="BG88" s="319"/>
    </row>
    <row r="89" spans="4:59"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 s="319"/>
      <c r="AC89" s="319"/>
      <c r="AD89" s="319"/>
      <c r="AE89" s="319"/>
      <c r="AF89" s="319"/>
      <c r="AG89" s="319"/>
      <c r="AH89" s="319"/>
      <c r="AI89" s="319"/>
      <c r="AJ89" s="319"/>
      <c r="AK89" s="319"/>
      <c r="AL89" s="319"/>
      <c r="AM89" s="319"/>
      <c r="AN89" s="319"/>
      <c r="AO89" s="319"/>
      <c r="AP89" s="319"/>
      <c r="AQ89" s="319"/>
      <c r="AR89" s="319"/>
      <c r="AS89" s="319"/>
      <c r="AT89" s="319"/>
      <c r="AU89" s="319"/>
      <c r="AV89" s="319"/>
      <c r="AW89" s="319"/>
      <c r="AX89" s="319"/>
      <c r="AY89" s="319"/>
      <c r="AZ89" s="319"/>
      <c r="BA89" s="319"/>
      <c r="BB89" s="319"/>
      <c r="BC89" s="319"/>
      <c r="BD89" s="319"/>
      <c r="BE89" s="319"/>
      <c r="BF89" s="319"/>
      <c r="BG89" s="319"/>
    </row>
    <row r="90" spans="4:59"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  <c r="AD90" s="319"/>
      <c r="AE90" s="319"/>
      <c r="AF90" s="319"/>
      <c r="AG90" s="319"/>
      <c r="AH90" s="319"/>
      <c r="AI90" s="319"/>
      <c r="AJ90" s="319"/>
      <c r="AK90" s="319"/>
      <c r="AL90" s="319"/>
      <c r="AM90" s="319"/>
      <c r="AN90" s="319"/>
      <c r="AO90" s="319"/>
      <c r="AP90" s="319"/>
      <c r="AQ90" s="319"/>
      <c r="AR90" s="319"/>
      <c r="AS90" s="319"/>
      <c r="AT90" s="319"/>
      <c r="AU90" s="319"/>
      <c r="AV90" s="319"/>
      <c r="AW90" s="319"/>
      <c r="AX90" s="319"/>
      <c r="AY90" s="319"/>
      <c r="AZ90" s="319"/>
      <c r="BA90" s="319"/>
      <c r="BB90" s="319"/>
      <c r="BC90" s="319"/>
      <c r="BD90" s="319"/>
      <c r="BE90" s="319"/>
      <c r="BF90" s="319"/>
      <c r="BG90" s="319"/>
    </row>
    <row r="91" spans="4:59"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319"/>
      <c r="AB91" s="319"/>
      <c r="AC91" s="319"/>
      <c r="AD91" s="319"/>
      <c r="AE91" s="319"/>
      <c r="AF91" s="319"/>
      <c r="AG91" s="319"/>
      <c r="AH91" s="319"/>
      <c r="AI91" s="319"/>
      <c r="AJ91" s="319"/>
      <c r="AK91" s="319"/>
      <c r="AL91" s="319"/>
      <c r="AM91" s="319"/>
      <c r="AN91" s="319"/>
      <c r="AO91" s="319"/>
      <c r="AP91" s="319"/>
      <c r="AQ91" s="319"/>
      <c r="AR91" s="319"/>
      <c r="AS91" s="319"/>
      <c r="AT91" s="319"/>
      <c r="AU91" s="319"/>
      <c r="AV91" s="319"/>
      <c r="AW91" s="319"/>
      <c r="AX91" s="319"/>
      <c r="AY91" s="319"/>
      <c r="AZ91" s="319"/>
      <c r="BA91" s="319"/>
      <c r="BB91" s="319"/>
      <c r="BC91" s="319"/>
      <c r="BD91" s="319"/>
      <c r="BE91" s="319"/>
      <c r="BF91" s="319"/>
      <c r="BG91" s="319"/>
    </row>
    <row r="92" spans="4:59"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/>
      <c r="AC92" s="319"/>
      <c r="AD92" s="319"/>
      <c r="AE92" s="319"/>
      <c r="AF92" s="319"/>
      <c r="AG92" s="319"/>
      <c r="AH92" s="319"/>
      <c r="AI92" s="319"/>
      <c r="AJ92" s="319"/>
      <c r="AK92" s="319"/>
      <c r="AL92" s="319"/>
      <c r="AM92" s="319"/>
      <c r="AN92" s="319"/>
      <c r="AO92" s="319"/>
      <c r="AP92" s="319"/>
      <c r="AQ92" s="319"/>
      <c r="AR92" s="319"/>
      <c r="AS92" s="319"/>
      <c r="AT92" s="319"/>
      <c r="AU92" s="319"/>
      <c r="AV92" s="319"/>
      <c r="AW92" s="319"/>
      <c r="AX92" s="319"/>
      <c r="AY92" s="319"/>
      <c r="AZ92" s="319"/>
      <c r="BA92" s="319"/>
      <c r="BB92" s="319"/>
      <c r="BC92" s="319"/>
      <c r="BD92" s="319"/>
      <c r="BE92" s="319"/>
      <c r="BF92" s="319"/>
      <c r="BG92" s="319"/>
    </row>
    <row r="93" spans="4:59">
      <c r="D93" s="319"/>
      <c r="E93" s="319"/>
      <c r="F93" s="319"/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  <c r="AA93" s="319"/>
      <c r="AB93" s="319"/>
      <c r="AC93" s="319"/>
      <c r="AD93" s="319"/>
      <c r="AE93" s="319"/>
      <c r="AF93" s="319"/>
      <c r="AG93" s="319"/>
      <c r="AH93" s="319"/>
      <c r="AI93" s="319"/>
      <c r="AJ93" s="319"/>
      <c r="AK93" s="319"/>
      <c r="AL93" s="319"/>
      <c r="AM93" s="319"/>
      <c r="AN93" s="319"/>
      <c r="AO93" s="319"/>
      <c r="AP93" s="319"/>
      <c r="AQ93" s="319"/>
      <c r="AR93" s="319"/>
      <c r="AS93" s="319"/>
      <c r="AT93" s="319"/>
      <c r="AU93" s="319"/>
      <c r="AV93" s="319"/>
      <c r="AW93" s="319"/>
      <c r="AX93" s="319"/>
      <c r="AY93" s="319"/>
      <c r="AZ93" s="319"/>
      <c r="BA93" s="319"/>
      <c r="BB93" s="319"/>
      <c r="BC93" s="319"/>
      <c r="BD93" s="319"/>
      <c r="BE93" s="319"/>
      <c r="BF93" s="319"/>
      <c r="BG93" s="319"/>
    </row>
    <row r="94" spans="4:59"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19"/>
      <c r="AL94" s="319"/>
      <c r="AM94" s="319"/>
      <c r="AN94" s="319"/>
      <c r="AO94" s="319"/>
      <c r="AP94" s="319"/>
      <c r="AQ94" s="319"/>
      <c r="AR94" s="319"/>
      <c r="AS94" s="319"/>
      <c r="AT94" s="319"/>
      <c r="AU94" s="319"/>
      <c r="AV94" s="319"/>
      <c r="AW94" s="319"/>
      <c r="AX94" s="319"/>
      <c r="AY94" s="319"/>
      <c r="AZ94" s="319"/>
      <c r="BA94" s="319"/>
      <c r="BB94" s="319"/>
      <c r="BC94" s="319"/>
      <c r="BD94" s="319"/>
      <c r="BE94" s="319"/>
      <c r="BF94" s="319"/>
      <c r="BG94" s="319"/>
    </row>
    <row r="95" spans="4:59"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19"/>
      <c r="AI95" s="319"/>
      <c r="AJ95" s="319"/>
      <c r="AK95" s="319"/>
      <c r="AL95" s="319"/>
      <c r="AM95" s="319"/>
      <c r="AN95" s="319"/>
      <c r="AO95" s="319"/>
      <c r="AP95" s="319"/>
      <c r="AQ95" s="319"/>
      <c r="AR95" s="319"/>
      <c r="AS95" s="319"/>
      <c r="AT95" s="319"/>
      <c r="AU95" s="319"/>
      <c r="AV95" s="319"/>
      <c r="AW95" s="319"/>
      <c r="AX95" s="319"/>
      <c r="AY95" s="319"/>
      <c r="AZ95" s="319"/>
      <c r="BA95" s="319"/>
      <c r="BB95" s="319"/>
      <c r="BC95" s="319"/>
      <c r="BD95" s="319"/>
      <c r="BE95" s="319"/>
      <c r="BF95" s="319"/>
      <c r="BG95" s="319"/>
    </row>
    <row r="96" spans="4:59"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19"/>
      <c r="AQ96" s="319"/>
      <c r="AR96" s="319"/>
      <c r="AS96" s="319"/>
      <c r="AT96" s="319"/>
      <c r="AU96" s="319"/>
      <c r="AV96" s="319"/>
      <c r="AW96" s="319"/>
      <c r="AX96" s="319"/>
      <c r="AY96" s="319"/>
      <c r="AZ96" s="319"/>
      <c r="BA96" s="319"/>
      <c r="BB96" s="319"/>
      <c r="BC96" s="319"/>
      <c r="BD96" s="319"/>
      <c r="BE96" s="319"/>
      <c r="BF96" s="319"/>
      <c r="BG96" s="319"/>
    </row>
    <row r="97" spans="4:59"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19"/>
      <c r="AQ97" s="319"/>
      <c r="AR97" s="319"/>
      <c r="AS97" s="319"/>
      <c r="AT97" s="319"/>
      <c r="AU97" s="319"/>
      <c r="AV97" s="319"/>
      <c r="AW97" s="319"/>
      <c r="AX97" s="319"/>
      <c r="AY97" s="319"/>
      <c r="AZ97" s="319"/>
      <c r="BA97" s="319"/>
      <c r="BB97" s="319"/>
      <c r="BC97" s="319"/>
      <c r="BD97" s="319"/>
      <c r="BE97" s="319"/>
      <c r="BF97" s="319"/>
      <c r="BG97" s="319"/>
    </row>
    <row r="98" spans="4:59"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19"/>
      <c r="AQ98" s="319"/>
      <c r="AR98" s="319"/>
      <c r="AS98" s="319"/>
      <c r="AT98" s="319"/>
      <c r="AU98" s="319"/>
      <c r="AV98" s="319"/>
      <c r="AW98" s="319"/>
      <c r="AX98" s="319"/>
      <c r="AY98" s="319"/>
      <c r="AZ98" s="319"/>
      <c r="BA98" s="319"/>
      <c r="BB98" s="319"/>
      <c r="BC98" s="319"/>
      <c r="BD98" s="319"/>
      <c r="BE98" s="319"/>
      <c r="BF98" s="319"/>
      <c r="BG98" s="319"/>
    </row>
    <row r="99" spans="4:59"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  <c r="AN99" s="319"/>
      <c r="AO99" s="319"/>
      <c r="AP99" s="319"/>
      <c r="AQ99" s="319"/>
      <c r="AR99" s="319"/>
      <c r="AS99" s="319"/>
      <c r="AT99" s="319"/>
      <c r="AU99" s="319"/>
      <c r="AV99" s="319"/>
      <c r="AW99" s="319"/>
      <c r="AX99" s="319"/>
      <c r="AY99" s="319"/>
      <c r="AZ99" s="319"/>
      <c r="BA99" s="319"/>
      <c r="BB99" s="319"/>
      <c r="BC99" s="319"/>
      <c r="BD99" s="319"/>
      <c r="BE99" s="319"/>
      <c r="BF99" s="319"/>
      <c r="BG99" s="319"/>
    </row>
    <row r="100" spans="4:59"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19"/>
      <c r="AQ100" s="319"/>
      <c r="AR100" s="319"/>
      <c r="AS100" s="319"/>
      <c r="AT100" s="319"/>
      <c r="AU100" s="319"/>
      <c r="AV100" s="319"/>
      <c r="AW100" s="319"/>
      <c r="AX100" s="319"/>
      <c r="AY100" s="319"/>
      <c r="AZ100" s="319"/>
      <c r="BA100" s="319"/>
      <c r="BB100" s="319"/>
      <c r="BC100" s="319"/>
      <c r="BD100" s="319"/>
      <c r="BE100" s="319"/>
      <c r="BF100" s="319"/>
      <c r="BG100" s="319"/>
    </row>
    <row r="101" spans="4:59"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19"/>
      <c r="AQ101" s="319"/>
      <c r="AR101" s="319"/>
      <c r="AS101" s="319"/>
      <c r="AT101" s="319"/>
      <c r="AU101" s="319"/>
      <c r="AV101" s="319"/>
      <c r="AW101" s="319"/>
      <c r="AX101" s="319"/>
      <c r="AY101" s="319"/>
      <c r="AZ101" s="319"/>
      <c r="BA101" s="319"/>
      <c r="BB101" s="319"/>
      <c r="BC101" s="319"/>
      <c r="BD101" s="319"/>
      <c r="BE101" s="319"/>
      <c r="BF101" s="319"/>
      <c r="BG101" s="319"/>
    </row>
    <row r="102" spans="4:59"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19"/>
      <c r="AQ102" s="319"/>
      <c r="AR102" s="319"/>
      <c r="AS102" s="319"/>
      <c r="AT102" s="319"/>
      <c r="AU102" s="319"/>
      <c r="AV102" s="319"/>
      <c r="AW102" s="319"/>
      <c r="AX102" s="319"/>
      <c r="AY102" s="319"/>
      <c r="AZ102" s="319"/>
      <c r="BA102" s="319"/>
      <c r="BB102" s="319"/>
      <c r="BC102" s="319"/>
      <c r="BD102" s="319"/>
      <c r="BE102" s="319"/>
      <c r="BF102" s="319"/>
      <c r="BG102" s="319"/>
    </row>
    <row r="103" spans="4:59"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19"/>
      <c r="AQ103" s="319"/>
      <c r="AR103" s="319"/>
      <c r="AS103" s="319"/>
      <c r="AT103" s="319"/>
      <c r="AU103" s="319"/>
      <c r="AV103" s="319"/>
      <c r="AW103" s="319"/>
      <c r="AX103" s="319"/>
      <c r="AY103" s="319"/>
      <c r="AZ103" s="319"/>
      <c r="BA103" s="319"/>
      <c r="BB103" s="319"/>
      <c r="BC103" s="319"/>
      <c r="BD103" s="319"/>
      <c r="BE103" s="319"/>
      <c r="BF103" s="319"/>
      <c r="BG103" s="319"/>
    </row>
    <row r="104" spans="4:59"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19"/>
      <c r="AQ104" s="319"/>
      <c r="AR104" s="319"/>
      <c r="AS104" s="319"/>
      <c r="AT104" s="319"/>
      <c r="AU104" s="319"/>
      <c r="AV104" s="319"/>
      <c r="AW104" s="319"/>
      <c r="AX104" s="319"/>
      <c r="AY104" s="319"/>
      <c r="AZ104" s="319"/>
      <c r="BA104" s="319"/>
      <c r="BB104" s="319"/>
      <c r="BC104" s="319"/>
      <c r="BD104" s="319"/>
      <c r="BE104" s="319"/>
      <c r="BF104" s="319"/>
      <c r="BG104" s="319"/>
    </row>
    <row r="105" spans="4:59"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19"/>
      <c r="AQ105" s="319"/>
      <c r="AR105" s="319"/>
      <c r="AS105" s="319"/>
      <c r="AT105" s="319"/>
      <c r="AU105" s="319"/>
      <c r="AV105" s="319"/>
      <c r="AW105" s="319"/>
      <c r="AX105" s="319"/>
      <c r="AY105" s="319"/>
      <c r="AZ105" s="319"/>
      <c r="BA105" s="319"/>
      <c r="BB105" s="319"/>
      <c r="BC105" s="319"/>
      <c r="BD105" s="319"/>
      <c r="BE105" s="319"/>
      <c r="BF105" s="319"/>
      <c r="BG105" s="319"/>
    </row>
    <row r="106" spans="4:59"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19"/>
      <c r="AQ106" s="319"/>
      <c r="AR106" s="319"/>
      <c r="AS106" s="319"/>
      <c r="AT106" s="319"/>
      <c r="AU106" s="319"/>
      <c r="AV106" s="319"/>
      <c r="AW106" s="319"/>
      <c r="AX106" s="319"/>
      <c r="AY106" s="319"/>
      <c r="AZ106" s="319"/>
      <c r="BA106" s="319"/>
      <c r="BB106" s="319"/>
      <c r="BC106" s="319"/>
      <c r="BD106" s="319"/>
      <c r="BE106" s="319"/>
      <c r="BF106" s="319"/>
      <c r="BG106" s="319"/>
    </row>
    <row r="107" spans="4:59"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19"/>
      <c r="AQ107" s="319"/>
      <c r="AR107" s="319"/>
      <c r="AS107" s="319"/>
      <c r="AT107" s="319"/>
      <c r="AU107" s="319"/>
      <c r="AV107" s="319"/>
      <c r="AW107" s="319"/>
      <c r="AX107" s="319"/>
      <c r="AY107" s="319"/>
      <c r="AZ107" s="319"/>
      <c r="BA107" s="319"/>
      <c r="BB107" s="319"/>
      <c r="BC107" s="319"/>
      <c r="BD107" s="319"/>
      <c r="BE107" s="319"/>
      <c r="BF107" s="319"/>
      <c r="BG107" s="319"/>
    </row>
    <row r="108" spans="4:59"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  <c r="AN108" s="319"/>
      <c r="AO108" s="319"/>
      <c r="AP108" s="319"/>
      <c r="AQ108" s="319"/>
      <c r="AR108" s="319"/>
      <c r="AS108" s="319"/>
      <c r="AT108" s="319"/>
      <c r="AU108" s="319"/>
      <c r="AV108" s="319"/>
      <c r="AW108" s="319"/>
      <c r="AX108" s="319"/>
      <c r="AY108" s="319"/>
      <c r="AZ108" s="319"/>
      <c r="BA108" s="319"/>
      <c r="BB108" s="319"/>
      <c r="BC108" s="319"/>
      <c r="BD108" s="319"/>
      <c r="BE108" s="319"/>
      <c r="BF108" s="319"/>
      <c r="BG108" s="319"/>
    </row>
    <row r="109" spans="4:59"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  <c r="AA109" s="319"/>
      <c r="AB109" s="319"/>
      <c r="AC109" s="319"/>
      <c r="AD109" s="319"/>
      <c r="AE109" s="319"/>
      <c r="AF109" s="319"/>
      <c r="AG109" s="319"/>
      <c r="AH109" s="319"/>
      <c r="AI109" s="319"/>
      <c r="AJ109" s="319"/>
      <c r="AK109" s="319"/>
      <c r="AL109" s="319"/>
      <c r="AM109" s="319"/>
      <c r="AN109" s="319"/>
      <c r="AO109" s="319"/>
      <c r="AP109" s="319"/>
      <c r="AQ109" s="319"/>
      <c r="AR109" s="319"/>
      <c r="AS109" s="319"/>
      <c r="AT109" s="319"/>
      <c r="AU109" s="319"/>
      <c r="AV109" s="319"/>
      <c r="AW109" s="319"/>
      <c r="AX109" s="319"/>
      <c r="AY109" s="319"/>
      <c r="AZ109" s="319"/>
      <c r="BA109" s="319"/>
      <c r="BB109" s="319"/>
      <c r="BC109" s="319"/>
      <c r="BD109" s="319"/>
      <c r="BE109" s="319"/>
      <c r="BF109" s="319"/>
      <c r="BG109" s="319"/>
    </row>
    <row r="110" spans="4:59"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  <c r="AA110" s="319"/>
      <c r="AB110" s="319"/>
      <c r="AC110" s="319"/>
      <c r="AD110" s="319"/>
      <c r="AE110" s="319"/>
      <c r="AF110" s="319"/>
      <c r="AG110" s="319"/>
      <c r="AH110" s="319"/>
      <c r="AI110" s="319"/>
      <c r="AJ110" s="319"/>
      <c r="AK110" s="319"/>
      <c r="AL110" s="319"/>
      <c r="AM110" s="319"/>
      <c r="AN110" s="319"/>
      <c r="AO110" s="319"/>
      <c r="AP110" s="319"/>
      <c r="AQ110" s="319"/>
      <c r="AR110" s="319"/>
      <c r="AS110" s="319"/>
      <c r="AT110" s="319"/>
      <c r="AU110" s="319"/>
      <c r="AV110" s="319"/>
      <c r="AW110" s="319"/>
      <c r="AX110" s="319"/>
      <c r="AY110" s="319"/>
      <c r="AZ110" s="319"/>
      <c r="BA110" s="319"/>
      <c r="BB110" s="319"/>
      <c r="BC110" s="319"/>
      <c r="BD110" s="319"/>
      <c r="BE110" s="319"/>
      <c r="BF110" s="319"/>
      <c r="BG110" s="319"/>
    </row>
    <row r="111" spans="4:59"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  <c r="AA111" s="319"/>
      <c r="AB111" s="319"/>
      <c r="AC111" s="319"/>
      <c r="AD111" s="319"/>
      <c r="AE111" s="319"/>
      <c r="AF111" s="319"/>
      <c r="AG111" s="319"/>
      <c r="AH111" s="319"/>
      <c r="AI111" s="319"/>
      <c r="AJ111" s="319"/>
      <c r="AK111" s="319"/>
      <c r="AL111" s="319"/>
      <c r="AM111" s="319"/>
      <c r="AN111" s="319"/>
      <c r="AO111" s="319"/>
      <c r="AP111" s="319"/>
      <c r="AQ111" s="319"/>
      <c r="AR111" s="319"/>
      <c r="AS111" s="319"/>
      <c r="AT111" s="319"/>
      <c r="AU111" s="319"/>
      <c r="AV111" s="319"/>
      <c r="AW111" s="319"/>
      <c r="AX111" s="319"/>
      <c r="AY111" s="319"/>
      <c r="AZ111" s="319"/>
      <c r="BA111" s="319"/>
      <c r="BB111" s="319"/>
      <c r="BC111" s="319"/>
      <c r="BD111" s="319"/>
      <c r="BE111" s="319"/>
      <c r="BF111" s="319"/>
      <c r="BG111" s="319"/>
    </row>
    <row r="112" spans="4:59"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  <c r="AA112" s="319"/>
      <c r="AB112" s="319"/>
      <c r="AC112" s="319"/>
      <c r="AD112" s="319"/>
      <c r="AE112" s="319"/>
      <c r="AF112" s="319"/>
      <c r="AG112" s="319"/>
      <c r="AH112" s="319"/>
      <c r="AI112" s="319"/>
      <c r="AJ112" s="319"/>
      <c r="AK112" s="319"/>
      <c r="AL112" s="319"/>
      <c r="AM112" s="319"/>
      <c r="AN112" s="319"/>
      <c r="AO112" s="319"/>
      <c r="AP112" s="319"/>
      <c r="AQ112" s="319"/>
      <c r="AR112" s="319"/>
      <c r="AS112" s="319"/>
      <c r="AT112" s="319"/>
      <c r="AU112" s="319"/>
      <c r="AV112" s="319"/>
      <c r="AW112" s="319"/>
      <c r="AX112" s="319"/>
      <c r="AY112" s="319"/>
      <c r="AZ112" s="319"/>
      <c r="BA112" s="319"/>
      <c r="BB112" s="319"/>
      <c r="BC112" s="319"/>
      <c r="BD112" s="319"/>
      <c r="BE112" s="319"/>
      <c r="BF112" s="319"/>
      <c r="BG112" s="319"/>
    </row>
    <row r="113" spans="4:61"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  <c r="AA113" s="319"/>
      <c r="AB113" s="319"/>
      <c r="AC113" s="319"/>
      <c r="AD113" s="319"/>
      <c r="AE113" s="319"/>
      <c r="AF113" s="319"/>
      <c r="AG113" s="319"/>
      <c r="AH113" s="319"/>
      <c r="AI113" s="319"/>
      <c r="AJ113" s="319"/>
      <c r="AK113" s="319"/>
      <c r="AL113" s="319"/>
      <c r="AM113" s="319"/>
      <c r="AN113" s="319"/>
      <c r="AO113" s="319"/>
      <c r="AP113" s="319"/>
      <c r="AQ113" s="319"/>
      <c r="AR113" s="319"/>
      <c r="AS113" s="319"/>
      <c r="AT113" s="319"/>
      <c r="AU113" s="319"/>
      <c r="AV113" s="319"/>
      <c r="AW113" s="319"/>
      <c r="AX113" s="319"/>
      <c r="AY113" s="319"/>
      <c r="AZ113" s="319"/>
      <c r="BA113" s="319"/>
      <c r="BB113" s="319"/>
      <c r="BC113" s="319"/>
      <c r="BD113" s="319"/>
      <c r="BE113" s="319"/>
      <c r="BF113" s="319"/>
      <c r="BG113" s="319"/>
    </row>
    <row r="114" spans="4:61"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  <c r="AA114" s="319"/>
      <c r="AB114" s="319"/>
      <c r="AC114" s="319"/>
      <c r="AD114" s="319"/>
      <c r="AE114" s="319"/>
      <c r="AF114" s="319"/>
      <c r="AG114" s="319"/>
      <c r="AH114" s="319"/>
      <c r="AI114" s="319"/>
      <c r="AJ114" s="319"/>
      <c r="AK114" s="319"/>
      <c r="AL114" s="319"/>
      <c r="AM114" s="319"/>
      <c r="AN114" s="319"/>
      <c r="AO114" s="319"/>
      <c r="AP114" s="319"/>
      <c r="AQ114" s="319"/>
      <c r="AR114" s="319"/>
      <c r="AS114" s="319"/>
      <c r="AT114" s="319"/>
      <c r="AU114" s="319"/>
      <c r="AV114" s="319"/>
      <c r="AW114" s="319"/>
      <c r="AX114" s="319"/>
      <c r="AY114" s="319"/>
      <c r="AZ114" s="319"/>
      <c r="BA114" s="319"/>
      <c r="BB114" s="319"/>
      <c r="BC114" s="319"/>
      <c r="BD114" s="319"/>
      <c r="BE114" s="319"/>
      <c r="BF114" s="319"/>
      <c r="BG114" s="319"/>
    </row>
    <row r="115" spans="4:61"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  <c r="AA115" s="319"/>
      <c r="AB115" s="319"/>
      <c r="AC115" s="319"/>
      <c r="AD115" s="319"/>
      <c r="AE115" s="319"/>
      <c r="AF115" s="319"/>
      <c r="AG115" s="319"/>
      <c r="AH115" s="319"/>
      <c r="AI115" s="319"/>
      <c r="AJ115" s="319"/>
      <c r="AK115" s="319"/>
      <c r="AL115" s="319"/>
      <c r="AM115" s="319"/>
      <c r="AN115" s="319"/>
      <c r="AO115" s="319"/>
      <c r="AP115" s="319"/>
      <c r="AQ115" s="319"/>
      <c r="AR115" s="319"/>
      <c r="AS115" s="319"/>
      <c r="AT115" s="319"/>
      <c r="AU115" s="319"/>
      <c r="AV115" s="319"/>
      <c r="AW115" s="319"/>
      <c r="AX115" s="319"/>
      <c r="AY115" s="319"/>
      <c r="AZ115" s="319"/>
      <c r="BA115" s="319"/>
      <c r="BB115" s="319"/>
      <c r="BC115" s="319"/>
      <c r="BD115" s="319"/>
      <c r="BE115" s="319"/>
      <c r="BF115" s="319"/>
      <c r="BG115" s="319"/>
      <c r="BH115" s="27"/>
      <c r="BI115" s="27"/>
    </row>
    <row r="116" spans="4:61"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  <c r="AA116" s="319"/>
      <c r="AB116" s="319"/>
      <c r="AC116" s="319"/>
      <c r="AD116" s="319"/>
      <c r="AE116" s="319"/>
      <c r="AF116" s="319"/>
      <c r="AG116" s="319"/>
      <c r="AH116" s="319"/>
      <c r="AI116" s="319"/>
      <c r="AJ116" s="319"/>
      <c r="AK116" s="319"/>
      <c r="AL116" s="319"/>
      <c r="AM116" s="319"/>
      <c r="AN116" s="319"/>
      <c r="AO116" s="319"/>
      <c r="AP116" s="319"/>
      <c r="AQ116" s="319"/>
      <c r="AR116" s="319"/>
      <c r="AS116" s="319"/>
      <c r="AT116" s="319"/>
      <c r="AU116" s="319"/>
      <c r="AV116" s="319"/>
      <c r="AW116" s="319"/>
      <c r="AX116" s="319"/>
      <c r="AY116" s="319"/>
      <c r="AZ116" s="319"/>
      <c r="BA116" s="319"/>
      <c r="BB116" s="319"/>
      <c r="BC116" s="319"/>
      <c r="BD116" s="319"/>
      <c r="BE116" s="319"/>
      <c r="BF116" s="319"/>
      <c r="BG116" s="319"/>
      <c r="BI116" s="22"/>
    </row>
    <row r="117" spans="4:61"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  <c r="AA117" s="319"/>
      <c r="AB117" s="319"/>
      <c r="AC117" s="319"/>
      <c r="AD117" s="319"/>
      <c r="AE117" s="319"/>
      <c r="AF117" s="319"/>
      <c r="AG117" s="319"/>
      <c r="AH117" s="319"/>
      <c r="AI117" s="319"/>
      <c r="AJ117" s="319"/>
      <c r="AK117" s="319"/>
      <c r="AL117" s="319"/>
      <c r="AM117" s="319"/>
      <c r="AN117" s="319"/>
      <c r="AO117" s="319"/>
      <c r="AP117" s="319"/>
      <c r="AQ117" s="319"/>
      <c r="AR117" s="319"/>
      <c r="AS117" s="319"/>
      <c r="AT117" s="319"/>
      <c r="AU117" s="319"/>
      <c r="AV117" s="319"/>
      <c r="AW117" s="319"/>
      <c r="AX117" s="319"/>
      <c r="AY117" s="319"/>
      <c r="AZ117" s="319"/>
      <c r="BA117" s="319"/>
      <c r="BB117" s="319"/>
      <c r="BC117" s="319"/>
      <c r="BD117" s="319"/>
      <c r="BE117" s="319"/>
      <c r="BF117" s="319"/>
      <c r="BG117" s="319"/>
    </row>
    <row r="118" spans="4:61"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  <c r="AA118" s="319"/>
      <c r="AB118" s="319"/>
      <c r="AC118" s="319"/>
      <c r="AD118" s="319"/>
      <c r="AE118" s="319"/>
      <c r="AF118" s="319"/>
      <c r="AG118" s="319"/>
      <c r="AH118" s="319"/>
      <c r="AI118" s="319"/>
      <c r="AJ118" s="319"/>
      <c r="AK118" s="319"/>
      <c r="AL118" s="319"/>
      <c r="AM118" s="319"/>
      <c r="AN118" s="319"/>
      <c r="AO118" s="319"/>
      <c r="AP118" s="319"/>
      <c r="AQ118" s="319"/>
      <c r="AR118" s="319"/>
      <c r="AS118" s="319"/>
      <c r="AT118" s="319"/>
      <c r="AU118" s="319"/>
      <c r="AV118" s="319"/>
      <c r="AW118" s="319"/>
      <c r="AX118" s="319"/>
      <c r="AY118" s="319"/>
      <c r="AZ118" s="319"/>
      <c r="BA118" s="319"/>
      <c r="BB118" s="319"/>
      <c r="BC118" s="319"/>
      <c r="BD118" s="319"/>
      <c r="BE118" s="319"/>
      <c r="BF118" s="319"/>
      <c r="BG118" s="319"/>
      <c r="BH118" s="56"/>
    </row>
    <row r="119" spans="4:61"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  <c r="AA119" s="319"/>
      <c r="AB119" s="319"/>
      <c r="AC119" s="319"/>
      <c r="AD119" s="319"/>
      <c r="AE119" s="319"/>
      <c r="AF119" s="319"/>
      <c r="AG119" s="319"/>
      <c r="AH119" s="319"/>
      <c r="AI119" s="319"/>
      <c r="AJ119" s="319"/>
      <c r="AK119" s="319"/>
      <c r="AL119" s="319"/>
      <c r="AM119" s="319"/>
      <c r="AN119" s="319"/>
      <c r="AO119" s="319"/>
      <c r="AP119" s="319"/>
      <c r="AQ119" s="319"/>
      <c r="AR119" s="319"/>
      <c r="AS119" s="319"/>
      <c r="AT119" s="319"/>
      <c r="AU119" s="319"/>
      <c r="AV119" s="319"/>
      <c r="AW119" s="319"/>
      <c r="AX119" s="319"/>
      <c r="AY119" s="319"/>
      <c r="AZ119" s="319"/>
      <c r="BA119" s="319"/>
      <c r="BB119" s="319"/>
      <c r="BC119" s="319"/>
      <c r="BD119" s="319"/>
      <c r="BE119" s="319"/>
      <c r="BF119" s="319"/>
      <c r="BG119" s="319"/>
    </row>
    <row r="120" spans="4:61"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319"/>
      <c r="AC120" s="319"/>
      <c r="AD120" s="319"/>
      <c r="AE120" s="319"/>
      <c r="AF120" s="319"/>
      <c r="AG120" s="319"/>
      <c r="AH120" s="319"/>
      <c r="AI120" s="319"/>
      <c r="AJ120" s="319"/>
      <c r="AK120" s="319"/>
      <c r="AL120" s="319"/>
      <c r="AM120" s="319"/>
      <c r="AN120" s="319"/>
      <c r="AO120" s="319"/>
      <c r="AP120" s="319"/>
      <c r="AQ120" s="319"/>
      <c r="AR120" s="319"/>
      <c r="AS120" s="319"/>
      <c r="AT120" s="319"/>
      <c r="AU120" s="319"/>
      <c r="AV120" s="319"/>
      <c r="AW120" s="319"/>
      <c r="AX120" s="319"/>
      <c r="AY120" s="319"/>
      <c r="AZ120" s="319"/>
      <c r="BA120" s="319"/>
      <c r="BB120" s="319"/>
      <c r="BC120" s="319"/>
      <c r="BD120" s="319"/>
      <c r="BE120" s="319"/>
      <c r="BF120" s="319"/>
      <c r="BG120" s="319"/>
    </row>
    <row r="121" spans="4:61"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  <c r="AA121" s="319"/>
      <c r="AB121" s="319"/>
      <c r="AC121" s="319"/>
      <c r="AD121" s="319"/>
      <c r="AE121" s="319"/>
      <c r="AF121" s="319"/>
      <c r="AG121" s="319"/>
      <c r="AH121" s="319"/>
      <c r="AI121" s="319"/>
      <c r="AJ121" s="319"/>
      <c r="AK121" s="319"/>
      <c r="AL121" s="319"/>
      <c r="AM121" s="319"/>
      <c r="AN121" s="319"/>
      <c r="AO121" s="319"/>
      <c r="AP121" s="319"/>
      <c r="AQ121" s="319"/>
      <c r="AR121" s="319"/>
      <c r="AS121" s="319"/>
      <c r="AT121" s="319"/>
      <c r="AU121" s="319"/>
      <c r="AV121" s="319"/>
      <c r="AW121" s="319"/>
      <c r="AX121" s="319"/>
      <c r="AY121" s="319"/>
      <c r="AZ121" s="319"/>
      <c r="BA121" s="319"/>
      <c r="BB121" s="319"/>
      <c r="BC121" s="319"/>
      <c r="BD121" s="319"/>
      <c r="BE121" s="319"/>
      <c r="BF121" s="319"/>
      <c r="BG121" s="319"/>
    </row>
    <row r="122" spans="4:61"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  <c r="AA122" s="319"/>
      <c r="AB122" s="319"/>
      <c r="AC122" s="319"/>
      <c r="AD122" s="319"/>
      <c r="AE122" s="319"/>
      <c r="AF122" s="319"/>
      <c r="AG122" s="319"/>
      <c r="AH122" s="319"/>
      <c r="AI122" s="319"/>
      <c r="AJ122" s="319"/>
      <c r="AK122" s="319"/>
      <c r="AL122" s="319"/>
      <c r="AM122" s="319"/>
      <c r="AN122" s="319"/>
      <c r="AO122" s="319"/>
      <c r="AP122" s="319"/>
      <c r="AQ122" s="319"/>
      <c r="AR122" s="319"/>
      <c r="AS122" s="319"/>
      <c r="AT122" s="319"/>
      <c r="AU122" s="319"/>
      <c r="AV122" s="379"/>
      <c r="AW122" s="379"/>
      <c r="AX122" s="319"/>
      <c r="AY122" s="319"/>
      <c r="AZ122" s="319"/>
      <c r="BA122" s="319"/>
      <c r="BB122" s="319"/>
      <c r="BC122" s="319"/>
      <c r="BD122" s="319"/>
      <c r="BE122" s="319"/>
      <c r="BF122" s="319"/>
      <c r="BG122" s="319"/>
    </row>
    <row r="123" spans="4:61"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  <c r="AA123" s="319"/>
      <c r="AB123" s="319"/>
      <c r="AC123" s="319"/>
      <c r="AD123" s="319"/>
      <c r="AE123" s="319"/>
      <c r="AF123" s="319"/>
      <c r="AG123" s="319"/>
      <c r="AH123" s="319"/>
      <c r="AI123" s="319"/>
      <c r="AJ123" s="319"/>
      <c r="AK123" s="319"/>
      <c r="AL123" s="319"/>
      <c r="AM123" s="319"/>
      <c r="AN123" s="319"/>
      <c r="AO123" s="319"/>
      <c r="AP123" s="319"/>
      <c r="AQ123" s="319"/>
      <c r="AR123" s="319"/>
      <c r="AS123" s="319"/>
      <c r="AT123" s="319"/>
      <c r="AU123" s="319"/>
      <c r="AV123" s="319"/>
      <c r="AW123" s="319"/>
      <c r="AX123" s="319"/>
      <c r="AY123" s="319"/>
      <c r="AZ123" s="319"/>
      <c r="BA123" s="319"/>
      <c r="BB123" s="319"/>
      <c r="BC123" s="319"/>
      <c r="BD123" s="319"/>
      <c r="BE123" s="319"/>
      <c r="BF123" s="319"/>
      <c r="BG123" s="319"/>
    </row>
    <row r="124" spans="4:61"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319"/>
      <c r="AB124" s="319"/>
      <c r="AC124" s="319"/>
      <c r="AD124" s="319"/>
      <c r="AE124" s="319"/>
      <c r="AF124" s="319"/>
      <c r="AG124" s="319"/>
      <c r="AH124" s="319"/>
      <c r="AI124" s="319"/>
      <c r="AJ124" s="319"/>
      <c r="AK124" s="319"/>
      <c r="AL124" s="319"/>
      <c r="AM124" s="319"/>
      <c r="AN124" s="319"/>
      <c r="AO124" s="319"/>
      <c r="AP124" s="319"/>
      <c r="AQ124" s="319"/>
      <c r="AR124" s="319"/>
      <c r="AS124" s="319"/>
      <c r="AT124" s="319"/>
      <c r="AU124" s="319"/>
      <c r="AV124" s="319"/>
      <c r="AW124" s="319"/>
      <c r="AX124" s="319"/>
      <c r="AY124" s="319"/>
      <c r="AZ124" s="319"/>
      <c r="BA124" s="319"/>
      <c r="BB124" s="319"/>
      <c r="BC124" s="319"/>
      <c r="BD124" s="319"/>
      <c r="BE124" s="319"/>
      <c r="BF124" s="319"/>
      <c r="BG124" s="319"/>
    </row>
    <row r="125" spans="4:61">
      <c r="AR125" s="319"/>
    </row>
    <row r="126" spans="4:61">
      <c r="AR126" s="319"/>
      <c r="AT126" s="319"/>
    </row>
    <row r="127" spans="4:61">
      <c r="AR127" s="319"/>
    </row>
    <row r="128" spans="4:61">
      <c r="AR128" s="319"/>
      <c r="AS128" s="319"/>
      <c r="AT128" s="319"/>
      <c r="AU128" s="319"/>
      <c r="AV128" s="319"/>
      <c r="AW128" s="319"/>
      <c r="AX128" s="319"/>
      <c r="AY128" s="319"/>
      <c r="AZ128" s="319"/>
      <c r="BA128" s="319"/>
      <c r="BB128" s="319"/>
      <c r="BC128" s="319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I129"/>
  <sheetViews>
    <sheetView showGridLines="0" topLeftCell="O49" zoomScale="130" zoomScaleNormal="130" workbookViewId="0">
      <selection activeCell="T61" sqref="T61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34" width="11.42578125" style="15" customWidth="1"/>
    <col min="35" max="35" width="9.140625" style="15"/>
    <col min="36" max="36" width="10" style="15" bestFit="1" customWidth="1"/>
    <col min="37" max="50" width="9.140625" style="15"/>
    <col min="51" max="51" width="10.5703125" style="15" customWidth="1"/>
    <col min="52" max="16384" width="9.140625" style="15"/>
  </cols>
  <sheetData>
    <row r="1" spans="9:38">
      <c r="Y1" s="356"/>
      <c r="Z1" s="356"/>
      <c r="AA1" s="356"/>
      <c r="AB1" s="356"/>
      <c r="AC1" s="356"/>
      <c r="AD1" s="356"/>
      <c r="AE1" s="356"/>
      <c r="AF1" s="356"/>
      <c r="AG1" s="356"/>
      <c r="AH1" s="356"/>
      <c r="AI1" s="356"/>
      <c r="AJ1" s="356"/>
      <c r="AK1" s="356"/>
      <c r="AL1" s="356"/>
    </row>
    <row r="2" spans="9:38">
      <c r="AK2" s="356"/>
      <c r="AL2" s="356"/>
    </row>
    <row r="3" spans="9:38">
      <c r="AK3" s="356"/>
      <c r="AL3" s="356"/>
    </row>
    <row r="4" spans="9:38">
      <c r="AK4" s="356"/>
      <c r="AL4" s="356"/>
    </row>
    <row r="5" spans="9:38" ht="21" customHeight="1">
      <c r="I5" s="355"/>
      <c r="AK5" s="356"/>
      <c r="AL5" s="356"/>
    </row>
    <row r="6" spans="9:38">
      <c r="I6" s="356"/>
      <c r="AK6" s="356"/>
      <c r="AL6" s="356"/>
    </row>
    <row r="7" spans="9:38" ht="15.75" customHeight="1">
      <c r="I7" s="356"/>
      <c r="AK7" s="356"/>
      <c r="AL7" s="356"/>
    </row>
    <row r="8" spans="9:38">
      <c r="I8" s="356"/>
      <c r="AK8" s="356"/>
      <c r="AL8" s="356"/>
    </row>
    <row r="9" spans="9:38">
      <c r="I9" s="356"/>
      <c r="AK9" s="356"/>
      <c r="AL9" s="356"/>
    </row>
    <row r="10" spans="9:38">
      <c r="I10" s="356"/>
      <c r="AK10" s="356"/>
      <c r="AL10" s="356"/>
    </row>
    <row r="11" spans="9:38">
      <c r="AK11" s="356"/>
      <c r="AL11" s="356"/>
    </row>
    <row r="12" spans="9:38">
      <c r="AK12" s="356"/>
      <c r="AL12" s="356"/>
    </row>
    <row r="13" spans="9:38">
      <c r="AK13" s="356"/>
      <c r="AL13" s="356"/>
    </row>
    <row r="14" spans="9:38">
      <c r="Q14" s="22"/>
      <c r="T14" s="356"/>
      <c r="U14" s="356"/>
      <c r="V14" s="356"/>
      <c r="W14" s="356"/>
      <c r="AA14" s="356"/>
      <c r="AB14" s="356"/>
      <c r="AC14" s="356"/>
      <c r="AD14" s="356"/>
      <c r="AE14" s="356"/>
      <c r="AF14" s="356"/>
      <c r="AG14" s="356"/>
      <c r="AH14" s="356"/>
      <c r="AI14" s="356"/>
      <c r="AJ14" s="356"/>
      <c r="AK14" s="356"/>
      <c r="AL14" s="356"/>
    </row>
    <row r="15" spans="9:38">
      <c r="T15" s="356"/>
      <c r="U15" s="356"/>
      <c r="V15" s="356"/>
      <c r="W15" s="356"/>
      <c r="Y15" s="356"/>
      <c r="Z15" s="356"/>
      <c r="AA15" s="356"/>
      <c r="AB15" s="356"/>
      <c r="AC15" s="356"/>
      <c r="AD15" s="356"/>
      <c r="AE15" s="356"/>
      <c r="AF15" s="356"/>
      <c r="AG15" s="356"/>
      <c r="AH15" s="356"/>
      <c r="AI15" s="356"/>
      <c r="AJ15" s="356"/>
      <c r="AK15" s="356"/>
    </row>
    <row r="16" spans="9:38" ht="21">
      <c r="AB16" s="102"/>
      <c r="AC16" s="356"/>
      <c r="AD16" s="356"/>
      <c r="AE16" s="356"/>
      <c r="AF16" s="356"/>
      <c r="AG16" s="356"/>
      <c r="AH16" s="356"/>
      <c r="AI16" s="356"/>
      <c r="AJ16" s="356"/>
      <c r="AK16" s="356"/>
    </row>
    <row r="17" spans="1:40">
      <c r="H17" s="355"/>
      <c r="Q17" s="356"/>
      <c r="W17" s="356"/>
      <c r="X17" s="356"/>
      <c r="Y17" s="356"/>
      <c r="Z17" s="356"/>
      <c r="AA17" s="356"/>
      <c r="AB17" s="356"/>
      <c r="AC17" s="356"/>
      <c r="AD17" s="356"/>
      <c r="AE17" s="356"/>
      <c r="AF17" s="356"/>
      <c r="AG17" s="356"/>
      <c r="AH17" s="356"/>
      <c r="AI17" s="356"/>
      <c r="AJ17" s="356"/>
      <c r="AK17" s="356"/>
    </row>
    <row r="18" spans="1:40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224</v>
      </c>
      <c r="N18" s="98"/>
      <c r="O18" s="98"/>
      <c r="Q18" s="356"/>
      <c r="W18" s="356"/>
      <c r="X18" s="356"/>
      <c r="Y18" s="101" t="s">
        <v>227</v>
      </c>
      <c r="Z18" s="101"/>
      <c r="AA18" s="101"/>
      <c r="AB18" s="356"/>
      <c r="AC18" s="356"/>
      <c r="AD18" s="356"/>
      <c r="AE18" s="356"/>
      <c r="AJ18" s="356"/>
      <c r="AK18" s="356"/>
      <c r="AL18" s="356"/>
    </row>
    <row r="19" spans="1:40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B22/C23*1000</f>
        <v>95.36452637778622</v>
      </c>
      <c r="H19" s="24" t="s">
        <v>100</v>
      </c>
      <c r="L19" s="47" t="s">
        <v>46</v>
      </c>
      <c r="M19" s="96"/>
      <c r="N19" s="96"/>
      <c r="O19" s="34"/>
      <c r="P19" s="34"/>
      <c r="Q19" s="356"/>
      <c r="AE19" s="356"/>
      <c r="AJ19" s="356"/>
      <c r="AK19" s="356"/>
      <c r="AL19" s="356"/>
    </row>
    <row r="20" spans="1:40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356"/>
      <c r="W20" s="356"/>
      <c r="X20" s="403" t="s">
        <v>22</v>
      </c>
      <c r="Y20" s="404"/>
      <c r="Z20" s="404"/>
      <c r="AA20" s="405"/>
      <c r="AB20" s="356"/>
      <c r="AC20" s="356"/>
      <c r="AD20" s="356"/>
      <c r="AK20" s="356"/>
      <c r="AL20" s="356"/>
    </row>
    <row r="21" spans="1:40" ht="18">
      <c r="A21" s="89" t="s">
        <v>194</v>
      </c>
      <c r="B21" s="340">
        <v>2E-3</v>
      </c>
      <c r="C21" s="341">
        <f>B21/D21</f>
        <v>9.3896713615023483E-4</v>
      </c>
      <c r="D21" s="89">
        <v>2.13</v>
      </c>
      <c r="H21" s="24"/>
      <c r="Q21" s="356"/>
      <c r="W21" s="356"/>
      <c r="X21" s="355"/>
      <c r="Y21" s="355"/>
      <c r="Z21" s="358"/>
      <c r="AA21" s="355"/>
      <c r="AB21" s="356"/>
      <c r="AC21" s="356"/>
      <c r="AD21" s="356"/>
      <c r="AK21" s="356"/>
      <c r="AL21" s="356"/>
    </row>
    <row r="22" spans="1:40" ht="18">
      <c r="A22" s="89" t="s">
        <v>16</v>
      </c>
      <c r="B22" s="198">
        <v>10</v>
      </c>
      <c r="C22" s="86">
        <f>B22/D22</f>
        <v>4.545454545454545</v>
      </c>
      <c r="D22" s="86">
        <v>2.2000000000000002</v>
      </c>
      <c r="K22" s="356"/>
      <c r="O22" s="23"/>
      <c r="X22" s="16"/>
      <c r="Y22" s="17"/>
      <c r="Z22" s="18"/>
      <c r="AK22" s="356"/>
      <c r="AL22" s="356"/>
    </row>
    <row r="23" spans="1:40" ht="18">
      <c r="A23" s="84" t="s">
        <v>17</v>
      </c>
      <c r="B23" s="86">
        <f>SUM(B19:B22)</f>
        <v>110.10248999999999</v>
      </c>
      <c r="C23" s="86">
        <f>SUM(C19:C22)</f>
        <v>104.86079446758889</v>
      </c>
      <c r="D23" s="86">
        <f>B23/C23</f>
        <v>1.0499871811864943</v>
      </c>
      <c r="K23" s="356"/>
      <c r="L23" s="36" t="s">
        <v>3</v>
      </c>
      <c r="M23" s="34"/>
      <c r="N23" s="15" t="s">
        <v>18</v>
      </c>
      <c r="O23" s="36" t="s">
        <v>49</v>
      </c>
      <c r="P23" s="73">
        <v>84</v>
      </c>
      <c r="Q23" s="356" t="s">
        <v>18</v>
      </c>
      <c r="X23" s="105" t="s">
        <v>3</v>
      </c>
      <c r="Y23" s="106"/>
      <c r="Z23" s="73"/>
      <c r="AA23" s="15" t="s">
        <v>18</v>
      </c>
      <c r="AB23" s="36" t="s">
        <v>49</v>
      </c>
      <c r="AC23" s="34">
        <v>81.349999999999994</v>
      </c>
      <c r="AD23" s="356" t="s">
        <v>18</v>
      </c>
      <c r="AK23" s="356"/>
      <c r="AL23" s="356"/>
    </row>
    <row r="24" spans="1:40" ht="18">
      <c r="B24" s="87"/>
      <c r="C24" s="87"/>
      <c r="D24" s="87"/>
      <c r="E24" s="87"/>
      <c r="K24" s="356"/>
      <c r="L24" s="36" t="s">
        <v>4</v>
      </c>
      <c r="M24" s="34"/>
      <c r="N24" s="15" t="s">
        <v>18</v>
      </c>
      <c r="O24" s="36" t="s">
        <v>27</v>
      </c>
      <c r="P24" s="34"/>
      <c r="Q24" s="356" t="s">
        <v>33</v>
      </c>
      <c r="X24" s="105" t="s">
        <v>4</v>
      </c>
      <c r="Y24" s="106"/>
      <c r="Z24" s="34"/>
      <c r="AA24" s="15" t="s">
        <v>18</v>
      </c>
      <c r="AB24" s="36" t="s">
        <v>27</v>
      </c>
      <c r="AC24" s="34">
        <f>0.05/100</f>
        <v>5.0000000000000001E-4</v>
      </c>
      <c r="AD24" s="356" t="s">
        <v>33</v>
      </c>
      <c r="AK24" s="356"/>
      <c r="AL24" s="356"/>
    </row>
    <row r="25" spans="1:40">
      <c r="A25" s="161" t="s">
        <v>160</v>
      </c>
      <c r="B25" s="161"/>
      <c r="K25" s="356"/>
      <c r="L25" s="103" t="s">
        <v>17</v>
      </c>
      <c r="M25" s="34"/>
      <c r="N25" s="15" t="s">
        <v>18</v>
      </c>
      <c r="O25" s="67" t="s">
        <v>30</v>
      </c>
      <c r="P25" s="37">
        <f>P24*P23</f>
        <v>0</v>
      </c>
      <c r="Q25" s="356" t="s">
        <v>18</v>
      </c>
      <c r="X25" s="105" t="s">
        <v>17</v>
      </c>
      <c r="Y25" s="106"/>
      <c r="Z25" s="73"/>
      <c r="AA25" s="15" t="s">
        <v>18</v>
      </c>
      <c r="AB25" s="67" t="s">
        <v>30</v>
      </c>
      <c r="AC25" s="37">
        <f>AC24*AC23</f>
        <v>4.0674999999999996E-2</v>
      </c>
      <c r="AD25" s="356" t="s">
        <v>18</v>
      </c>
      <c r="AK25" s="356"/>
      <c r="AL25" s="356"/>
    </row>
    <row r="26" spans="1:40">
      <c r="L26" s="67" t="s">
        <v>30</v>
      </c>
      <c r="M26" s="37">
        <f>P24*M25</f>
        <v>0</v>
      </c>
      <c r="N26" s="15" t="s">
        <v>18</v>
      </c>
      <c r="Q26" s="356"/>
      <c r="W26" s="356"/>
      <c r="X26" s="360" t="s">
        <v>30</v>
      </c>
      <c r="Y26" s="361"/>
      <c r="Z26" s="104">
        <f>AC24*Z25</f>
        <v>0</v>
      </c>
      <c r="AA26" s="15" t="s">
        <v>18</v>
      </c>
      <c r="AK26" s="356"/>
      <c r="AL26" s="356"/>
    </row>
    <row r="27" spans="1:40">
      <c r="A27" s="23"/>
      <c r="W27" s="356"/>
      <c r="X27" s="356"/>
      <c r="Y27" s="356"/>
      <c r="Z27" s="356"/>
      <c r="AA27" s="23"/>
      <c r="AB27" s="31">
        <f>AC23+Z25</f>
        <v>81.349999999999994</v>
      </c>
      <c r="AC27" s="15">
        <f>AC25+Z26</f>
        <v>4.0674999999999996E-2</v>
      </c>
      <c r="AL27" s="356"/>
    </row>
    <row r="28" spans="1:40">
      <c r="A28" s="23"/>
      <c r="I28" s="356"/>
      <c r="J28" s="356"/>
      <c r="K28" s="356"/>
      <c r="L28" s="356"/>
      <c r="AL28" s="356"/>
    </row>
    <row r="29" spans="1:40" ht="21">
      <c r="D29" s="143" t="s">
        <v>45</v>
      </c>
      <c r="E29" s="142">
        <f>B23-(C42+B45)</f>
        <v>109.52248999999999</v>
      </c>
      <c r="F29" s="15" t="s">
        <v>18</v>
      </c>
      <c r="I29" s="356"/>
      <c r="J29" s="356"/>
      <c r="K29" s="356"/>
      <c r="L29" s="356"/>
    </row>
    <row r="30" spans="1:40">
      <c r="I30" s="356"/>
      <c r="J30" s="356"/>
      <c r="K30" s="356"/>
      <c r="L30" s="356"/>
      <c r="V30" s="356"/>
      <c r="W30" s="356"/>
      <c r="X30" s="356"/>
      <c r="AJ30" s="22"/>
    </row>
    <row r="31" spans="1:40" ht="21">
      <c r="I31" s="102"/>
      <c r="V31" s="356"/>
      <c r="W31" s="200">
        <f>AC23+Z25+AC44+V44</f>
        <v>82.46</v>
      </c>
      <c r="X31" s="356"/>
    </row>
    <row r="32" spans="1:40">
      <c r="V32" s="356"/>
      <c r="W32" s="356"/>
      <c r="X32" s="356"/>
      <c r="AN32" s="15" t="s">
        <v>229</v>
      </c>
    </row>
    <row r="33" spans="1:55">
      <c r="AN33" s="36" t="s">
        <v>49</v>
      </c>
      <c r="AO33" s="34">
        <v>22.23</v>
      </c>
      <c r="AP33" s="356" t="s">
        <v>18</v>
      </c>
    </row>
    <row r="34" spans="1:55">
      <c r="G34" s="15" t="s">
        <v>101</v>
      </c>
      <c r="H34" s="31">
        <f>E29-P23-Q42</f>
        <v>9.3124899999999897</v>
      </c>
      <c r="I34" s="15" t="s">
        <v>18</v>
      </c>
      <c r="S34" s="15" t="s">
        <v>101</v>
      </c>
      <c r="T34" s="31">
        <f>P23-W31</f>
        <v>1.5400000000000063</v>
      </c>
      <c r="U34" s="15" t="s">
        <v>18</v>
      </c>
      <c r="AD34" s="36" t="s">
        <v>49</v>
      </c>
      <c r="AE34" s="34">
        <v>80.349999999999994</v>
      </c>
      <c r="AF34" s="356" t="s">
        <v>18</v>
      </c>
      <c r="AN34" s="36" t="s">
        <v>27</v>
      </c>
      <c r="AO34" s="34">
        <f>0.106/100</f>
        <v>1.06E-3</v>
      </c>
      <c r="AP34" s="356" t="s">
        <v>33</v>
      </c>
    </row>
    <row r="35" spans="1:55">
      <c r="D35" s="356"/>
      <c r="E35" s="356"/>
      <c r="F35" s="356"/>
      <c r="G35" s="15" t="s">
        <v>125</v>
      </c>
      <c r="H35" s="76">
        <f>H34/E29</f>
        <v>8.5028107012541362E-2</v>
      </c>
      <c r="S35" s="15" t="s">
        <v>125</v>
      </c>
      <c r="T35" s="76">
        <f>T34/E29</f>
        <v>1.4061038970169564E-2</v>
      </c>
      <c r="Z35" s="356"/>
      <c r="AA35" s="356"/>
      <c r="AB35" s="356"/>
      <c r="AD35" s="36" t="s">
        <v>27</v>
      </c>
      <c r="AE35" s="34">
        <f>0.05/100</f>
        <v>5.0000000000000001E-4</v>
      </c>
      <c r="AF35" s="356" t="s">
        <v>33</v>
      </c>
      <c r="AG35" s="356"/>
      <c r="AH35" s="356"/>
      <c r="AI35" s="356"/>
      <c r="AJ35" s="356"/>
      <c r="AN35" s="67" t="s">
        <v>30</v>
      </c>
      <c r="AO35" s="37">
        <f>AO34*AO33</f>
        <v>2.3563799999999999E-2</v>
      </c>
      <c r="AP35" s="356" t="s">
        <v>18</v>
      </c>
    </row>
    <row r="36" spans="1:55">
      <c r="D36" s="356"/>
      <c r="E36" s="356"/>
      <c r="F36" s="356"/>
      <c r="G36" s="15" t="s">
        <v>126</v>
      </c>
      <c r="H36" s="81">
        <f>H35*B50</f>
        <v>0.8458019432621362</v>
      </c>
      <c r="I36" s="356" t="s">
        <v>18</v>
      </c>
      <c r="S36" s="15" t="s">
        <v>126</v>
      </c>
      <c r="T36" s="81">
        <f>T35*B50</f>
        <v>0.13986967960488508</v>
      </c>
      <c r="U36" s="356" t="s">
        <v>18</v>
      </c>
      <c r="Z36" s="356"/>
      <c r="AD36" s="67" t="s">
        <v>30</v>
      </c>
      <c r="AE36" s="37">
        <f>AE35*AE34</f>
        <v>4.0174999999999995E-2</v>
      </c>
      <c r="AF36" s="356" t="s">
        <v>18</v>
      </c>
    </row>
    <row r="37" spans="1:55">
      <c r="D37" s="356"/>
      <c r="E37" s="356"/>
      <c r="F37" s="356"/>
      <c r="G37" s="356"/>
      <c r="H37" s="200"/>
      <c r="P37" s="359"/>
      <c r="Q37" s="359"/>
      <c r="R37" s="16"/>
      <c r="U37" s="356"/>
      <c r="Z37" s="356"/>
    </row>
    <row r="38" spans="1:55">
      <c r="E38" s="30"/>
      <c r="Z38" s="356"/>
    </row>
    <row r="39" spans="1:55" ht="21">
      <c r="M39" s="98" t="s">
        <v>225</v>
      </c>
      <c r="N39" s="48"/>
      <c r="Z39" s="356"/>
      <c r="AH39" s="15" t="s">
        <v>228</v>
      </c>
      <c r="AP39" s="356"/>
      <c r="AQ39" s="356"/>
      <c r="AR39" s="356"/>
      <c r="AS39" s="356"/>
      <c r="AT39" s="356"/>
      <c r="AU39" s="356"/>
      <c r="AV39" s="356"/>
      <c r="AW39" s="356"/>
      <c r="AX39" s="356"/>
      <c r="AY39" s="356"/>
      <c r="AZ39" s="356"/>
      <c r="BA39" s="356"/>
      <c r="BB39" s="356"/>
    </row>
    <row r="40" spans="1:55" ht="21">
      <c r="A40" s="392" t="s">
        <v>6</v>
      </c>
      <c r="B40" s="392"/>
      <c r="C40" s="33">
        <v>0.18</v>
      </c>
      <c r="D40" s="15" t="s">
        <v>18</v>
      </c>
      <c r="E40" s="356"/>
      <c r="F40" s="356"/>
      <c r="G40" s="356"/>
      <c r="M40" s="353" t="s">
        <v>20</v>
      </c>
      <c r="N40" s="354"/>
      <c r="Y40" s="101" t="s">
        <v>226</v>
      </c>
      <c r="Z40" s="101"/>
      <c r="AA40" s="101"/>
      <c r="AH40" s="36" t="s">
        <v>49</v>
      </c>
      <c r="AI40" s="34">
        <f>AE34-AO33</f>
        <v>58.11999999999999</v>
      </c>
      <c r="AJ40" s="356" t="s">
        <v>18</v>
      </c>
      <c r="AM40" s="15">
        <f>AE34/AO33</f>
        <v>3.6144849302744038</v>
      </c>
      <c r="AN40" s="15" t="s">
        <v>230</v>
      </c>
      <c r="AP40" s="356"/>
      <c r="AQ40" s="356"/>
      <c r="AR40" s="356"/>
      <c r="AS40" s="356"/>
      <c r="AT40" s="356"/>
      <c r="AU40" s="356"/>
      <c r="AV40" s="356"/>
      <c r="AW40" s="356"/>
      <c r="AX40" s="356"/>
      <c r="AY40" s="356"/>
      <c r="AZ40" s="356"/>
      <c r="BA40" s="356"/>
      <c r="BB40" s="356"/>
    </row>
    <row r="41" spans="1:55">
      <c r="A41" s="392" t="s">
        <v>5</v>
      </c>
      <c r="B41" s="392"/>
      <c r="C41" s="33">
        <v>0.2</v>
      </c>
      <c r="D41" s="15" t="s">
        <v>18</v>
      </c>
      <c r="E41" s="356"/>
      <c r="F41" s="356"/>
      <c r="G41" s="356"/>
      <c r="S41" s="356"/>
      <c r="V41" s="356"/>
      <c r="X41" s="403" t="s">
        <v>23</v>
      </c>
      <c r="Y41" s="404"/>
      <c r="Z41" s="404"/>
      <c r="AA41" s="405"/>
      <c r="AB41" s="356"/>
      <c r="AH41" s="36" t="s">
        <v>27</v>
      </c>
      <c r="AI41" s="34"/>
      <c r="AJ41" s="356" t="s">
        <v>33</v>
      </c>
      <c r="AK41" s="356"/>
      <c r="AM41" s="15">
        <f>AO34/AE35</f>
        <v>2.1199999999999997</v>
      </c>
      <c r="AN41" s="15" t="s">
        <v>231</v>
      </c>
      <c r="AP41" s="356"/>
      <c r="AQ41" s="356"/>
      <c r="AR41" s="356"/>
      <c r="AS41" s="356"/>
      <c r="AT41" s="356"/>
      <c r="AU41" s="356"/>
      <c r="AV41" s="356"/>
      <c r="AW41" s="356"/>
      <c r="AX41" s="356"/>
      <c r="AY41" s="356"/>
      <c r="AZ41" s="356"/>
      <c r="BA41" s="356"/>
      <c r="BB41" s="356"/>
    </row>
    <row r="42" spans="1:55">
      <c r="A42" s="400" t="s">
        <v>17</v>
      </c>
      <c r="B42" s="401"/>
      <c r="C42" s="91">
        <f>SUM(C40:C41)</f>
        <v>0.38</v>
      </c>
      <c r="D42" s="23" t="s">
        <v>18</v>
      </c>
      <c r="E42" s="356"/>
      <c r="F42" s="356"/>
      <c r="G42" s="356"/>
      <c r="J42" s="67" t="s">
        <v>1</v>
      </c>
      <c r="K42" s="34"/>
      <c r="L42" s="15" t="s">
        <v>18</v>
      </c>
      <c r="M42" s="36" t="s">
        <v>3</v>
      </c>
      <c r="N42" s="73"/>
      <c r="O42" s="15" t="s">
        <v>18</v>
      </c>
      <c r="P42" s="36" t="s">
        <v>49</v>
      </c>
      <c r="Q42" s="34">
        <v>16.21</v>
      </c>
      <c r="R42" s="356" t="s">
        <v>18</v>
      </c>
      <c r="S42" s="356"/>
      <c r="Z42" s="356"/>
      <c r="AH42" s="67" t="s">
        <v>30</v>
      </c>
      <c r="AI42" s="37"/>
      <c r="AJ42" s="356" t="s">
        <v>18</v>
      </c>
      <c r="AK42" s="356"/>
      <c r="AP42" s="356"/>
      <c r="AQ42" s="15" t="s">
        <v>171</v>
      </c>
      <c r="AT42" s="356"/>
      <c r="AU42" s="356"/>
      <c r="AV42" s="356"/>
      <c r="AW42" s="356"/>
      <c r="AX42" s="356"/>
      <c r="AY42" s="356"/>
      <c r="AZ42" s="356"/>
      <c r="BA42" s="356"/>
      <c r="BB42" s="356"/>
    </row>
    <row r="43" spans="1:55">
      <c r="C43" s="356"/>
      <c r="D43" s="356"/>
      <c r="E43" s="356"/>
      <c r="F43" s="356"/>
      <c r="G43" s="356"/>
      <c r="I43" s="26"/>
      <c r="J43" s="67" t="s">
        <v>9</v>
      </c>
      <c r="K43" s="64"/>
      <c r="L43" s="15" t="s">
        <v>18</v>
      </c>
      <c r="M43" s="36" t="s">
        <v>4</v>
      </c>
      <c r="N43" s="34"/>
      <c r="O43" s="15" t="s">
        <v>18</v>
      </c>
      <c r="P43" s="36" t="s">
        <v>27</v>
      </c>
      <c r="Q43" s="34">
        <f>53.9/100</f>
        <v>0.53900000000000003</v>
      </c>
      <c r="R43" s="356" t="s">
        <v>33</v>
      </c>
      <c r="S43" s="356"/>
      <c r="AE43" s="356"/>
      <c r="AF43" s="356"/>
      <c r="AG43" s="356"/>
      <c r="AK43" s="356"/>
      <c r="AL43" s="356"/>
      <c r="AP43" s="356"/>
      <c r="AQ43" s="36" t="s">
        <v>49</v>
      </c>
      <c r="AR43" s="34">
        <v>6.31</v>
      </c>
      <c r="AS43" s="356" t="s">
        <v>18</v>
      </c>
      <c r="AT43" s="356"/>
      <c r="AU43" s="356"/>
      <c r="AV43" s="356"/>
      <c r="AW43" s="356"/>
      <c r="AX43" s="356"/>
      <c r="AY43" s="356"/>
      <c r="AZ43" s="356"/>
      <c r="BA43" s="356"/>
      <c r="BB43" s="356"/>
    </row>
    <row r="44" spans="1:55">
      <c r="A44" s="36" t="s">
        <v>44</v>
      </c>
      <c r="B44" s="33">
        <v>0.2</v>
      </c>
      <c r="C44" s="356" t="s">
        <v>18</v>
      </c>
      <c r="D44" s="356"/>
      <c r="E44" s="356"/>
      <c r="F44" s="356"/>
      <c r="G44" s="356"/>
      <c r="H44" s="357"/>
      <c r="J44" s="34" t="s">
        <v>17</v>
      </c>
      <c r="K44" s="91">
        <f>SUM(K42:K43)</f>
        <v>0</v>
      </c>
      <c r="L44" s="23" t="s">
        <v>18</v>
      </c>
      <c r="M44" s="103" t="s">
        <v>17</v>
      </c>
      <c r="N44" s="73"/>
      <c r="O44" s="15" t="s">
        <v>18</v>
      </c>
      <c r="P44" s="67" t="s">
        <v>30</v>
      </c>
      <c r="Q44" s="37">
        <f>Q43*Q42</f>
        <v>8.7371900000000018</v>
      </c>
      <c r="R44" s="356" t="s">
        <v>18</v>
      </c>
      <c r="S44" s="356"/>
      <c r="U44" s="35" t="s">
        <v>53</v>
      </c>
      <c r="V44" s="33"/>
      <c r="W44" s="356" t="s">
        <v>18</v>
      </c>
      <c r="X44" s="105" t="s">
        <v>3</v>
      </c>
      <c r="Y44" s="106"/>
      <c r="Z44" s="73"/>
      <c r="AA44" s="15" t="s">
        <v>18</v>
      </c>
      <c r="AB44" s="36" t="s">
        <v>49</v>
      </c>
      <c r="AC44" s="224">
        <v>1.1100000000000001</v>
      </c>
      <c r="AD44" s="356" t="s">
        <v>18</v>
      </c>
      <c r="AF44" s="356"/>
      <c r="AG44" s="356"/>
      <c r="AH44" s="356"/>
      <c r="AI44" s="356"/>
      <c r="AJ44" s="356"/>
      <c r="AK44" s="356"/>
      <c r="AL44" s="356"/>
      <c r="AP44" s="356"/>
      <c r="AQ44" s="36" t="s">
        <v>27</v>
      </c>
      <c r="AR44" s="34">
        <f>0.106/100</f>
        <v>1.06E-3</v>
      </c>
      <c r="AS44" s="356" t="s">
        <v>33</v>
      </c>
      <c r="AT44" s="356"/>
      <c r="AU44" s="356"/>
      <c r="AV44" s="356"/>
      <c r="AW44" s="356"/>
      <c r="AX44" s="356"/>
      <c r="AY44" s="356"/>
      <c r="AZ44" s="356"/>
      <c r="BA44" s="356"/>
      <c r="BB44" s="356"/>
    </row>
    <row r="45" spans="1:55">
      <c r="A45" s="92" t="s">
        <v>17</v>
      </c>
      <c r="B45" s="90">
        <f>SUM(B44)</f>
        <v>0.2</v>
      </c>
      <c r="C45" s="356" t="s">
        <v>18</v>
      </c>
      <c r="D45" s="356"/>
      <c r="E45" s="356"/>
      <c r="M45" s="67" t="s">
        <v>30</v>
      </c>
      <c r="N45" s="37">
        <f>Q43*N44</f>
        <v>0</v>
      </c>
      <c r="O45" s="15" t="s">
        <v>18</v>
      </c>
      <c r="U45" s="356"/>
      <c r="V45" s="356"/>
      <c r="W45" s="356"/>
      <c r="X45" s="105" t="s">
        <v>4</v>
      </c>
      <c r="Y45" s="106"/>
      <c r="Z45" s="34"/>
      <c r="AA45" s="15" t="s">
        <v>18</v>
      </c>
      <c r="AB45" s="36" t="s">
        <v>27</v>
      </c>
      <c r="AC45" s="34">
        <f>30.28/100</f>
        <v>0.30280000000000001</v>
      </c>
      <c r="AD45" s="356" t="s">
        <v>33</v>
      </c>
      <c r="AH45" s="15" t="s">
        <v>232</v>
      </c>
      <c r="AJ45" s="15" t="s">
        <v>233</v>
      </c>
      <c r="AM45" s="74"/>
      <c r="AP45" s="356"/>
      <c r="AQ45" s="67" t="s">
        <v>30</v>
      </c>
      <c r="AR45" s="37">
        <f>AR44*AR43</f>
        <v>6.6885999999999994E-3</v>
      </c>
      <c r="AS45" s="356" t="s">
        <v>18</v>
      </c>
      <c r="AT45" s="356"/>
      <c r="AU45" s="356"/>
      <c r="AV45" s="356"/>
      <c r="AW45" s="356"/>
      <c r="AX45" s="356"/>
      <c r="AY45" s="356"/>
      <c r="AZ45" s="356"/>
      <c r="BA45" s="356"/>
      <c r="BB45" s="356"/>
    </row>
    <row r="46" spans="1:55">
      <c r="C46" s="356"/>
      <c r="D46" s="356"/>
      <c r="E46" s="356"/>
      <c r="U46" s="356"/>
      <c r="V46" s="356"/>
      <c r="W46" s="356"/>
      <c r="X46" s="105" t="s">
        <v>17</v>
      </c>
      <c r="Y46" s="106"/>
      <c r="Z46" s="73"/>
      <c r="AA46" s="15" t="s">
        <v>18</v>
      </c>
      <c r="AB46" s="67" t="s">
        <v>30</v>
      </c>
      <c r="AC46" s="37">
        <f>AC45*AC44</f>
        <v>0.33610800000000002</v>
      </c>
      <c r="AD46" s="356" t="s">
        <v>18</v>
      </c>
      <c r="AH46" s="15">
        <v>26.78</v>
      </c>
      <c r="AJ46" s="352">
        <v>22.23</v>
      </c>
      <c r="AL46" s="31"/>
      <c r="AP46" s="356"/>
      <c r="AQ46" s="356"/>
      <c r="AR46" s="356"/>
      <c r="AS46" s="356"/>
      <c r="AT46" s="356"/>
      <c r="AU46" s="356"/>
      <c r="AV46" s="356"/>
      <c r="AW46" s="356"/>
      <c r="AX46" s="356"/>
      <c r="AY46" s="356"/>
      <c r="AZ46" s="356"/>
      <c r="BA46" s="356"/>
      <c r="BB46" s="356"/>
      <c r="BC46" s="356"/>
    </row>
    <row r="47" spans="1:55">
      <c r="A47" s="15" t="s">
        <v>66</v>
      </c>
      <c r="B47" s="15">
        <f>B44/D23</f>
        <v>0.19047851591292606</v>
      </c>
      <c r="C47" s="356" t="s">
        <v>62</v>
      </c>
      <c r="D47" s="356"/>
      <c r="E47" s="356"/>
      <c r="P47" s="31">
        <f>Q42+N44</f>
        <v>16.21</v>
      </c>
      <c r="Q47" s="15">
        <f>Q44+N45</f>
        <v>8.7371900000000018</v>
      </c>
      <c r="X47" s="360" t="s">
        <v>30</v>
      </c>
      <c r="Y47" s="361"/>
      <c r="Z47" s="104">
        <f>AC45*Z46</f>
        <v>0</v>
      </c>
      <c r="AA47" s="15" t="s">
        <v>18</v>
      </c>
      <c r="AF47" s="356"/>
      <c r="AJ47" s="76"/>
      <c r="AP47" s="356"/>
      <c r="AQ47" s="356"/>
      <c r="AR47" s="356"/>
      <c r="AS47" s="356"/>
      <c r="AT47" s="356"/>
      <c r="AU47" s="356"/>
      <c r="AV47" s="356"/>
      <c r="AW47" s="356"/>
      <c r="AX47" s="356"/>
      <c r="AY47" s="356"/>
      <c r="AZ47" s="356"/>
      <c r="BA47" s="356"/>
      <c r="BB47" s="356"/>
      <c r="BC47" s="356"/>
    </row>
    <row r="48" spans="1:55">
      <c r="A48" s="15" t="s">
        <v>65</v>
      </c>
      <c r="B48" s="15">
        <f>C42/D23</f>
        <v>0.36190918023455948</v>
      </c>
      <c r="C48" s="15" t="s">
        <v>62</v>
      </c>
      <c r="AH48" s="15" t="s">
        <v>234</v>
      </c>
      <c r="AI48" s="351"/>
      <c r="AJ48" s="362">
        <f>AJ46/AH46</f>
        <v>0.83009708737864074</v>
      </c>
      <c r="AK48" s="356"/>
      <c r="AL48" s="356"/>
      <c r="AP48" s="356"/>
      <c r="AQ48" s="356"/>
      <c r="AR48" s="356"/>
      <c r="AS48" s="356"/>
      <c r="AT48" s="356"/>
      <c r="AU48" s="356"/>
      <c r="AV48" s="356"/>
      <c r="AW48" s="356"/>
      <c r="AX48" s="356"/>
      <c r="AY48" s="356"/>
      <c r="AZ48" s="356"/>
      <c r="BA48" s="356"/>
      <c r="BB48" s="356"/>
      <c r="BC48" s="356"/>
    </row>
    <row r="49" spans="1:59">
      <c r="A49" s="15" t="s">
        <v>67</v>
      </c>
      <c r="B49" s="15">
        <f>G19*(B47+B48)/1000</f>
        <v>5.2678191020021442E-2</v>
      </c>
      <c r="C49" s="15" t="s">
        <v>18</v>
      </c>
      <c r="E49" s="160"/>
      <c r="AI49" s="356"/>
      <c r="AJ49" s="362"/>
      <c r="AK49" s="356"/>
      <c r="AL49" s="356"/>
      <c r="AM49" s="356"/>
      <c r="AN49" s="356"/>
      <c r="AP49" s="356"/>
      <c r="AQ49" s="356"/>
      <c r="AR49" s="356"/>
      <c r="AS49" s="356"/>
      <c r="AT49" s="356"/>
      <c r="AU49" s="356"/>
      <c r="AV49" s="356"/>
      <c r="AW49" s="356"/>
      <c r="AX49" s="356"/>
      <c r="AY49" s="356"/>
      <c r="AZ49" s="356"/>
      <c r="BA49" s="356"/>
      <c r="BB49" s="356"/>
    </row>
    <row r="50" spans="1:59">
      <c r="A50" s="15" t="s">
        <v>64</v>
      </c>
      <c r="B50" s="74">
        <f>B22-B49</f>
        <v>9.9473218089799786</v>
      </c>
      <c r="C50" s="15" t="s">
        <v>18</v>
      </c>
      <c r="K50" s="81"/>
      <c r="AC50" s="31">
        <f>AC44+Z46</f>
        <v>1.1100000000000001</v>
      </c>
      <c r="AD50" s="15">
        <f>AC46+Z47</f>
        <v>0.33610800000000002</v>
      </c>
      <c r="AI50" s="145"/>
      <c r="AJ50" s="362"/>
      <c r="AK50" s="356"/>
      <c r="AL50" s="356"/>
      <c r="AM50" s="356"/>
      <c r="AN50" s="356"/>
      <c r="AP50" s="356"/>
      <c r="AQ50" s="356"/>
      <c r="AR50" s="356"/>
      <c r="AS50" s="356"/>
      <c r="AT50" s="356"/>
      <c r="AU50" s="356"/>
      <c r="AV50" s="379"/>
      <c r="AW50" s="379"/>
      <c r="AX50" s="379"/>
      <c r="AY50" s="379"/>
      <c r="AZ50" s="379"/>
      <c r="BA50" s="356"/>
      <c r="BB50" s="356"/>
    </row>
    <row r="51" spans="1:59">
      <c r="R51" s="356"/>
      <c r="S51" s="15" t="s">
        <v>27</v>
      </c>
      <c r="U51" s="15" t="s">
        <v>40</v>
      </c>
      <c r="W51" s="15" t="s">
        <v>98</v>
      </c>
      <c r="X51" s="74">
        <f>B50</f>
        <v>9.9473218089799786</v>
      </c>
      <c r="Y51" s="15" t="s">
        <v>18</v>
      </c>
      <c r="AP51" s="356"/>
      <c r="AQ51" s="356"/>
      <c r="AR51" s="356"/>
      <c r="AS51" s="356"/>
      <c r="AT51" s="356"/>
      <c r="AU51" s="356"/>
      <c r="AV51" s="356"/>
      <c r="AW51" s="356"/>
      <c r="AX51" s="356"/>
      <c r="AY51" s="356"/>
      <c r="AZ51" s="356"/>
      <c r="BA51" s="356"/>
      <c r="BB51" s="356"/>
    </row>
    <row r="52" spans="1:59">
      <c r="Q52" s="356"/>
      <c r="R52" s="356"/>
      <c r="S52" s="15" t="s">
        <v>34</v>
      </c>
      <c r="T52" s="15">
        <f>AC25+Z26</f>
        <v>4.0674999999999996E-2</v>
      </c>
      <c r="U52" s="76">
        <f>T52/X51</f>
        <v>4.0890403247314773E-3</v>
      </c>
      <c r="AP52" s="356"/>
      <c r="AQ52" s="356"/>
      <c r="AR52" s="356"/>
      <c r="AS52" s="356"/>
      <c r="AT52" s="356"/>
      <c r="AU52" s="356"/>
      <c r="AV52" s="356"/>
      <c r="AW52" s="356"/>
      <c r="AX52" s="356"/>
      <c r="AY52" s="356"/>
      <c r="AZ52" s="356"/>
      <c r="BA52" s="356"/>
      <c r="BB52" s="356"/>
    </row>
    <row r="53" spans="1:59">
      <c r="S53" s="15" t="s">
        <v>35</v>
      </c>
      <c r="T53" s="15">
        <f>AC46+Z47</f>
        <v>0.33610800000000002</v>
      </c>
      <c r="U53" s="76">
        <f>T53/X51</f>
        <v>3.3788793250518687E-2</v>
      </c>
      <c r="AP53" s="356"/>
      <c r="AQ53" s="356"/>
      <c r="AR53" s="356"/>
      <c r="AS53" s="356"/>
      <c r="AT53" s="356"/>
      <c r="AU53" s="356"/>
      <c r="AV53" s="356"/>
      <c r="AW53" s="356"/>
      <c r="AX53" s="356"/>
      <c r="AY53" s="356"/>
      <c r="AZ53" s="356"/>
      <c r="BA53" s="356"/>
      <c r="BB53" s="356"/>
    </row>
    <row r="54" spans="1:59">
      <c r="D54" s="356"/>
      <c r="E54" s="356"/>
      <c r="F54" s="356"/>
      <c r="G54" s="356"/>
      <c r="H54" s="356"/>
      <c r="I54" s="356"/>
      <c r="J54" s="356"/>
      <c r="K54" s="356"/>
      <c r="L54" s="356"/>
      <c r="M54" s="334"/>
      <c r="N54" s="356"/>
      <c r="O54" s="356"/>
      <c r="P54" s="356"/>
      <c r="Q54" s="356"/>
      <c r="R54" s="356"/>
      <c r="S54" s="15" t="s">
        <v>36</v>
      </c>
      <c r="T54" s="356">
        <f>Q44+N45</f>
        <v>8.7371900000000018</v>
      </c>
      <c r="U54" s="362">
        <f>T54/X51</f>
        <v>0.87834596766664108</v>
      </c>
      <c r="V54" s="356"/>
      <c r="W54" s="356"/>
      <c r="AN54" s="356"/>
      <c r="AO54" s="356"/>
      <c r="AP54" s="356"/>
      <c r="AQ54" s="356"/>
      <c r="AR54" s="356"/>
      <c r="AS54" s="356"/>
      <c r="AT54" s="356"/>
      <c r="AU54" s="356"/>
      <c r="AV54" s="356"/>
      <c r="AW54" s="356"/>
      <c r="AX54" s="356"/>
      <c r="AY54" s="356"/>
      <c r="AZ54" s="356"/>
      <c r="BA54" s="356"/>
      <c r="BB54" s="356"/>
      <c r="BC54" s="356"/>
      <c r="BD54" s="356"/>
      <c r="BE54" s="356"/>
      <c r="BF54" s="356"/>
      <c r="BG54" s="356"/>
    </row>
    <row r="55" spans="1:59">
      <c r="D55" s="379"/>
      <c r="E55" s="379"/>
      <c r="F55" s="379"/>
      <c r="G55" s="379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15" t="s">
        <v>17</v>
      </c>
      <c r="T55" s="356">
        <f>SUM(T52:T54)</f>
        <v>9.1139730000000014</v>
      </c>
      <c r="U55" s="362">
        <f>SUM(U52:U54)</f>
        <v>0.91622380124189129</v>
      </c>
      <c r="V55" s="356"/>
      <c r="W55" s="356"/>
      <c r="X55" s="356"/>
      <c r="Y55" s="356"/>
      <c r="Z55" s="356"/>
      <c r="AN55" s="356"/>
      <c r="AO55" s="356"/>
      <c r="AP55" s="356"/>
      <c r="AQ55" s="356"/>
      <c r="AR55" s="356"/>
      <c r="AS55" s="356"/>
      <c r="AT55" s="356"/>
      <c r="AU55" s="356"/>
      <c r="AV55" s="356"/>
      <c r="AW55" s="356"/>
      <c r="AX55" s="356"/>
      <c r="AY55" s="356"/>
      <c r="AZ55" s="356"/>
      <c r="BA55" s="356"/>
      <c r="BB55" s="356"/>
      <c r="BC55" s="356"/>
      <c r="BD55" s="356"/>
      <c r="BE55" s="356"/>
      <c r="BF55" s="356"/>
      <c r="BG55" s="356"/>
    </row>
    <row r="56" spans="1:59"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6"/>
      <c r="P56" s="356"/>
      <c r="Q56" s="356"/>
      <c r="R56" s="356"/>
      <c r="S56" s="15" t="s">
        <v>37</v>
      </c>
      <c r="T56" s="145">
        <f>X51-T55</f>
        <v>0.83334880897997721</v>
      </c>
      <c r="U56" s="362">
        <f>T56/X51</f>
        <v>8.3776198758108808E-2</v>
      </c>
      <c r="V56" s="356"/>
      <c r="W56" s="356"/>
      <c r="X56" s="356"/>
      <c r="Y56" s="356"/>
      <c r="Z56" s="356"/>
      <c r="AN56" s="356"/>
      <c r="AO56" s="356"/>
      <c r="AP56" s="356"/>
      <c r="AQ56" s="356"/>
      <c r="AR56" s="356"/>
      <c r="AS56" s="356"/>
      <c r="AT56" s="356"/>
      <c r="AU56" s="356"/>
      <c r="AV56" s="356"/>
      <c r="AW56" s="356"/>
      <c r="AX56" s="356"/>
      <c r="AY56" s="356"/>
      <c r="AZ56" s="356"/>
      <c r="BA56" s="356"/>
      <c r="BB56" s="356"/>
      <c r="BC56" s="356"/>
      <c r="BD56" s="356"/>
      <c r="BE56" s="356"/>
      <c r="BF56" s="356"/>
      <c r="BG56" s="356"/>
    </row>
    <row r="57" spans="1:59">
      <c r="D57" s="356"/>
      <c r="E57" s="356"/>
      <c r="F57" s="356"/>
      <c r="G57" s="356"/>
      <c r="H57" s="356"/>
      <c r="I57" s="356"/>
      <c r="J57" s="356"/>
      <c r="K57" s="356"/>
      <c r="L57" s="356"/>
      <c r="M57" s="356"/>
      <c r="N57" s="356"/>
      <c r="O57" s="356"/>
      <c r="P57" s="356"/>
      <c r="Q57" s="356"/>
      <c r="R57" s="356"/>
      <c r="T57" s="356"/>
      <c r="U57" s="356"/>
      <c r="V57" s="356"/>
      <c r="W57" s="356"/>
      <c r="X57" s="356"/>
      <c r="Y57" s="356"/>
      <c r="Z57" s="356"/>
      <c r="AN57" s="356"/>
      <c r="AO57" s="356"/>
      <c r="AP57" s="356"/>
      <c r="AQ57" s="356"/>
      <c r="AR57" s="356"/>
      <c r="AS57" s="356"/>
      <c r="AT57" s="356"/>
      <c r="AU57" s="356"/>
      <c r="AV57" s="356"/>
      <c r="AW57" s="356"/>
      <c r="AX57" s="356"/>
      <c r="AY57" s="356"/>
      <c r="AZ57" s="356"/>
      <c r="BA57" s="356"/>
      <c r="BB57" s="356"/>
      <c r="BC57" s="356"/>
      <c r="BD57" s="356"/>
      <c r="BE57" s="356"/>
      <c r="BF57" s="356"/>
      <c r="BG57" s="356"/>
    </row>
    <row r="58" spans="1:59"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  <c r="W58" s="356"/>
      <c r="X58" s="356"/>
      <c r="Y58" s="356"/>
      <c r="Z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</row>
    <row r="59" spans="1:59"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</row>
    <row r="60" spans="1:59"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</row>
    <row r="61" spans="1:59"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</row>
    <row r="62" spans="1:59"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</row>
    <row r="63" spans="1:59"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</row>
    <row r="64" spans="1:59"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  <c r="AG64" s="356"/>
      <c r="AH64" s="356"/>
      <c r="AI64" s="356"/>
      <c r="AJ64" s="356"/>
      <c r="AK64" s="356"/>
      <c r="AL64" s="356"/>
      <c r="AM64" s="356"/>
      <c r="AN64" s="356"/>
      <c r="AO64" s="356"/>
      <c r="AP64" s="356"/>
      <c r="AQ64" s="356"/>
      <c r="AR64" s="356"/>
      <c r="AS64" s="356"/>
      <c r="AT64" s="356"/>
      <c r="AU64" s="356"/>
      <c r="AV64" s="356"/>
      <c r="AW64" s="356"/>
      <c r="AX64" s="356"/>
      <c r="AY64" s="356"/>
      <c r="AZ64" s="356"/>
      <c r="BA64" s="356"/>
      <c r="BB64" s="356"/>
      <c r="BC64" s="356"/>
      <c r="BD64" s="356"/>
      <c r="BE64" s="356"/>
      <c r="BF64" s="356"/>
      <c r="BG64" s="356"/>
    </row>
    <row r="65" spans="4:59"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356"/>
      <c r="AB65" s="356"/>
      <c r="AC65" s="356"/>
      <c r="AD65" s="356"/>
      <c r="AE65" s="356"/>
      <c r="AF65" s="356"/>
      <c r="AG65" s="356"/>
      <c r="AH65" s="356"/>
      <c r="AI65" s="356"/>
      <c r="AJ65" s="356"/>
      <c r="AK65" s="356"/>
      <c r="AL65" s="356"/>
      <c r="AM65" s="356"/>
      <c r="AN65" s="356"/>
      <c r="AO65" s="356"/>
      <c r="AP65" s="356"/>
      <c r="AQ65" s="356"/>
      <c r="AR65" s="356"/>
      <c r="AS65" s="356"/>
      <c r="AT65" s="356"/>
      <c r="AU65" s="356"/>
      <c r="AV65" s="356"/>
      <c r="AW65" s="356"/>
      <c r="AX65" s="356"/>
      <c r="AY65" s="356"/>
      <c r="AZ65" s="356"/>
      <c r="BA65" s="356"/>
      <c r="BB65" s="356"/>
      <c r="BC65" s="356"/>
      <c r="BD65" s="356"/>
      <c r="BE65" s="356"/>
      <c r="BF65" s="356"/>
      <c r="BG65" s="356"/>
    </row>
    <row r="66" spans="4:59"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6"/>
      <c r="P66" s="356"/>
      <c r="Q66" s="356"/>
      <c r="R66" s="356"/>
      <c r="S66" s="356"/>
      <c r="T66" s="356"/>
      <c r="U66" s="356"/>
      <c r="V66" s="356"/>
      <c r="W66" s="356"/>
      <c r="X66" s="356"/>
      <c r="Y66" s="356"/>
      <c r="Z66" s="356"/>
      <c r="AA66" s="356"/>
      <c r="AB66" s="356"/>
      <c r="AC66" s="356"/>
      <c r="AD66" s="356"/>
      <c r="AE66" s="356"/>
      <c r="AF66" s="356"/>
      <c r="AG66" s="356"/>
      <c r="AH66" s="356"/>
      <c r="AI66" s="356"/>
      <c r="AJ66" s="356"/>
      <c r="AK66" s="356"/>
      <c r="AL66" s="356"/>
      <c r="AM66" s="356"/>
      <c r="AN66" s="356"/>
      <c r="AO66" s="356"/>
      <c r="AP66" s="356"/>
      <c r="AQ66" s="356"/>
      <c r="AR66" s="356"/>
      <c r="AS66" s="356"/>
      <c r="AT66" s="356"/>
      <c r="AU66" s="356"/>
      <c r="AV66" s="356"/>
      <c r="AW66" s="356"/>
      <c r="AX66" s="356"/>
      <c r="AY66" s="356"/>
      <c r="AZ66" s="356"/>
      <c r="BA66" s="356"/>
      <c r="BB66" s="356"/>
      <c r="BC66" s="356"/>
      <c r="BD66" s="356"/>
      <c r="BE66" s="356"/>
      <c r="BF66" s="356"/>
      <c r="BG66" s="356"/>
    </row>
    <row r="67" spans="4:59"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J67" s="356"/>
      <c r="AK67" s="356"/>
      <c r="AL67" s="356"/>
      <c r="AM67" s="356"/>
      <c r="AN67" s="356"/>
      <c r="AO67" s="356"/>
      <c r="AP67" s="356"/>
      <c r="AQ67" s="356"/>
      <c r="AR67" s="356"/>
      <c r="AS67" s="356"/>
      <c r="AT67" s="356"/>
      <c r="AU67" s="356"/>
      <c r="AV67" s="356"/>
      <c r="AW67" s="356"/>
      <c r="AX67" s="356"/>
      <c r="AY67" s="356"/>
      <c r="AZ67" s="356"/>
      <c r="BA67" s="356"/>
      <c r="BB67" s="356"/>
      <c r="BC67" s="356"/>
      <c r="BD67" s="356"/>
      <c r="BE67" s="356"/>
      <c r="BF67" s="356"/>
      <c r="BG67" s="356"/>
    </row>
    <row r="68" spans="4:59"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6"/>
      <c r="Q68" s="356"/>
      <c r="R68" s="356"/>
      <c r="S68" s="356"/>
      <c r="T68" s="356"/>
      <c r="U68" s="356"/>
      <c r="V68" s="356"/>
      <c r="W68" s="356"/>
      <c r="X68" s="356"/>
      <c r="Y68" s="356"/>
      <c r="Z68" s="356"/>
      <c r="AA68" s="356"/>
      <c r="AB68" s="356"/>
      <c r="AC68" s="356"/>
      <c r="AD68" s="356"/>
      <c r="AE68" s="356"/>
      <c r="AF68" s="356"/>
      <c r="AG68" s="356"/>
      <c r="AH68" s="356"/>
      <c r="AI68" s="356"/>
      <c r="AJ68" s="356"/>
      <c r="AK68" s="356"/>
      <c r="AL68" s="356"/>
      <c r="AM68" s="356"/>
      <c r="AN68" s="356"/>
      <c r="AO68" s="356"/>
      <c r="AP68" s="356"/>
      <c r="AQ68" s="356"/>
      <c r="AR68" s="356"/>
      <c r="AS68" s="356"/>
      <c r="AT68" s="356"/>
      <c r="AU68" s="356"/>
      <c r="AV68" s="356"/>
      <c r="AW68" s="356"/>
      <c r="AX68" s="356"/>
      <c r="AY68" s="356"/>
      <c r="AZ68" s="356"/>
      <c r="BA68" s="356"/>
      <c r="BB68" s="356"/>
      <c r="BC68" s="356"/>
      <c r="BD68" s="356"/>
      <c r="BE68" s="356"/>
      <c r="BF68" s="356"/>
      <c r="BG68" s="356"/>
    </row>
    <row r="69" spans="4:59"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356"/>
      <c r="AB69" s="356"/>
      <c r="AC69" s="356"/>
      <c r="AD69" s="356"/>
      <c r="AE69" s="356"/>
      <c r="AF69" s="356"/>
      <c r="AG69" s="356"/>
      <c r="AH69" s="356"/>
      <c r="AI69" s="356"/>
      <c r="AJ69" s="356"/>
      <c r="AK69" s="356"/>
      <c r="AL69" s="356"/>
      <c r="AM69" s="356"/>
      <c r="AN69" s="356"/>
      <c r="AO69" s="356"/>
      <c r="AP69" s="356"/>
      <c r="AQ69" s="356"/>
      <c r="AR69" s="356"/>
      <c r="AS69" s="356"/>
      <c r="AT69" s="356"/>
      <c r="AU69" s="356"/>
      <c r="AV69" s="356"/>
      <c r="AW69" s="356"/>
      <c r="AX69" s="356"/>
      <c r="AY69" s="356"/>
      <c r="AZ69" s="356"/>
      <c r="BA69" s="356"/>
      <c r="BB69" s="356"/>
      <c r="BC69" s="356"/>
      <c r="BD69" s="356"/>
      <c r="BE69" s="356"/>
      <c r="BF69" s="356"/>
      <c r="BG69" s="356"/>
    </row>
    <row r="70" spans="4:59"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6"/>
      <c r="Z70" s="356"/>
      <c r="AA70" s="356"/>
      <c r="AB70" s="356"/>
      <c r="AC70" s="356"/>
      <c r="AD70" s="356"/>
      <c r="AE70" s="356"/>
      <c r="AF70" s="356"/>
      <c r="AG70" s="356"/>
      <c r="AH70" s="356"/>
      <c r="AI70" s="356"/>
      <c r="AJ70" s="356"/>
      <c r="AK70" s="356"/>
      <c r="AL70" s="356"/>
      <c r="AM70" s="356"/>
      <c r="AN70" s="356"/>
      <c r="AO70" s="356"/>
      <c r="AP70" s="356"/>
      <c r="AQ70" s="356"/>
      <c r="AR70" s="356"/>
      <c r="AS70" s="356"/>
      <c r="AT70" s="356"/>
      <c r="AU70" s="356"/>
      <c r="AV70" s="356"/>
      <c r="AW70" s="356"/>
      <c r="AX70" s="356"/>
      <c r="AY70" s="356"/>
      <c r="AZ70" s="356"/>
      <c r="BA70" s="356"/>
      <c r="BB70" s="356"/>
      <c r="BC70" s="356"/>
      <c r="BD70" s="356"/>
      <c r="BE70" s="356"/>
      <c r="BF70" s="356"/>
      <c r="BG70" s="356"/>
    </row>
    <row r="71" spans="4:59"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J71" s="356"/>
      <c r="AK71" s="356"/>
      <c r="AL71" s="356"/>
      <c r="AM71" s="356"/>
      <c r="AN71" s="356"/>
      <c r="AO71" s="356"/>
      <c r="AP71" s="356"/>
      <c r="AQ71" s="356"/>
      <c r="AR71" s="356"/>
      <c r="AS71" s="356"/>
      <c r="AT71" s="356"/>
      <c r="AU71" s="356"/>
      <c r="AV71" s="356"/>
      <c r="AW71" s="356"/>
      <c r="AX71" s="356"/>
      <c r="AY71" s="356"/>
      <c r="AZ71" s="356"/>
      <c r="BA71" s="356"/>
      <c r="BB71" s="356"/>
      <c r="BC71" s="356"/>
      <c r="BD71" s="356"/>
      <c r="BE71" s="356"/>
      <c r="BF71" s="356"/>
      <c r="BG71" s="356"/>
    </row>
    <row r="72" spans="4:59"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  <c r="Z72" s="356"/>
      <c r="AA72" s="356"/>
      <c r="AB72" s="356"/>
      <c r="AC72" s="356"/>
      <c r="AD72" s="356"/>
      <c r="AE72" s="356"/>
      <c r="AF72" s="356"/>
      <c r="AG72" s="356"/>
      <c r="AH72" s="356"/>
      <c r="AI72" s="356"/>
      <c r="AJ72" s="356"/>
      <c r="AK72" s="356"/>
      <c r="AL72" s="356"/>
      <c r="AM72" s="356"/>
      <c r="AN72" s="356"/>
      <c r="AO72" s="356"/>
      <c r="AP72" s="356"/>
      <c r="AQ72" s="356"/>
      <c r="AR72" s="356"/>
      <c r="AS72" s="356"/>
      <c r="AT72" s="356"/>
      <c r="AU72" s="356"/>
      <c r="AV72" s="356"/>
      <c r="AW72" s="356"/>
      <c r="AX72" s="356"/>
      <c r="AY72" s="356"/>
      <c r="AZ72" s="356"/>
      <c r="BA72" s="356"/>
      <c r="BB72" s="356"/>
      <c r="BC72" s="356"/>
      <c r="BD72" s="356"/>
      <c r="BE72" s="356"/>
      <c r="BF72" s="356"/>
      <c r="BG72" s="356"/>
    </row>
    <row r="73" spans="4:59"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356"/>
      <c r="AB73" s="356"/>
      <c r="AC73" s="356"/>
      <c r="AD73" s="356"/>
      <c r="AE73" s="356"/>
      <c r="AF73" s="356"/>
      <c r="AG73" s="356"/>
      <c r="AH73" s="356"/>
      <c r="AI73" s="356"/>
      <c r="AJ73" s="356"/>
      <c r="AK73" s="356"/>
      <c r="AL73" s="356"/>
      <c r="AM73" s="356"/>
      <c r="AN73" s="356"/>
      <c r="AO73" s="356"/>
      <c r="AP73" s="356"/>
      <c r="AQ73" s="356"/>
      <c r="AR73" s="356"/>
      <c r="AS73" s="356"/>
      <c r="AT73" s="356"/>
      <c r="AU73" s="356"/>
      <c r="AV73" s="356"/>
      <c r="AW73" s="379"/>
      <c r="AX73" s="379"/>
      <c r="AY73" s="356"/>
      <c r="AZ73" s="356"/>
      <c r="BA73" s="356"/>
      <c r="BB73" s="356"/>
      <c r="BC73" s="356"/>
      <c r="BD73" s="356"/>
      <c r="BE73" s="356"/>
      <c r="BF73" s="356"/>
      <c r="BG73" s="356"/>
    </row>
    <row r="74" spans="4:59"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  <c r="AG74" s="356"/>
      <c r="AH74" s="356"/>
      <c r="AI74" s="356"/>
      <c r="AJ74" s="356"/>
      <c r="AK74" s="356"/>
      <c r="AL74" s="356"/>
      <c r="AM74" s="356"/>
      <c r="AN74" s="356"/>
      <c r="AO74" s="356"/>
      <c r="AP74" s="356"/>
      <c r="AQ74" s="356"/>
      <c r="AR74" s="356"/>
      <c r="AS74" s="356"/>
      <c r="AT74" s="356"/>
      <c r="AU74" s="356"/>
      <c r="AV74" s="356"/>
      <c r="AW74" s="356"/>
      <c r="AX74" s="356"/>
      <c r="AY74" s="356"/>
      <c r="AZ74" s="356"/>
      <c r="BA74" s="356"/>
      <c r="BB74" s="356"/>
      <c r="BC74" s="356"/>
      <c r="BD74" s="356"/>
      <c r="BE74" s="356"/>
      <c r="BF74" s="356"/>
      <c r="BG74" s="356"/>
    </row>
    <row r="75" spans="4:59"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  <c r="AB75" s="356"/>
      <c r="AC75" s="356"/>
      <c r="AD75" s="356"/>
      <c r="AE75" s="356"/>
      <c r="AF75" s="356"/>
      <c r="AG75" s="356"/>
      <c r="AH75" s="356"/>
      <c r="AI75" s="356"/>
      <c r="AJ75" s="356"/>
      <c r="AK75" s="356"/>
      <c r="AL75" s="356"/>
      <c r="AM75" s="356"/>
      <c r="AN75" s="356"/>
      <c r="AO75" s="356"/>
      <c r="AP75" s="356"/>
      <c r="AQ75" s="356"/>
      <c r="AR75" s="356"/>
      <c r="AS75" s="356"/>
      <c r="AT75" s="356"/>
      <c r="AU75" s="356"/>
      <c r="AV75" s="356"/>
      <c r="AW75" s="356"/>
      <c r="AX75" s="356"/>
      <c r="AY75" s="356"/>
      <c r="AZ75" s="356"/>
      <c r="BA75" s="356"/>
      <c r="BB75" s="356"/>
      <c r="BC75" s="356"/>
      <c r="BD75" s="356"/>
      <c r="BE75" s="356"/>
      <c r="BF75" s="356"/>
      <c r="BG75" s="356"/>
    </row>
    <row r="76" spans="4:59"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J76" s="356"/>
      <c r="AK76" s="356"/>
      <c r="AL76" s="356"/>
      <c r="AM76" s="356"/>
      <c r="AN76" s="356"/>
      <c r="AO76" s="356"/>
      <c r="AP76" s="356"/>
      <c r="AQ76" s="356"/>
      <c r="AR76" s="356"/>
      <c r="AS76" s="356"/>
      <c r="AT76" s="356"/>
      <c r="AU76" s="356"/>
      <c r="AV76" s="356"/>
      <c r="AW76" s="356"/>
      <c r="AX76" s="356"/>
      <c r="AY76" s="356"/>
      <c r="AZ76" s="356"/>
      <c r="BA76" s="356"/>
      <c r="BB76" s="356"/>
      <c r="BC76" s="356"/>
      <c r="BD76" s="356"/>
      <c r="BE76" s="356"/>
      <c r="BF76" s="356"/>
      <c r="BG76" s="356"/>
    </row>
    <row r="77" spans="4:59"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  <c r="AB77" s="356"/>
      <c r="AC77" s="356"/>
      <c r="AD77" s="356"/>
      <c r="AE77" s="356"/>
      <c r="AF77" s="356"/>
      <c r="AG77" s="356"/>
      <c r="AH77" s="356"/>
      <c r="AI77" s="356"/>
      <c r="AJ77" s="356"/>
      <c r="AK77" s="356"/>
      <c r="AL77" s="356"/>
      <c r="AM77" s="356"/>
      <c r="AN77" s="356"/>
      <c r="AO77" s="356"/>
      <c r="AP77" s="356"/>
      <c r="AQ77" s="356"/>
      <c r="AR77" s="356"/>
      <c r="AS77" s="356"/>
      <c r="AT77" s="356"/>
      <c r="AU77" s="356"/>
      <c r="AV77" s="356"/>
      <c r="AW77" s="356"/>
      <c r="AX77" s="356"/>
      <c r="AY77" s="356"/>
      <c r="AZ77" s="356"/>
      <c r="BA77" s="356"/>
      <c r="BB77" s="356"/>
      <c r="BC77" s="356"/>
      <c r="BD77" s="356"/>
      <c r="BE77" s="356"/>
      <c r="BF77" s="356"/>
      <c r="BG77" s="356"/>
    </row>
    <row r="78" spans="4:59">
      <c r="D78" s="356"/>
      <c r="E78" s="356"/>
      <c r="F78" s="356"/>
      <c r="G78" s="356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J78" s="356"/>
      <c r="AK78" s="356"/>
      <c r="AL78" s="356"/>
      <c r="AM78" s="356"/>
      <c r="AN78" s="356"/>
      <c r="AO78" s="356"/>
      <c r="AP78" s="356"/>
      <c r="AQ78" s="356"/>
      <c r="AR78" s="356"/>
      <c r="AS78" s="356"/>
      <c r="AT78" s="356"/>
      <c r="AU78" s="356"/>
      <c r="AV78" s="356"/>
      <c r="AW78" s="356"/>
      <c r="AX78" s="356"/>
      <c r="AY78" s="356"/>
      <c r="AZ78" s="356"/>
      <c r="BA78" s="356"/>
      <c r="BB78" s="356"/>
      <c r="BC78" s="356"/>
      <c r="BD78" s="356"/>
      <c r="BE78" s="356"/>
      <c r="BF78" s="356"/>
      <c r="BG78" s="356"/>
    </row>
    <row r="79" spans="4:59"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J79" s="356"/>
      <c r="AK79" s="356"/>
      <c r="AL79" s="356"/>
      <c r="AM79" s="356"/>
      <c r="AN79" s="356"/>
      <c r="AO79" s="356"/>
      <c r="AP79" s="356"/>
      <c r="AQ79" s="356"/>
      <c r="AR79" s="356"/>
      <c r="AS79" s="356"/>
      <c r="AT79" s="356"/>
      <c r="AU79" s="356"/>
      <c r="AV79" s="356"/>
      <c r="AW79" s="356"/>
      <c r="AX79" s="356"/>
      <c r="AY79" s="356"/>
      <c r="AZ79" s="356"/>
      <c r="BA79" s="356"/>
      <c r="BB79" s="356"/>
      <c r="BC79" s="356"/>
      <c r="BD79" s="356"/>
      <c r="BE79" s="356"/>
      <c r="BF79" s="356"/>
      <c r="BG79" s="356"/>
    </row>
    <row r="80" spans="4:59"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356"/>
      <c r="AB80" s="356"/>
      <c r="AC80" s="356"/>
      <c r="AD80" s="356"/>
      <c r="AE80" s="356"/>
      <c r="AF80" s="356"/>
      <c r="AG80" s="356"/>
      <c r="AH80" s="356"/>
      <c r="AI80" s="356"/>
      <c r="AJ80" s="356"/>
      <c r="AK80" s="356"/>
      <c r="AL80" s="356"/>
      <c r="AM80" s="356"/>
      <c r="AN80" s="356"/>
      <c r="AO80" s="356"/>
      <c r="AP80" s="356"/>
      <c r="AQ80" s="356"/>
      <c r="AR80" s="356"/>
      <c r="AS80" s="356"/>
      <c r="AT80" s="356"/>
      <c r="AU80" s="356"/>
      <c r="AV80" s="356"/>
      <c r="AW80" s="356"/>
      <c r="AX80" s="356"/>
      <c r="AY80" s="356"/>
      <c r="AZ80" s="356"/>
      <c r="BA80" s="356"/>
      <c r="BB80" s="356"/>
      <c r="BC80" s="356"/>
      <c r="BD80" s="356"/>
      <c r="BE80" s="356"/>
      <c r="BF80" s="356"/>
      <c r="BG80" s="356"/>
    </row>
    <row r="81" spans="4:59"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356"/>
      <c r="AB81" s="356"/>
      <c r="AC81" s="356"/>
      <c r="AD81" s="356"/>
      <c r="AE81" s="356"/>
      <c r="AF81" s="356"/>
      <c r="AG81" s="356"/>
      <c r="AH81" s="356"/>
      <c r="AI81" s="356"/>
      <c r="AJ81" s="356"/>
      <c r="AK81" s="356"/>
      <c r="AL81" s="356"/>
      <c r="AM81" s="356"/>
      <c r="AN81" s="356"/>
      <c r="AO81" s="356"/>
      <c r="AP81" s="356"/>
      <c r="AQ81" s="356"/>
      <c r="AR81" s="356"/>
      <c r="AS81" s="356"/>
      <c r="AT81" s="356"/>
      <c r="AU81" s="356"/>
      <c r="AV81" s="356"/>
      <c r="AW81" s="356"/>
      <c r="AX81" s="356"/>
      <c r="AY81" s="356"/>
      <c r="AZ81" s="356"/>
      <c r="BA81" s="356"/>
      <c r="BB81" s="356"/>
      <c r="BC81" s="356"/>
      <c r="BD81" s="356"/>
      <c r="BE81" s="356"/>
      <c r="BF81" s="356"/>
      <c r="BG81" s="356"/>
    </row>
    <row r="82" spans="4:59"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  <c r="Z82" s="356"/>
      <c r="AA82" s="356"/>
      <c r="AB82" s="356"/>
      <c r="AC82" s="356"/>
      <c r="AD82" s="356"/>
      <c r="AE82" s="356"/>
      <c r="AF82" s="356"/>
      <c r="AG82" s="356"/>
      <c r="AH82" s="356"/>
      <c r="AI82" s="356"/>
      <c r="AJ82" s="356"/>
      <c r="AK82" s="356"/>
      <c r="AL82" s="356"/>
      <c r="AM82" s="356"/>
      <c r="AN82" s="356"/>
      <c r="AO82" s="356"/>
      <c r="AP82" s="356"/>
      <c r="AQ82" s="356"/>
      <c r="AR82" s="356"/>
      <c r="AS82" s="356"/>
      <c r="AT82" s="356"/>
      <c r="AU82" s="356"/>
      <c r="AV82" s="356"/>
      <c r="AW82" s="356"/>
      <c r="AX82" s="356"/>
      <c r="AY82" s="356"/>
      <c r="AZ82" s="356"/>
      <c r="BA82" s="356"/>
      <c r="BB82" s="356"/>
      <c r="BC82" s="356"/>
      <c r="BD82" s="356"/>
      <c r="BE82" s="356"/>
      <c r="BF82" s="356"/>
      <c r="BG82" s="356"/>
    </row>
    <row r="83" spans="4:59"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J83" s="356"/>
      <c r="AK83" s="356"/>
      <c r="AL83" s="356"/>
      <c r="AM83" s="356"/>
      <c r="AN83" s="356"/>
      <c r="AO83" s="356"/>
      <c r="AP83" s="356"/>
      <c r="AQ83" s="356"/>
      <c r="AR83" s="356"/>
      <c r="AS83" s="356"/>
      <c r="AT83" s="356"/>
      <c r="AU83" s="356"/>
      <c r="AV83" s="356"/>
      <c r="AW83" s="356"/>
      <c r="AX83" s="356"/>
      <c r="AY83" s="356"/>
      <c r="AZ83" s="356"/>
      <c r="BA83" s="356"/>
      <c r="BB83" s="356"/>
      <c r="BC83" s="356"/>
      <c r="BD83" s="356"/>
      <c r="BE83" s="356"/>
      <c r="BF83" s="356"/>
      <c r="BG83" s="356"/>
    </row>
    <row r="84" spans="4:59">
      <c r="D84" s="356"/>
      <c r="E84" s="356"/>
      <c r="F84" s="356"/>
      <c r="G84" s="356"/>
      <c r="H84" s="356"/>
      <c r="I84" s="356"/>
      <c r="J84" s="356"/>
      <c r="K84" s="356"/>
      <c r="L84" s="356"/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56"/>
      <c r="Z84" s="356"/>
      <c r="AA84" s="356"/>
      <c r="AB84" s="356"/>
      <c r="AC84" s="356"/>
      <c r="AD84" s="356"/>
      <c r="AE84" s="356"/>
      <c r="AF84" s="356"/>
      <c r="AG84" s="356"/>
      <c r="AH84" s="356"/>
      <c r="AI84" s="356"/>
      <c r="AJ84" s="356"/>
      <c r="AK84" s="356"/>
      <c r="AL84" s="356"/>
      <c r="AM84" s="356"/>
      <c r="AN84" s="356"/>
      <c r="AO84" s="356"/>
      <c r="AP84" s="356"/>
      <c r="AQ84" s="356"/>
      <c r="AR84" s="356"/>
      <c r="AS84" s="356"/>
      <c r="AT84" s="356"/>
      <c r="AU84" s="356"/>
      <c r="AV84" s="356"/>
      <c r="AW84" s="356"/>
      <c r="AX84" s="356"/>
      <c r="AY84" s="356"/>
      <c r="AZ84" s="356"/>
      <c r="BA84" s="356"/>
      <c r="BB84" s="356"/>
      <c r="BC84" s="356"/>
      <c r="BD84" s="356"/>
      <c r="BE84" s="356"/>
      <c r="BF84" s="356"/>
      <c r="BG84" s="356"/>
    </row>
    <row r="85" spans="4:59"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  <c r="Z85" s="356"/>
      <c r="AA85" s="356"/>
      <c r="AB85" s="356"/>
      <c r="AC85" s="356"/>
      <c r="AD85" s="356"/>
      <c r="AE85" s="356"/>
      <c r="AF85" s="356"/>
      <c r="AG85" s="356"/>
      <c r="AH85" s="356"/>
      <c r="AI85" s="356"/>
      <c r="AJ85" s="356"/>
      <c r="AK85" s="356"/>
      <c r="AL85" s="356"/>
      <c r="AM85" s="356"/>
      <c r="AN85" s="356"/>
      <c r="AO85" s="356"/>
      <c r="AP85" s="356"/>
      <c r="AQ85" s="356"/>
      <c r="AR85" s="356"/>
      <c r="AS85" s="356"/>
      <c r="AT85" s="356"/>
      <c r="AU85" s="356"/>
      <c r="AV85" s="356"/>
      <c r="AW85" s="356"/>
      <c r="AX85" s="356"/>
      <c r="AY85" s="356"/>
      <c r="AZ85" s="356"/>
      <c r="BA85" s="356"/>
      <c r="BB85" s="356"/>
      <c r="BC85" s="356"/>
      <c r="BD85" s="356"/>
      <c r="BE85" s="356"/>
      <c r="BF85" s="356"/>
      <c r="BG85" s="356"/>
    </row>
    <row r="86" spans="4:59"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356"/>
      <c r="AB86" s="356"/>
      <c r="AC86" s="356"/>
      <c r="AD86" s="356"/>
      <c r="AE86" s="356"/>
      <c r="AF86" s="356"/>
      <c r="AG86" s="356"/>
      <c r="AH86" s="356"/>
      <c r="AI86" s="356"/>
      <c r="AJ86" s="356"/>
      <c r="AK86" s="356"/>
      <c r="AL86" s="356"/>
      <c r="AM86" s="356"/>
      <c r="AN86" s="356"/>
      <c r="AO86" s="356"/>
      <c r="AP86" s="356"/>
      <c r="AQ86" s="356"/>
      <c r="AR86" s="356"/>
      <c r="AS86" s="356"/>
      <c r="AT86" s="356"/>
      <c r="AU86" s="356"/>
      <c r="AV86" s="356"/>
      <c r="AW86" s="356"/>
      <c r="AX86" s="356"/>
      <c r="AY86" s="356"/>
      <c r="AZ86" s="356"/>
      <c r="BA86" s="356"/>
      <c r="BB86" s="356"/>
      <c r="BC86" s="356"/>
      <c r="BD86" s="356"/>
      <c r="BE86" s="356"/>
      <c r="BF86" s="356"/>
      <c r="BG86" s="356"/>
    </row>
    <row r="87" spans="4:59"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J87" s="356"/>
      <c r="AK87" s="356"/>
      <c r="AL87" s="356"/>
      <c r="AM87" s="356"/>
      <c r="AN87" s="356"/>
      <c r="AO87" s="356"/>
      <c r="AP87" s="356"/>
      <c r="AQ87" s="356"/>
      <c r="AR87" s="356"/>
      <c r="AS87" s="356"/>
      <c r="AT87" s="356"/>
      <c r="AU87" s="356"/>
      <c r="AV87" s="356"/>
      <c r="AW87" s="356"/>
      <c r="AX87" s="356"/>
      <c r="AY87" s="356"/>
      <c r="AZ87" s="356"/>
      <c r="BA87" s="356"/>
      <c r="BB87" s="356"/>
      <c r="BC87" s="356"/>
      <c r="BD87" s="356"/>
      <c r="BE87" s="356"/>
      <c r="BF87" s="356"/>
      <c r="BG87" s="356"/>
    </row>
    <row r="88" spans="4:59">
      <c r="D88" s="356"/>
      <c r="E88" s="356"/>
      <c r="F88" s="356"/>
      <c r="G88" s="356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56"/>
      <c r="Z88" s="356"/>
      <c r="AA88" s="356"/>
      <c r="AB88" s="356"/>
      <c r="AC88" s="356"/>
      <c r="AD88" s="356"/>
      <c r="AE88" s="356"/>
      <c r="AF88" s="356"/>
      <c r="AG88" s="356"/>
      <c r="AH88" s="356"/>
      <c r="AI88" s="356"/>
      <c r="AJ88" s="356"/>
      <c r="AK88" s="356"/>
      <c r="AL88" s="356"/>
      <c r="AM88" s="356"/>
      <c r="AN88" s="356"/>
      <c r="AO88" s="356"/>
      <c r="AP88" s="356"/>
      <c r="AQ88" s="356"/>
      <c r="AR88" s="356"/>
      <c r="AS88" s="356"/>
      <c r="AT88" s="356"/>
      <c r="AU88" s="356"/>
      <c r="AV88" s="356"/>
      <c r="AW88" s="356"/>
      <c r="AX88" s="356"/>
      <c r="AY88" s="356"/>
      <c r="AZ88" s="356"/>
      <c r="BA88" s="356"/>
      <c r="BB88" s="356"/>
      <c r="BC88" s="356"/>
      <c r="BD88" s="356"/>
      <c r="BE88" s="356"/>
      <c r="BF88" s="356"/>
      <c r="BG88" s="356"/>
    </row>
    <row r="89" spans="4:59">
      <c r="D89" s="356"/>
      <c r="E89" s="356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56"/>
      <c r="Z89" s="356"/>
      <c r="AA89" s="356"/>
      <c r="AB89" s="356"/>
      <c r="AC89" s="356"/>
      <c r="AD89" s="356"/>
      <c r="AE89" s="356"/>
      <c r="AF89" s="356"/>
      <c r="AG89" s="356"/>
      <c r="AH89" s="356"/>
      <c r="AI89" s="356"/>
      <c r="AJ89" s="356"/>
      <c r="AK89" s="356"/>
      <c r="AL89" s="356"/>
      <c r="AM89" s="356"/>
      <c r="AN89" s="356"/>
      <c r="AO89" s="356"/>
      <c r="AP89" s="356"/>
      <c r="AQ89" s="356"/>
      <c r="AR89" s="356"/>
      <c r="AS89" s="356"/>
      <c r="AT89" s="356"/>
      <c r="AU89" s="356"/>
      <c r="AV89" s="356"/>
      <c r="AW89" s="356"/>
      <c r="AX89" s="356"/>
      <c r="AY89" s="356"/>
      <c r="AZ89" s="356"/>
      <c r="BA89" s="356"/>
      <c r="BB89" s="356"/>
      <c r="BC89" s="356"/>
      <c r="BD89" s="356"/>
      <c r="BE89" s="356"/>
      <c r="BF89" s="356"/>
      <c r="BG89" s="356"/>
    </row>
    <row r="90" spans="4:59">
      <c r="D90" s="356"/>
      <c r="E90" s="356"/>
      <c r="F90" s="356"/>
      <c r="G90" s="356"/>
      <c r="H90" s="356"/>
      <c r="I90" s="356"/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56"/>
      <c r="Z90" s="356"/>
      <c r="AA90" s="356"/>
      <c r="AB90" s="356"/>
      <c r="AC90" s="356"/>
      <c r="AD90" s="356"/>
      <c r="AE90" s="356"/>
      <c r="AF90" s="356"/>
      <c r="AG90" s="356"/>
      <c r="AH90" s="356"/>
      <c r="AI90" s="356"/>
      <c r="AJ90" s="356"/>
      <c r="AK90" s="356"/>
      <c r="AL90" s="356"/>
      <c r="AM90" s="356"/>
      <c r="AN90" s="356"/>
      <c r="AO90" s="356"/>
      <c r="AP90" s="356"/>
      <c r="AQ90" s="356"/>
      <c r="AR90" s="356"/>
      <c r="AS90" s="356"/>
      <c r="AT90" s="356"/>
      <c r="AU90" s="356"/>
      <c r="AV90" s="356"/>
      <c r="AW90" s="356"/>
      <c r="AX90" s="356"/>
      <c r="AY90" s="356"/>
      <c r="AZ90" s="356"/>
      <c r="BA90" s="356"/>
      <c r="BB90" s="356"/>
      <c r="BC90" s="356"/>
      <c r="BD90" s="356"/>
      <c r="BE90" s="356"/>
      <c r="BF90" s="356"/>
      <c r="BG90" s="356"/>
    </row>
    <row r="91" spans="4:59"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J91" s="356"/>
      <c r="AK91" s="356"/>
      <c r="AL91" s="356"/>
      <c r="AM91" s="356"/>
      <c r="AN91" s="356"/>
      <c r="AO91" s="356"/>
      <c r="AP91" s="356"/>
      <c r="AQ91" s="356"/>
      <c r="AR91" s="356"/>
      <c r="AS91" s="356"/>
      <c r="AT91" s="356"/>
      <c r="AU91" s="356"/>
      <c r="AV91" s="356"/>
      <c r="AW91" s="356"/>
      <c r="AX91" s="356"/>
      <c r="AY91" s="356"/>
      <c r="AZ91" s="356"/>
      <c r="BA91" s="356"/>
      <c r="BB91" s="356"/>
      <c r="BC91" s="356"/>
      <c r="BD91" s="356"/>
      <c r="BE91" s="356"/>
      <c r="BF91" s="356"/>
      <c r="BG91" s="356"/>
    </row>
    <row r="92" spans="4:59"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356"/>
      <c r="AB92" s="356"/>
      <c r="AC92" s="356"/>
      <c r="AD92" s="356"/>
      <c r="AE92" s="356"/>
      <c r="AF92" s="356"/>
      <c r="AG92" s="356"/>
      <c r="AH92" s="356"/>
      <c r="AI92" s="356"/>
      <c r="AJ92" s="356"/>
      <c r="AK92" s="356"/>
      <c r="AL92" s="356"/>
      <c r="AM92" s="356"/>
      <c r="AN92" s="356"/>
      <c r="AO92" s="356"/>
      <c r="AP92" s="356"/>
      <c r="AQ92" s="356"/>
      <c r="AR92" s="356"/>
      <c r="AS92" s="356"/>
      <c r="AT92" s="356"/>
      <c r="AU92" s="356"/>
      <c r="AV92" s="356"/>
      <c r="AW92" s="356"/>
      <c r="AX92" s="356"/>
      <c r="AY92" s="356"/>
      <c r="AZ92" s="356"/>
      <c r="BA92" s="356"/>
      <c r="BB92" s="356"/>
      <c r="BC92" s="356"/>
      <c r="BD92" s="356"/>
      <c r="BE92" s="356"/>
      <c r="BF92" s="356"/>
      <c r="BG92" s="356"/>
    </row>
    <row r="93" spans="4:59"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356"/>
      <c r="AB93" s="356"/>
      <c r="AC93" s="356"/>
      <c r="AD93" s="356"/>
      <c r="AE93" s="356"/>
      <c r="AF93" s="356"/>
      <c r="AG93" s="356"/>
      <c r="AH93" s="356"/>
      <c r="AI93" s="356"/>
      <c r="AJ93" s="356"/>
      <c r="AK93" s="356"/>
      <c r="AL93" s="356"/>
      <c r="AM93" s="356"/>
      <c r="AN93" s="356"/>
      <c r="AO93" s="356"/>
      <c r="AP93" s="356"/>
      <c r="AQ93" s="356"/>
      <c r="AR93" s="356"/>
      <c r="AS93" s="356"/>
      <c r="AT93" s="356"/>
      <c r="AU93" s="356"/>
      <c r="AV93" s="356"/>
      <c r="AW93" s="356"/>
      <c r="AX93" s="356"/>
      <c r="AY93" s="356"/>
      <c r="AZ93" s="356"/>
      <c r="BA93" s="356"/>
      <c r="BB93" s="356"/>
      <c r="BC93" s="356"/>
      <c r="BD93" s="356"/>
      <c r="BE93" s="356"/>
      <c r="BF93" s="356"/>
      <c r="BG93" s="356"/>
    </row>
    <row r="94" spans="4:59">
      <c r="D94" s="356"/>
      <c r="E94" s="356"/>
      <c r="F94" s="356"/>
      <c r="G94" s="356"/>
      <c r="H94" s="356"/>
      <c r="I94" s="356"/>
      <c r="J94" s="356"/>
      <c r="K94" s="356"/>
      <c r="L94" s="356"/>
      <c r="M94" s="356"/>
      <c r="N94" s="356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56"/>
      <c r="Z94" s="356"/>
      <c r="AA94" s="356"/>
      <c r="AB94" s="356"/>
      <c r="AC94" s="356"/>
      <c r="AD94" s="356"/>
      <c r="AE94" s="356"/>
      <c r="AF94" s="356"/>
      <c r="AG94" s="356"/>
      <c r="AH94" s="356"/>
      <c r="AI94" s="356"/>
      <c r="AJ94" s="356"/>
      <c r="AK94" s="356"/>
      <c r="AL94" s="356"/>
      <c r="AM94" s="356"/>
      <c r="AN94" s="356"/>
      <c r="AO94" s="356"/>
      <c r="AP94" s="356"/>
      <c r="AQ94" s="356"/>
      <c r="AR94" s="356"/>
      <c r="AS94" s="356"/>
      <c r="AT94" s="356"/>
      <c r="AU94" s="356"/>
      <c r="AV94" s="356"/>
      <c r="AW94" s="356"/>
      <c r="AX94" s="356"/>
      <c r="AY94" s="356"/>
      <c r="AZ94" s="356"/>
      <c r="BA94" s="356"/>
      <c r="BB94" s="356"/>
      <c r="BC94" s="356"/>
      <c r="BD94" s="356"/>
      <c r="BE94" s="356"/>
      <c r="BF94" s="356"/>
      <c r="BG94" s="356"/>
    </row>
    <row r="95" spans="4:59">
      <c r="D95" s="356"/>
      <c r="E95" s="356"/>
      <c r="F95" s="356"/>
      <c r="G95" s="356"/>
      <c r="H95" s="356"/>
      <c r="I95" s="356"/>
      <c r="J95" s="356"/>
      <c r="K95" s="356"/>
      <c r="L95" s="356"/>
      <c r="M95" s="356"/>
      <c r="N95" s="356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56"/>
      <c r="Z95" s="356"/>
      <c r="AA95" s="356"/>
      <c r="AB95" s="356"/>
      <c r="AC95" s="356"/>
      <c r="AD95" s="356"/>
      <c r="AE95" s="356"/>
      <c r="AF95" s="356"/>
      <c r="AG95" s="356"/>
      <c r="AH95" s="356"/>
      <c r="AI95" s="356"/>
      <c r="AJ95" s="356"/>
      <c r="AK95" s="356"/>
      <c r="AL95" s="356"/>
      <c r="AM95" s="356"/>
      <c r="AN95" s="356"/>
      <c r="AO95" s="356"/>
      <c r="AP95" s="356"/>
      <c r="AQ95" s="356"/>
      <c r="AR95" s="356"/>
      <c r="AS95" s="356"/>
      <c r="AT95" s="356"/>
      <c r="AU95" s="356"/>
      <c r="AV95" s="356"/>
      <c r="AW95" s="356"/>
      <c r="AX95" s="356"/>
      <c r="AY95" s="356"/>
      <c r="AZ95" s="356"/>
      <c r="BA95" s="356"/>
      <c r="BB95" s="356"/>
      <c r="BC95" s="356"/>
      <c r="BD95" s="356"/>
      <c r="BE95" s="356"/>
      <c r="BF95" s="356"/>
      <c r="BG95" s="356"/>
    </row>
    <row r="96" spans="4:59">
      <c r="D96" s="356"/>
      <c r="E96" s="356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6"/>
      <c r="R96" s="356"/>
      <c r="S96" s="356"/>
      <c r="T96" s="356"/>
      <c r="U96" s="356"/>
      <c r="V96" s="356"/>
      <c r="W96" s="356"/>
      <c r="X96" s="356"/>
      <c r="Y96" s="356"/>
      <c r="Z96" s="356"/>
      <c r="AA96" s="356"/>
      <c r="AB96" s="356"/>
      <c r="AC96" s="356"/>
      <c r="AD96" s="356"/>
      <c r="AE96" s="356"/>
      <c r="AF96" s="356"/>
      <c r="AG96" s="356"/>
      <c r="AH96" s="356"/>
      <c r="AI96" s="356"/>
      <c r="AJ96" s="356"/>
      <c r="AK96" s="356"/>
      <c r="AL96" s="356"/>
      <c r="AM96" s="356"/>
      <c r="AN96" s="356"/>
      <c r="AO96" s="356"/>
      <c r="AP96" s="356"/>
      <c r="AQ96" s="356"/>
      <c r="AR96" s="356"/>
      <c r="AS96" s="356"/>
      <c r="AT96" s="356"/>
      <c r="AU96" s="356"/>
      <c r="AV96" s="356"/>
      <c r="AW96" s="356"/>
      <c r="AX96" s="356"/>
      <c r="AY96" s="356"/>
      <c r="AZ96" s="356"/>
      <c r="BA96" s="356"/>
      <c r="BB96" s="356"/>
      <c r="BC96" s="356"/>
      <c r="BD96" s="356"/>
      <c r="BE96" s="356"/>
      <c r="BF96" s="356"/>
      <c r="BG96" s="356"/>
    </row>
    <row r="97" spans="4:59"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6"/>
      <c r="AA97" s="356"/>
      <c r="AB97" s="356"/>
      <c r="AC97" s="356"/>
      <c r="AD97" s="356"/>
      <c r="AE97" s="356"/>
      <c r="AF97" s="356"/>
      <c r="AG97" s="356"/>
      <c r="AH97" s="356"/>
      <c r="AI97" s="356"/>
      <c r="AJ97" s="356"/>
      <c r="AK97" s="356"/>
      <c r="AL97" s="356"/>
      <c r="AM97" s="356"/>
      <c r="AN97" s="356"/>
      <c r="AO97" s="356"/>
      <c r="AP97" s="356"/>
      <c r="AQ97" s="356"/>
      <c r="AR97" s="356"/>
      <c r="AS97" s="356"/>
      <c r="AT97" s="356"/>
      <c r="AU97" s="356"/>
      <c r="AV97" s="356"/>
      <c r="AW97" s="356"/>
      <c r="AX97" s="356"/>
      <c r="AY97" s="356"/>
      <c r="AZ97" s="356"/>
      <c r="BA97" s="356"/>
      <c r="BB97" s="356"/>
      <c r="BC97" s="356"/>
      <c r="BD97" s="356"/>
      <c r="BE97" s="356"/>
      <c r="BF97" s="356"/>
      <c r="BG97" s="356"/>
    </row>
    <row r="98" spans="4:59"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56"/>
      <c r="X98" s="356"/>
      <c r="Y98" s="356"/>
      <c r="Z98" s="356"/>
      <c r="AA98" s="356"/>
      <c r="AB98" s="356"/>
      <c r="AC98" s="356"/>
      <c r="AD98" s="356"/>
      <c r="AE98" s="356"/>
      <c r="AF98" s="356"/>
      <c r="AG98" s="356"/>
      <c r="AH98" s="356"/>
      <c r="AI98" s="356"/>
      <c r="AJ98" s="356"/>
      <c r="AK98" s="356"/>
      <c r="AL98" s="356"/>
      <c r="AM98" s="356"/>
      <c r="AN98" s="356"/>
      <c r="AO98" s="356"/>
      <c r="AP98" s="356"/>
      <c r="AQ98" s="356"/>
      <c r="AR98" s="356"/>
      <c r="AS98" s="356"/>
      <c r="AT98" s="356"/>
      <c r="AU98" s="356"/>
      <c r="AV98" s="356"/>
      <c r="AW98" s="356"/>
      <c r="AX98" s="356"/>
      <c r="AY98" s="356"/>
      <c r="AZ98" s="356"/>
      <c r="BA98" s="356"/>
      <c r="BB98" s="356"/>
      <c r="BC98" s="356"/>
      <c r="BD98" s="356"/>
      <c r="BE98" s="356"/>
      <c r="BF98" s="356"/>
      <c r="BG98" s="356"/>
    </row>
    <row r="99" spans="4:59"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J99" s="356"/>
      <c r="AK99" s="356"/>
      <c r="AL99" s="356"/>
      <c r="AM99" s="356"/>
      <c r="AN99" s="356"/>
      <c r="AO99" s="356"/>
      <c r="AP99" s="356"/>
      <c r="AQ99" s="356"/>
      <c r="AR99" s="356"/>
      <c r="AS99" s="356"/>
      <c r="AT99" s="356"/>
      <c r="AU99" s="356"/>
      <c r="AV99" s="356"/>
      <c r="AW99" s="356"/>
      <c r="AX99" s="356"/>
      <c r="AY99" s="356"/>
      <c r="AZ99" s="356"/>
      <c r="BA99" s="356"/>
      <c r="BB99" s="356"/>
      <c r="BC99" s="356"/>
      <c r="BD99" s="356"/>
      <c r="BE99" s="356"/>
      <c r="BF99" s="356"/>
      <c r="BG99" s="356"/>
    </row>
    <row r="100" spans="4:59"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56"/>
      <c r="X100" s="356"/>
      <c r="Y100" s="356"/>
      <c r="Z100" s="356"/>
      <c r="AA100" s="356"/>
      <c r="AB100" s="356"/>
      <c r="AC100" s="356"/>
      <c r="AD100" s="356"/>
      <c r="AE100" s="356"/>
      <c r="AF100" s="356"/>
      <c r="AG100" s="356"/>
      <c r="AH100" s="356"/>
      <c r="AI100" s="356"/>
      <c r="AJ100" s="356"/>
      <c r="AK100" s="356"/>
      <c r="AL100" s="356"/>
      <c r="AM100" s="356"/>
      <c r="AN100" s="356"/>
      <c r="AO100" s="356"/>
      <c r="AP100" s="356"/>
      <c r="AQ100" s="356"/>
      <c r="AR100" s="356"/>
      <c r="AS100" s="356"/>
      <c r="AT100" s="356"/>
      <c r="AU100" s="356"/>
      <c r="AV100" s="356"/>
      <c r="AW100" s="356"/>
      <c r="AX100" s="356"/>
      <c r="AY100" s="356"/>
      <c r="AZ100" s="356"/>
      <c r="BA100" s="356"/>
      <c r="BB100" s="356"/>
      <c r="BC100" s="356"/>
      <c r="BD100" s="356"/>
      <c r="BE100" s="356"/>
      <c r="BF100" s="356"/>
      <c r="BG100" s="356"/>
    </row>
    <row r="101" spans="4:59"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56"/>
      <c r="X101" s="356"/>
      <c r="Y101" s="356"/>
      <c r="Z101" s="356"/>
      <c r="AA101" s="356"/>
      <c r="AB101" s="356"/>
      <c r="AC101" s="356"/>
      <c r="AD101" s="356"/>
      <c r="AE101" s="356"/>
      <c r="AF101" s="356"/>
      <c r="AG101" s="356"/>
      <c r="AH101" s="356"/>
      <c r="AI101" s="356"/>
      <c r="AJ101" s="356"/>
      <c r="AK101" s="356"/>
      <c r="AL101" s="356"/>
      <c r="AM101" s="356"/>
      <c r="AN101" s="356"/>
      <c r="AO101" s="356"/>
      <c r="AP101" s="356"/>
      <c r="AQ101" s="356"/>
      <c r="AR101" s="356"/>
      <c r="AS101" s="356"/>
      <c r="AT101" s="356"/>
      <c r="AU101" s="356"/>
      <c r="AV101" s="356"/>
      <c r="AW101" s="356"/>
      <c r="AX101" s="356"/>
      <c r="AY101" s="356"/>
      <c r="AZ101" s="356"/>
      <c r="BA101" s="356"/>
      <c r="BB101" s="356"/>
      <c r="BC101" s="356"/>
      <c r="BD101" s="356"/>
      <c r="BE101" s="356"/>
      <c r="BF101" s="356"/>
      <c r="BG101" s="356"/>
    </row>
    <row r="102" spans="4:59"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356"/>
      <c r="AB102" s="356"/>
      <c r="AC102" s="356"/>
      <c r="AD102" s="356"/>
      <c r="AE102" s="356"/>
      <c r="AF102" s="356"/>
      <c r="AG102" s="356"/>
      <c r="AH102" s="356"/>
      <c r="AI102" s="356"/>
      <c r="AJ102" s="356"/>
      <c r="AK102" s="356"/>
      <c r="AL102" s="356"/>
      <c r="AM102" s="356"/>
      <c r="AN102" s="356"/>
      <c r="AO102" s="356"/>
      <c r="AP102" s="356"/>
      <c r="AQ102" s="356"/>
      <c r="AR102" s="356"/>
      <c r="AS102" s="356"/>
      <c r="AT102" s="356"/>
      <c r="AU102" s="356"/>
      <c r="AV102" s="356"/>
      <c r="AW102" s="356"/>
      <c r="AX102" s="356"/>
      <c r="AY102" s="356"/>
      <c r="AZ102" s="356"/>
      <c r="BA102" s="356"/>
      <c r="BB102" s="356"/>
      <c r="BC102" s="356"/>
      <c r="BD102" s="356"/>
      <c r="BE102" s="356"/>
      <c r="BF102" s="356"/>
      <c r="BG102" s="356"/>
    </row>
    <row r="103" spans="4:59"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356"/>
      <c r="AS103" s="356"/>
      <c r="AT103" s="356"/>
      <c r="AU103" s="356"/>
      <c r="AV103" s="356"/>
      <c r="AW103" s="356"/>
      <c r="AX103" s="356"/>
      <c r="AY103" s="356"/>
      <c r="AZ103" s="356"/>
      <c r="BA103" s="356"/>
      <c r="BB103" s="356"/>
      <c r="BC103" s="356"/>
      <c r="BD103" s="356"/>
      <c r="BE103" s="356"/>
      <c r="BF103" s="356"/>
      <c r="BG103" s="356"/>
    </row>
    <row r="104" spans="4:59"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56"/>
      <c r="X104" s="356"/>
      <c r="Y104" s="356"/>
      <c r="Z104" s="356"/>
      <c r="AA104" s="356"/>
      <c r="AB104" s="356"/>
      <c r="AC104" s="356"/>
      <c r="AD104" s="356"/>
      <c r="AE104" s="356"/>
      <c r="AF104" s="356"/>
      <c r="AG104" s="356"/>
      <c r="AH104" s="356"/>
      <c r="AI104" s="356"/>
      <c r="AJ104" s="356"/>
      <c r="AK104" s="356"/>
      <c r="AL104" s="356"/>
      <c r="AM104" s="356"/>
      <c r="AN104" s="356"/>
      <c r="AO104" s="356"/>
      <c r="AP104" s="356"/>
      <c r="AQ104" s="356"/>
      <c r="AR104" s="356"/>
      <c r="AS104" s="356"/>
      <c r="AT104" s="356"/>
      <c r="AU104" s="356"/>
      <c r="AV104" s="356"/>
      <c r="AW104" s="356"/>
      <c r="AX104" s="356"/>
      <c r="AY104" s="356"/>
      <c r="AZ104" s="356"/>
      <c r="BA104" s="356"/>
      <c r="BB104" s="356"/>
      <c r="BC104" s="356"/>
      <c r="BD104" s="356"/>
      <c r="BE104" s="356"/>
      <c r="BF104" s="356"/>
      <c r="BG104" s="356"/>
    </row>
    <row r="105" spans="4:59"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56"/>
      <c r="X105" s="356"/>
      <c r="Y105" s="356"/>
      <c r="Z105" s="356"/>
      <c r="AA105" s="356"/>
      <c r="AB105" s="356"/>
      <c r="AC105" s="356"/>
      <c r="AD105" s="356"/>
      <c r="AE105" s="356"/>
      <c r="AF105" s="356"/>
      <c r="AG105" s="356"/>
      <c r="AH105" s="356"/>
      <c r="AI105" s="356"/>
      <c r="AJ105" s="356"/>
      <c r="AK105" s="356"/>
      <c r="AL105" s="356"/>
      <c r="AM105" s="356"/>
      <c r="AN105" s="356"/>
      <c r="AO105" s="356"/>
      <c r="AP105" s="356"/>
      <c r="AQ105" s="356"/>
      <c r="AR105" s="356"/>
      <c r="AS105" s="356"/>
      <c r="AT105" s="356"/>
      <c r="AU105" s="356"/>
      <c r="AV105" s="356"/>
      <c r="AW105" s="356"/>
      <c r="AX105" s="356"/>
      <c r="AY105" s="356"/>
      <c r="AZ105" s="356"/>
      <c r="BA105" s="356"/>
      <c r="BB105" s="356"/>
      <c r="BC105" s="356"/>
      <c r="BD105" s="356"/>
      <c r="BE105" s="356"/>
      <c r="BF105" s="356"/>
      <c r="BG105" s="356"/>
    </row>
    <row r="106" spans="4:59"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356"/>
      <c r="AB106" s="356"/>
      <c r="AC106" s="356"/>
      <c r="AD106" s="356"/>
      <c r="AE106" s="356"/>
      <c r="AF106" s="356"/>
      <c r="AG106" s="356"/>
      <c r="AH106" s="356"/>
      <c r="AI106" s="356"/>
      <c r="AJ106" s="356"/>
      <c r="AK106" s="356"/>
      <c r="AL106" s="356"/>
      <c r="AM106" s="356"/>
      <c r="AN106" s="356"/>
      <c r="AO106" s="356"/>
      <c r="AP106" s="356"/>
      <c r="AQ106" s="356"/>
      <c r="AR106" s="356"/>
      <c r="AS106" s="356"/>
      <c r="AT106" s="356"/>
      <c r="AU106" s="356"/>
      <c r="AV106" s="356"/>
      <c r="AW106" s="356"/>
      <c r="AX106" s="356"/>
      <c r="AY106" s="356"/>
      <c r="AZ106" s="356"/>
      <c r="BA106" s="356"/>
      <c r="BB106" s="356"/>
      <c r="BC106" s="356"/>
      <c r="BD106" s="356"/>
      <c r="BE106" s="356"/>
      <c r="BF106" s="356"/>
      <c r="BG106" s="356"/>
    </row>
    <row r="107" spans="4:59"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356"/>
      <c r="AS107" s="356"/>
      <c r="AT107" s="356"/>
      <c r="AU107" s="356"/>
      <c r="AV107" s="356"/>
      <c r="AW107" s="356"/>
      <c r="AX107" s="356"/>
      <c r="AY107" s="356"/>
      <c r="AZ107" s="356"/>
      <c r="BA107" s="356"/>
      <c r="BB107" s="356"/>
      <c r="BC107" s="356"/>
      <c r="BD107" s="356"/>
      <c r="BE107" s="356"/>
      <c r="BF107" s="356"/>
      <c r="BG107" s="356"/>
    </row>
    <row r="108" spans="4:59"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356"/>
      <c r="AB108" s="356"/>
      <c r="AC108" s="356"/>
      <c r="AD108" s="356"/>
      <c r="AE108" s="356"/>
      <c r="AF108" s="356"/>
      <c r="AG108" s="356"/>
      <c r="AH108" s="356"/>
      <c r="AI108" s="356"/>
      <c r="AJ108" s="356"/>
      <c r="AK108" s="356"/>
      <c r="AL108" s="356"/>
      <c r="AM108" s="356"/>
      <c r="AN108" s="356"/>
      <c r="AO108" s="356"/>
      <c r="AP108" s="356"/>
      <c r="AQ108" s="356"/>
      <c r="AR108" s="356"/>
      <c r="AS108" s="356"/>
      <c r="AT108" s="356"/>
      <c r="AU108" s="356"/>
      <c r="AV108" s="356"/>
      <c r="AW108" s="356"/>
      <c r="AX108" s="356"/>
      <c r="AY108" s="356"/>
      <c r="AZ108" s="356"/>
      <c r="BA108" s="356"/>
      <c r="BB108" s="356"/>
      <c r="BC108" s="356"/>
      <c r="BD108" s="356"/>
      <c r="BE108" s="356"/>
      <c r="BF108" s="356"/>
      <c r="BG108" s="356"/>
    </row>
    <row r="109" spans="4:59"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  <c r="Z109" s="356"/>
      <c r="AA109" s="356"/>
      <c r="AB109" s="356"/>
      <c r="AC109" s="356"/>
      <c r="AD109" s="356"/>
      <c r="AE109" s="356"/>
      <c r="AF109" s="356"/>
      <c r="AG109" s="356"/>
      <c r="AH109" s="356"/>
      <c r="AI109" s="356"/>
      <c r="AJ109" s="356"/>
      <c r="AK109" s="356"/>
      <c r="AL109" s="356"/>
      <c r="AM109" s="356"/>
      <c r="AN109" s="356"/>
      <c r="AO109" s="356"/>
      <c r="AP109" s="356"/>
      <c r="AQ109" s="356"/>
      <c r="AR109" s="356"/>
      <c r="AS109" s="356"/>
      <c r="AT109" s="356"/>
      <c r="AU109" s="356"/>
      <c r="AV109" s="356"/>
      <c r="AW109" s="356"/>
      <c r="AX109" s="356"/>
      <c r="AY109" s="356"/>
      <c r="AZ109" s="356"/>
      <c r="BA109" s="356"/>
      <c r="BB109" s="356"/>
      <c r="BC109" s="356"/>
      <c r="BD109" s="356"/>
      <c r="BE109" s="356"/>
      <c r="BF109" s="356"/>
      <c r="BG109" s="356"/>
    </row>
    <row r="110" spans="4:59">
      <c r="D110" s="356"/>
      <c r="E110" s="356"/>
      <c r="F110" s="356"/>
      <c r="G110" s="356"/>
      <c r="H110" s="356"/>
      <c r="I110" s="356"/>
      <c r="J110" s="356"/>
      <c r="K110" s="356"/>
      <c r="L110" s="356"/>
      <c r="M110" s="356"/>
      <c r="N110" s="356"/>
      <c r="O110" s="356"/>
      <c r="P110" s="356"/>
      <c r="Q110" s="356"/>
      <c r="R110" s="356"/>
      <c r="S110" s="356"/>
      <c r="T110" s="356"/>
      <c r="U110" s="356"/>
      <c r="V110" s="356"/>
      <c r="W110" s="356"/>
      <c r="X110" s="356"/>
      <c r="Y110" s="356"/>
      <c r="Z110" s="356"/>
      <c r="AA110" s="356"/>
      <c r="AB110" s="356"/>
      <c r="AC110" s="356"/>
      <c r="AD110" s="356"/>
      <c r="AE110" s="356"/>
      <c r="AF110" s="356"/>
      <c r="AG110" s="356"/>
      <c r="AH110" s="356"/>
      <c r="AI110" s="356"/>
      <c r="AJ110" s="356"/>
      <c r="AK110" s="356"/>
      <c r="AL110" s="356"/>
      <c r="AM110" s="356"/>
      <c r="AN110" s="356"/>
      <c r="AO110" s="356"/>
      <c r="AP110" s="356"/>
      <c r="AQ110" s="356"/>
      <c r="AR110" s="356"/>
      <c r="AS110" s="356"/>
      <c r="AT110" s="356"/>
      <c r="AU110" s="356"/>
      <c r="AV110" s="356"/>
      <c r="AW110" s="356"/>
      <c r="AX110" s="356"/>
      <c r="AY110" s="356"/>
      <c r="AZ110" s="356"/>
      <c r="BA110" s="356"/>
      <c r="BB110" s="356"/>
      <c r="BC110" s="356"/>
      <c r="BD110" s="356"/>
      <c r="BE110" s="356"/>
      <c r="BF110" s="356"/>
      <c r="BG110" s="356"/>
    </row>
    <row r="111" spans="4:59">
      <c r="D111" s="356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356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356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356"/>
      <c r="AS111" s="356"/>
      <c r="AT111" s="356"/>
      <c r="AU111" s="356"/>
      <c r="AV111" s="356"/>
      <c r="AW111" s="356"/>
      <c r="AX111" s="356"/>
      <c r="AY111" s="356"/>
      <c r="AZ111" s="356"/>
      <c r="BA111" s="356"/>
      <c r="BB111" s="356"/>
      <c r="BC111" s="356"/>
      <c r="BD111" s="356"/>
      <c r="BE111" s="356"/>
      <c r="BF111" s="356"/>
      <c r="BG111" s="356"/>
    </row>
    <row r="112" spans="4:59"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356"/>
      <c r="O112" s="356"/>
      <c r="P112" s="356"/>
      <c r="Q112" s="356"/>
      <c r="R112" s="356"/>
      <c r="S112" s="356"/>
      <c r="T112" s="356"/>
      <c r="U112" s="356"/>
      <c r="V112" s="356"/>
      <c r="W112" s="356"/>
      <c r="X112" s="356"/>
      <c r="Y112" s="356"/>
      <c r="Z112" s="356"/>
      <c r="AA112" s="356"/>
      <c r="AB112" s="356"/>
      <c r="AC112" s="356"/>
      <c r="AD112" s="356"/>
      <c r="AE112" s="356"/>
      <c r="AF112" s="356"/>
      <c r="AG112" s="356"/>
      <c r="AH112" s="356"/>
      <c r="AI112" s="356"/>
      <c r="AJ112" s="356"/>
      <c r="AK112" s="356"/>
      <c r="AL112" s="356"/>
      <c r="AM112" s="356"/>
      <c r="AN112" s="356"/>
      <c r="AO112" s="356"/>
      <c r="AP112" s="356"/>
      <c r="AQ112" s="356"/>
      <c r="AR112" s="356"/>
      <c r="AS112" s="356"/>
      <c r="AT112" s="356"/>
      <c r="AU112" s="356"/>
      <c r="AV112" s="356"/>
      <c r="AW112" s="356"/>
      <c r="AX112" s="356"/>
      <c r="AY112" s="356"/>
      <c r="AZ112" s="356"/>
      <c r="BA112" s="356"/>
      <c r="BB112" s="356"/>
      <c r="BC112" s="356"/>
      <c r="BD112" s="356"/>
      <c r="BE112" s="356"/>
      <c r="BF112" s="356"/>
      <c r="BG112" s="356"/>
    </row>
    <row r="113" spans="4:61"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356"/>
      <c r="AB113" s="356"/>
      <c r="AC113" s="356"/>
      <c r="AD113" s="356"/>
      <c r="AE113" s="356"/>
      <c r="AF113" s="356"/>
      <c r="AG113" s="356"/>
      <c r="AH113" s="356"/>
      <c r="AI113" s="356"/>
      <c r="AJ113" s="356"/>
      <c r="AK113" s="356"/>
      <c r="AL113" s="356"/>
      <c r="AM113" s="356"/>
      <c r="AN113" s="356"/>
      <c r="AO113" s="356"/>
      <c r="AP113" s="356"/>
      <c r="AQ113" s="356"/>
      <c r="AR113" s="356"/>
      <c r="AS113" s="356"/>
      <c r="AT113" s="356"/>
      <c r="AU113" s="356"/>
      <c r="AV113" s="356"/>
      <c r="AW113" s="356"/>
      <c r="AX113" s="356"/>
      <c r="AY113" s="356"/>
      <c r="AZ113" s="356"/>
      <c r="BA113" s="356"/>
      <c r="BB113" s="356"/>
      <c r="BC113" s="356"/>
      <c r="BD113" s="356"/>
      <c r="BE113" s="356"/>
      <c r="BF113" s="356"/>
      <c r="BG113" s="356"/>
    </row>
    <row r="114" spans="4:61">
      <c r="D114" s="356"/>
      <c r="E114" s="356"/>
      <c r="F114" s="356"/>
      <c r="G114" s="356"/>
      <c r="H114" s="356"/>
      <c r="I114" s="356"/>
      <c r="J114" s="356"/>
      <c r="K114" s="356"/>
      <c r="L114" s="356"/>
      <c r="M114" s="356"/>
      <c r="N114" s="356"/>
      <c r="O114" s="356"/>
      <c r="P114" s="356"/>
      <c r="Q114" s="356"/>
      <c r="R114" s="356"/>
      <c r="S114" s="356"/>
      <c r="T114" s="356"/>
      <c r="U114" s="356"/>
      <c r="V114" s="356"/>
      <c r="W114" s="356"/>
      <c r="X114" s="356"/>
      <c r="Y114" s="356"/>
      <c r="Z114" s="356"/>
      <c r="AA114" s="356"/>
      <c r="AB114" s="356"/>
      <c r="AC114" s="356"/>
      <c r="AD114" s="356"/>
      <c r="AE114" s="356"/>
      <c r="AF114" s="356"/>
      <c r="AG114" s="356"/>
      <c r="AH114" s="356"/>
      <c r="AI114" s="356"/>
      <c r="AJ114" s="356"/>
      <c r="AK114" s="356"/>
      <c r="AL114" s="356"/>
      <c r="AM114" s="356"/>
      <c r="AN114" s="356"/>
      <c r="AO114" s="356"/>
      <c r="AP114" s="356"/>
      <c r="AQ114" s="356"/>
      <c r="AR114" s="356"/>
      <c r="AS114" s="356"/>
      <c r="AT114" s="356"/>
      <c r="AU114" s="356"/>
      <c r="AV114" s="356"/>
      <c r="AW114" s="356"/>
      <c r="AX114" s="356"/>
      <c r="AY114" s="356"/>
      <c r="AZ114" s="356"/>
      <c r="BA114" s="356"/>
      <c r="BB114" s="356"/>
      <c r="BC114" s="356"/>
      <c r="BD114" s="356"/>
      <c r="BE114" s="356"/>
      <c r="BF114" s="356"/>
      <c r="BG114" s="356"/>
    </row>
    <row r="115" spans="4:61"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56"/>
      <c r="O115" s="356"/>
      <c r="P115" s="356"/>
      <c r="Q115" s="356"/>
      <c r="R115" s="356"/>
      <c r="S115" s="356"/>
      <c r="T115" s="356"/>
      <c r="U115" s="356"/>
      <c r="V115" s="356"/>
      <c r="W115" s="356"/>
      <c r="X115" s="356"/>
      <c r="Y115" s="356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</row>
    <row r="116" spans="4:61">
      <c r="D116" s="356"/>
      <c r="E116" s="356"/>
      <c r="F116" s="356"/>
      <c r="G116" s="356"/>
      <c r="H116" s="356"/>
      <c r="I116" s="356"/>
      <c r="J116" s="356"/>
      <c r="K116" s="356"/>
      <c r="L116" s="356"/>
      <c r="M116" s="356"/>
      <c r="N116" s="356"/>
      <c r="O116" s="356"/>
      <c r="P116" s="356"/>
      <c r="Q116" s="356"/>
      <c r="R116" s="356"/>
      <c r="S116" s="356"/>
      <c r="T116" s="356"/>
      <c r="U116" s="356"/>
      <c r="V116" s="356"/>
      <c r="W116" s="356"/>
      <c r="X116" s="356"/>
      <c r="Y116" s="356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27"/>
      <c r="BI116" s="27"/>
    </row>
    <row r="117" spans="4:61">
      <c r="D117" s="356"/>
      <c r="E117" s="356"/>
      <c r="F117" s="356"/>
      <c r="G117" s="356"/>
      <c r="H117" s="356"/>
      <c r="I117" s="356"/>
      <c r="J117" s="356"/>
      <c r="K117" s="356"/>
      <c r="L117" s="356"/>
      <c r="M117" s="356"/>
      <c r="N117" s="356"/>
      <c r="O117" s="356"/>
      <c r="P117" s="356"/>
      <c r="Q117" s="356"/>
      <c r="R117" s="356"/>
      <c r="S117" s="356"/>
      <c r="T117" s="356"/>
      <c r="U117" s="356"/>
      <c r="V117" s="356"/>
      <c r="W117" s="356"/>
      <c r="X117" s="356"/>
      <c r="Y117" s="356"/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I117" s="22"/>
    </row>
    <row r="118" spans="4:61">
      <c r="D118" s="356"/>
      <c r="E118" s="356"/>
      <c r="F118" s="356"/>
      <c r="G118" s="356"/>
      <c r="H118" s="356"/>
      <c r="I118" s="356"/>
      <c r="J118" s="356"/>
      <c r="K118" s="356"/>
      <c r="L118" s="356"/>
      <c r="M118" s="356"/>
      <c r="N118" s="356"/>
      <c r="O118" s="356"/>
      <c r="P118" s="356"/>
      <c r="Q118" s="356"/>
      <c r="R118" s="356"/>
      <c r="S118" s="356"/>
      <c r="T118" s="356"/>
      <c r="U118" s="356"/>
      <c r="V118" s="356"/>
      <c r="W118" s="356"/>
      <c r="X118" s="356"/>
      <c r="Y118" s="356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</row>
    <row r="119" spans="4:61">
      <c r="D119" s="356"/>
      <c r="E119" s="356"/>
      <c r="F119" s="356"/>
      <c r="G119" s="356"/>
      <c r="H119" s="356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356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56"/>
    </row>
    <row r="120" spans="4:61"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</row>
    <row r="121" spans="4:61">
      <c r="D121" s="356"/>
      <c r="E121" s="356"/>
      <c r="F121" s="356"/>
      <c r="G121" s="356"/>
      <c r="H121" s="356"/>
      <c r="I121" s="356"/>
      <c r="J121" s="356"/>
      <c r="K121" s="356"/>
      <c r="L121" s="356"/>
      <c r="M121" s="356"/>
      <c r="N121" s="356"/>
      <c r="O121" s="356"/>
      <c r="P121" s="356"/>
      <c r="Q121" s="356"/>
      <c r="R121" s="356"/>
      <c r="S121" s="356"/>
      <c r="T121" s="356"/>
      <c r="U121" s="356"/>
      <c r="V121" s="356"/>
      <c r="W121" s="356"/>
      <c r="X121" s="356"/>
      <c r="Y121" s="356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</row>
    <row r="122" spans="4:61">
      <c r="D122" s="356"/>
      <c r="E122" s="356"/>
      <c r="F122" s="356"/>
      <c r="G122" s="356"/>
      <c r="H122" s="356"/>
      <c r="I122" s="356"/>
      <c r="J122" s="356"/>
      <c r="K122" s="356"/>
      <c r="L122" s="356"/>
      <c r="M122" s="356"/>
      <c r="N122" s="356"/>
      <c r="O122" s="356"/>
      <c r="P122" s="356"/>
      <c r="Q122" s="356"/>
      <c r="R122" s="356"/>
      <c r="S122" s="356"/>
      <c r="T122" s="356"/>
      <c r="U122" s="356"/>
      <c r="V122" s="356"/>
      <c r="W122" s="356"/>
      <c r="X122" s="356"/>
      <c r="Y122" s="356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</row>
    <row r="123" spans="4:61">
      <c r="D123" s="356"/>
      <c r="E123" s="356"/>
      <c r="F123" s="356"/>
      <c r="G123" s="356"/>
      <c r="H123" s="356"/>
      <c r="I123" s="356"/>
      <c r="J123" s="356"/>
      <c r="K123" s="356"/>
      <c r="L123" s="356"/>
      <c r="M123" s="356"/>
      <c r="N123" s="356"/>
      <c r="O123" s="356"/>
      <c r="P123" s="356"/>
      <c r="Q123" s="356"/>
      <c r="R123" s="356"/>
      <c r="S123" s="356"/>
      <c r="T123" s="356"/>
      <c r="U123" s="356"/>
      <c r="V123" s="356"/>
      <c r="W123" s="356"/>
      <c r="X123" s="356"/>
      <c r="Y123" s="356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79"/>
      <c r="AW123" s="379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</row>
    <row r="124" spans="4:61"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6"/>
      <c r="P124" s="356"/>
      <c r="Q124" s="356"/>
      <c r="R124" s="356"/>
      <c r="S124" s="356"/>
      <c r="T124" s="356"/>
      <c r="U124" s="356"/>
      <c r="V124" s="356"/>
      <c r="W124" s="356"/>
      <c r="X124" s="356"/>
      <c r="Y124" s="356"/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</row>
    <row r="125" spans="4:61">
      <c r="D125" s="356"/>
      <c r="E125" s="356"/>
      <c r="F125" s="356"/>
      <c r="G125" s="356"/>
      <c r="H125" s="356"/>
      <c r="I125" s="356"/>
      <c r="J125" s="356"/>
      <c r="K125" s="356"/>
      <c r="L125" s="356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</row>
    <row r="126" spans="4:61">
      <c r="AR126" s="356"/>
    </row>
    <row r="127" spans="4:61">
      <c r="AR127" s="356"/>
      <c r="AT127" s="356"/>
    </row>
    <row r="128" spans="4:61">
      <c r="AR128" s="356"/>
    </row>
    <row r="129" spans="44:55"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</row>
  </sheetData>
  <mergeCells count="9">
    <mergeCell ref="D55:G55"/>
    <mergeCell ref="AW73:AX73"/>
    <mergeCell ref="AV123:AW123"/>
    <mergeCell ref="X20:AA20"/>
    <mergeCell ref="A40:B40"/>
    <mergeCell ref="A41:B41"/>
    <mergeCell ref="X41:AA41"/>
    <mergeCell ref="A42:B42"/>
    <mergeCell ref="AV50:AZ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I128"/>
  <sheetViews>
    <sheetView showGridLines="0" topLeftCell="G37" workbookViewId="0">
      <selection activeCell="J33" sqref="J33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50" width="9.140625" style="15"/>
    <col min="51" max="51" width="10.5703125" style="15" customWidth="1"/>
    <col min="52" max="16384" width="9.140625" style="15"/>
  </cols>
  <sheetData>
    <row r="1" spans="9:38"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</row>
    <row r="2" spans="9:38">
      <c r="AK2" s="342"/>
      <c r="AL2" s="342"/>
    </row>
    <row r="3" spans="9:38">
      <c r="AK3" s="342"/>
      <c r="AL3" s="342"/>
    </row>
    <row r="4" spans="9:38">
      <c r="AK4" s="342"/>
      <c r="AL4" s="342"/>
    </row>
    <row r="5" spans="9:38" ht="21" customHeight="1">
      <c r="I5" s="347"/>
      <c r="AK5" s="342"/>
      <c r="AL5" s="342"/>
    </row>
    <row r="6" spans="9:38">
      <c r="I6" s="342"/>
      <c r="AK6" s="342"/>
      <c r="AL6" s="342"/>
    </row>
    <row r="7" spans="9:38" ht="15.75" customHeight="1">
      <c r="I7" s="342"/>
      <c r="AK7" s="342"/>
      <c r="AL7" s="342"/>
    </row>
    <row r="8" spans="9:38">
      <c r="I8" s="342"/>
      <c r="AK8" s="342"/>
      <c r="AL8" s="342"/>
    </row>
    <row r="9" spans="9:38">
      <c r="I9" s="342"/>
      <c r="AK9" s="342"/>
      <c r="AL9" s="342"/>
    </row>
    <row r="10" spans="9:38">
      <c r="I10" s="342"/>
      <c r="AK10" s="342"/>
      <c r="AL10" s="342"/>
    </row>
    <row r="11" spans="9:38">
      <c r="AK11" s="342"/>
      <c r="AL11" s="342"/>
    </row>
    <row r="12" spans="9:38">
      <c r="AK12" s="342"/>
      <c r="AL12" s="342"/>
    </row>
    <row r="13" spans="9:38">
      <c r="AK13" s="342"/>
      <c r="AL13" s="342"/>
    </row>
    <row r="14" spans="9:38">
      <c r="Q14" s="22"/>
      <c r="T14" s="342"/>
      <c r="U14" s="342"/>
      <c r="V14" s="342"/>
      <c r="W14" s="342"/>
      <c r="AA14" s="342"/>
      <c r="AB14" s="342"/>
      <c r="AC14" s="342"/>
      <c r="AD14" s="342"/>
      <c r="AE14" s="342"/>
      <c r="AF14" s="342"/>
      <c r="AG14" s="342"/>
      <c r="AH14" s="342"/>
      <c r="AI14" s="342"/>
      <c r="AJ14" s="342"/>
      <c r="AK14" s="342"/>
      <c r="AL14" s="342"/>
    </row>
    <row r="15" spans="9:38">
      <c r="T15" s="342"/>
      <c r="U15" s="342"/>
      <c r="V15" s="342"/>
      <c r="W15" s="342"/>
      <c r="Y15" s="342"/>
      <c r="Z15" s="342"/>
      <c r="AA15" s="342"/>
      <c r="AB15" s="342"/>
      <c r="AC15" s="342"/>
      <c r="AD15" s="342"/>
      <c r="AE15" s="342"/>
      <c r="AF15" s="342"/>
      <c r="AG15" s="342"/>
      <c r="AH15" s="342"/>
      <c r="AI15" s="342"/>
      <c r="AJ15" s="342"/>
      <c r="AK15" s="342"/>
    </row>
    <row r="16" spans="9:38" ht="21">
      <c r="AB16" s="102"/>
      <c r="AC16" s="342"/>
      <c r="AD16" s="342"/>
      <c r="AE16" s="342"/>
      <c r="AF16" s="342"/>
      <c r="AG16" s="342"/>
      <c r="AH16" s="342"/>
      <c r="AI16" s="342"/>
      <c r="AJ16" s="342"/>
      <c r="AK16" s="342"/>
    </row>
    <row r="17" spans="1:38">
      <c r="H17" s="347"/>
      <c r="Q17" s="342"/>
      <c r="W17" s="342"/>
      <c r="X17" s="342"/>
      <c r="Y17" s="342"/>
      <c r="Z17" s="342"/>
      <c r="AA17" s="342"/>
      <c r="AB17" s="342"/>
      <c r="AC17" s="342"/>
      <c r="AD17" s="342"/>
      <c r="AE17" s="342"/>
      <c r="AF17" s="342"/>
      <c r="AG17" s="342"/>
      <c r="AH17" s="342"/>
      <c r="AI17" s="342"/>
      <c r="AJ17" s="342"/>
      <c r="AK17" s="342"/>
    </row>
    <row r="18" spans="1:38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236</v>
      </c>
      <c r="N18" s="98"/>
      <c r="O18" s="98"/>
      <c r="Q18" s="342"/>
      <c r="W18" s="342"/>
      <c r="X18" s="342"/>
      <c r="Y18" s="101" t="s">
        <v>238</v>
      </c>
      <c r="Z18" s="101"/>
      <c r="AA18" s="101"/>
      <c r="AB18" s="342"/>
      <c r="AC18" s="342"/>
      <c r="AD18" s="342"/>
      <c r="AE18" s="342"/>
      <c r="AJ18" s="342"/>
      <c r="AK18" s="342"/>
      <c r="AL18" s="342"/>
    </row>
    <row r="19" spans="1:38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B21/C22*1000</f>
        <v>95.36538031903757</v>
      </c>
      <c r="H19" s="24" t="s">
        <v>100</v>
      </c>
      <c r="L19" s="47" t="s">
        <v>46</v>
      </c>
      <c r="M19" s="96"/>
      <c r="N19" s="96"/>
      <c r="O19" s="34"/>
      <c r="P19" s="34"/>
      <c r="Q19" s="342"/>
      <c r="AE19" s="342"/>
      <c r="AJ19" s="342"/>
      <c r="AK19" s="342"/>
      <c r="AL19" s="342"/>
    </row>
    <row r="20" spans="1:38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342"/>
      <c r="W20" s="342"/>
      <c r="X20" s="403" t="s">
        <v>22</v>
      </c>
      <c r="Y20" s="404"/>
      <c r="Z20" s="404"/>
      <c r="AA20" s="405"/>
      <c r="AB20" s="342"/>
      <c r="AC20" s="342"/>
      <c r="AD20" s="342"/>
      <c r="AK20" s="342"/>
      <c r="AL20" s="342"/>
    </row>
    <row r="21" spans="1:38" ht="18">
      <c r="A21" s="89" t="s">
        <v>16</v>
      </c>
      <c r="B21" s="198">
        <v>10</v>
      </c>
      <c r="C21" s="86">
        <f>B21/D21</f>
        <v>4.545454545454545</v>
      </c>
      <c r="D21" s="86">
        <v>2.2000000000000002</v>
      </c>
      <c r="K21" s="342"/>
      <c r="O21" s="23"/>
      <c r="X21" s="16"/>
      <c r="Y21" s="17"/>
      <c r="Z21" s="18"/>
      <c r="AK21" s="342"/>
      <c r="AL21" s="342"/>
    </row>
    <row r="22" spans="1:38" ht="18">
      <c r="A22" s="84" t="s">
        <v>17</v>
      </c>
      <c r="B22" s="86">
        <f>SUM(B19:B21)</f>
        <v>110.10048999999999</v>
      </c>
      <c r="C22" s="86">
        <f>SUM(C19:C21)</f>
        <v>104.85985550045274</v>
      </c>
      <c r="D22" s="86">
        <f>B22/C22</f>
        <v>1.0499775102162394</v>
      </c>
      <c r="K22" s="342"/>
      <c r="L22" s="36" t="s">
        <v>3</v>
      </c>
      <c r="M22" s="34"/>
      <c r="N22" s="15" t="s">
        <v>18</v>
      </c>
      <c r="O22" s="36" t="s">
        <v>49</v>
      </c>
      <c r="P22" s="73">
        <v>87.11</v>
      </c>
      <c r="Q22" s="342" t="s">
        <v>18</v>
      </c>
      <c r="X22" s="105" t="s">
        <v>3</v>
      </c>
      <c r="Y22" s="106"/>
      <c r="Z22" s="73"/>
      <c r="AA22" s="15" t="s">
        <v>18</v>
      </c>
      <c r="AB22" s="36" t="s">
        <v>49</v>
      </c>
      <c r="AC22" s="34">
        <v>82.66</v>
      </c>
      <c r="AD22" s="342" t="s">
        <v>18</v>
      </c>
      <c r="AK22" s="342"/>
      <c r="AL22" s="342"/>
    </row>
    <row r="23" spans="1:38" ht="18">
      <c r="B23" s="87"/>
      <c r="C23" s="87"/>
      <c r="D23" s="87"/>
      <c r="E23" s="87"/>
      <c r="K23" s="342"/>
      <c r="L23" s="36" t="s">
        <v>4</v>
      </c>
      <c r="M23" s="34"/>
      <c r="N23" s="15" t="s">
        <v>18</v>
      </c>
      <c r="O23" s="36" t="s">
        <v>27</v>
      </c>
      <c r="P23" s="34">
        <f>0.92/100</f>
        <v>9.1999999999999998E-3</v>
      </c>
      <c r="Q23" s="342" t="s">
        <v>33</v>
      </c>
      <c r="X23" s="105" t="s">
        <v>4</v>
      </c>
      <c r="Y23" s="106"/>
      <c r="Z23" s="34"/>
      <c r="AA23" s="15" t="s">
        <v>18</v>
      </c>
      <c r="AB23" s="36" t="s">
        <v>27</v>
      </c>
      <c r="AC23" s="34">
        <f>0.13/100</f>
        <v>1.2999999999999999E-3</v>
      </c>
      <c r="AD23" s="342" t="s">
        <v>33</v>
      </c>
      <c r="AK23" s="342"/>
      <c r="AL23" s="342"/>
    </row>
    <row r="24" spans="1:38">
      <c r="A24" s="161" t="s">
        <v>235</v>
      </c>
      <c r="B24" s="161"/>
      <c r="K24" s="342"/>
      <c r="L24" s="103" t="s">
        <v>17</v>
      </c>
      <c r="M24" s="34"/>
      <c r="N24" s="15" t="s">
        <v>18</v>
      </c>
      <c r="O24" s="67" t="s">
        <v>30</v>
      </c>
      <c r="P24" s="37">
        <f>P23*P22</f>
        <v>0.80141200000000001</v>
      </c>
      <c r="Q24" s="342" t="s">
        <v>18</v>
      </c>
      <c r="X24" s="105" t="s">
        <v>17</v>
      </c>
      <c r="Y24" s="106"/>
      <c r="Z24" s="73"/>
      <c r="AA24" s="15" t="s">
        <v>18</v>
      </c>
      <c r="AB24" s="67" t="s">
        <v>30</v>
      </c>
      <c r="AC24" s="37">
        <f>AC23*AC22</f>
        <v>0.10745799999999998</v>
      </c>
      <c r="AD24" s="342" t="s">
        <v>18</v>
      </c>
      <c r="AK24" s="342"/>
      <c r="AL24" s="342"/>
    </row>
    <row r="25" spans="1:38">
      <c r="A25" s="161" t="s">
        <v>240</v>
      </c>
      <c r="L25" s="67" t="s">
        <v>30</v>
      </c>
      <c r="M25" s="37">
        <f>P23*M24</f>
        <v>0</v>
      </c>
      <c r="N25" s="15" t="s">
        <v>18</v>
      </c>
      <c r="Q25" s="342"/>
      <c r="W25" s="342"/>
      <c r="X25" s="348" t="s">
        <v>30</v>
      </c>
      <c r="Y25" s="349"/>
      <c r="Z25" s="104">
        <f>AC23*Z24</f>
        <v>0</v>
      </c>
      <c r="AA25" s="15" t="s">
        <v>18</v>
      </c>
      <c r="AK25" s="342"/>
      <c r="AL25" s="342"/>
    </row>
    <row r="26" spans="1:38">
      <c r="A26" s="161" t="s">
        <v>245</v>
      </c>
      <c r="W26" s="342"/>
      <c r="X26" s="342"/>
      <c r="Y26" s="342"/>
      <c r="Z26" s="342"/>
      <c r="AA26" s="23"/>
      <c r="AL26" s="342"/>
    </row>
    <row r="27" spans="1:38">
      <c r="A27" s="23"/>
      <c r="I27" s="342"/>
      <c r="J27" s="342"/>
      <c r="K27" s="342"/>
      <c r="L27" s="342"/>
      <c r="AD27" s="31">
        <f>AC22+Z24</f>
        <v>82.66</v>
      </c>
      <c r="AE27" s="15">
        <f>AC24+Z25</f>
        <v>0.10745799999999998</v>
      </c>
      <c r="AL27" s="342"/>
    </row>
    <row r="28" spans="1:38" ht="21">
      <c r="D28" s="143" t="s">
        <v>45</v>
      </c>
      <c r="E28" s="142">
        <f>B22-(C41+B44)</f>
        <v>109.47049</v>
      </c>
      <c r="F28" s="15" t="s">
        <v>18</v>
      </c>
      <c r="I28" s="342"/>
      <c r="J28" s="342"/>
      <c r="K28" s="342"/>
      <c r="L28" s="342"/>
    </row>
    <row r="29" spans="1:38">
      <c r="I29" s="342"/>
      <c r="J29" s="342"/>
      <c r="K29" s="342"/>
      <c r="L29" s="342"/>
      <c r="V29" s="342"/>
      <c r="W29" s="342"/>
      <c r="X29" s="342"/>
      <c r="AJ29" s="22"/>
    </row>
    <row r="30" spans="1:38" ht="21">
      <c r="I30" s="102"/>
      <c r="V30" s="342"/>
      <c r="W30" s="200">
        <f>AC22+AC43</f>
        <v>84.86</v>
      </c>
      <c r="X30" s="342"/>
    </row>
    <row r="31" spans="1:38">
      <c r="V31" s="342"/>
      <c r="W31" s="342"/>
      <c r="X31" s="342"/>
    </row>
    <row r="33" spans="1:55">
      <c r="G33" s="15" t="s">
        <v>101</v>
      </c>
      <c r="H33" s="31">
        <f>E28-P22-Q41</f>
        <v>7.7904899999999984</v>
      </c>
      <c r="I33" s="15" t="s">
        <v>18</v>
      </c>
      <c r="S33" s="15" t="s">
        <v>101</v>
      </c>
      <c r="T33" s="31">
        <f>P22-W30</f>
        <v>2.25</v>
      </c>
      <c r="U33" s="15" t="s">
        <v>18</v>
      </c>
    </row>
    <row r="34" spans="1:55">
      <c r="D34" s="342"/>
      <c r="E34" s="342"/>
      <c r="F34" s="342"/>
      <c r="G34" s="15" t="s">
        <v>125</v>
      </c>
      <c r="H34" s="76">
        <f>H33/E28</f>
        <v>7.116520625786911E-2</v>
      </c>
      <c r="S34" s="15" t="s">
        <v>125</v>
      </c>
      <c r="T34" s="76">
        <f>T33/E28</f>
        <v>2.0553484322578624E-2</v>
      </c>
      <c r="Z34" s="342"/>
      <c r="AA34" s="342"/>
      <c r="AB34" s="342"/>
      <c r="AC34" s="342"/>
      <c r="AD34" s="342"/>
      <c r="AE34" s="342"/>
      <c r="AF34" s="342"/>
      <c r="AG34" s="342"/>
      <c r="AH34" s="342"/>
      <c r="AI34" s="342"/>
      <c r="AJ34" s="342"/>
    </row>
    <row r="35" spans="1:55">
      <c r="D35" s="342"/>
      <c r="E35" s="342"/>
      <c r="F35" s="342"/>
      <c r="G35" s="15" t="s">
        <v>126</v>
      </c>
      <c r="H35" s="81">
        <f>H34*B49</f>
        <v>0.70757995718275168</v>
      </c>
      <c r="I35" s="342" t="s">
        <v>18</v>
      </c>
      <c r="S35" s="15" t="s">
        <v>126</v>
      </c>
      <c r="T35" s="81">
        <f>T34*B49</f>
        <v>0.2043587635259389</v>
      </c>
      <c r="U35" s="342" t="s">
        <v>18</v>
      </c>
      <c r="Z35" s="342"/>
    </row>
    <row r="36" spans="1:55">
      <c r="D36" s="342"/>
      <c r="E36" s="342"/>
      <c r="F36" s="342"/>
      <c r="G36" s="342"/>
      <c r="H36" s="200"/>
      <c r="P36" s="343"/>
      <c r="Q36" s="343"/>
      <c r="R36" s="16"/>
      <c r="U36" s="342"/>
      <c r="Z36" s="342"/>
    </row>
    <row r="37" spans="1:55">
      <c r="E37" s="30"/>
      <c r="Z37" s="342"/>
    </row>
    <row r="38" spans="1:55" ht="21">
      <c r="M38" s="98" t="s">
        <v>237</v>
      </c>
      <c r="N38" s="48"/>
      <c r="Z38" s="342"/>
      <c r="AP38" s="342"/>
      <c r="AQ38" s="342"/>
      <c r="AR38" s="342"/>
      <c r="AS38" s="342"/>
      <c r="AT38" s="342"/>
      <c r="AU38" s="342"/>
      <c r="AV38" s="342"/>
      <c r="AW38" s="342"/>
      <c r="AX38" s="342"/>
      <c r="AY38" s="342"/>
      <c r="AZ38" s="342"/>
      <c r="BA38" s="342"/>
      <c r="BB38" s="342"/>
    </row>
    <row r="39" spans="1:55" ht="21">
      <c r="A39" s="392" t="s">
        <v>6</v>
      </c>
      <c r="B39" s="392"/>
      <c r="C39" s="33">
        <v>0.33</v>
      </c>
      <c r="D39" s="15" t="s">
        <v>18</v>
      </c>
      <c r="E39" s="342"/>
      <c r="F39" s="342"/>
      <c r="G39" s="342"/>
      <c r="M39" s="345" t="s">
        <v>20</v>
      </c>
      <c r="N39" s="346"/>
      <c r="Y39" s="101" t="s">
        <v>239</v>
      </c>
      <c r="Z39" s="101"/>
      <c r="AA39" s="101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342"/>
      <c r="BB39" s="342"/>
    </row>
    <row r="40" spans="1:55">
      <c r="A40" s="392" t="s">
        <v>5</v>
      </c>
      <c r="B40" s="392"/>
      <c r="C40" s="33">
        <v>0.3</v>
      </c>
      <c r="D40" s="15" t="s">
        <v>18</v>
      </c>
      <c r="E40" s="342"/>
      <c r="F40" s="342"/>
      <c r="G40" s="342"/>
      <c r="S40" s="342"/>
      <c r="V40" s="342"/>
      <c r="X40" s="403" t="s">
        <v>23</v>
      </c>
      <c r="Y40" s="404"/>
      <c r="Z40" s="404"/>
      <c r="AA40" s="405"/>
      <c r="AB40" s="342"/>
      <c r="AK40" s="342"/>
      <c r="AP40" s="342"/>
      <c r="AQ40" s="342"/>
      <c r="AR40" s="342"/>
      <c r="AS40" s="342"/>
      <c r="AT40" s="342"/>
      <c r="AU40" s="342"/>
      <c r="AV40" s="342"/>
      <c r="AW40" s="342"/>
      <c r="AX40" s="342"/>
      <c r="AY40" s="342"/>
      <c r="AZ40" s="342"/>
      <c r="BA40" s="342"/>
      <c r="BB40" s="342"/>
    </row>
    <row r="41" spans="1:55">
      <c r="A41" s="400" t="s">
        <v>17</v>
      </c>
      <c r="B41" s="401"/>
      <c r="C41" s="91">
        <f>SUM(C39:C40)</f>
        <v>0.63</v>
      </c>
      <c r="D41" s="23" t="s">
        <v>18</v>
      </c>
      <c r="E41" s="342"/>
      <c r="F41" s="342"/>
      <c r="G41" s="342"/>
      <c r="J41" s="67" t="s">
        <v>1</v>
      </c>
      <c r="K41" s="34"/>
      <c r="L41" s="15" t="s">
        <v>18</v>
      </c>
      <c r="M41" s="36" t="s">
        <v>3</v>
      </c>
      <c r="N41" s="73"/>
      <c r="O41" s="15" t="s">
        <v>18</v>
      </c>
      <c r="P41" s="36" t="s">
        <v>49</v>
      </c>
      <c r="Q41" s="34">
        <v>14.57</v>
      </c>
      <c r="R41" s="342" t="s">
        <v>18</v>
      </c>
      <c r="S41" s="342"/>
      <c r="Z41" s="342"/>
      <c r="AK41" s="342"/>
      <c r="AP41" s="342"/>
      <c r="AQ41" s="342"/>
      <c r="AR41" s="342"/>
      <c r="AS41" s="342"/>
      <c r="AT41" s="342"/>
      <c r="AU41" s="342"/>
      <c r="AV41" s="342"/>
      <c r="AW41" s="342"/>
      <c r="AX41" s="342"/>
      <c r="AY41" s="342"/>
      <c r="AZ41" s="342"/>
      <c r="BA41" s="342"/>
      <c r="BB41" s="342"/>
    </row>
    <row r="42" spans="1:55">
      <c r="C42" s="342"/>
      <c r="D42" s="342"/>
      <c r="E42" s="342"/>
      <c r="F42" s="342"/>
      <c r="G42" s="342"/>
      <c r="I42" s="26"/>
      <c r="J42" s="67" t="s">
        <v>9</v>
      </c>
      <c r="K42" s="64"/>
      <c r="L42" s="15" t="s">
        <v>18</v>
      </c>
      <c r="M42" s="36" t="s">
        <v>4</v>
      </c>
      <c r="N42" s="34"/>
      <c r="O42" s="15" t="s">
        <v>18</v>
      </c>
      <c r="P42" s="36" t="s">
        <v>27</v>
      </c>
      <c r="Q42" s="34">
        <f>52.26/100</f>
        <v>0.52259999999999995</v>
      </c>
      <c r="R42" s="342" t="s">
        <v>33</v>
      </c>
      <c r="S42" s="342"/>
      <c r="AE42" s="342"/>
      <c r="AF42" s="342"/>
      <c r="AG42" s="342"/>
      <c r="AH42" s="342"/>
      <c r="AI42" s="342"/>
      <c r="AJ42" s="342"/>
      <c r="AK42" s="342"/>
      <c r="AL42" s="342"/>
      <c r="AP42" s="342"/>
      <c r="AQ42" s="342"/>
      <c r="AR42" s="342"/>
      <c r="AS42" s="342"/>
      <c r="AT42" s="342"/>
      <c r="AU42" s="342"/>
      <c r="AV42" s="342"/>
      <c r="AW42" s="342"/>
      <c r="AX42" s="342"/>
      <c r="AY42" s="342"/>
      <c r="AZ42" s="342"/>
      <c r="BA42" s="342"/>
      <c r="BB42" s="342"/>
    </row>
    <row r="43" spans="1:55">
      <c r="A43" s="36" t="s">
        <v>44</v>
      </c>
      <c r="B43" s="33"/>
      <c r="C43" s="342" t="s">
        <v>18</v>
      </c>
      <c r="D43" s="342"/>
      <c r="E43" s="342"/>
      <c r="F43" s="342"/>
      <c r="G43" s="342"/>
      <c r="H43" s="344"/>
      <c r="J43" s="34" t="s">
        <v>17</v>
      </c>
      <c r="K43" s="91">
        <f>SUM(K41:K42)</f>
        <v>0</v>
      </c>
      <c r="L43" s="23" t="s">
        <v>18</v>
      </c>
      <c r="M43" s="103" t="s">
        <v>17</v>
      </c>
      <c r="N43" s="73"/>
      <c r="O43" s="15" t="s">
        <v>18</v>
      </c>
      <c r="P43" s="67" t="s">
        <v>30</v>
      </c>
      <c r="Q43" s="37">
        <f>Q42*Q41</f>
        <v>7.6142819999999993</v>
      </c>
      <c r="R43" s="342" t="s">
        <v>18</v>
      </c>
      <c r="S43" s="342"/>
      <c r="U43" s="35" t="s">
        <v>53</v>
      </c>
      <c r="V43" s="33"/>
      <c r="W43" s="342" t="s">
        <v>18</v>
      </c>
      <c r="X43" s="105" t="s">
        <v>3</v>
      </c>
      <c r="Y43" s="106"/>
      <c r="Z43" s="73"/>
      <c r="AA43" s="15" t="s">
        <v>18</v>
      </c>
      <c r="AB43" s="36" t="s">
        <v>49</v>
      </c>
      <c r="AC43" s="224">
        <v>2.2000000000000002</v>
      </c>
      <c r="AD43" s="342" t="s">
        <v>18</v>
      </c>
      <c r="AF43" s="342"/>
      <c r="AG43" s="342"/>
      <c r="AH43" s="342"/>
      <c r="AI43" s="342"/>
      <c r="AJ43" s="342"/>
      <c r="AK43" s="342"/>
      <c r="AL43" s="342"/>
      <c r="AP43" s="342"/>
      <c r="AQ43" s="342"/>
      <c r="AR43" s="342"/>
      <c r="AS43" s="342"/>
      <c r="AT43" s="342"/>
      <c r="AU43" s="342"/>
      <c r="AV43" s="342"/>
      <c r="AW43" s="342"/>
      <c r="AX43" s="342"/>
      <c r="AY43" s="342"/>
      <c r="AZ43" s="342"/>
      <c r="BA43" s="342"/>
      <c r="BB43" s="342"/>
    </row>
    <row r="44" spans="1:55">
      <c r="A44" s="92" t="s">
        <v>17</v>
      </c>
      <c r="B44" s="90">
        <f>SUM(B43)</f>
        <v>0</v>
      </c>
      <c r="C44" s="342" t="s">
        <v>18</v>
      </c>
      <c r="D44" s="342"/>
      <c r="E44" s="342"/>
      <c r="M44" s="67" t="s">
        <v>30</v>
      </c>
      <c r="N44" s="37">
        <f>Q42*N43</f>
        <v>0</v>
      </c>
      <c r="O44" s="15" t="s">
        <v>18</v>
      </c>
      <c r="U44" s="342"/>
      <c r="V44" s="342"/>
      <c r="W44" s="342"/>
      <c r="X44" s="105" t="s">
        <v>4</v>
      </c>
      <c r="Y44" s="106"/>
      <c r="Z44" s="34"/>
      <c r="AA44" s="15" t="s">
        <v>18</v>
      </c>
      <c r="AB44" s="36" t="s">
        <v>27</v>
      </c>
      <c r="AC44" s="34">
        <f>30.81/100</f>
        <v>0.30809999999999998</v>
      </c>
      <c r="AD44" s="342" t="s">
        <v>33</v>
      </c>
      <c r="AL44" s="342"/>
      <c r="AP44" s="342"/>
      <c r="AQ44" s="342"/>
      <c r="AR44" s="342"/>
      <c r="AS44" s="342"/>
      <c r="AT44" s="342"/>
      <c r="AU44" s="342"/>
      <c r="AV44" s="342"/>
      <c r="AW44" s="342"/>
      <c r="AX44" s="342"/>
      <c r="AY44" s="342"/>
      <c r="AZ44" s="342"/>
      <c r="BA44" s="342"/>
      <c r="BB44" s="342"/>
    </row>
    <row r="45" spans="1:55">
      <c r="C45" s="342"/>
      <c r="D45" s="342"/>
      <c r="E45" s="342"/>
      <c r="U45" s="342"/>
      <c r="V45" s="342"/>
      <c r="W45" s="342"/>
      <c r="X45" s="105" t="s">
        <v>17</v>
      </c>
      <c r="Y45" s="106"/>
      <c r="Z45" s="73"/>
      <c r="AA45" s="15" t="s">
        <v>18</v>
      </c>
      <c r="AB45" s="67" t="s">
        <v>30</v>
      </c>
      <c r="AC45" s="37">
        <f>AC44*AC43</f>
        <v>0.67781999999999998</v>
      </c>
      <c r="AD45" s="342" t="s">
        <v>18</v>
      </c>
      <c r="AL45" s="342"/>
      <c r="AP45" s="342"/>
      <c r="AQ45" s="342"/>
      <c r="AR45" s="342"/>
      <c r="AS45" s="342"/>
      <c r="AT45" s="342"/>
      <c r="AU45" s="342"/>
      <c r="AV45" s="342"/>
      <c r="AW45" s="342"/>
      <c r="AX45" s="342"/>
      <c r="AY45" s="342"/>
      <c r="AZ45" s="342"/>
      <c r="BA45" s="342"/>
      <c r="BB45" s="342"/>
      <c r="BC45" s="342"/>
    </row>
    <row r="46" spans="1:55">
      <c r="A46" s="15" t="s">
        <v>66</v>
      </c>
      <c r="B46" s="15">
        <f>B43/D22</f>
        <v>0</v>
      </c>
      <c r="C46" s="342" t="s">
        <v>62</v>
      </c>
      <c r="D46" s="342"/>
      <c r="E46" s="342"/>
      <c r="P46" s="31">
        <f>Q41+N43</f>
        <v>14.57</v>
      </c>
      <c r="Q46" s="15">
        <f>Q43+N44</f>
        <v>7.6142819999999993</v>
      </c>
      <c r="X46" s="348" t="s">
        <v>30</v>
      </c>
      <c r="Y46" s="349"/>
      <c r="Z46" s="104">
        <f>AC44*Z45</f>
        <v>0</v>
      </c>
      <c r="AA46" s="15" t="s">
        <v>18</v>
      </c>
      <c r="AF46" s="342"/>
      <c r="AP46" s="342"/>
      <c r="AQ46" s="342"/>
      <c r="AR46" s="342"/>
      <c r="AS46" s="342"/>
      <c r="AT46" s="342"/>
      <c r="AU46" s="342"/>
      <c r="AV46" s="342"/>
      <c r="AW46" s="342"/>
      <c r="AX46" s="342"/>
      <c r="AY46" s="342"/>
      <c r="AZ46" s="342"/>
      <c r="BA46" s="342"/>
      <c r="BB46" s="342"/>
      <c r="BC46" s="342"/>
    </row>
    <row r="47" spans="1:55">
      <c r="A47" s="15" t="s">
        <v>65</v>
      </c>
      <c r="B47" s="15">
        <f>C41/D22</f>
        <v>0.60001285158027207</v>
      </c>
      <c r="C47" s="15" t="s">
        <v>62</v>
      </c>
      <c r="AP47" s="342"/>
      <c r="AQ47" s="342"/>
      <c r="AR47" s="342"/>
      <c r="AS47" s="342"/>
      <c r="AT47" s="342"/>
      <c r="AU47" s="342"/>
      <c r="AV47" s="342"/>
      <c r="AW47" s="342"/>
      <c r="AX47" s="342"/>
      <c r="AY47" s="342"/>
      <c r="AZ47" s="342"/>
      <c r="BA47" s="342"/>
      <c r="BB47" s="342"/>
      <c r="BC47" s="342"/>
    </row>
    <row r="48" spans="1:55">
      <c r="A48" s="15" t="s">
        <v>67</v>
      </c>
      <c r="B48" s="15">
        <f>G19*(B46+B47)/1000</f>
        <v>5.7220453787262891E-2</v>
      </c>
      <c r="C48" s="15" t="s">
        <v>18</v>
      </c>
      <c r="E48" s="160"/>
      <c r="AP48" s="342"/>
      <c r="AQ48" s="342"/>
      <c r="AR48" s="342"/>
      <c r="AS48" s="342"/>
      <c r="AT48" s="342"/>
      <c r="AU48" s="342"/>
      <c r="AV48" s="342"/>
      <c r="AW48" s="342"/>
      <c r="AX48" s="342"/>
      <c r="AY48" s="342"/>
      <c r="AZ48" s="342"/>
      <c r="BA48" s="342"/>
      <c r="BB48" s="342"/>
    </row>
    <row r="49" spans="1:59">
      <c r="A49" s="15" t="s">
        <v>64</v>
      </c>
      <c r="B49" s="74">
        <f>B21-B48</f>
        <v>9.9427795462127371</v>
      </c>
      <c r="C49" s="15" t="s">
        <v>18</v>
      </c>
      <c r="AC49" s="31">
        <f>AC43+Z45</f>
        <v>2.2000000000000002</v>
      </c>
      <c r="AD49" s="15">
        <f>AC45+Z46</f>
        <v>0.67781999999999998</v>
      </c>
      <c r="AP49" s="342"/>
      <c r="AQ49" s="342"/>
      <c r="AR49" s="342"/>
      <c r="AS49" s="342"/>
      <c r="AT49" s="342"/>
      <c r="AU49" s="342"/>
      <c r="AV49" s="379"/>
      <c r="AW49" s="379"/>
      <c r="AX49" s="379"/>
      <c r="AY49" s="379"/>
      <c r="AZ49" s="379"/>
      <c r="BA49" s="342"/>
      <c r="BB49" s="342"/>
    </row>
    <row r="50" spans="1:59">
      <c r="R50" s="342"/>
      <c r="S50" s="15" t="s">
        <v>27</v>
      </c>
      <c r="U50" s="15" t="s">
        <v>40</v>
      </c>
      <c r="W50" s="15" t="s">
        <v>98</v>
      </c>
      <c r="X50" s="74">
        <f>B49</f>
        <v>9.9427795462127371</v>
      </c>
      <c r="Y50" s="15" t="s">
        <v>18</v>
      </c>
      <c r="AP50" s="342"/>
      <c r="AQ50" s="342"/>
      <c r="AR50" s="342"/>
      <c r="AS50" s="342"/>
      <c r="AT50" s="342"/>
      <c r="AU50" s="342"/>
      <c r="AV50" s="342"/>
      <c r="AW50" s="342"/>
      <c r="AX50" s="342"/>
      <c r="AY50" s="342"/>
      <c r="AZ50" s="342"/>
      <c r="BA50" s="342"/>
      <c r="BB50" s="342"/>
    </row>
    <row r="51" spans="1:59">
      <c r="Q51" s="342"/>
      <c r="R51" s="342"/>
      <c r="S51" s="15" t="s">
        <v>34</v>
      </c>
      <c r="T51" s="15">
        <f>AC24+Z25</f>
        <v>0.10745799999999998</v>
      </c>
      <c r="U51" s="76">
        <f>T51/X50</f>
        <v>1.0807641816913396E-2</v>
      </c>
      <c r="AP51" s="342"/>
      <c r="AQ51" s="342"/>
      <c r="AR51" s="342"/>
      <c r="AS51" s="342"/>
      <c r="AT51" s="342"/>
      <c r="AU51" s="342"/>
      <c r="AV51" s="342"/>
      <c r="AW51" s="342"/>
      <c r="AX51" s="342"/>
      <c r="AY51" s="342"/>
      <c r="AZ51" s="342"/>
      <c r="BA51" s="342"/>
      <c r="BB51" s="342"/>
    </row>
    <row r="52" spans="1:59">
      <c r="S52" s="15" t="s">
        <v>35</v>
      </c>
      <c r="T52" s="15">
        <f>AC45+Z46</f>
        <v>0.67781999999999998</v>
      </c>
      <c r="U52" s="76">
        <f>T52/X50</f>
        <v>6.8172083756818838E-2</v>
      </c>
      <c r="AP52" s="342"/>
      <c r="AQ52" s="342"/>
      <c r="AR52" s="342"/>
      <c r="AS52" s="342"/>
      <c r="AT52" s="342"/>
      <c r="AU52" s="342"/>
      <c r="AV52" s="342"/>
      <c r="AW52" s="342"/>
      <c r="AX52" s="342"/>
      <c r="AY52" s="342"/>
      <c r="AZ52" s="342"/>
      <c r="BA52" s="342"/>
      <c r="BB52" s="342"/>
    </row>
    <row r="53" spans="1:59">
      <c r="D53" s="342"/>
      <c r="E53" s="342"/>
      <c r="F53" s="342"/>
      <c r="G53" s="342"/>
      <c r="H53" s="342"/>
      <c r="I53" s="342"/>
      <c r="J53" s="342"/>
      <c r="K53" s="342"/>
      <c r="L53" s="342"/>
      <c r="M53" s="342"/>
      <c r="N53" s="342"/>
      <c r="O53" s="342"/>
      <c r="P53" s="342"/>
      <c r="Q53" s="342"/>
      <c r="R53" s="342"/>
      <c r="S53" s="15" t="s">
        <v>36</v>
      </c>
      <c r="T53" s="342">
        <f>Q43+N44</f>
        <v>7.6142819999999993</v>
      </c>
      <c r="U53" s="350">
        <f>T53/X50</f>
        <v>0.76581020072001138</v>
      </c>
      <c r="V53" s="342"/>
      <c r="W53" s="342"/>
      <c r="AN53" s="342"/>
      <c r="AO53" s="342"/>
      <c r="AP53" s="342"/>
      <c r="AQ53" s="342"/>
      <c r="AR53" s="342"/>
      <c r="AS53" s="342"/>
      <c r="AT53" s="342"/>
      <c r="AU53" s="342"/>
      <c r="AV53" s="342"/>
      <c r="AW53" s="342"/>
      <c r="AX53" s="342"/>
      <c r="AY53" s="342"/>
      <c r="AZ53" s="342"/>
      <c r="BA53" s="342"/>
      <c r="BB53" s="342"/>
      <c r="BC53" s="342"/>
      <c r="BD53" s="342"/>
      <c r="BE53" s="342"/>
      <c r="BF53" s="342"/>
      <c r="BG53" s="342"/>
    </row>
    <row r="54" spans="1:59">
      <c r="D54" s="379"/>
      <c r="E54" s="379"/>
      <c r="F54" s="379"/>
      <c r="G54" s="379"/>
      <c r="H54" s="342"/>
      <c r="I54" s="342"/>
      <c r="J54" s="342"/>
      <c r="K54" s="342"/>
      <c r="L54" s="342"/>
      <c r="M54" s="342"/>
      <c r="N54" s="342"/>
      <c r="O54" s="342"/>
      <c r="P54" s="342"/>
      <c r="Q54" s="342"/>
      <c r="R54" s="342"/>
      <c r="S54" s="15" t="s">
        <v>17</v>
      </c>
      <c r="T54" s="342">
        <f>SUM(T51:T53)</f>
        <v>8.3995599999999992</v>
      </c>
      <c r="U54" s="350">
        <f>SUM(U51:U53)</f>
        <v>0.84478992629374361</v>
      </c>
      <c r="V54" s="342"/>
      <c r="W54" s="342"/>
      <c r="X54" s="342"/>
      <c r="Y54" s="342"/>
      <c r="Z54" s="342"/>
      <c r="AN54" s="342"/>
      <c r="AO54" s="342"/>
      <c r="AP54" s="342"/>
      <c r="AQ54" s="342"/>
      <c r="AR54" s="342"/>
      <c r="AS54" s="342"/>
      <c r="AT54" s="342"/>
      <c r="AU54" s="342"/>
      <c r="AV54" s="342"/>
      <c r="AW54" s="342"/>
      <c r="AX54" s="342"/>
      <c r="AY54" s="342"/>
      <c r="AZ54" s="342"/>
      <c r="BA54" s="342"/>
      <c r="BB54" s="342"/>
      <c r="BC54" s="342"/>
      <c r="BD54" s="342"/>
      <c r="BE54" s="342"/>
      <c r="BF54" s="342"/>
      <c r="BG54" s="342"/>
    </row>
    <row r="55" spans="1:59">
      <c r="D55" s="342"/>
      <c r="E55" s="342"/>
      <c r="F55" s="342"/>
      <c r="G55" s="342"/>
      <c r="H55" s="342"/>
      <c r="I55" s="342"/>
      <c r="J55" s="342"/>
      <c r="K55" s="342"/>
      <c r="L55" s="342"/>
      <c r="M55" s="342"/>
      <c r="N55" s="342"/>
      <c r="O55" s="342"/>
      <c r="P55" s="342"/>
      <c r="Q55" s="342"/>
      <c r="R55" s="342"/>
      <c r="S55" s="15" t="s">
        <v>37</v>
      </c>
      <c r="T55" s="145">
        <f>X50-T54</f>
        <v>1.5432195462127378</v>
      </c>
      <c r="U55" s="350">
        <f>T55/X50</f>
        <v>0.15521007370625645</v>
      </c>
      <c r="V55" s="342"/>
      <c r="W55" s="342"/>
      <c r="X55" s="342"/>
      <c r="Y55" s="342"/>
      <c r="Z55" s="342"/>
      <c r="AN55" s="342"/>
      <c r="AO55" s="342"/>
      <c r="AP55" s="342"/>
      <c r="AQ55" s="342"/>
      <c r="AR55" s="342"/>
      <c r="AS55" s="342"/>
      <c r="AT55" s="342"/>
      <c r="AU55" s="342"/>
      <c r="AV55" s="342"/>
      <c r="AW55" s="342"/>
      <c r="AX55" s="342"/>
      <c r="AY55" s="342"/>
      <c r="AZ55" s="342"/>
      <c r="BA55" s="342"/>
      <c r="BB55" s="342"/>
      <c r="BC55" s="342"/>
      <c r="BD55" s="342"/>
      <c r="BE55" s="342"/>
      <c r="BF55" s="342"/>
      <c r="BG55" s="342"/>
    </row>
    <row r="56" spans="1:59">
      <c r="D56" s="342"/>
      <c r="E56" s="342"/>
      <c r="F56" s="342"/>
      <c r="G56" s="342"/>
      <c r="H56" s="342"/>
      <c r="I56" s="342"/>
      <c r="J56" s="342"/>
      <c r="K56" s="342"/>
      <c r="L56" s="342"/>
      <c r="M56" s="342"/>
      <c r="N56" s="342"/>
      <c r="O56" s="342"/>
      <c r="P56" s="342"/>
      <c r="Q56" s="342"/>
      <c r="R56" s="342"/>
      <c r="T56" s="342"/>
      <c r="U56" s="342"/>
      <c r="V56" s="342"/>
      <c r="W56" s="342"/>
      <c r="X56" s="342"/>
      <c r="Y56" s="342"/>
      <c r="Z56" s="342"/>
      <c r="AN56" s="342"/>
      <c r="AO56" s="342"/>
      <c r="AP56" s="342"/>
      <c r="AQ56" s="342"/>
      <c r="AR56" s="342"/>
      <c r="AS56" s="342"/>
      <c r="AT56" s="342"/>
      <c r="AU56" s="342"/>
      <c r="AV56" s="342"/>
      <c r="AW56" s="342"/>
      <c r="AX56" s="342"/>
      <c r="AY56" s="342"/>
      <c r="AZ56" s="342"/>
      <c r="BA56" s="342"/>
      <c r="BB56" s="342"/>
      <c r="BC56" s="342"/>
      <c r="BD56" s="342"/>
      <c r="BE56" s="342"/>
      <c r="BF56" s="342"/>
      <c r="BG56" s="342"/>
    </row>
    <row r="57" spans="1:59">
      <c r="D57" s="342"/>
      <c r="E57" s="342"/>
      <c r="F57" s="342"/>
      <c r="G57" s="342"/>
      <c r="H57" s="342"/>
      <c r="I57" s="342"/>
      <c r="J57" s="342"/>
      <c r="K57" s="342"/>
      <c r="L57" s="342"/>
      <c r="M57" s="342"/>
      <c r="N57" s="342"/>
      <c r="O57" s="342"/>
      <c r="P57" s="342"/>
      <c r="Q57" s="342"/>
      <c r="R57" s="342"/>
      <c r="W57" s="342"/>
      <c r="X57" s="342"/>
      <c r="Y57" s="342"/>
      <c r="Z57" s="342"/>
      <c r="AN57" s="342"/>
      <c r="AO57" s="342"/>
      <c r="AP57" s="342"/>
      <c r="AQ57" s="342"/>
      <c r="AR57" s="342"/>
      <c r="AS57" s="342"/>
      <c r="AT57" s="342"/>
      <c r="AU57" s="342"/>
      <c r="AV57" s="342"/>
      <c r="AW57" s="342"/>
      <c r="AX57" s="342"/>
      <c r="AY57" s="342"/>
      <c r="AZ57" s="342"/>
      <c r="BA57" s="342"/>
      <c r="BB57" s="342"/>
      <c r="BC57" s="342"/>
      <c r="BD57" s="342"/>
      <c r="BE57" s="342"/>
      <c r="BF57" s="342"/>
      <c r="BG57" s="342"/>
    </row>
    <row r="58" spans="1:59">
      <c r="D58" s="342"/>
      <c r="E58" s="342"/>
      <c r="F58" s="342"/>
      <c r="G58" s="342"/>
      <c r="H58" s="342"/>
      <c r="I58" s="342"/>
      <c r="J58" s="342"/>
      <c r="K58" s="342"/>
      <c r="L58" s="342"/>
      <c r="M58" s="342"/>
      <c r="N58" s="342"/>
      <c r="O58" s="342"/>
      <c r="P58" s="342"/>
      <c r="Q58" s="342"/>
      <c r="R58" s="342"/>
      <c r="S58" s="342"/>
      <c r="T58" s="342"/>
      <c r="U58" s="342"/>
      <c r="V58" s="342"/>
      <c r="W58" s="342"/>
      <c r="X58" s="342"/>
      <c r="Y58" s="342"/>
      <c r="Z58" s="342"/>
      <c r="AA58" s="342"/>
      <c r="AB58" s="342"/>
      <c r="AC58" s="342"/>
      <c r="AD58" s="342"/>
      <c r="AE58" s="342"/>
      <c r="AF58" s="342"/>
      <c r="AG58" s="342"/>
      <c r="AH58" s="342"/>
      <c r="AI58" s="342"/>
      <c r="AJ58" s="342"/>
      <c r="AK58" s="342"/>
      <c r="AL58" s="342"/>
      <c r="AM58" s="342"/>
      <c r="AN58" s="342"/>
      <c r="AO58" s="342"/>
      <c r="AP58" s="342"/>
      <c r="AQ58" s="342"/>
      <c r="AR58" s="342"/>
      <c r="AS58" s="342"/>
      <c r="AT58" s="342"/>
      <c r="AU58" s="342"/>
      <c r="AV58" s="342"/>
      <c r="AW58" s="342"/>
      <c r="AX58" s="342"/>
      <c r="AY58" s="342"/>
      <c r="AZ58" s="342"/>
      <c r="BA58" s="342"/>
      <c r="BB58" s="342"/>
      <c r="BC58" s="342"/>
      <c r="BD58" s="342"/>
      <c r="BE58" s="342"/>
      <c r="BF58" s="342"/>
      <c r="BG58" s="342"/>
    </row>
    <row r="59" spans="1:59"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  <c r="V59" s="342"/>
      <c r="W59" s="342"/>
      <c r="X59" s="342"/>
      <c r="Y59" s="342"/>
      <c r="Z59" s="342"/>
      <c r="AA59" s="342"/>
      <c r="AB59" s="342"/>
      <c r="AC59" s="342"/>
      <c r="AD59" s="342"/>
      <c r="AE59" s="342"/>
      <c r="AF59" s="342"/>
      <c r="AG59" s="342"/>
      <c r="AH59" s="342"/>
      <c r="AI59" s="342"/>
      <c r="AJ59" s="342"/>
      <c r="AK59" s="342"/>
      <c r="AL59" s="342"/>
      <c r="AM59" s="342"/>
      <c r="AN59" s="342"/>
      <c r="AO59" s="342"/>
      <c r="AP59" s="342"/>
      <c r="AQ59" s="342"/>
      <c r="AR59" s="342"/>
      <c r="AS59" s="342"/>
      <c r="AT59" s="342"/>
      <c r="AU59" s="342"/>
      <c r="AV59" s="342"/>
      <c r="AW59" s="342"/>
      <c r="AX59" s="342"/>
      <c r="AY59" s="342"/>
      <c r="AZ59" s="342"/>
      <c r="BA59" s="342"/>
      <c r="BB59" s="342"/>
      <c r="BC59" s="342"/>
      <c r="BD59" s="342"/>
      <c r="BE59" s="342"/>
      <c r="BF59" s="342"/>
      <c r="BG59" s="342"/>
    </row>
    <row r="60" spans="1:59"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  <c r="O60" s="342"/>
      <c r="P60" s="342"/>
      <c r="Q60" s="342"/>
      <c r="R60" s="342"/>
      <c r="S60" s="342"/>
      <c r="T60" s="342"/>
      <c r="U60" s="342"/>
      <c r="V60" s="342"/>
      <c r="W60" s="342"/>
      <c r="X60" s="342"/>
      <c r="Y60" s="342"/>
      <c r="Z60" s="342"/>
      <c r="AA60" s="342"/>
      <c r="AB60" s="342"/>
      <c r="AC60" s="342"/>
      <c r="AD60" s="342"/>
      <c r="AE60" s="342"/>
      <c r="AF60" s="342"/>
      <c r="AG60" s="342"/>
      <c r="AH60" s="342"/>
      <c r="AI60" s="342"/>
      <c r="AJ60" s="342"/>
      <c r="AK60" s="342"/>
      <c r="AL60" s="342"/>
      <c r="AM60" s="342"/>
      <c r="AN60" s="342"/>
      <c r="AO60" s="342"/>
      <c r="AP60" s="342"/>
      <c r="AQ60" s="342"/>
      <c r="AR60" s="342"/>
      <c r="AS60" s="342"/>
      <c r="AT60" s="342"/>
      <c r="AU60" s="342"/>
      <c r="AV60" s="342"/>
      <c r="AW60" s="342"/>
      <c r="AX60" s="342"/>
      <c r="AY60" s="342"/>
      <c r="AZ60" s="342"/>
      <c r="BA60" s="342"/>
      <c r="BB60" s="342"/>
      <c r="BC60" s="342"/>
      <c r="BD60" s="342"/>
      <c r="BE60" s="342"/>
      <c r="BF60" s="342"/>
      <c r="BG60" s="342"/>
    </row>
    <row r="61" spans="1:59"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2"/>
      <c r="AL61" s="342"/>
      <c r="AM61" s="342"/>
      <c r="AN61" s="342"/>
      <c r="AO61" s="342"/>
      <c r="AP61" s="342"/>
      <c r="AQ61" s="342"/>
      <c r="AR61" s="342"/>
      <c r="AS61" s="342"/>
      <c r="AT61" s="342"/>
      <c r="AU61" s="342"/>
      <c r="AV61" s="342"/>
      <c r="AW61" s="342"/>
      <c r="AX61" s="342"/>
      <c r="AY61" s="342"/>
      <c r="AZ61" s="342"/>
      <c r="BA61" s="342"/>
      <c r="BB61" s="342"/>
      <c r="BC61" s="342"/>
      <c r="BD61" s="342"/>
      <c r="BE61" s="342"/>
      <c r="BF61" s="342"/>
      <c r="BG61" s="342"/>
    </row>
    <row r="62" spans="1:59">
      <c r="D62" s="342"/>
      <c r="E62" s="342"/>
      <c r="F62" s="342"/>
      <c r="G62" s="342"/>
      <c r="H62" s="342"/>
      <c r="I62" s="342"/>
      <c r="J62" s="342"/>
      <c r="K62" s="342"/>
      <c r="L62" s="342"/>
      <c r="M62" s="342"/>
      <c r="N62" s="342"/>
      <c r="O62" s="342"/>
      <c r="P62" s="342"/>
      <c r="Q62" s="342"/>
      <c r="R62" s="342"/>
      <c r="S62" s="342"/>
      <c r="T62" s="342"/>
      <c r="U62" s="342"/>
      <c r="V62" s="342"/>
      <c r="W62" s="342"/>
      <c r="X62" s="342"/>
      <c r="Y62" s="342"/>
      <c r="Z62" s="342"/>
      <c r="AA62" s="342"/>
      <c r="AB62" s="342"/>
      <c r="AC62" s="342"/>
      <c r="AD62" s="342"/>
      <c r="AE62" s="342"/>
      <c r="AF62" s="342"/>
      <c r="AG62" s="342"/>
      <c r="AH62" s="342"/>
      <c r="AI62" s="342"/>
      <c r="AJ62" s="342"/>
      <c r="AK62" s="342"/>
      <c r="AL62" s="342"/>
      <c r="AM62" s="342"/>
      <c r="AN62" s="342"/>
      <c r="AO62" s="342"/>
      <c r="AP62" s="342"/>
      <c r="AQ62" s="342"/>
      <c r="AR62" s="342"/>
      <c r="AS62" s="342"/>
      <c r="AT62" s="342"/>
      <c r="AU62" s="342"/>
      <c r="AV62" s="342"/>
      <c r="AW62" s="342"/>
      <c r="AX62" s="342"/>
      <c r="AY62" s="342"/>
      <c r="AZ62" s="342"/>
      <c r="BA62" s="342"/>
      <c r="BB62" s="342"/>
      <c r="BC62" s="342"/>
      <c r="BD62" s="342"/>
      <c r="BE62" s="342"/>
      <c r="BF62" s="342"/>
      <c r="BG62" s="342"/>
    </row>
    <row r="63" spans="1:59"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2"/>
      <c r="V63" s="342"/>
      <c r="W63" s="342"/>
      <c r="X63" s="342"/>
      <c r="Y63" s="342"/>
      <c r="Z63" s="342"/>
      <c r="AA63" s="342"/>
      <c r="AB63" s="342"/>
      <c r="AC63" s="342"/>
      <c r="AD63" s="342"/>
      <c r="AE63" s="342"/>
      <c r="AF63" s="342"/>
      <c r="AG63" s="342"/>
      <c r="AH63" s="342"/>
      <c r="AI63" s="342"/>
      <c r="AJ63" s="342"/>
      <c r="AK63" s="342"/>
      <c r="AL63" s="342"/>
      <c r="AM63" s="342"/>
      <c r="AN63" s="342"/>
      <c r="AO63" s="342"/>
      <c r="AP63" s="342"/>
      <c r="AQ63" s="342"/>
      <c r="AR63" s="342"/>
      <c r="AS63" s="342"/>
      <c r="AT63" s="342"/>
      <c r="AU63" s="342"/>
      <c r="AV63" s="342"/>
      <c r="AW63" s="342"/>
      <c r="AX63" s="342"/>
      <c r="AY63" s="342"/>
      <c r="AZ63" s="342"/>
      <c r="BA63" s="342"/>
      <c r="BB63" s="342"/>
      <c r="BC63" s="342"/>
      <c r="BD63" s="342"/>
      <c r="BE63" s="342"/>
      <c r="BF63" s="342"/>
      <c r="BG63" s="342"/>
    </row>
    <row r="64" spans="1:59">
      <c r="D64" s="342"/>
      <c r="E64" s="342"/>
      <c r="F64" s="342"/>
      <c r="G64" s="342"/>
      <c r="H64" s="342"/>
      <c r="I64" s="342"/>
      <c r="J64" s="342"/>
      <c r="K64" s="342"/>
      <c r="L64" s="342"/>
      <c r="M64" s="342"/>
      <c r="N64" s="342"/>
      <c r="O64" s="342"/>
      <c r="P64" s="342"/>
      <c r="Q64" s="342"/>
      <c r="R64" s="342"/>
      <c r="S64" s="342"/>
      <c r="T64" s="342"/>
      <c r="U64" s="342"/>
      <c r="V64" s="342"/>
      <c r="W64" s="342"/>
      <c r="X64" s="342"/>
      <c r="Y64" s="342"/>
      <c r="Z64" s="342"/>
      <c r="AA64" s="342"/>
      <c r="AB64" s="342"/>
      <c r="AC64" s="342"/>
      <c r="AD64" s="342"/>
      <c r="AE64" s="342"/>
      <c r="AF64" s="342"/>
      <c r="AG64" s="342"/>
      <c r="AH64" s="342"/>
      <c r="AI64" s="342"/>
      <c r="AJ64" s="342"/>
      <c r="AK64" s="342"/>
      <c r="AL64" s="342"/>
      <c r="AM64" s="342"/>
      <c r="AN64" s="342"/>
      <c r="AO64" s="342"/>
      <c r="AP64" s="342"/>
      <c r="AQ64" s="342"/>
      <c r="AR64" s="342"/>
      <c r="AS64" s="342"/>
      <c r="AT64" s="342"/>
      <c r="AU64" s="342"/>
      <c r="AV64" s="342"/>
      <c r="AW64" s="342"/>
      <c r="AX64" s="342"/>
      <c r="AY64" s="342"/>
      <c r="AZ64" s="342"/>
      <c r="BA64" s="342"/>
      <c r="BB64" s="342"/>
      <c r="BC64" s="342"/>
      <c r="BD64" s="342"/>
      <c r="BE64" s="342"/>
      <c r="BF64" s="342"/>
      <c r="BG64" s="342"/>
    </row>
    <row r="65" spans="4:59"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2"/>
      <c r="V65" s="342"/>
      <c r="W65" s="342"/>
      <c r="X65" s="342"/>
      <c r="Y65" s="342"/>
      <c r="Z65" s="342"/>
      <c r="AA65" s="342"/>
      <c r="AB65" s="342"/>
      <c r="AC65" s="342"/>
      <c r="AD65" s="342"/>
      <c r="AE65" s="342"/>
      <c r="AF65" s="342"/>
      <c r="AG65" s="342"/>
      <c r="AH65" s="342"/>
      <c r="AI65" s="342"/>
      <c r="AJ65" s="342"/>
      <c r="AK65" s="342"/>
      <c r="AL65" s="342"/>
      <c r="AM65" s="342"/>
      <c r="AN65" s="342"/>
      <c r="AO65" s="342"/>
      <c r="AP65" s="342"/>
      <c r="AQ65" s="342"/>
      <c r="AR65" s="342"/>
      <c r="AS65" s="342"/>
      <c r="AT65" s="342"/>
      <c r="AU65" s="342"/>
      <c r="AV65" s="342"/>
      <c r="AW65" s="342"/>
      <c r="AX65" s="342"/>
      <c r="AY65" s="342"/>
      <c r="AZ65" s="342"/>
      <c r="BA65" s="342"/>
      <c r="BB65" s="342"/>
      <c r="BC65" s="342"/>
      <c r="BD65" s="342"/>
      <c r="BE65" s="342"/>
      <c r="BF65" s="342"/>
      <c r="BG65" s="342"/>
    </row>
    <row r="66" spans="4:59">
      <c r="D66" s="342"/>
      <c r="E66" s="342"/>
      <c r="F66" s="342"/>
      <c r="G66" s="342"/>
      <c r="H66" s="342"/>
      <c r="I66" s="342"/>
      <c r="J66" s="342"/>
      <c r="K66" s="342"/>
      <c r="L66" s="342"/>
      <c r="M66" s="342"/>
      <c r="N66" s="342"/>
      <c r="O66" s="342"/>
      <c r="P66" s="342"/>
      <c r="Q66" s="342"/>
      <c r="R66" s="342"/>
      <c r="S66" s="342"/>
      <c r="T66" s="342"/>
      <c r="U66" s="342"/>
      <c r="V66" s="342"/>
      <c r="W66" s="342"/>
      <c r="X66" s="342"/>
      <c r="Y66" s="342"/>
      <c r="Z66" s="342"/>
      <c r="AA66" s="342"/>
      <c r="AB66" s="342"/>
      <c r="AC66" s="342"/>
      <c r="AD66" s="342"/>
      <c r="AE66" s="342"/>
      <c r="AF66" s="342"/>
      <c r="AG66" s="342"/>
      <c r="AH66" s="342"/>
      <c r="AI66" s="342"/>
      <c r="AJ66" s="342"/>
      <c r="AK66" s="342"/>
      <c r="AL66" s="342"/>
      <c r="AM66" s="342"/>
      <c r="AN66" s="342"/>
      <c r="AO66" s="342"/>
      <c r="AP66" s="342"/>
      <c r="AQ66" s="342"/>
      <c r="AR66" s="342"/>
      <c r="AS66" s="342"/>
      <c r="AT66" s="342"/>
      <c r="AU66" s="342"/>
      <c r="AV66" s="342"/>
      <c r="AW66" s="342"/>
      <c r="AX66" s="342"/>
      <c r="AY66" s="342"/>
      <c r="AZ66" s="342"/>
      <c r="BA66" s="342"/>
      <c r="BB66" s="342"/>
      <c r="BC66" s="342"/>
      <c r="BD66" s="342"/>
      <c r="BE66" s="342"/>
      <c r="BF66" s="342"/>
      <c r="BG66" s="342"/>
    </row>
    <row r="67" spans="4:59">
      <c r="D67" s="342"/>
      <c r="E67" s="342"/>
      <c r="F67" s="342"/>
      <c r="G67" s="342"/>
      <c r="H67" s="342"/>
      <c r="I67" s="342"/>
      <c r="J67" s="342"/>
      <c r="K67" s="342"/>
      <c r="L67" s="342"/>
      <c r="M67" s="342"/>
      <c r="N67" s="342"/>
      <c r="O67" s="342"/>
      <c r="P67" s="342"/>
      <c r="Q67" s="342"/>
      <c r="R67" s="342"/>
      <c r="S67" s="342"/>
      <c r="T67" s="342"/>
      <c r="U67" s="342"/>
      <c r="V67" s="342"/>
      <c r="W67" s="342"/>
      <c r="X67" s="342"/>
      <c r="Y67" s="342"/>
      <c r="Z67" s="342"/>
      <c r="AA67" s="342"/>
      <c r="AB67" s="342"/>
      <c r="AC67" s="342"/>
      <c r="AD67" s="342"/>
      <c r="AE67" s="342"/>
      <c r="AF67" s="342"/>
      <c r="AG67" s="342"/>
      <c r="AH67" s="342"/>
      <c r="AI67" s="342"/>
      <c r="AJ67" s="342"/>
      <c r="AK67" s="342"/>
      <c r="AL67" s="342"/>
      <c r="AM67" s="342"/>
      <c r="AN67" s="342"/>
      <c r="AO67" s="342"/>
      <c r="AP67" s="342"/>
      <c r="AQ67" s="342"/>
      <c r="AR67" s="342"/>
      <c r="AS67" s="342"/>
      <c r="AT67" s="342"/>
      <c r="AU67" s="342"/>
      <c r="AV67" s="342"/>
      <c r="AW67" s="342"/>
      <c r="AX67" s="342"/>
      <c r="AY67" s="342"/>
      <c r="AZ67" s="342"/>
      <c r="BA67" s="342"/>
      <c r="BB67" s="342"/>
      <c r="BC67" s="342"/>
      <c r="BD67" s="342"/>
      <c r="BE67" s="342"/>
      <c r="BF67" s="342"/>
      <c r="BG67" s="342"/>
    </row>
    <row r="68" spans="4:59">
      <c r="D68" s="342"/>
      <c r="E68" s="342"/>
      <c r="F68" s="342"/>
      <c r="G68" s="342"/>
      <c r="H68" s="342"/>
      <c r="I68" s="342"/>
      <c r="J68" s="342"/>
      <c r="K68" s="342"/>
      <c r="L68" s="342"/>
      <c r="M68" s="342"/>
      <c r="N68" s="342"/>
      <c r="O68" s="342"/>
      <c r="P68" s="342"/>
      <c r="Q68" s="342"/>
      <c r="R68" s="342"/>
      <c r="S68" s="342"/>
      <c r="T68" s="342"/>
      <c r="U68" s="342"/>
      <c r="V68" s="342"/>
      <c r="W68" s="342"/>
      <c r="X68" s="342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  <c r="AJ68" s="342"/>
      <c r="AK68" s="342"/>
      <c r="AL68" s="342"/>
      <c r="AM68" s="342"/>
      <c r="AN68" s="342"/>
      <c r="AO68" s="342"/>
      <c r="AP68" s="342"/>
      <c r="AQ68" s="342"/>
      <c r="AR68" s="342"/>
      <c r="AS68" s="342"/>
      <c r="AT68" s="342"/>
      <c r="AU68" s="342"/>
      <c r="AV68" s="342"/>
      <c r="AW68" s="342"/>
      <c r="AX68" s="342"/>
      <c r="AY68" s="342"/>
      <c r="AZ68" s="342"/>
      <c r="BA68" s="342"/>
      <c r="BB68" s="342"/>
      <c r="BC68" s="342"/>
      <c r="BD68" s="342"/>
      <c r="BE68" s="342"/>
      <c r="BF68" s="342"/>
      <c r="BG68" s="342"/>
    </row>
    <row r="69" spans="4:59">
      <c r="D69" s="342"/>
      <c r="E69" s="342"/>
      <c r="F69" s="342"/>
      <c r="G69" s="342"/>
      <c r="H69" s="342"/>
      <c r="I69" s="342"/>
      <c r="J69" s="342"/>
      <c r="K69" s="342"/>
      <c r="L69" s="342"/>
      <c r="M69" s="342"/>
      <c r="N69" s="342"/>
      <c r="O69" s="342"/>
      <c r="P69" s="342"/>
      <c r="Q69" s="342"/>
      <c r="R69" s="342"/>
      <c r="S69" s="342"/>
      <c r="T69" s="342"/>
      <c r="U69" s="342"/>
      <c r="V69" s="342"/>
      <c r="W69" s="342"/>
      <c r="X69" s="342"/>
      <c r="Y69" s="342"/>
      <c r="Z69" s="342"/>
      <c r="AA69" s="342"/>
      <c r="AB69" s="342"/>
      <c r="AC69" s="342"/>
      <c r="AD69" s="342"/>
      <c r="AE69" s="342"/>
      <c r="AF69" s="342"/>
      <c r="AG69" s="342"/>
      <c r="AH69" s="342"/>
      <c r="AI69" s="342"/>
      <c r="AJ69" s="342"/>
      <c r="AK69" s="342"/>
      <c r="AL69" s="342"/>
      <c r="AM69" s="342"/>
      <c r="AN69" s="342"/>
      <c r="AO69" s="342"/>
      <c r="AP69" s="342"/>
      <c r="AQ69" s="342"/>
      <c r="AR69" s="342"/>
      <c r="AS69" s="342"/>
      <c r="AT69" s="342"/>
      <c r="AU69" s="342"/>
      <c r="AV69" s="342"/>
      <c r="AW69" s="342"/>
      <c r="AX69" s="342"/>
      <c r="AY69" s="342"/>
      <c r="AZ69" s="342"/>
      <c r="BA69" s="342"/>
      <c r="BB69" s="342"/>
      <c r="BC69" s="342"/>
      <c r="BD69" s="342"/>
      <c r="BE69" s="342"/>
      <c r="BF69" s="342"/>
      <c r="BG69" s="342"/>
    </row>
    <row r="70" spans="4:59">
      <c r="D70" s="342"/>
      <c r="E70" s="342"/>
      <c r="F70" s="342"/>
      <c r="G70" s="342"/>
      <c r="H70" s="342"/>
      <c r="I70" s="342"/>
      <c r="J70" s="342"/>
      <c r="K70" s="342"/>
      <c r="L70" s="342"/>
      <c r="M70" s="342"/>
      <c r="N70" s="342"/>
      <c r="O70" s="342"/>
      <c r="P70" s="342"/>
      <c r="Q70" s="342"/>
      <c r="R70" s="342"/>
      <c r="S70" s="342"/>
      <c r="T70" s="342"/>
      <c r="U70" s="342"/>
      <c r="V70" s="342"/>
      <c r="W70" s="342"/>
      <c r="X70" s="342"/>
      <c r="Y70" s="342"/>
      <c r="Z70" s="342"/>
      <c r="AA70" s="342"/>
      <c r="AB70" s="342"/>
      <c r="AC70" s="342"/>
      <c r="AD70" s="342"/>
      <c r="AE70" s="342"/>
      <c r="AF70" s="342"/>
      <c r="AG70" s="342"/>
      <c r="AH70" s="342"/>
      <c r="AI70" s="342"/>
      <c r="AJ70" s="342"/>
      <c r="AK70" s="342"/>
      <c r="AL70" s="342"/>
      <c r="AM70" s="342"/>
      <c r="AN70" s="342"/>
      <c r="AO70" s="342"/>
      <c r="AP70" s="342"/>
      <c r="AQ70" s="342"/>
      <c r="AR70" s="342"/>
      <c r="AS70" s="342"/>
      <c r="AT70" s="342"/>
      <c r="AU70" s="342"/>
      <c r="AV70" s="342"/>
      <c r="AW70" s="342"/>
      <c r="AX70" s="342"/>
      <c r="AY70" s="342"/>
      <c r="AZ70" s="342"/>
      <c r="BA70" s="342"/>
      <c r="BB70" s="342"/>
      <c r="BC70" s="342"/>
      <c r="BD70" s="342"/>
      <c r="BE70" s="342"/>
      <c r="BF70" s="342"/>
      <c r="BG70" s="342"/>
    </row>
    <row r="71" spans="4:59">
      <c r="D71" s="342"/>
      <c r="E71" s="342"/>
      <c r="F71" s="342"/>
      <c r="G71" s="342"/>
      <c r="H71" s="342"/>
      <c r="I71" s="342"/>
      <c r="J71" s="342"/>
      <c r="K71" s="342"/>
      <c r="L71" s="342"/>
      <c r="M71" s="342"/>
      <c r="N71" s="342"/>
      <c r="O71" s="342"/>
      <c r="P71" s="342"/>
      <c r="Q71" s="342"/>
      <c r="R71" s="342"/>
      <c r="S71" s="342"/>
      <c r="T71" s="342"/>
      <c r="U71" s="342"/>
      <c r="V71" s="342"/>
      <c r="W71" s="342"/>
      <c r="X71" s="342"/>
      <c r="Y71" s="342"/>
      <c r="Z71" s="342"/>
      <c r="AA71" s="342"/>
      <c r="AB71" s="342"/>
      <c r="AC71" s="342"/>
      <c r="AD71" s="342"/>
      <c r="AE71" s="342"/>
      <c r="AF71" s="342"/>
      <c r="AG71" s="342"/>
      <c r="AH71" s="342"/>
      <c r="AI71" s="342"/>
      <c r="AJ71" s="342"/>
      <c r="AK71" s="342"/>
      <c r="AL71" s="342"/>
      <c r="AM71" s="342"/>
      <c r="AN71" s="342"/>
      <c r="AO71" s="342"/>
      <c r="AP71" s="342"/>
      <c r="AQ71" s="342"/>
      <c r="AR71" s="342"/>
      <c r="AS71" s="342"/>
      <c r="AT71" s="342"/>
      <c r="AU71" s="342"/>
      <c r="AV71" s="342"/>
      <c r="AW71" s="342"/>
      <c r="AX71" s="342"/>
      <c r="AY71" s="342"/>
      <c r="AZ71" s="342"/>
      <c r="BA71" s="342"/>
      <c r="BB71" s="342"/>
      <c r="BC71" s="342"/>
      <c r="BD71" s="342"/>
      <c r="BE71" s="342"/>
      <c r="BF71" s="342"/>
      <c r="BG71" s="342"/>
    </row>
    <row r="72" spans="4:59">
      <c r="D72" s="342"/>
      <c r="E72" s="342"/>
      <c r="F72" s="342"/>
      <c r="G72" s="342"/>
      <c r="H72" s="342"/>
      <c r="I72" s="342"/>
      <c r="J72" s="342"/>
      <c r="K72" s="342"/>
      <c r="L72" s="342"/>
      <c r="M72" s="342"/>
      <c r="N72" s="342"/>
      <c r="O72" s="342"/>
      <c r="P72" s="342"/>
      <c r="Q72" s="342"/>
      <c r="R72" s="342"/>
      <c r="S72" s="342"/>
      <c r="T72" s="342"/>
      <c r="U72" s="342"/>
      <c r="V72" s="342"/>
      <c r="W72" s="342"/>
      <c r="X72" s="342"/>
      <c r="Y72" s="342"/>
      <c r="Z72" s="342"/>
      <c r="AA72" s="342"/>
      <c r="AB72" s="342"/>
      <c r="AC72" s="342"/>
      <c r="AD72" s="342"/>
      <c r="AE72" s="342"/>
      <c r="AF72" s="342"/>
      <c r="AG72" s="342"/>
      <c r="AH72" s="342"/>
      <c r="AI72" s="342"/>
      <c r="AJ72" s="342"/>
      <c r="AK72" s="342"/>
      <c r="AL72" s="342"/>
      <c r="AM72" s="342"/>
      <c r="AN72" s="342"/>
      <c r="AO72" s="342"/>
      <c r="AP72" s="342"/>
      <c r="AQ72" s="342"/>
      <c r="AR72" s="342"/>
      <c r="AS72" s="342"/>
      <c r="AT72" s="342"/>
      <c r="AU72" s="342"/>
      <c r="AV72" s="342"/>
      <c r="AW72" s="379"/>
      <c r="AX72" s="379"/>
      <c r="AY72" s="342"/>
      <c r="AZ72" s="342"/>
      <c r="BA72" s="342"/>
      <c r="BB72" s="342"/>
      <c r="BC72" s="342"/>
      <c r="BD72" s="342"/>
      <c r="BE72" s="342"/>
      <c r="BF72" s="342"/>
      <c r="BG72" s="342"/>
    </row>
    <row r="73" spans="4:59">
      <c r="D73" s="342"/>
      <c r="E73" s="342"/>
      <c r="F73" s="342"/>
      <c r="G73" s="342"/>
      <c r="H73" s="342"/>
      <c r="I73" s="342"/>
      <c r="J73" s="342"/>
      <c r="K73" s="342"/>
      <c r="L73" s="342"/>
      <c r="M73" s="342"/>
      <c r="N73" s="342"/>
      <c r="O73" s="342"/>
      <c r="P73" s="342"/>
      <c r="Q73" s="342"/>
      <c r="R73" s="342"/>
      <c r="S73" s="342"/>
      <c r="T73" s="342"/>
      <c r="U73" s="342"/>
      <c r="V73" s="342"/>
      <c r="W73" s="342"/>
      <c r="X73" s="342"/>
      <c r="Y73" s="342"/>
      <c r="Z73" s="342"/>
      <c r="AA73" s="342"/>
      <c r="AB73" s="342"/>
      <c r="AC73" s="342"/>
      <c r="AD73" s="342"/>
      <c r="AE73" s="342"/>
      <c r="AF73" s="342"/>
      <c r="AG73" s="342"/>
      <c r="AH73" s="342"/>
      <c r="AI73" s="342"/>
      <c r="AJ73" s="342"/>
      <c r="AK73" s="342"/>
      <c r="AL73" s="342"/>
      <c r="AM73" s="342"/>
      <c r="AN73" s="342"/>
      <c r="AO73" s="342"/>
      <c r="AP73" s="342"/>
      <c r="AQ73" s="342"/>
      <c r="AR73" s="342"/>
      <c r="AS73" s="342"/>
      <c r="AT73" s="342"/>
      <c r="AU73" s="342"/>
      <c r="AV73" s="342"/>
      <c r="AW73" s="342"/>
      <c r="AX73" s="342"/>
      <c r="AY73" s="342"/>
      <c r="AZ73" s="342"/>
      <c r="BA73" s="342"/>
      <c r="BB73" s="342"/>
      <c r="BC73" s="342"/>
      <c r="BD73" s="342"/>
      <c r="BE73" s="342"/>
      <c r="BF73" s="342"/>
      <c r="BG73" s="342"/>
    </row>
    <row r="74" spans="4:59"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342"/>
      <c r="U74" s="342"/>
      <c r="V74" s="342"/>
      <c r="W74" s="342"/>
      <c r="X74" s="342"/>
      <c r="Y74" s="342"/>
      <c r="Z74" s="342"/>
      <c r="AA74" s="342"/>
      <c r="AB74" s="342"/>
      <c r="AC74" s="342"/>
      <c r="AD74" s="342"/>
      <c r="AE74" s="342"/>
      <c r="AF74" s="342"/>
      <c r="AG74" s="342"/>
      <c r="AH74" s="342"/>
      <c r="AI74" s="342"/>
      <c r="AJ74" s="342"/>
      <c r="AK74" s="342"/>
      <c r="AL74" s="342"/>
      <c r="AM74" s="342"/>
      <c r="AN74" s="342"/>
      <c r="AO74" s="342"/>
      <c r="AP74" s="342"/>
      <c r="AQ74" s="342"/>
      <c r="AR74" s="342"/>
      <c r="AS74" s="342"/>
      <c r="AT74" s="342"/>
      <c r="AU74" s="342"/>
      <c r="AV74" s="342"/>
      <c r="AW74" s="342"/>
      <c r="AX74" s="342"/>
      <c r="AY74" s="342"/>
      <c r="AZ74" s="342"/>
      <c r="BA74" s="342"/>
      <c r="BB74" s="342"/>
      <c r="BC74" s="342"/>
      <c r="BD74" s="342"/>
      <c r="BE74" s="342"/>
      <c r="BF74" s="342"/>
      <c r="BG74" s="342"/>
    </row>
    <row r="75" spans="4:59">
      <c r="D75" s="342"/>
      <c r="E75" s="342"/>
      <c r="F75" s="342"/>
      <c r="G75" s="342"/>
      <c r="H75" s="342"/>
      <c r="I75" s="342"/>
      <c r="J75" s="342"/>
      <c r="K75" s="342"/>
      <c r="L75" s="342"/>
      <c r="M75" s="342"/>
      <c r="N75" s="342"/>
      <c r="O75" s="342"/>
      <c r="P75" s="342"/>
      <c r="Q75" s="342"/>
      <c r="R75" s="342"/>
      <c r="S75" s="342"/>
      <c r="T75" s="342"/>
      <c r="U75" s="342"/>
      <c r="V75" s="342"/>
      <c r="W75" s="342"/>
      <c r="X75" s="342"/>
      <c r="Y75" s="342"/>
      <c r="Z75" s="342"/>
      <c r="AA75" s="342"/>
      <c r="AB75" s="342"/>
      <c r="AC75" s="342"/>
      <c r="AD75" s="342"/>
      <c r="AE75" s="342"/>
      <c r="AF75" s="342"/>
      <c r="AG75" s="342"/>
      <c r="AH75" s="342"/>
      <c r="AI75" s="342"/>
      <c r="AJ75" s="342"/>
      <c r="AK75" s="342"/>
      <c r="AL75" s="342"/>
      <c r="AM75" s="342"/>
      <c r="AN75" s="342"/>
      <c r="AO75" s="342"/>
      <c r="AP75" s="342"/>
      <c r="AQ75" s="342"/>
      <c r="AR75" s="342"/>
      <c r="AS75" s="342"/>
      <c r="AT75" s="342"/>
      <c r="AU75" s="342"/>
      <c r="AV75" s="342"/>
      <c r="AW75" s="342"/>
      <c r="AX75" s="342"/>
      <c r="AY75" s="342"/>
      <c r="AZ75" s="342"/>
      <c r="BA75" s="342"/>
      <c r="BB75" s="342"/>
      <c r="BC75" s="342"/>
      <c r="BD75" s="342"/>
      <c r="BE75" s="342"/>
      <c r="BF75" s="342"/>
      <c r="BG75" s="342"/>
    </row>
    <row r="76" spans="4:59">
      <c r="D76" s="342"/>
      <c r="E76" s="342"/>
      <c r="F76" s="342"/>
      <c r="G76" s="342"/>
      <c r="H76" s="342"/>
      <c r="I76" s="342"/>
      <c r="J76" s="342"/>
      <c r="K76" s="342"/>
      <c r="L76" s="342"/>
      <c r="M76" s="342"/>
      <c r="N76" s="342"/>
      <c r="O76" s="342"/>
      <c r="P76" s="342"/>
      <c r="Q76" s="342"/>
      <c r="R76" s="342"/>
      <c r="S76" s="342"/>
      <c r="T76" s="342"/>
      <c r="U76" s="342"/>
      <c r="V76" s="342"/>
      <c r="W76" s="342"/>
      <c r="X76" s="342"/>
      <c r="Y76" s="342"/>
      <c r="Z76" s="342"/>
      <c r="AA76" s="342"/>
      <c r="AB76" s="342"/>
      <c r="AC76" s="342"/>
      <c r="AD76" s="342"/>
      <c r="AE76" s="342"/>
      <c r="AF76" s="342"/>
      <c r="AG76" s="342"/>
      <c r="AH76" s="342"/>
      <c r="AI76" s="342"/>
      <c r="AJ76" s="342"/>
      <c r="AK76" s="342"/>
      <c r="AL76" s="342"/>
      <c r="AM76" s="342"/>
      <c r="AN76" s="342"/>
      <c r="AO76" s="342"/>
      <c r="AP76" s="342"/>
      <c r="AQ76" s="342"/>
      <c r="AR76" s="342"/>
      <c r="AS76" s="342"/>
      <c r="AT76" s="342"/>
      <c r="AU76" s="342"/>
      <c r="AV76" s="342"/>
      <c r="AW76" s="342"/>
      <c r="AX76" s="342"/>
      <c r="AY76" s="342"/>
      <c r="AZ76" s="342"/>
      <c r="BA76" s="342"/>
      <c r="BB76" s="342"/>
      <c r="BC76" s="342"/>
      <c r="BD76" s="342"/>
      <c r="BE76" s="342"/>
      <c r="BF76" s="342"/>
      <c r="BG76" s="342"/>
    </row>
    <row r="77" spans="4:59">
      <c r="D77" s="342"/>
      <c r="E77" s="342"/>
      <c r="F77" s="342"/>
      <c r="G77" s="342"/>
      <c r="H77" s="342"/>
      <c r="I77" s="342"/>
      <c r="J77" s="342"/>
      <c r="K77" s="342"/>
      <c r="L77" s="342"/>
      <c r="M77" s="342"/>
      <c r="N77" s="342"/>
      <c r="O77" s="342"/>
      <c r="P77" s="342"/>
      <c r="Q77" s="342"/>
      <c r="R77" s="342"/>
      <c r="S77" s="342"/>
      <c r="T77" s="342"/>
      <c r="U77" s="342"/>
      <c r="V77" s="342"/>
      <c r="W77" s="342"/>
      <c r="X77" s="342"/>
      <c r="Y77" s="342"/>
      <c r="Z77" s="342"/>
      <c r="AA77" s="342"/>
      <c r="AB77" s="342"/>
      <c r="AC77" s="342"/>
      <c r="AD77" s="342"/>
      <c r="AE77" s="342"/>
      <c r="AF77" s="342"/>
      <c r="AG77" s="342"/>
      <c r="AH77" s="342"/>
      <c r="AI77" s="342"/>
      <c r="AJ77" s="342"/>
      <c r="AK77" s="342"/>
      <c r="AL77" s="342"/>
      <c r="AM77" s="342"/>
      <c r="AN77" s="342"/>
      <c r="AO77" s="342"/>
      <c r="AP77" s="342"/>
      <c r="AQ77" s="342"/>
      <c r="AR77" s="342"/>
      <c r="AS77" s="342"/>
      <c r="AT77" s="342"/>
      <c r="AU77" s="342"/>
      <c r="AV77" s="342"/>
      <c r="AW77" s="342"/>
      <c r="AX77" s="342"/>
      <c r="AY77" s="342"/>
      <c r="AZ77" s="342"/>
      <c r="BA77" s="342"/>
      <c r="BB77" s="342"/>
      <c r="BC77" s="342"/>
      <c r="BD77" s="342"/>
      <c r="BE77" s="342"/>
      <c r="BF77" s="342"/>
      <c r="BG77" s="342"/>
    </row>
    <row r="78" spans="4:59"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342"/>
      <c r="O78" s="342"/>
      <c r="P78" s="342"/>
      <c r="Q78" s="342"/>
      <c r="R78" s="342"/>
      <c r="S78" s="342"/>
      <c r="T78" s="342"/>
      <c r="U78" s="342"/>
      <c r="V78" s="342"/>
      <c r="W78" s="342"/>
      <c r="X78" s="342"/>
      <c r="Y78" s="342"/>
      <c r="Z78" s="342"/>
      <c r="AA78" s="342"/>
      <c r="AB78" s="342"/>
      <c r="AC78" s="342"/>
      <c r="AD78" s="342"/>
      <c r="AE78" s="342"/>
      <c r="AF78" s="342"/>
      <c r="AG78" s="342"/>
      <c r="AH78" s="342"/>
      <c r="AI78" s="342"/>
      <c r="AJ78" s="342"/>
      <c r="AK78" s="342"/>
      <c r="AL78" s="342"/>
      <c r="AM78" s="342"/>
      <c r="AN78" s="342"/>
      <c r="AO78" s="342"/>
      <c r="AP78" s="342"/>
      <c r="AQ78" s="342"/>
      <c r="AR78" s="342"/>
      <c r="AS78" s="342"/>
      <c r="AT78" s="342"/>
      <c r="AU78" s="342"/>
      <c r="AV78" s="342"/>
      <c r="AW78" s="342"/>
      <c r="AX78" s="342"/>
      <c r="AY78" s="342"/>
      <c r="AZ78" s="342"/>
      <c r="BA78" s="342"/>
      <c r="BB78" s="342"/>
      <c r="BC78" s="342"/>
      <c r="BD78" s="342"/>
      <c r="BE78" s="342"/>
      <c r="BF78" s="342"/>
      <c r="BG78" s="342"/>
    </row>
    <row r="79" spans="4:59"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2"/>
      <c r="U79" s="342"/>
      <c r="V79" s="342"/>
      <c r="W79" s="342"/>
      <c r="X79" s="342"/>
      <c r="Y79" s="342"/>
      <c r="Z79" s="342"/>
      <c r="AA79" s="342"/>
      <c r="AB79" s="342"/>
      <c r="AC79" s="342"/>
      <c r="AD79" s="342"/>
      <c r="AE79" s="342"/>
      <c r="AF79" s="342"/>
      <c r="AG79" s="342"/>
      <c r="AH79" s="342"/>
      <c r="AI79" s="342"/>
      <c r="AJ79" s="342"/>
      <c r="AK79" s="342"/>
      <c r="AL79" s="342"/>
      <c r="AM79" s="342"/>
      <c r="AN79" s="342"/>
      <c r="AO79" s="342"/>
      <c r="AP79" s="342"/>
      <c r="AQ79" s="342"/>
      <c r="AR79" s="342"/>
      <c r="AS79" s="342"/>
      <c r="AT79" s="342"/>
      <c r="AU79" s="342"/>
      <c r="AV79" s="342"/>
      <c r="AW79" s="342"/>
      <c r="AX79" s="342"/>
      <c r="AY79" s="342"/>
      <c r="AZ79" s="342"/>
      <c r="BA79" s="342"/>
      <c r="BB79" s="342"/>
      <c r="BC79" s="342"/>
      <c r="BD79" s="342"/>
      <c r="BE79" s="342"/>
      <c r="BF79" s="342"/>
      <c r="BG79" s="342"/>
    </row>
    <row r="80" spans="4:59">
      <c r="D80" s="342"/>
      <c r="E80" s="342"/>
      <c r="F80" s="342"/>
      <c r="G80" s="342"/>
      <c r="H80" s="342"/>
      <c r="I80" s="342"/>
      <c r="J80" s="342"/>
      <c r="K80" s="342"/>
      <c r="L80" s="342"/>
      <c r="M80" s="342"/>
      <c r="N80" s="342"/>
      <c r="O80" s="342"/>
      <c r="P80" s="342"/>
      <c r="Q80" s="342"/>
      <c r="R80" s="342"/>
      <c r="S80" s="342"/>
      <c r="T80" s="342"/>
      <c r="U80" s="342"/>
      <c r="V80" s="342"/>
      <c r="W80" s="342"/>
      <c r="X80" s="342"/>
      <c r="Y80" s="342"/>
      <c r="Z80" s="342"/>
      <c r="AA80" s="342"/>
      <c r="AB80" s="342"/>
      <c r="AC80" s="342"/>
      <c r="AD80" s="342"/>
      <c r="AE80" s="342"/>
      <c r="AF80" s="342"/>
      <c r="AG80" s="342"/>
      <c r="AH80" s="342"/>
      <c r="AI80" s="342"/>
      <c r="AJ80" s="342"/>
      <c r="AK80" s="342"/>
      <c r="AL80" s="342"/>
      <c r="AM80" s="342"/>
      <c r="AN80" s="342"/>
      <c r="AO80" s="342"/>
      <c r="AP80" s="342"/>
      <c r="AQ80" s="342"/>
      <c r="AR80" s="342"/>
      <c r="AS80" s="342"/>
      <c r="AT80" s="342"/>
      <c r="AU80" s="342"/>
      <c r="AV80" s="342"/>
      <c r="AW80" s="342"/>
      <c r="AX80" s="342"/>
      <c r="AY80" s="342"/>
      <c r="AZ80" s="342"/>
      <c r="BA80" s="342"/>
      <c r="BB80" s="342"/>
      <c r="BC80" s="342"/>
      <c r="BD80" s="342"/>
      <c r="BE80" s="342"/>
      <c r="BF80" s="342"/>
      <c r="BG80" s="342"/>
    </row>
    <row r="81" spans="4:59">
      <c r="D81" s="342"/>
      <c r="E81" s="342"/>
      <c r="F81" s="342"/>
      <c r="G81" s="342"/>
      <c r="H81" s="342"/>
      <c r="I81" s="342"/>
      <c r="J81" s="342"/>
      <c r="K81" s="342"/>
      <c r="L81" s="342"/>
      <c r="M81" s="342"/>
      <c r="N81" s="342"/>
      <c r="O81" s="342"/>
      <c r="P81" s="342"/>
      <c r="Q81" s="342"/>
      <c r="R81" s="342"/>
      <c r="S81" s="342"/>
      <c r="T81" s="342"/>
      <c r="U81" s="342"/>
      <c r="V81" s="342"/>
      <c r="W81" s="342"/>
      <c r="X81" s="342"/>
      <c r="Y81" s="342"/>
      <c r="Z81" s="342"/>
      <c r="AA81" s="342"/>
      <c r="AB81" s="342"/>
      <c r="AC81" s="342"/>
      <c r="AD81" s="342"/>
      <c r="AE81" s="342"/>
      <c r="AF81" s="342"/>
      <c r="AG81" s="342"/>
      <c r="AH81" s="342"/>
      <c r="AI81" s="342"/>
      <c r="AJ81" s="342"/>
      <c r="AK81" s="342"/>
      <c r="AL81" s="342"/>
      <c r="AM81" s="342"/>
      <c r="AN81" s="342"/>
      <c r="AO81" s="342"/>
      <c r="AP81" s="342"/>
      <c r="AQ81" s="342"/>
      <c r="AR81" s="342"/>
      <c r="AS81" s="342"/>
      <c r="AT81" s="342"/>
      <c r="AU81" s="342"/>
      <c r="AV81" s="342"/>
      <c r="AW81" s="342"/>
      <c r="AX81" s="342"/>
      <c r="AY81" s="342"/>
      <c r="AZ81" s="342"/>
      <c r="BA81" s="342"/>
      <c r="BB81" s="342"/>
      <c r="BC81" s="342"/>
      <c r="BD81" s="342"/>
      <c r="BE81" s="342"/>
      <c r="BF81" s="342"/>
      <c r="BG81" s="342"/>
    </row>
    <row r="82" spans="4:59"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  <c r="AJ82" s="342"/>
      <c r="AK82" s="342"/>
      <c r="AL82" s="342"/>
      <c r="AM82" s="342"/>
      <c r="AN82" s="342"/>
      <c r="AO82" s="342"/>
      <c r="AP82" s="342"/>
      <c r="AQ82" s="342"/>
      <c r="AR82" s="342"/>
      <c r="AS82" s="342"/>
      <c r="AT82" s="342"/>
      <c r="AU82" s="342"/>
      <c r="AV82" s="342"/>
      <c r="AW82" s="342"/>
      <c r="AX82" s="342"/>
      <c r="AY82" s="342"/>
      <c r="AZ82" s="342"/>
      <c r="BA82" s="342"/>
      <c r="BB82" s="342"/>
      <c r="BC82" s="342"/>
      <c r="BD82" s="342"/>
      <c r="BE82" s="342"/>
      <c r="BF82" s="342"/>
      <c r="BG82" s="342"/>
    </row>
    <row r="83" spans="4:59"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  <c r="AA83" s="342"/>
      <c r="AB83" s="342"/>
      <c r="AC83" s="342"/>
      <c r="AD83" s="342"/>
      <c r="AE83" s="342"/>
      <c r="AF83" s="342"/>
      <c r="AG83" s="342"/>
      <c r="AH83" s="342"/>
      <c r="AI83" s="342"/>
      <c r="AJ83" s="342"/>
      <c r="AK83" s="342"/>
      <c r="AL83" s="342"/>
      <c r="AM83" s="342"/>
      <c r="AN83" s="342"/>
      <c r="AO83" s="342"/>
      <c r="AP83" s="342"/>
      <c r="AQ83" s="342"/>
      <c r="AR83" s="342"/>
      <c r="AS83" s="342"/>
      <c r="AT83" s="342"/>
      <c r="AU83" s="342"/>
      <c r="AV83" s="342"/>
      <c r="AW83" s="342"/>
      <c r="AX83" s="342"/>
      <c r="AY83" s="342"/>
      <c r="AZ83" s="342"/>
      <c r="BA83" s="342"/>
      <c r="BB83" s="342"/>
      <c r="BC83" s="342"/>
      <c r="BD83" s="342"/>
      <c r="BE83" s="342"/>
      <c r="BF83" s="342"/>
      <c r="BG83" s="342"/>
    </row>
    <row r="84" spans="4:59">
      <c r="D84" s="342"/>
      <c r="E84" s="342"/>
      <c r="F84" s="342"/>
      <c r="G84" s="342"/>
      <c r="H84" s="342"/>
      <c r="I84" s="342"/>
      <c r="J84" s="342"/>
      <c r="K84" s="342"/>
      <c r="L84" s="342"/>
      <c r="M84" s="342"/>
      <c r="N84" s="342"/>
      <c r="O84" s="342"/>
      <c r="P84" s="342"/>
      <c r="Q84" s="342"/>
      <c r="R84" s="342"/>
      <c r="S84" s="342"/>
      <c r="T84" s="342"/>
      <c r="U84" s="342"/>
      <c r="V84" s="342"/>
      <c r="W84" s="342"/>
      <c r="X84" s="342"/>
      <c r="Y84" s="342"/>
      <c r="Z84" s="342"/>
      <c r="AA84" s="342"/>
      <c r="AB84" s="342"/>
      <c r="AC84" s="342"/>
      <c r="AD84" s="342"/>
      <c r="AE84" s="342"/>
      <c r="AF84" s="342"/>
      <c r="AG84" s="342"/>
      <c r="AH84" s="342"/>
      <c r="AI84" s="342"/>
      <c r="AJ84" s="342"/>
      <c r="AK84" s="342"/>
      <c r="AL84" s="342"/>
      <c r="AM84" s="342"/>
      <c r="AN84" s="342"/>
      <c r="AO84" s="342"/>
      <c r="AP84" s="342"/>
      <c r="AQ84" s="342"/>
      <c r="AR84" s="342"/>
      <c r="AS84" s="342"/>
      <c r="AT84" s="342"/>
      <c r="AU84" s="342"/>
      <c r="AV84" s="342"/>
      <c r="AW84" s="342"/>
      <c r="AX84" s="342"/>
      <c r="AY84" s="342"/>
      <c r="AZ84" s="342"/>
      <c r="BA84" s="342"/>
      <c r="BB84" s="342"/>
      <c r="BC84" s="342"/>
      <c r="BD84" s="342"/>
      <c r="BE84" s="342"/>
      <c r="BF84" s="342"/>
      <c r="BG84" s="342"/>
    </row>
    <row r="85" spans="4:59">
      <c r="D85" s="342"/>
      <c r="E85" s="342"/>
      <c r="F85" s="342"/>
      <c r="G85" s="342"/>
      <c r="H85" s="342"/>
      <c r="I85" s="342"/>
      <c r="J85" s="342"/>
      <c r="K85" s="342"/>
      <c r="L85" s="342"/>
      <c r="M85" s="342"/>
      <c r="N85" s="342"/>
      <c r="O85" s="342"/>
      <c r="P85" s="342"/>
      <c r="Q85" s="342"/>
      <c r="R85" s="342"/>
      <c r="S85" s="342"/>
      <c r="T85" s="342"/>
      <c r="U85" s="342"/>
      <c r="V85" s="342"/>
      <c r="W85" s="342"/>
      <c r="X85" s="342"/>
      <c r="Y85" s="342"/>
      <c r="Z85" s="342"/>
      <c r="AA85" s="342"/>
      <c r="AB85" s="342"/>
      <c r="AC85" s="342"/>
      <c r="AD85" s="342"/>
      <c r="AE85" s="342"/>
      <c r="AF85" s="342"/>
      <c r="AG85" s="342"/>
      <c r="AH85" s="342"/>
      <c r="AI85" s="342"/>
      <c r="AJ85" s="342"/>
      <c r="AK85" s="342"/>
      <c r="AL85" s="342"/>
      <c r="AM85" s="342"/>
      <c r="AN85" s="342"/>
      <c r="AO85" s="342"/>
      <c r="AP85" s="342"/>
      <c r="AQ85" s="342"/>
      <c r="AR85" s="342"/>
      <c r="AS85" s="342"/>
      <c r="AT85" s="342"/>
      <c r="AU85" s="342"/>
      <c r="AV85" s="342"/>
      <c r="AW85" s="342"/>
      <c r="AX85" s="342"/>
      <c r="AY85" s="342"/>
      <c r="AZ85" s="342"/>
      <c r="BA85" s="342"/>
      <c r="BB85" s="342"/>
      <c r="BC85" s="342"/>
      <c r="BD85" s="342"/>
      <c r="BE85" s="342"/>
      <c r="BF85" s="342"/>
      <c r="BG85" s="342"/>
    </row>
    <row r="86" spans="4:59"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342"/>
      <c r="O86" s="342"/>
      <c r="P86" s="342"/>
      <c r="Q86" s="342"/>
      <c r="R86" s="342"/>
      <c r="S86" s="342"/>
      <c r="T86" s="342"/>
      <c r="U86" s="342"/>
      <c r="V86" s="342"/>
      <c r="W86" s="342"/>
      <c r="X86" s="342"/>
      <c r="Y86" s="342"/>
      <c r="Z86" s="342"/>
      <c r="AA86" s="342"/>
      <c r="AB86" s="342"/>
      <c r="AC86" s="342"/>
      <c r="AD86" s="342"/>
      <c r="AE86" s="342"/>
      <c r="AF86" s="342"/>
      <c r="AG86" s="342"/>
      <c r="AH86" s="342"/>
      <c r="AI86" s="342"/>
      <c r="AJ86" s="342"/>
      <c r="AK86" s="342"/>
      <c r="AL86" s="342"/>
      <c r="AM86" s="342"/>
      <c r="AN86" s="342"/>
      <c r="AO86" s="342"/>
      <c r="AP86" s="342"/>
      <c r="AQ86" s="342"/>
      <c r="AR86" s="342"/>
      <c r="AS86" s="342"/>
      <c r="AT86" s="342"/>
      <c r="AU86" s="342"/>
      <c r="AV86" s="342"/>
      <c r="AW86" s="342"/>
      <c r="AX86" s="342"/>
      <c r="AY86" s="342"/>
      <c r="AZ86" s="342"/>
      <c r="BA86" s="342"/>
      <c r="BB86" s="342"/>
      <c r="BC86" s="342"/>
      <c r="BD86" s="342"/>
      <c r="BE86" s="342"/>
      <c r="BF86" s="342"/>
      <c r="BG86" s="342"/>
    </row>
    <row r="87" spans="4:59">
      <c r="D87" s="342"/>
      <c r="E87" s="342"/>
      <c r="F87" s="342"/>
      <c r="G87" s="342"/>
      <c r="H87" s="342"/>
      <c r="I87" s="342"/>
      <c r="J87" s="342"/>
      <c r="K87" s="342"/>
      <c r="L87" s="342"/>
      <c r="M87" s="342"/>
      <c r="N87" s="342"/>
      <c r="O87" s="342"/>
      <c r="P87" s="342"/>
      <c r="Q87" s="342"/>
      <c r="R87" s="342"/>
      <c r="S87" s="342"/>
      <c r="T87" s="342"/>
      <c r="U87" s="342"/>
      <c r="V87" s="342"/>
      <c r="W87" s="342"/>
      <c r="X87" s="342"/>
      <c r="Y87" s="342"/>
      <c r="Z87" s="342"/>
      <c r="AA87" s="342"/>
      <c r="AB87" s="342"/>
      <c r="AC87" s="342"/>
      <c r="AD87" s="342"/>
      <c r="AE87" s="342"/>
      <c r="AF87" s="342"/>
      <c r="AG87" s="342"/>
      <c r="AH87" s="342"/>
      <c r="AI87" s="342"/>
      <c r="AJ87" s="342"/>
      <c r="AK87" s="342"/>
      <c r="AL87" s="342"/>
      <c r="AM87" s="342"/>
      <c r="AN87" s="342"/>
      <c r="AO87" s="342"/>
      <c r="AP87" s="342"/>
      <c r="AQ87" s="342"/>
      <c r="AR87" s="342"/>
      <c r="AS87" s="342"/>
      <c r="AT87" s="342"/>
      <c r="AU87" s="342"/>
      <c r="AV87" s="342"/>
      <c r="AW87" s="342"/>
      <c r="AX87" s="342"/>
      <c r="AY87" s="342"/>
      <c r="AZ87" s="342"/>
      <c r="BA87" s="342"/>
      <c r="BB87" s="342"/>
      <c r="BC87" s="342"/>
      <c r="BD87" s="342"/>
      <c r="BE87" s="342"/>
      <c r="BF87" s="342"/>
      <c r="BG87" s="342"/>
    </row>
    <row r="88" spans="4:59">
      <c r="D88" s="342"/>
      <c r="E88" s="342"/>
      <c r="F88" s="342"/>
      <c r="G88" s="342"/>
      <c r="H88" s="342"/>
      <c r="I88" s="342"/>
      <c r="J88" s="342"/>
      <c r="K88" s="342"/>
      <c r="L88" s="342"/>
      <c r="M88" s="342"/>
      <c r="N88" s="342"/>
      <c r="O88" s="342"/>
      <c r="P88" s="342"/>
      <c r="Q88" s="342"/>
      <c r="R88" s="342"/>
      <c r="S88" s="342"/>
      <c r="T88" s="342"/>
      <c r="U88" s="342"/>
      <c r="V88" s="342"/>
      <c r="W88" s="342"/>
      <c r="X88" s="342"/>
      <c r="Y88" s="342"/>
      <c r="Z88" s="342"/>
      <c r="AA88" s="342"/>
      <c r="AB88" s="342"/>
      <c r="AC88" s="342"/>
      <c r="AD88" s="342"/>
      <c r="AE88" s="342"/>
      <c r="AF88" s="342"/>
      <c r="AG88" s="342"/>
      <c r="AH88" s="342"/>
      <c r="AI88" s="342"/>
      <c r="AJ88" s="342"/>
      <c r="AK88" s="342"/>
      <c r="AL88" s="342"/>
      <c r="AM88" s="342"/>
      <c r="AN88" s="342"/>
      <c r="AO88" s="342"/>
      <c r="AP88" s="342"/>
      <c r="AQ88" s="342"/>
      <c r="AR88" s="342"/>
      <c r="AS88" s="342"/>
      <c r="AT88" s="342"/>
      <c r="AU88" s="342"/>
      <c r="AV88" s="342"/>
      <c r="AW88" s="342"/>
      <c r="AX88" s="342"/>
      <c r="AY88" s="342"/>
      <c r="AZ88" s="342"/>
      <c r="BA88" s="342"/>
      <c r="BB88" s="342"/>
      <c r="BC88" s="342"/>
      <c r="BD88" s="342"/>
      <c r="BE88" s="342"/>
      <c r="BF88" s="342"/>
      <c r="BG88" s="342"/>
    </row>
    <row r="89" spans="4:59"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2"/>
      <c r="V89" s="342"/>
      <c r="W89" s="342"/>
      <c r="X89" s="342"/>
      <c r="Y89" s="342"/>
      <c r="Z89" s="342"/>
      <c r="AA89" s="342"/>
      <c r="AB89" s="342"/>
      <c r="AC89" s="342"/>
      <c r="AD89" s="342"/>
      <c r="AE89" s="342"/>
      <c r="AF89" s="342"/>
      <c r="AG89" s="342"/>
      <c r="AH89" s="342"/>
      <c r="AI89" s="342"/>
      <c r="AJ89" s="342"/>
      <c r="AK89" s="342"/>
      <c r="AL89" s="342"/>
      <c r="AM89" s="342"/>
      <c r="AN89" s="342"/>
      <c r="AO89" s="342"/>
      <c r="AP89" s="342"/>
      <c r="AQ89" s="342"/>
      <c r="AR89" s="342"/>
      <c r="AS89" s="342"/>
      <c r="AT89" s="342"/>
      <c r="AU89" s="342"/>
      <c r="AV89" s="342"/>
      <c r="AW89" s="342"/>
      <c r="AX89" s="342"/>
      <c r="AY89" s="342"/>
      <c r="AZ89" s="342"/>
      <c r="BA89" s="342"/>
      <c r="BB89" s="342"/>
      <c r="BC89" s="342"/>
      <c r="BD89" s="342"/>
      <c r="BE89" s="342"/>
      <c r="BF89" s="342"/>
      <c r="BG89" s="342"/>
    </row>
    <row r="90" spans="4:59">
      <c r="D90" s="342"/>
      <c r="E90" s="342"/>
      <c r="F90" s="342"/>
      <c r="G90" s="342"/>
      <c r="H90" s="342"/>
      <c r="I90" s="342"/>
      <c r="J90" s="342"/>
      <c r="K90" s="342"/>
      <c r="L90" s="342"/>
      <c r="M90" s="342"/>
      <c r="N90" s="342"/>
      <c r="O90" s="342"/>
      <c r="P90" s="342"/>
      <c r="Q90" s="342"/>
      <c r="R90" s="342"/>
      <c r="S90" s="342"/>
      <c r="T90" s="342"/>
      <c r="U90" s="342"/>
      <c r="V90" s="342"/>
      <c r="W90" s="342"/>
      <c r="X90" s="342"/>
      <c r="Y90" s="342"/>
      <c r="Z90" s="342"/>
      <c r="AA90" s="342"/>
      <c r="AB90" s="342"/>
      <c r="AC90" s="342"/>
      <c r="AD90" s="342"/>
      <c r="AE90" s="342"/>
      <c r="AF90" s="342"/>
      <c r="AG90" s="342"/>
      <c r="AH90" s="342"/>
      <c r="AI90" s="342"/>
      <c r="AJ90" s="342"/>
      <c r="AK90" s="342"/>
      <c r="AL90" s="342"/>
      <c r="AM90" s="342"/>
      <c r="AN90" s="342"/>
      <c r="AO90" s="342"/>
      <c r="AP90" s="342"/>
      <c r="AQ90" s="342"/>
      <c r="AR90" s="342"/>
      <c r="AS90" s="342"/>
      <c r="AT90" s="342"/>
      <c r="AU90" s="342"/>
      <c r="AV90" s="342"/>
      <c r="AW90" s="342"/>
      <c r="AX90" s="342"/>
      <c r="AY90" s="342"/>
      <c r="AZ90" s="342"/>
      <c r="BA90" s="342"/>
      <c r="BB90" s="342"/>
      <c r="BC90" s="342"/>
      <c r="BD90" s="342"/>
      <c r="BE90" s="342"/>
      <c r="BF90" s="342"/>
      <c r="BG90" s="342"/>
    </row>
    <row r="91" spans="4:59">
      <c r="D91" s="342"/>
      <c r="E91" s="342"/>
      <c r="F91" s="342"/>
      <c r="G91" s="342"/>
      <c r="H91" s="342"/>
      <c r="I91" s="342"/>
      <c r="J91" s="342"/>
      <c r="K91" s="342"/>
      <c r="L91" s="342"/>
      <c r="M91" s="342"/>
      <c r="N91" s="342"/>
      <c r="O91" s="342"/>
      <c r="P91" s="342"/>
      <c r="Q91" s="342"/>
      <c r="R91" s="342"/>
      <c r="S91" s="342"/>
      <c r="T91" s="342"/>
      <c r="U91" s="342"/>
      <c r="V91" s="342"/>
      <c r="W91" s="342"/>
      <c r="X91" s="342"/>
      <c r="Y91" s="342"/>
      <c r="Z91" s="342"/>
      <c r="AA91" s="342"/>
      <c r="AB91" s="342"/>
      <c r="AC91" s="342"/>
      <c r="AD91" s="342"/>
      <c r="AE91" s="342"/>
      <c r="AF91" s="342"/>
      <c r="AG91" s="342"/>
      <c r="AH91" s="342"/>
      <c r="AI91" s="342"/>
      <c r="AJ91" s="342"/>
      <c r="AK91" s="342"/>
      <c r="AL91" s="342"/>
      <c r="AM91" s="342"/>
      <c r="AN91" s="342"/>
      <c r="AO91" s="342"/>
      <c r="AP91" s="342"/>
      <c r="AQ91" s="342"/>
      <c r="AR91" s="342"/>
      <c r="AS91" s="342"/>
      <c r="AT91" s="342"/>
      <c r="AU91" s="342"/>
      <c r="AV91" s="342"/>
      <c r="AW91" s="342"/>
      <c r="AX91" s="342"/>
      <c r="AY91" s="342"/>
      <c r="AZ91" s="342"/>
      <c r="BA91" s="342"/>
      <c r="BB91" s="342"/>
      <c r="BC91" s="342"/>
      <c r="BD91" s="342"/>
      <c r="BE91" s="342"/>
      <c r="BF91" s="342"/>
      <c r="BG91" s="342"/>
    </row>
    <row r="92" spans="4:59">
      <c r="D92" s="342"/>
      <c r="E92" s="342"/>
      <c r="F92" s="342"/>
      <c r="G92" s="342"/>
      <c r="H92" s="342"/>
      <c r="I92" s="342"/>
      <c r="J92" s="342"/>
      <c r="K92" s="342"/>
      <c r="L92" s="342"/>
      <c r="M92" s="342"/>
      <c r="N92" s="342"/>
      <c r="O92" s="342"/>
      <c r="P92" s="342"/>
      <c r="Q92" s="342"/>
      <c r="R92" s="342"/>
      <c r="S92" s="342"/>
      <c r="T92" s="342"/>
      <c r="U92" s="342"/>
      <c r="V92" s="342"/>
      <c r="W92" s="342"/>
      <c r="X92" s="342"/>
      <c r="Y92" s="342"/>
      <c r="Z92" s="342"/>
      <c r="AA92" s="342"/>
      <c r="AB92" s="342"/>
      <c r="AC92" s="342"/>
      <c r="AD92" s="342"/>
      <c r="AE92" s="342"/>
      <c r="AF92" s="342"/>
      <c r="AG92" s="342"/>
      <c r="AH92" s="342"/>
      <c r="AI92" s="342"/>
      <c r="AJ92" s="342"/>
      <c r="AK92" s="342"/>
      <c r="AL92" s="342"/>
      <c r="AM92" s="342"/>
      <c r="AN92" s="342"/>
      <c r="AO92" s="342"/>
      <c r="AP92" s="342"/>
      <c r="AQ92" s="342"/>
      <c r="AR92" s="342"/>
      <c r="AS92" s="342"/>
      <c r="AT92" s="342"/>
      <c r="AU92" s="342"/>
      <c r="AV92" s="342"/>
      <c r="AW92" s="342"/>
      <c r="AX92" s="342"/>
      <c r="AY92" s="342"/>
      <c r="AZ92" s="342"/>
      <c r="BA92" s="342"/>
      <c r="BB92" s="342"/>
      <c r="BC92" s="342"/>
      <c r="BD92" s="342"/>
      <c r="BE92" s="342"/>
      <c r="BF92" s="342"/>
      <c r="BG92" s="342"/>
    </row>
    <row r="93" spans="4:59">
      <c r="D93" s="342"/>
      <c r="E93" s="342"/>
      <c r="F93" s="342"/>
      <c r="G93" s="342"/>
      <c r="H93" s="342"/>
      <c r="I93" s="342"/>
      <c r="J93" s="342"/>
      <c r="K93" s="342"/>
      <c r="L93" s="342"/>
      <c r="M93" s="342"/>
      <c r="N93" s="342"/>
      <c r="O93" s="342"/>
      <c r="P93" s="342"/>
      <c r="Q93" s="342"/>
      <c r="R93" s="342"/>
      <c r="S93" s="342"/>
      <c r="T93" s="342"/>
      <c r="U93" s="342"/>
      <c r="V93" s="342"/>
      <c r="W93" s="342"/>
      <c r="X93" s="342"/>
      <c r="Y93" s="342"/>
      <c r="Z93" s="342"/>
      <c r="AA93" s="342"/>
      <c r="AB93" s="342"/>
      <c r="AC93" s="342"/>
      <c r="AD93" s="342"/>
      <c r="AE93" s="342"/>
      <c r="AF93" s="342"/>
      <c r="AG93" s="342"/>
      <c r="AH93" s="342"/>
      <c r="AI93" s="342"/>
      <c r="AJ93" s="342"/>
      <c r="AK93" s="342"/>
      <c r="AL93" s="342"/>
      <c r="AM93" s="342"/>
      <c r="AN93" s="342"/>
      <c r="AO93" s="342"/>
      <c r="AP93" s="342"/>
      <c r="AQ93" s="342"/>
      <c r="AR93" s="342"/>
      <c r="AS93" s="342"/>
      <c r="AT93" s="342"/>
      <c r="AU93" s="342"/>
      <c r="AV93" s="342"/>
      <c r="AW93" s="342"/>
      <c r="AX93" s="342"/>
      <c r="AY93" s="342"/>
      <c r="AZ93" s="342"/>
      <c r="BA93" s="342"/>
      <c r="BB93" s="342"/>
      <c r="BC93" s="342"/>
      <c r="BD93" s="342"/>
      <c r="BE93" s="342"/>
      <c r="BF93" s="342"/>
      <c r="BG93" s="342"/>
    </row>
    <row r="94" spans="4:59"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2"/>
      <c r="O94" s="342"/>
      <c r="P94" s="342"/>
      <c r="Q94" s="342"/>
      <c r="R94" s="342"/>
      <c r="S94" s="342"/>
      <c r="T94" s="342"/>
      <c r="U94" s="342"/>
      <c r="V94" s="342"/>
      <c r="W94" s="342"/>
      <c r="X94" s="342"/>
      <c r="Y94" s="342"/>
      <c r="Z94" s="342"/>
      <c r="AA94" s="342"/>
      <c r="AB94" s="342"/>
      <c r="AC94" s="342"/>
      <c r="AD94" s="342"/>
      <c r="AE94" s="342"/>
      <c r="AF94" s="342"/>
      <c r="AG94" s="342"/>
      <c r="AH94" s="342"/>
      <c r="AI94" s="342"/>
      <c r="AJ94" s="342"/>
      <c r="AK94" s="342"/>
      <c r="AL94" s="342"/>
      <c r="AM94" s="342"/>
      <c r="AN94" s="342"/>
      <c r="AO94" s="342"/>
      <c r="AP94" s="342"/>
      <c r="AQ94" s="342"/>
      <c r="AR94" s="342"/>
      <c r="AS94" s="342"/>
      <c r="AT94" s="342"/>
      <c r="AU94" s="342"/>
      <c r="AV94" s="342"/>
      <c r="AW94" s="342"/>
      <c r="AX94" s="342"/>
      <c r="AY94" s="342"/>
      <c r="AZ94" s="342"/>
      <c r="BA94" s="342"/>
      <c r="BB94" s="342"/>
      <c r="BC94" s="342"/>
      <c r="BD94" s="342"/>
      <c r="BE94" s="342"/>
      <c r="BF94" s="342"/>
      <c r="BG94" s="342"/>
    </row>
    <row r="95" spans="4:59">
      <c r="D95" s="342"/>
      <c r="E95" s="342"/>
      <c r="F95" s="342"/>
      <c r="G95" s="342"/>
      <c r="H95" s="342"/>
      <c r="I95" s="342"/>
      <c r="J95" s="342"/>
      <c r="K95" s="342"/>
      <c r="L95" s="342"/>
      <c r="M95" s="342"/>
      <c r="N95" s="342"/>
      <c r="O95" s="342"/>
      <c r="P95" s="342"/>
      <c r="Q95" s="342"/>
      <c r="R95" s="342"/>
      <c r="S95" s="342"/>
      <c r="T95" s="342"/>
      <c r="U95" s="342"/>
      <c r="V95" s="342"/>
      <c r="W95" s="342"/>
      <c r="X95" s="342"/>
      <c r="Y95" s="342"/>
      <c r="Z95" s="342"/>
      <c r="AA95" s="342"/>
      <c r="AB95" s="342"/>
      <c r="AC95" s="342"/>
      <c r="AD95" s="342"/>
      <c r="AE95" s="342"/>
      <c r="AF95" s="342"/>
      <c r="AG95" s="342"/>
      <c r="AH95" s="342"/>
      <c r="AI95" s="342"/>
      <c r="AJ95" s="342"/>
      <c r="AK95" s="342"/>
      <c r="AL95" s="342"/>
      <c r="AM95" s="342"/>
      <c r="AN95" s="342"/>
      <c r="AO95" s="342"/>
      <c r="AP95" s="342"/>
      <c r="AQ95" s="342"/>
      <c r="AR95" s="342"/>
      <c r="AS95" s="342"/>
      <c r="AT95" s="342"/>
      <c r="AU95" s="342"/>
      <c r="AV95" s="342"/>
      <c r="AW95" s="342"/>
      <c r="AX95" s="342"/>
      <c r="AY95" s="342"/>
      <c r="AZ95" s="342"/>
      <c r="BA95" s="342"/>
      <c r="BB95" s="342"/>
      <c r="BC95" s="342"/>
      <c r="BD95" s="342"/>
      <c r="BE95" s="342"/>
      <c r="BF95" s="342"/>
      <c r="BG95" s="342"/>
    </row>
    <row r="96" spans="4:59">
      <c r="D96" s="342"/>
      <c r="E96" s="342"/>
      <c r="F96" s="342"/>
      <c r="G96" s="342"/>
      <c r="H96" s="342"/>
      <c r="I96" s="342"/>
      <c r="J96" s="342"/>
      <c r="K96" s="342"/>
      <c r="L96" s="342"/>
      <c r="M96" s="342"/>
      <c r="N96" s="342"/>
      <c r="O96" s="342"/>
      <c r="P96" s="342"/>
      <c r="Q96" s="342"/>
      <c r="R96" s="342"/>
      <c r="S96" s="342"/>
      <c r="T96" s="342"/>
      <c r="U96" s="342"/>
      <c r="V96" s="342"/>
      <c r="W96" s="342"/>
      <c r="X96" s="342"/>
      <c r="Y96" s="342"/>
      <c r="Z96" s="342"/>
      <c r="AA96" s="342"/>
      <c r="AB96" s="342"/>
      <c r="AC96" s="342"/>
      <c r="AD96" s="342"/>
      <c r="AE96" s="342"/>
      <c r="AF96" s="342"/>
      <c r="AG96" s="342"/>
      <c r="AH96" s="342"/>
      <c r="AI96" s="342"/>
      <c r="AJ96" s="342"/>
      <c r="AK96" s="342"/>
      <c r="AL96" s="342"/>
      <c r="AM96" s="342"/>
      <c r="AN96" s="342"/>
      <c r="AO96" s="342"/>
      <c r="AP96" s="342"/>
      <c r="AQ96" s="342"/>
      <c r="AR96" s="342"/>
      <c r="AS96" s="342"/>
      <c r="AT96" s="342"/>
      <c r="AU96" s="342"/>
      <c r="AV96" s="342"/>
      <c r="AW96" s="342"/>
      <c r="AX96" s="342"/>
      <c r="AY96" s="342"/>
      <c r="AZ96" s="342"/>
      <c r="BA96" s="342"/>
      <c r="BB96" s="342"/>
      <c r="BC96" s="342"/>
      <c r="BD96" s="342"/>
      <c r="BE96" s="342"/>
      <c r="BF96" s="342"/>
      <c r="BG96" s="342"/>
    </row>
    <row r="97" spans="4:59">
      <c r="D97" s="342"/>
      <c r="E97" s="342"/>
      <c r="F97" s="342"/>
      <c r="G97" s="342"/>
      <c r="H97" s="342"/>
      <c r="I97" s="342"/>
      <c r="J97" s="342"/>
      <c r="K97" s="342"/>
      <c r="L97" s="342"/>
      <c r="M97" s="342"/>
      <c r="N97" s="342"/>
      <c r="O97" s="342"/>
      <c r="P97" s="342"/>
      <c r="Q97" s="342"/>
      <c r="R97" s="342"/>
      <c r="S97" s="342"/>
      <c r="T97" s="342"/>
      <c r="U97" s="342"/>
      <c r="V97" s="342"/>
      <c r="W97" s="342"/>
      <c r="X97" s="342"/>
      <c r="Y97" s="342"/>
      <c r="Z97" s="342"/>
      <c r="AA97" s="342"/>
      <c r="AB97" s="342"/>
      <c r="AC97" s="342"/>
      <c r="AD97" s="342"/>
      <c r="AE97" s="342"/>
      <c r="AF97" s="342"/>
      <c r="AG97" s="342"/>
      <c r="AH97" s="342"/>
      <c r="AI97" s="342"/>
      <c r="AJ97" s="342"/>
      <c r="AK97" s="342"/>
      <c r="AL97" s="342"/>
      <c r="AM97" s="342"/>
      <c r="AN97" s="342"/>
      <c r="AO97" s="342"/>
      <c r="AP97" s="342"/>
      <c r="AQ97" s="342"/>
      <c r="AR97" s="342"/>
      <c r="AS97" s="342"/>
      <c r="AT97" s="342"/>
      <c r="AU97" s="342"/>
      <c r="AV97" s="342"/>
      <c r="AW97" s="342"/>
      <c r="AX97" s="342"/>
      <c r="AY97" s="342"/>
      <c r="AZ97" s="342"/>
      <c r="BA97" s="342"/>
      <c r="BB97" s="342"/>
      <c r="BC97" s="342"/>
      <c r="BD97" s="342"/>
      <c r="BE97" s="342"/>
      <c r="BF97" s="342"/>
      <c r="BG97" s="342"/>
    </row>
    <row r="98" spans="4:59">
      <c r="D98" s="342"/>
      <c r="E98" s="342"/>
      <c r="F98" s="342"/>
      <c r="G98" s="342"/>
      <c r="H98" s="342"/>
      <c r="I98" s="342"/>
      <c r="J98" s="342"/>
      <c r="K98" s="342"/>
      <c r="L98" s="342"/>
      <c r="M98" s="342"/>
      <c r="N98" s="342"/>
      <c r="O98" s="342"/>
      <c r="P98" s="342"/>
      <c r="Q98" s="342"/>
      <c r="R98" s="342"/>
      <c r="S98" s="342"/>
      <c r="T98" s="342"/>
      <c r="U98" s="342"/>
      <c r="V98" s="342"/>
      <c r="W98" s="342"/>
      <c r="X98" s="342"/>
      <c r="Y98" s="342"/>
      <c r="Z98" s="342"/>
      <c r="AA98" s="342"/>
      <c r="AB98" s="342"/>
      <c r="AC98" s="342"/>
      <c r="AD98" s="342"/>
      <c r="AE98" s="342"/>
      <c r="AF98" s="342"/>
      <c r="AG98" s="342"/>
      <c r="AH98" s="342"/>
      <c r="AI98" s="342"/>
      <c r="AJ98" s="342"/>
      <c r="AK98" s="342"/>
      <c r="AL98" s="342"/>
      <c r="AM98" s="342"/>
      <c r="AN98" s="342"/>
      <c r="AO98" s="342"/>
      <c r="AP98" s="342"/>
      <c r="AQ98" s="342"/>
      <c r="AR98" s="342"/>
      <c r="AS98" s="342"/>
      <c r="AT98" s="342"/>
      <c r="AU98" s="342"/>
      <c r="AV98" s="342"/>
      <c r="AW98" s="342"/>
      <c r="AX98" s="342"/>
      <c r="AY98" s="342"/>
      <c r="AZ98" s="342"/>
      <c r="BA98" s="342"/>
      <c r="BB98" s="342"/>
      <c r="BC98" s="342"/>
      <c r="BD98" s="342"/>
      <c r="BE98" s="342"/>
      <c r="BF98" s="342"/>
      <c r="BG98" s="342"/>
    </row>
    <row r="99" spans="4:59">
      <c r="D99" s="342"/>
      <c r="E99" s="342"/>
      <c r="F99" s="342"/>
      <c r="G99" s="342"/>
      <c r="H99" s="342"/>
      <c r="I99" s="342"/>
      <c r="J99" s="342"/>
      <c r="K99" s="342"/>
      <c r="L99" s="342"/>
      <c r="M99" s="342"/>
      <c r="N99" s="342"/>
      <c r="O99" s="342"/>
      <c r="P99" s="342"/>
      <c r="Q99" s="342"/>
      <c r="R99" s="342"/>
      <c r="S99" s="342"/>
      <c r="T99" s="342"/>
      <c r="U99" s="342"/>
      <c r="V99" s="342"/>
      <c r="W99" s="342"/>
      <c r="X99" s="342"/>
      <c r="Y99" s="342"/>
      <c r="Z99" s="342"/>
      <c r="AA99" s="342"/>
      <c r="AB99" s="342"/>
      <c r="AC99" s="342"/>
      <c r="AD99" s="342"/>
      <c r="AE99" s="342"/>
      <c r="AF99" s="342"/>
      <c r="AG99" s="342"/>
      <c r="AH99" s="342"/>
      <c r="AI99" s="342"/>
      <c r="AJ99" s="342"/>
      <c r="AK99" s="342"/>
      <c r="AL99" s="342"/>
      <c r="AM99" s="342"/>
      <c r="AN99" s="342"/>
      <c r="AO99" s="342"/>
      <c r="AP99" s="342"/>
      <c r="AQ99" s="342"/>
      <c r="AR99" s="342"/>
      <c r="AS99" s="342"/>
      <c r="AT99" s="342"/>
      <c r="AU99" s="342"/>
      <c r="AV99" s="342"/>
      <c r="AW99" s="342"/>
      <c r="AX99" s="342"/>
      <c r="AY99" s="342"/>
      <c r="AZ99" s="342"/>
      <c r="BA99" s="342"/>
      <c r="BB99" s="342"/>
      <c r="BC99" s="342"/>
      <c r="BD99" s="342"/>
      <c r="BE99" s="342"/>
      <c r="BF99" s="342"/>
      <c r="BG99" s="342"/>
    </row>
    <row r="100" spans="4:59">
      <c r="D100" s="342"/>
      <c r="E100" s="342"/>
      <c r="F100" s="342"/>
      <c r="G100" s="342"/>
      <c r="H100" s="342"/>
      <c r="I100" s="342"/>
      <c r="J100" s="342"/>
      <c r="K100" s="342"/>
      <c r="L100" s="342"/>
      <c r="M100" s="342"/>
      <c r="N100" s="342"/>
      <c r="O100" s="342"/>
      <c r="P100" s="342"/>
      <c r="Q100" s="342"/>
      <c r="R100" s="342"/>
      <c r="S100" s="342"/>
      <c r="T100" s="342"/>
      <c r="U100" s="342"/>
      <c r="V100" s="342"/>
      <c r="W100" s="342"/>
      <c r="X100" s="342"/>
      <c r="Y100" s="342"/>
      <c r="Z100" s="342"/>
      <c r="AA100" s="342"/>
      <c r="AB100" s="342"/>
      <c r="AC100" s="342"/>
      <c r="AD100" s="342"/>
      <c r="AE100" s="342"/>
      <c r="AF100" s="342"/>
      <c r="AG100" s="342"/>
      <c r="AH100" s="342"/>
      <c r="AI100" s="342"/>
      <c r="AJ100" s="342"/>
      <c r="AK100" s="342"/>
      <c r="AL100" s="342"/>
      <c r="AM100" s="342"/>
      <c r="AN100" s="342"/>
      <c r="AO100" s="342"/>
      <c r="AP100" s="342"/>
      <c r="AQ100" s="342"/>
      <c r="AR100" s="342"/>
      <c r="AS100" s="342"/>
      <c r="AT100" s="342"/>
      <c r="AU100" s="342"/>
      <c r="AV100" s="342"/>
      <c r="AW100" s="342"/>
      <c r="AX100" s="342"/>
      <c r="AY100" s="342"/>
      <c r="AZ100" s="342"/>
      <c r="BA100" s="342"/>
      <c r="BB100" s="342"/>
      <c r="BC100" s="342"/>
      <c r="BD100" s="342"/>
      <c r="BE100" s="342"/>
      <c r="BF100" s="342"/>
      <c r="BG100" s="342"/>
    </row>
    <row r="101" spans="4:59">
      <c r="D101" s="342"/>
      <c r="E101" s="342"/>
      <c r="F101" s="342"/>
      <c r="G101" s="342"/>
      <c r="H101" s="342"/>
      <c r="I101" s="342"/>
      <c r="J101" s="342"/>
      <c r="K101" s="342"/>
      <c r="L101" s="342"/>
      <c r="M101" s="342"/>
      <c r="N101" s="342"/>
      <c r="O101" s="342"/>
      <c r="P101" s="342"/>
      <c r="Q101" s="342"/>
      <c r="R101" s="342"/>
      <c r="S101" s="342"/>
      <c r="T101" s="342"/>
      <c r="U101" s="342"/>
      <c r="V101" s="342"/>
      <c r="W101" s="342"/>
      <c r="X101" s="342"/>
      <c r="Y101" s="342"/>
      <c r="Z101" s="342"/>
      <c r="AA101" s="342"/>
      <c r="AB101" s="342"/>
      <c r="AC101" s="342"/>
      <c r="AD101" s="342"/>
      <c r="AE101" s="342"/>
      <c r="AF101" s="342"/>
      <c r="AG101" s="342"/>
      <c r="AH101" s="342"/>
      <c r="AI101" s="342"/>
      <c r="AJ101" s="342"/>
      <c r="AK101" s="342"/>
      <c r="AL101" s="342"/>
      <c r="AM101" s="342"/>
      <c r="AN101" s="342"/>
      <c r="AO101" s="342"/>
      <c r="AP101" s="342"/>
      <c r="AQ101" s="342"/>
      <c r="AR101" s="342"/>
      <c r="AS101" s="342"/>
      <c r="AT101" s="342"/>
      <c r="AU101" s="342"/>
      <c r="AV101" s="342"/>
      <c r="AW101" s="342"/>
      <c r="AX101" s="342"/>
      <c r="AY101" s="342"/>
      <c r="AZ101" s="342"/>
      <c r="BA101" s="342"/>
      <c r="BB101" s="342"/>
      <c r="BC101" s="342"/>
      <c r="BD101" s="342"/>
      <c r="BE101" s="342"/>
      <c r="BF101" s="342"/>
      <c r="BG101" s="342"/>
    </row>
    <row r="102" spans="4:59">
      <c r="D102" s="342"/>
      <c r="E102" s="342"/>
      <c r="F102" s="342"/>
      <c r="G102" s="342"/>
      <c r="H102" s="342"/>
      <c r="I102" s="342"/>
      <c r="J102" s="342"/>
      <c r="K102" s="342"/>
      <c r="L102" s="342"/>
      <c r="M102" s="342"/>
      <c r="N102" s="342"/>
      <c r="O102" s="342"/>
      <c r="P102" s="342"/>
      <c r="Q102" s="342"/>
      <c r="R102" s="342"/>
      <c r="S102" s="342"/>
      <c r="T102" s="342"/>
      <c r="U102" s="342"/>
      <c r="V102" s="342"/>
      <c r="W102" s="342"/>
      <c r="X102" s="342"/>
      <c r="Y102" s="342"/>
      <c r="Z102" s="342"/>
      <c r="AA102" s="342"/>
      <c r="AB102" s="342"/>
      <c r="AC102" s="342"/>
      <c r="AD102" s="342"/>
      <c r="AE102" s="342"/>
      <c r="AF102" s="342"/>
      <c r="AG102" s="342"/>
      <c r="AH102" s="342"/>
      <c r="AI102" s="342"/>
      <c r="AJ102" s="342"/>
      <c r="AK102" s="342"/>
      <c r="AL102" s="342"/>
      <c r="AM102" s="342"/>
      <c r="AN102" s="342"/>
      <c r="AO102" s="342"/>
      <c r="AP102" s="342"/>
      <c r="AQ102" s="342"/>
      <c r="AR102" s="342"/>
      <c r="AS102" s="342"/>
      <c r="AT102" s="342"/>
      <c r="AU102" s="342"/>
      <c r="AV102" s="342"/>
      <c r="AW102" s="342"/>
      <c r="AX102" s="342"/>
      <c r="AY102" s="342"/>
      <c r="AZ102" s="342"/>
      <c r="BA102" s="342"/>
      <c r="BB102" s="342"/>
      <c r="BC102" s="342"/>
      <c r="BD102" s="342"/>
      <c r="BE102" s="342"/>
      <c r="BF102" s="342"/>
      <c r="BG102" s="342"/>
    </row>
    <row r="103" spans="4:59"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  <c r="AJ103" s="342"/>
      <c r="AK103" s="342"/>
      <c r="AL103" s="342"/>
      <c r="AM103" s="342"/>
      <c r="AN103" s="342"/>
      <c r="AO103" s="342"/>
      <c r="AP103" s="342"/>
      <c r="AQ103" s="342"/>
      <c r="AR103" s="342"/>
      <c r="AS103" s="342"/>
      <c r="AT103" s="342"/>
      <c r="AU103" s="342"/>
      <c r="AV103" s="342"/>
      <c r="AW103" s="342"/>
      <c r="AX103" s="342"/>
      <c r="AY103" s="342"/>
      <c r="AZ103" s="342"/>
      <c r="BA103" s="342"/>
      <c r="BB103" s="342"/>
      <c r="BC103" s="342"/>
      <c r="BD103" s="342"/>
      <c r="BE103" s="342"/>
      <c r="BF103" s="342"/>
      <c r="BG103" s="342"/>
    </row>
    <row r="104" spans="4:59">
      <c r="D104" s="342"/>
      <c r="E104" s="342"/>
      <c r="F104" s="342"/>
      <c r="G104" s="342"/>
      <c r="H104" s="342"/>
      <c r="I104" s="342"/>
      <c r="J104" s="342"/>
      <c r="K104" s="342"/>
      <c r="L104" s="342"/>
      <c r="M104" s="342"/>
      <c r="N104" s="342"/>
      <c r="O104" s="342"/>
      <c r="P104" s="342"/>
      <c r="Q104" s="342"/>
      <c r="R104" s="342"/>
      <c r="S104" s="342"/>
      <c r="T104" s="342"/>
      <c r="U104" s="342"/>
      <c r="V104" s="342"/>
      <c r="W104" s="342"/>
      <c r="X104" s="342"/>
      <c r="Y104" s="342"/>
      <c r="Z104" s="342"/>
      <c r="AA104" s="342"/>
      <c r="AB104" s="342"/>
      <c r="AC104" s="342"/>
      <c r="AD104" s="342"/>
      <c r="AE104" s="342"/>
      <c r="AF104" s="342"/>
      <c r="AG104" s="342"/>
      <c r="AH104" s="342"/>
      <c r="AI104" s="342"/>
      <c r="AJ104" s="342"/>
      <c r="AK104" s="342"/>
      <c r="AL104" s="342"/>
      <c r="AM104" s="342"/>
      <c r="AN104" s="342"/>
      <c r="AO104" s="342"/>
      <c r="AP104" s="342"/>
      <c r="AQ104" s="342"/>
      <c r="AR104" s="342"/>
      <c r="AS104" s="342"/>
      <c r="AT104" s="342"/>
      <c r="AU104" s="342"/>
      <c r="AV104" s="342"/>
      <c r="AW104" s="342"/>
      <c r="AX104" s="342"/>
      <c r="AY104" s="342"/>
      <c r="AZ104" s="342"/>
      <c r="BA104" s="342"/>
      <c r="BB104" s="342"/>
      <c r="BC104" s="342"/>
      <c r="BD104" s="342"/>
      <c r="BE104" s="342"/>
      <c r="BF104" s="342"/>
      <c r="BG104" s="342"/>
    </row>
    <row r="105" spans="4:59">
      <c r="D105" s="342"/>
      <c r="E105" s="342"/>
      <c r="F105" s="342"/>
      <c r="G105" s="342"/>
      <c r="H105" s="342"/>
      <c r="I105" s="342"/>
      <c r="J105" s="342"/>
      <c r="K105" s="342"/>
      <c r="L105" s="342"/>
      <c r="M105" s="342"/>
      <c r="N105" s="342"/>
      <c r="O105" s="342"/>
      <c r="P105" s="342"/>
      <c r="Q105" s="342"/>
      <c r="R105" s="342"/>
      <c r="S105" s="342"/>
      <c r="T105" s="342"/>
      <c r="U105" s="342"/>
      <c r="V105" s="342"/>
      <c r="W105" s="342"/>
      <c r="X105" s="342"/>
      <c r="Y105" s="342"/>
      <c r="Z105" s="342"/>
      <c r="AA105" s="342"/>
      <c r="AB105" s="342"/>
      <c r="AC105" s="342"/>
      <c r="AD105" s="342"/>
      <c r="AE105" s="342"/>
      <c r="AF105" s="342"/>
      <c r="AG105" s="342"/>
      <c r="AH105" s="342"/>
      <c r="AI105" s="342"/>
      <c r="AJ105" s="342"/>
      <c r="AK105" s="342"/>
      <c r="AL105" s="342"/>
      <c r="AM105" s="342"/>
      <c r="AN105" s="342"/>
      <c r="AO105" s="342"/>
      <c r="AP105" s="342"/>
      <c r="AQ105" s="342"/>
      <c r="AR105" s="342"/>
      <c r="AS105" s="342"/>
      <c r="AT105" s="342"/>
      <c r="AU105" s="342"/>
      <c r="AV105" s="342"/>
      <c r="AW105" s="342"/>
      <c r="AX105" s="342"/>
      <c r="AY105" s="342"/>
      <c r="AZ105" s="342"/>
      <c r="BA105" s="342"/>
      <c r="BB105" s="342"/>
      <c r="BC105" s="342"/>
      <c r="BD105" s="342"/>
      <c r="BE105" s="342"/>
      <c r="BF105" s="342"/>
      <c r="BG105" s="342"/>
    </row>
    <row r="106" spans="4:59">
      <c r="D106" s="342"/>
      <c r="E106" s="342"/>
      <c r="F106" s="342"/>
      <c r="G106" s="342"/>
      <c r="H106" s="342"/>
      <c r="I106" s="342"/>
      <c r="J106" s="342"/>
      <c r="K106" s="342"/>
      <c r="L106" s="342"/>
      <c r="M106" s="342"/>
      <c r="N106" s="342"/>
      <c r="O106" s="342"/>
      <c r="P106" s="342"/>
      <c r="Q106" s="342"/>
      <c r="R106" s="342"/>
      <c r="S106" s="342"/>
      <c r="T106" s="342"/>
      <c r="U106" s="342"/>
      <c r="V106" s="342"/>
      <c r="W106" s="342"/>
      <c r="X106" s="342"/>
      <c r="Y106" s="342"/>
      <c r="Z106" s="342"/>
      <c r="AA106" s="342"/>
      <c r="AB106" s="342"/>
      <c r="AC106" s="342"/>
      <c r="AD106" s="342"/>
      <c r="AE106" s="342"/>
      <c r="AF106" s="342"/>
      <c r="AG106" s="342"/>
      <c r="AH106" s="342"/>
      <c r="AI106" s="342"/>
      <c r="AJ106" s="342"/>
      <c r="AK106" s="342"/>
      <c r="AL106" s="342"/>
      <c r="AM106" s="342"/>
      <c r="AN106" s="342"/>
      <c r="AO106" s="342"/>
      <c r="AP106" s="342"/>
      <c r="AQ106" s="342"/>
      <c r="AR106" s="342"/>
      <c r="AS106" s="342"/>
      <c r="AT106" s="342"/>
      <c r="AU106" s="342"/>
      <c r="AV106" s="342"/>
      <c r="AW106" s="342"/>
      <c r="AX106" s="342"/>
      <c r="AY106" s="342"/>
      <c r="AZ106" s="342"/>
      <c r="BA106" s="342"/>
      <c r="BB106" s="342"/>
      <c r="BC106" s="342"/>
      <c r="BD106" s="342"/>
      <c r="BE106" s="342"/>
      <c r="BF106" s="342"/>
      <c r="BG106" s="342"/>
    </row>
    <row r="107" spans="4:59">
      <c r="D107" s="342"/>
      <c r="E107" s="342"/>
      <c r="F107" s="342"/>
      <c r="G107" s="342"/>
      <c r="H107" s="342"/>
      <c r="I107" s="342"/>
      <c r="J107" s="342"/>
      <c r="K107" s="342"/>
      <c r="L107" s="342"/>
      <c r="M107" s="342"/>
      <c r="N107" s="342"/>
      <c r="O107" s="342"/>
      <c r="P107" s="342"/>
      <c r="Q107" s="342"/>
      <c r="R107" s="342"/>
      <c r="S107" s="342"/>
      <c r="T107" s="342"/>
      <c r="U107" s="342"/>
      <c r="V107" s="342"/>
      <c r="W107" s="342"/>
      <c r="X107" s="342"/>
      <c r="Y107" s="342"/>
      <c r="Z107" s="342"/>
      <c r="AA107" s="342"/>
      <c r="AB107" s="342"/>
      <c r="AC107" s="342"/>
      <c r="AD107" s="342"/>
      <c r="AE107" s="342"/>
      <c r="AF107" s="342"/>
      <c r="AG107" s="342"/>
      <c r="AH107" s="342"/>
      <c r="AI107" s="342"/>
      <c r="AJ107" s="342"/>
      <c r="AK107" s="342"/>
      <c r="AL107" s="342"/>
      <c r="AM107" s="342"/>
      <c r="AN107" s="342"/>
      <c r="AO107" s="342"/>
      <c r="AP107" s="342"/>
      <c r="AQ107" s="342"/>
      <c r="AR107" s="342"/>
      <c r="AS107" s="342"/>
      <c r="AT107" s="342"/>
      <c r="AU107" s="342"/>
      <c r="AV107" s="342"/>
      <c r="AW107" s="342"/>
      <c r="AX107" s="342"/>
      <c r="AY107" s="342"/>
      <c r="AZ107" s="342"/>
      <c r="BA107" s="342"/>
      <c r="BB107" s="342"/>
      <c r="BC107" s="342"/>
      <c r="BD107" s="342"/>
      <c r="BE107" s="342"/>
      <c r="BF107" s="342"/>
      <c r="BG107" s="342"/>
    </row>
    <row r="108" spans="4:59"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  <c r="AJ108" s="342"/>
      <c r="AK108" s="342"/>
      <c r="AL108" s="342"/>
      <c r="AM108" s="342"/>
      <c r="AN108" s="342"/>
      <c r="AO108" s="342"/>
      <c r="AP108" s="342"/>
      <c r="AQ108" s="342"/>
      <c r="AR108" s="342"/>
      <c r="AS108" s="342"/>
      <c r="AT108" s="342"/>
      <c r="AU108" s="342"/>
      <c r="AV108" s="342"/>
      <c r="AW108" s="342"/>
      <c r="AX108" s="342"/>
      <c r="AY108" s="342"/>
      <c r="AZ108" s="342"/>
      <c r="BA108" s="342"/>
      <c r="BB108" s="342"/>
      <c r="BC108" s="342"/>
      <c r="BD108" s="342"/>
      <c r="BE108" s="342"/>
      <c r="BF108" s="342"/>
      <c r="BG108" s="342"/>
    </row>
    <row r="109" spans="4:59">
      <c r="D109" s="342"/>
      <c r="E109" s="342"/>
      <c r="F109" s="342"/>
      <c r="G109" s="342"/>
      <c r="H109" s="342"/>
      <c r="I109" s="342"/>
      <c r="J109" s="342"/>
      <c r="K109" s="342"/>
      <c r="L109" s="342"/>
      <c r="M109" s="342"/>
      <c r="N109" s="342"/>
      <c r="O109" s="342"/>
      <c r="P109" s="342"/>
      <c r="Q109" s="342"/>
      <c r="R109" s="342"/>
      <c r="S109" s="342"/>
      <c r="T109" s="342"/>
      <c r="U109" s="342"/>
      <c r="V109" s="342"/>
      <c r="W109" s="342"/>
      <c r="X109" s="342"/>
      <c r="Y109" s="342"/>
      <c r="Z109" s="342"/>
      <c r="AA109" s="342"/>
      <c r="AB109" s="342"/>
      <c r="AC109" s="342"/>
      <c r="AD109" s="342"/>
      <c r="AE109" s="342"/>
      <c r="AF109" s="342"/>
      <c r="AG109" s="342"/>
      <c r="AH109" s="342"/>
      <c r="AI109" s="342"/>
      <c r="AJ109" s="342"/>
      <c r="AK109" s="342"/>
      <c r="AL109" s="342"/>
      <c r="AM109" s="342"/>
      <c r="AN109" s="342"/>
      <c r="AO109" s="342"/>
      <c r="AP109" s="342"/>
      <c r="AQ109" s="342"/>
      <c r="AR109" s="342"/>
      <c r="AS109" s="342"/>
      <c r="AT109" s="342"/>
      <c r="AU109" s="342"/>
      <c r="AV109" s="342"/>
      <c r="AW109" s="342"/>
      <c r="AX109" s="342"/>
      <c r="AY109" s="342"/>
      <c r="AZ109" s="342"/>
      <c r="BA109" s="342"/>
      <c r="BB109" s="342"/>
      <c r="BC109" s="342"/>
      <c r="BD109" s="342"/>
      <c r="BE109" s="342"/>
      <c r="BF109" s="342"/>
      <c r="BG109" s="342"/>
    </row>
    <row r="110" spans="4:59">
      <c r="D110" s="342"/>
      <c r="E110" s="342"/>
      <c r="F110" s="342"/>
      <c r="G110" s="342"/>
      <c r="H110" s="342"/>
      <c r="I110" s="342"/>
      <c r="J110" s="342"/>
      <c r="K110" s="342"/>
      <c r="L110" s="342"/>
      <c r="M110" s="342"/>
      <c r="N110" s="342"/>
      <c r="O110" s="342"/>
      <c r="P110" s="342"/>
      <c r="Q110" s="342"/>
      <c r="R110" s="342"/>
      <c r="S110" s="342"/>
      <c r="T110" s="342"/>
      <c r="U110" s="342"/>
      <c r="V110" s="342"/>
      <c r="W110" s="342"/>
      <c r="X110" s="342"/>
      <c r="Y110" s="342"/>
      <c r="Z110" s="342"/>
      <c r="AA110" s="342"/>
      <c r="AB110" s="342"/>
      <c r="AC110" s="342"/>
      <c r="AD110" s="342"/>
      <c r="AE110" s="342"/>
      <c r="AF110" s="342"/>
      <c r="AG110" s="342"/>
      <c r="AH110" s="342"/>
      <c r="AI110" s="342"/>
      <c r="AJ110" s="342"/>
      <c r="AK110" s="342"/>
      <c r="AL110" s="342"/>
      <c r="AM110" s="342"/>
      <c r="AN110" s="342"/>
      <c r="AO110" s="342"/>
      <c r="AP110" s="342"/>
      <c r="AQ110" s="342"/>
      <c r="AR110" s="342"/>
      <c r="AS110" s="342"/>
      <c r="AT110" s="342"/>
      <c r="AU110" s="342"/>
      <c r="AV110" s="342"/>
      <c r="AW110" s="342"/>
      <c r="AX110" s="342"/>
      <c r="AY110" s="342"/>
      <c r="AZ110" s="342"/>
      <c r="BA110" s="342"/>
      <c r="BB110" s="342"/>
      <c r="BC110" s="342"/>
      <c r="BD110" s="342"/>
      <c r="BE110" s="342"/>
      <c r="BF110" s="342"/>
      <c r="BG110" s="342"/>
    </row>
    <row r="111" spans="4:59">
      <c r="D111" s="342"/>
      <c r="E111" s="342"/>
      <c r="F111" s="342"/>
      <c r="G111" s="342"/>
      <c r="H111" s="342"/>
      <c r="I111" s="342"/>
      <c r="J111" s="342"/>
      <c r="K111" s="342"/>
      <c r="L111" s="342"/>
      <c r="M111" s="342"/>
      <c r="N111" s="342"/>
      <c r="O111" s="342"/>
      <c r="P111" s="342"/>
      <c r="Q111" s="342"/>
      <c r="R111" s="342"/>
      <c r="S111" s="342"/>
      <c r="T111" s="342"/>
      <c r="U111" s="342"/>
      <c r="V111" s="342"/>
      <c r="W111" s="342"/>
      <c r="X111" s="342"/>
      <c r="Y111" s="342"/>
      <c r="Z111" s="342"/>
      <c r="AA111" s="342"/>
      <c r="AB111" s="342"/>
      <c r="AC111" s="342"/>
      <c r="AD111" s="342"/>
      <c r="AE111" s="342"/>
      <c r="AF111" s="342"/>
      <c r="AG111" s="342"/>
      <c r="AH111" s="342"/>
      <c r="AI111" s="342"/>
      <c r="AJ111" s="342"/>
      <c r="AK111" s="342"/>
      <c r="AL111" s="342"/>
      <c r="AM111" s="342"/>
      <c r="AN111" s="342"/>
      <c r="AO111" s="342"/>
      <c r="AP111" s="342"/>
      <c r="AQ111" s="342"/>
      <c r="AR111" s="342"/>
      <c r="AS111" s="342"/>
      <c r="AT111" s="342"/>
      <c r="AU111" s="342"/>
      <c r="AV111" s="342"/>
      <c r="AW111" s="342"/>
      <c r="AX111" s="342"/>
      <c r="AY111" s="342"/>
      <c r="AZ111" s="342"/>
      <c r="BA111" s="342"/>
      <c r="BB111" s="342"/>
      <c r="BC111" s="342"/>
      <c r="BD111" s="342"/>
      <c r="BE111" s="342"/>
      <c r="BF111" s="342"/>
      <c r="BG111" s="342"/>
    </row>
    <row r="112" spans="4:59"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  <c r="AJ112" s="342"/>
      <c r="AK112" s="342"/>
      <c r="AL112" s="342"/>
      <c r="AM112" s="342"/>
      <c r="AN112" s="342"/>
      <c r="AO112" s="342"/>
      <c r="AP112" s="342"/>
      <c r="AQ112" s="342"/>
      <c r="AR112" s="342"/>
      <c r="AS112" s="342"/>
      <c r="AT112" s="342"/>
      <c r="AU112" s="342"/>
      <c r="AV112" s="342"/>
      <c r="AW112" s="342"/>
      <c r="AX112" s="342"/>
      <c r="AY112" s="342"/>
      <c r="AZ112" s="342"/>
      <c r="BA112" s="342"/>
      <c r="BB112" s="342"/>
      <c r="BC112" s="342"/>
      <c r="BD112" s="342"/>
      <c r="BE112" s="342"/>
      <c r="BF112" s="342"/>
      <c r="BG112" s="342"/>
    </row>
    <row r="113" spans="4:61">
      <c r="D113" s="342"/>
      <c r="E113" s="342"/>
      <c r="F113" s="342"/>
      <c r="G113" s="342"/>
      <c r="H113" s="342"/>
      <c r="I113" s="342"/>
      <c r="J113" s="342"/>
      <c r="K113" s="342"/>
      <c r="L113" s="342"/>
      <c r="M113" s="342"/>
      <c r="N113" s="342"/>
      <c r="O113" s="342"/>
      <c r="P113" s="342"/>
      <c r="Q113" s="342"/>
      <c r="R113" s="342"/>
      <c r="S113" s="342"/>
      <c r="T113" s="342"/>
      <c r="U113" s="342"/>
      <c r="V113" s="342"/>
      <c r="W113" s="342"/>
      <c r="X113" s="342"/>
      <c r="Y113" s="342"/>
      <c r="Z113" s="342"/>
      <c r="AA113" s="342"/>
      <c r="AB113" s="342"/>
      <c r="AC113" s="342"/>
      <c r="AD113" s="342"/>
      <c r="AE113" s="342"/>
      <c r="AF113" s="342"/>
      <c r="AG113" s="342"/>
      <c r="AH113" s="342"/>
      <c r="AI113" s="342"/>
      <c r="AJ113" s="342"/>
      <c r="AK113" s="342"/>
      <c r="AL113" s="342"/>
      <c r="AM113" s="342"/>
      <c r="AN113" s="342"/>
      <c r="AO113" s="342"/>
      <c r="AP113" s="342"/>
      <c r="AQ113" s="342"/>
      <c r="AR113" s="342"/>
      <c r="AS113" s="342"/>
      <c r="AT113" s="342"/>
      <c r="AU113" s="342"/>
      <c r="AV113" s="342"/>
      <c r="AW113" s="342"/>
      <c r="AX113" s="342"/>
      <c r="AY113" s="342"/>
      <c r="AZ113" s="342"/>
      <c r="BA113" s="342"/>
      <c r="BB113" s="342"/>
      <c r="BC113" s="342"/>
      <c r="BD113" s="342"/>
      <c r="BE113" s="342"/>
      <c r="BF113" s="342"/>
      <c r="BG113" s="342"/>
    </row>
    <row r="114" spans="4:61"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  <c r="AJ114" s="342"/>
      <c r="AK114" s="342"/>
      <c r="AL114" s="342"/>
      <c r="AM114" s="342"/>
      <c r="AN114" s="342"/>
      <c r="AO114" s="342"/>
      <c r="AP114" s="342"/>
      <c r="AQ114" s="342"/>
      <c r="AR114" s="342"/>
      <c r="AS114" s="342"/>
      <c r="AT114" s="342"/>
      <c r="AU114" s="342"/>
      <c r="AV114" s="342"/>
      <c r="AW114" s="342"/>
      <c r="AX114" s="342"/>
      <c r="AY114" s="342"/>
      <c r="AZ114" s="342"/>
      <c r="BA114" s="342"/>
      <c r="BB114" s="342"/>
      <c r="BC114" s="342"/>
      <c r="BD114" s="342"/>
      <c r="BE114" s="342"/>
      <c r="BF114" s="342"/>
      <c r="BG114" s="342"/>
    </row>
    <row r="115" spans="4:61"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2"/>
      <c r="V115" s="342"/>
      <c r="W115" s="342"/>
      <c r="X115" s="342"/>
      <c r="Y115" s="342"/>
      <c r="Z115" s="342"/>
      <c r="AA115" s="342"/>
      <c r="AB115" s="342"/>
      <c r="AC115" s="342"/>
      <c r="AD115" s="342"/>
      <c r="AE115" s="342"/>
      <c r="AF115" s="342"/>
      <c r="AG115" s="342"/>
      <c r="AH115" s="342"/>
      <c r="AI115" s="342"/>
      <c r="AJ115" s="342"/>
      <c r="AK115" s="342"/>
      <c r="AL115" s="342"/>
      <c r="AM115" s="342"/>
      <c r="AN115" s="342"/>
      <c r="AO115" s="342"/>
      <c r="AP115" s="342"/>
      <c r="AQ115" s="342"/>
      <c r="AR115" s="342"/>
      <c r="AS115" s="342"/>
      <c r="AT115" s="342"/>
      <c r="AU115" s="342"/>
      <c r="AV115" s="342"/>
      <c r="AW115" s="342"/>
      <c r="AX115" s="342"/>
      <c r="AY115" s="342"/>
      <c r="AZ115" s="342"/>
      <c r="BA115" s="342"/>
      <c r="BB115" s="342"/>
      <c r="BC115" s="342"/>
      <c r="BD115" s="342"/>
      <c r="BE115" s="342"/>
      <c r="BF115" s="342"/>
      <c r="BG115" s="342"/>
      <c r="BH115" s="27"/>
      <c r="BI115" s="27"/>
    </row>
    <row r="116" spans="4:61">
      <c r="D116" s="342"/>
      <c r="E116" s="342"/>
      <c r="F116" s="342"/>
      <c r="G116" s="342"/>
      <c r="H116" s="342"/>
      <c r="I116" s="342"/>
      <c r="J116" s="342"/>
      <c r="K116" s="342"/>
      <c r="L116" s="342"/>
      <c r="M116" s="342"/>
      <c r="N116" s="342"/>
      <c r="O116" s="342"/>
      <c r="P116" s="342"/>
      <c r="Q116" s="342"/>
      <c r="R116" s="342"/>
      <c r="S116" s="342"/>
      <c r="T116" s="342"/>
      <c r="U116" s="342"/>
      <c r="V116" s="342"/>
      <c r="W116" s="342"/>
      <c r="X116" s="342"/>
      <c r="Y116" s="342"/>
      <c r="Z116" s="342"/>
      <c r="AA116" s="342"/>
      <c r="AB116" s="342"/>
      <c r="AC116" s="342"/>
      <c r="AD116" s="342"/>
      <c r="AE116" s="342"/>
      <c r="AF116" s="342"/>
      <c r="AG116" s="342"/>
      <c r="AH116" s="342"/>
      <c r="AI116" s="342"/>
      <c r="AJ116" s="342"/>
      <c r="AK116" s="342"/>
      <c r="AL116" s="342"/>
      <c r="AM116" s="342"/>
      <c r="AN116" s="342"/>
      <c r="AO116" s="342"/>
      <c r="AP116" s="342"/>
      <c r="AQ116" s="342"/>
      <c r="AR116" s="342"/>
      <c r="AS116" s="342"/>
      <c r="AT116" s="342"/>
      <c r="AU116" s="342"/>
      <c r="AV116" s="342"/>
      <c r="AW116" s="342"/>
      <c r="AX116" s="342"/>
      <c r="AY116" s="342"/>
      <c r="AZ116" s="342"/>
      <c r="BA116" s="342"/>
      <c r="BB116" s="342"/>
      <c r="BC116" s="342"/>
      <c r="BD116" s="342"/>
      <c r="BE116" s="342"/>
      <c r="BF116" s="342"/>
      <c r="BG116" s="342"/>
      <c r="BI116" s="22"/>
    </row>
    <row r="117" spans="4:61"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  <c r="AJ117" s="342"/>
      <c r="AK117" s="342"/>
      <c r="AL117" s="342"/>
      <c r="AM117" s="342"/>
      <c r="AN117" s="342"/>
      <c r="AO117" s="342"/>
      <c r="AP117" s="342"/>
      <c r="AQ117" s="342"/>
      <c r="AR117" s="342"/>
      <c r="AS117" s="342"/>
      <c r="AT117" s="342"/>
      <c r="AU117" s="342"/>
      <c r="AV117" s="342"/>
      <c r="AW117" s="342"/>
      <c r="AX117" s="342"/>
      <c r="AY117" s="342"/>
      <c r="AZ117" s="342"/>
      <c r="BA117" s="342"/>
      <c r="BB117" s="342"/>
      <c r="BC117" s="342"/>
      <c r="BD117" s="342"/>
      <c r="BE117" s="342"/>
      <c r="BF117" s="342"/>
      <c r="BG117" s="342"/>
    </row>
    <row r="118" spans="4:61">
      <c r="D118" s="342"/>
      <c r="E118" s="342"/>
      <c r="F118" s="342"/>
      <c r="G118" s="342"/>
      <c r="H118" s="342"/>
      <c r="I118" s="342"/>
      <c r="J118" s="342"/>
      <c r="K118" s="342"/>
      <c r="L118" s="342"/>
      <c r="M118" s="342"/>
      <c r="N118" s="342"/>
      <c r="O118" s="342"/>
      <c r="P118" s="342"/>
      <c r="Q118" s="342"/>
      <c r="R118" s="342"/>
      <c r="S118" s="342"/>
      <c r="T118" s="342"/>
      <c r="U118" s="342"/>
      <c r="V118" s="342"/>
      <c r="W118" s="342"/>
      <c r="X118" s="342"/>
      <c r="Y118" s="342"/>
      <c r="Z118" s="342"/>
      <c r="AA118" s="342"/>
      <c r="AB118" s="342"/>
      <c r="AC118" s="342"/>
      <c r="AD118" s="342"/>
      <c r="AE118" s="342"/>
      <c r="AF118" s="342"/>
      <c r="AG118" s="342"/>
      <c r="AH118" s="342"/>
      <c r="AI118" s="342"/>
      <c r="AJ118" s="342"/>
      <c r="AK118" s="342"/>
      <c r="AL118" s="342"/>
      <c r="AM118" s="342"/>
      <c r="AN118" s="342"/>
      <c r="AO118" s="342"/>
      <c r="AP118" s="342"/>
      <c r="AQ118" s="342"/>
      <c r="AR118" s="342"/>
      <c r="AS118" s="342"/>
      <c r="AT118" s="342"/>
      <c r="AU118" s="342"/>
      <c r="AV118" s="342"/>
      <c r="AW118" s="342"/>
      <c r="AX118" s="342"/>
      <c r="AY118" s="342"/>
      <c r="AZ118" s="342"/>
      <c r="BA118" s="342"/>
      <c r="BB118" s="342"/>
      <c r="BC118" s="342"/>
      <c r="BD118" s="342"/>
      <c r="BE118" s="342"/>
      <c r="BF118" s="342"/>
      <c r="BG118" s="342"/>
      <c r="BH118" s="56"/>
    </row>
    <row r="119" spans="4:61">
      <c r="D119" s="342"/>
      <c r="E119" s="342"/>
      <c r="F119" s="342"/>
      <c r="G119" s="342"/>
      <c r="H119" s="342"/>
      <c r="I119" s="342"/>
      <c r="J119" s="342"/>
      <c r="K119" s="342"/>
      <c r="L119" s="342"/>
      <c r="M119" s="342"/>
      <c r="N119" s="342"/>
      <c r="O119" s="342"/>
      <c r="P119" s="342"/>
      <c r="Q119" s="342"/>
      <c r="R119" s="342"/>
      <c r="S119" s="342"/>
      <c r="T119" s="342"/>
      <c r="U119" s="342"/>
      <c r="V119" s="342"/>
      <c r="W119" s="342"/>
      <c r="X119" s="342"/>
      <c r="Y119" s="342"/>
      <c r="Z119" s="342"/>
      <c r="AA119" s="342"/>
      <c r="AB119" s="342"/>
      <c r="AC119" s="342"/>
      <c r="AD119" s="342"/>
      <c r="AE119" s="342"/>
      <c r="AF119" s="342"/>
      <c r="AG119" s="342"/>
      <c r="AH119" s="342"/>
      <c r="AI119" s="342"/>
      <c r="AJ119" s="342"/>
      <c r="AK119" s="342"/>
      <c r="AL119" s="342"/>
      <c r="AM119" s="342"/>
      <c r="AN119" s="342"/>
      <c r="AO119" s="342"/>
      <c r="AP119" s="342"/>
      <c r="AQ119" s="342"/>
      <c r="AR119" s="342"/>
      <c r="AS119" s="342"/>
      <c r="AT119" s="342"/>
      <c r="AU119" s="342"/>
      <c r="AV119" s="342"/>
      <c r="AW119" s="342"/>
      <c r="AX119" s="342"/>
      <c r="AY119" s="342"/>
      <c r="AZ119" s="342"/>
      <c r="BA119" s="342"/>
      <c r="BB119" s="342"/>
      <c r="BC119" s="342"/>
      <c r="BD119" s="342"/>
      <c r="BE119" s="342"/>
      <c r="BF119" s="342"/>
      <c r="BG119" s="342"/>
    </row>
    <row r="120" spans="4:61"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  <c r="AJ120" s="342"/>
      <c r="AK120" s="342"/>
      <c r="AL120" s="342"/>
      <c r="AM120" s="342"/>
      <c r="AN120" s="342"/>
      <c r="AO120" s="342"/>
      <c r="AP120" s="342"/>
      <c r="AQ120" s="342"/>
      <c r="AR120" s="342"/>
      <c r="AS120" s="342"/>
      <c r="AT120" s="342"/>
      <c r="AU120" s="342"/>
      <c r="AV120" s="342"/>
      <c r="AW120" s="342"/>
      <c r="AX120" s="342"/>
      <c r="AY120" s="342"/>
      <c r="AZ120" s="342"/>
      <c r="BA120" s="342"/>
      <c r="BB120" s="342"/>
      <c r="BC120" s="342"/>
      <c r="BD120" s="342"/>
      <c r="BE120" s="342"/>
      <c r="BF120" s="342"/>
      <c r="BG120" s="342"/>
    </row>
    <row r="121" spans="4:61">
      <c r="D121" s="342"/>
      <c r="E121" s="342"/>
      <c r="F121" s="342"/>
      <c r="G121" s="342"/>
      <c r="H121" s="342"/>
      <c r="I121" s="342"/>
      <c r="J121" s="342"/>
      <c r="K121" s="342"/>
      <c r="L121" s="342"/>
      <c r="M121" s="342"/>
      <c r="N121" s="342"/>
      <c r="O121" s="342"/>
      <c r="P121" s="342"/>
      <c r="Q121" s="342"/>
      <c r="R121" s="342"/>
      <c r="S121" s="342"/>
      <c r="T121" s="342"/>
      <c r="U121" s="342"/>
      <c r="V121" s="342"/>
      <c r="W121" s="342"/>
      <c r="X121" s="342"/>
      <c r="Y121" s="342"/>
      <c r="Z121" s="342"/>
      <c r="AA121" s="342"/>
      <c r="AB121" s="342"/>
      <c r="AC121" s="342"/>
      <c r="AD121" s="342"/>
      <c r="AE121" s="342"/>
      <c r="AF121" s="342"/>
      <c r="AG121" s="342"/>
      <c r="AH121" s="342"/>
      <c r="AI121" s="342"/>
      <c r="AJ121" s="342"/>
      <c r="AK121" s="342"/>
      <c r="AL121" s="342"/>
      <c r="AM121" s="342"/>
      <c r="AN121" s="342"/>
      <c r="AO121" s="342"/>
      <c r="AP121" s="342"/>
      <c r="AQ121" s="342"/>
      <c r="AR121" s="342"/>
      <c r="AS121" s="342"/>
      <c r="AT121" s="342"/>
      <c r="AU121" s="342"/>
      <c r="AV121" s="342"/>
      <c r="AW121" s="342"/>
      <c r="AX121" s="342"/>
      <c r="AY121" s="342"/>
      <c r="AZ121" s="342"/>
      <c r="BA121" s="342"/>
      <c r="BB121" s="342"/>
      <c r="BC121" s="342"/>
      <c r="BD121" s="342"/>
      <c r="BE121" s="342"/>
      <c r="BF121" s="342"/>
      <c r="BG121" s="342"/>
    </row>
    <row r="122" spans="4:61"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  <c r="AJ122" s="342"/>
      <c r="AK122" s="342"/>
      <c r="AL122" s="342"/>
      <c r="AM122" s="342"/>
      <c r="AN122" s="342"/>
      <c r="AO122" s="342"/>
      <c r="AP122" s="342"/>
      <c r="AQ122" s="342"/>
      <c r="AR122" s="342"/>
      <c r="AS122" s="342"/>
      <c r="AT122" s="342"/>
      <c r="AU122" s="342"/>
      <c r="AV122" s="379"/>
      <c r="AW122" s="379"/>
      <c r="AX122" s="342"/>
      <c r="AY122" s="342"/>
      <c r="AZ122" s="342"/>
      <c r="BA122" s="342"/>
      <c r="BB122" s="342"/>
      <c r="BC122" s="342"/>
      <c r="BD122" s="342"/>
      <c r="BE122" s="342"/>
      <c r="BF122" s="342"/>
      <c r="BG122" s="342"/>
    </row>
    <row r="123" spans="4:61">
      <c r="D123" s="342"/>
      <c r="E123" s="342"/>
      <c r="F123" s="342"/>
      <c r="G123" s="342"/>
      <c r="H123" s="342"/>
      <c r="I123" s="342"/>
      <c r="J123" s="342"/>
      <c r="K123" s="342"/>
      <c r="L123" s="342"/>
      <c r="M123" s="342"/>
      <c r="N123" s="342"/>
      <c r="O123" s="342"/>
      <c r="P123" s="342"/>
      <c r="Q123" s="342"/>
      <c r="R123" s="342"/>
      <c r="S123" s="342"/>
      <c r="T123" s="342"/>
      <c r="U123" s="342"/>
      <c r="V123" s="342"/>
      <c r="W123" s="342"/>
      <c r="X123" s="342"/>
      <c r="Y123" s="342"/>
      <c r="Z123" s="342"/>
      <c r="AA123" s="342"/>
      <c r="AB123" s="342"/>
      <c r="AC123" s="342"/>
      <c r="AD123" s="342"/>
      <c r="AE123" s="342"/>
      <c r="AF123" s="342"/>
      <c r="AG123" s="342"/>
      <c r="AH123" s="342"/>
      <c r="AI123" s="342"/>
      <c r="AJ123" s="342"/>
      <c r="AK123" s="342"/>
      <c r="AL123" s="342"/>
      <c r="AM123" s="342"/>
      <c r="AN123" s="342"/>
      <c r="AO123" s="342"/>
      <c r="AP123" s="342"/>
      <c r="AQ123" s="342"/>
      <c r="AR123" s="342"/>
      <c r="AS123" s="342"/>
      <c r="AT123" s="342"/>
      <c r="AU123" s="342"/>
      <c r="AV123" s="342"/>
      <c r="AW123" s="342"/>
      <c r="AX123" s="342"/>
      <c r="AY123" s="342"/>
      <c r="AZ123" s="342"/>
      <c r="BA123" s="342"/>
      <c r="BB123" s="342"/>
      <c r="BC123" s="342"/>
      <c r="BD123" s="342"/>
      <c r="BE123" s="342"/>
      <c r="BF123" s="342"/>
      <c r="BG123" s="342"/>
    </row>
    <row r="124" spans="4:61">
      <c r="D124" s="342"/>
      <c r="E124" s="342"/>
      <c r="F124" s="342"/>
      <c r="G124" s="342"/>
      <c r="H124" s="342"/>
      <c r="I124" s="342"/>
      <c r="J124" s="342"/>
      <c r="K124" s="342"/>
      <c r="L124" s="342"/>
      <c r="M124" s="342"/>
      <c r="N124" s="342"/>
      <c r="O124" s="342"/>
      <c r="P124" s="342"/>
      <c r="Q124" s="342"/>
      <c r="R124" s="342"/>
      <c r="S124" s="342"/>
      <c r="T124" s="342"/>
      <c r="U124" s="342"/>
      <c r="V124" s="342"/>
      <c r="W124" s="342"/>
      <c r="X124" s="342"/>
      <c r="Y124" s="342"/>
      <c r="Z124" s="342"/>
      <c r="AA124" s="342"/>
      <c r="AB124" s="342"/>
      <c r="AC124" s="342"/>
      <c r="AD124" s="342"/>
      <c r="AE124" s="342"/>
      <c r="AF124" s="342"/>
      <c r="AG124" s="342"/>
      <c r="AH124" s="342"/>
      <c r="AI124" s="342"/>
      <c r="AJ124" s="342"/>
      <c r="AK124" s="342"/>
      <c r="AL124" s="342"/>
      <c r="AM124" s="342"/>
      <c r="AN124" s="342"/>
      <c r="AO124" s="342"/>
      <c r="AP124" s="342"/>
      <c r="AQ124" s="342"/>
      <c r="AR124" s="342"/>
      <c r="AS124" s="342"/>
      <c r="AT124" s="342"/>
      <c r="AU124" s="342"/>
      <c r="AV124" s="342"/>
      <c r="AW124" s="342"/>
      <c r="AX124" s="342"/>
      <c r="AY124" s="342"/>
      <c r="AZ124" s="342"/>
      <c r="BA124" s="342"/>
      <c r="BB124" s="342"/>
      <c r="BC124" s="342"/>
      <c r="BD124" s="342"/>
      <c r="BE124" s="342"/>
      <c r="BF124" s="342"/>
      <c r="BG124" s="342"/>
    </row>
    <row r="125" spans="4:61">
      <c r="AR125" s="342"/>
    </row>
    <row r="126" spans="4:61">
      <c r="AR126" s="342"/>
      <c r="AT126" s="342"/>
    </row>
    <row r="127" spans="4:61">
      <c r="AR127" s="342"/>
    </row>
    <row r="128" spans="4:61">
      <c r="AR128" s="342"/>
      <c r="AS128" s="342"/>
      <c r="AT128" s="342"/>
      <c r="AU128" s="342"/>
      <c r="AV128" s="342"/>
      <c r="AW128" s="342"/>
      <c r="AX128" s="342"/>
      <c r="AY128" s="342"/>
      <c r="AZ128" s="342"/>
      <c r="BA128" s="342"/>
      <c r="BB128" s="342"/>
      <c r="BC128" s="342"/>
    </row>
  </sheetData>
  <mergeCells count="9">
    <mergeCell ref="D54:G54"/>
    <mergeCell ref="AW72:AX72"/>
    <mergeCell ref="AV122:AW122"/>
    <mergeCell ref="X20:AA20"/>
    <mergeCell ref="A39:B39"/>
    <mergeCell ref="A40:B40"/>
    <mergeCell ref="X40:AA40"/>
    <mergeCell ref="A41:B41"/>
    <mergeCell ref="AV49:AZ4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I129"/>
  <sheetViews>
    <sheetView showGridLines="0" tabSelected="1" topLeftCell="N12" workbookViewId="0">
      <selection activeCell="Y55" sqref="Y55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34" width="11.42578125" style="15" customWidth="1"/>
    <col min="35" max="35" width="9.140625" style="15"/>
    <col min="36" max="36" width="10" style="15" bestFit="1" customWidth="1"/>
    <col min="37" max="50" width="9.140625" style="15"/>
    <col min="51" max="51" width="10.5703125" style="15" customWidth="1"/>
    <col min="52" max="16384" width="9.140625" style="15"/>
  </cols>
  <sheetData>
    <row r="1" spans="9:38"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</row>
    <row r="2" spans="9:38">
      <c r="AK2" s="328"/>
      <c r="AL2" s="328"/>
    </row>
    <row r="3" spans="9:38">
      <c r="AK3" s="328"/>
      <c r="AL3" s="328"/>
    </row>
    <row r="4" spans="9:38">
      <c r="AK4" s="328"/>
      <c r="AL4" s="328"/>
    </row>
    <row r="5" spans="9:38" ht="21" customHeight="1">
      <c r="I5" s="327"/>
      <c r="AK5" s="328"/>
      <c r="AL5" s="328"/>
    </row>
    <row r="6" spans="9:38">
      <c r="I6" s="328"/>
      <c r="AK6" s="328"/>
      <c r="AL6" s="328"/>
    </row>
    <row r="7" spans="9:38" ht="15.75" customHeight="1">
      <c r="I7" s="328"/>
      <c r="AK7" s="328"/>
      <c r="AL7" s="328"/>
    </row>
    <row r="8" spans="9:38">
      <c r="I8" s="328"/>
      <c r="AK8" s="328"/>
      <c r="AL8" s="328"/>
    </row>
    <row r="9" spans="9:38">
      <c r="I9" s="328"/>
      <c r="AK9" s="328"/>
      <c r="AL9" s="328"/>
    </row>
    <row r="10" spans="9:38">
      <c r="I10" s="328"/>
      <c r="AK10" s="328"/>
      <c r="AL10" s="328"/>
    </row>
    <row r="11" spans="9:38">
      <c r="AK11" s="328"/>
      <c r="AL11" s="328"/>
    </row>
    <row r="12" spans="9:38">
      <c r="AK12" s="328"/>
      <c r="AL12" s="328"/>
    </row>
    <row r="13" spans="9:38">
      <c r="AK13" s="328"/>
      <c r="AL13" s="328"/>
    </row>
    <row r="14" spans="9:38">
      <c r="Q14" s="22"/>
      <c r="T14" s="328"/>
      <c r="U14" s="328"/>
      <c r="V14" s="328"/>
      <c r="W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</row>
    <row r="15" spans="9:38">
      <c r="T15" s="328"/>
      <c r="U15" s="328"/>
      <c r="V15" s="328"/>
      <c r="W15" s="328"/>
      <c r="Y15" s="328"/>
      <c r="Z15" s="328"/>
      <c r="AA15" s="328"/>
      <c r="AB15" s="328"/>
      <c r="AC15" s="328"/>
      <c r="AD15" s="328"/>
      <c r="AE15" s="328"/>
      <c r="AF15" s="328"/>
      <c r="AG15" s="328"/>
      <c r="AH15" s="328"/>
      <c r="AI15" s="328"/>
      <c r="AJ15" s="328"/>
      <c r="AK15" s="328"/>
    </row>
    <row r="16" spans="9:38" ht="21">
      <c r="AB16" s="102"/>
      <c r="AC16" s="328"/>
      <c r="AD16" s="328"/>
      <c r="AE16" s="328"/>
      <c r="AF16" s="328"/>
      <c r="AG16" s="328"/>
      <c r="AH16" s="328"/>
      <c r="AI16" s="328"/>
      <c r="AJ16" s="328"/>
      <c r="AK16" s="328"/>
    </row>
    <row r="17" spans="1:45">
      <c r="H17" s="327"/>
      <c r="Q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</row>
    <row r="18" spans="1:45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241</v>
      </c>
      <c r="N18" s="98"/>
      <c r="O18" s="98"/>
      <c r="Q18" s="328"/>
      <c r="W18" s="328"/>
      <c r="X18" s="328"/>
      <c r="Y18" s="101" t="s">
        <v>243</v>
      </c>
      <c r="Z18" s="101"/>
      <c r="AA18" s="101"/>
      <c r="AB18" s="328"/>
      <c r="AC18" s="328"/>
      <c r="AD18" s="328"/>
      <c r="AE18" s="328"/>
      <c r="AJ18" s="328"/>
      <c r="AK18" s="328"/>
      <c r="AL18" s="328"/>
    </row>
    <row r="19" spans="1:45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B22/C23*1000</f>
        <v>95.36452637778622</v>
      </c>
      <c r="H19" s="24" t="s">
        <v>100</v>
      </c>
      <c r="L19" s="47" t="s">
        <v>46</v>
      </c>
      <c r="M19" s="96"/>
      <c r="N19" s="96"/>
      <c r="O19" s="34"/>
      <c r="P19" s="34"/>
      <c r="Q19" s="328"/>
      <c r="AE19" s="328"/>
      <c r="AJ19" s="328"/>
      <c r="AK19" s="328"/>
      <c r="AL19" s="328"/>
    </row>
    <row r="20" spans="1:45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328"/>
      <c r="W20" s="328"/>
      <c r="X20" s="403" t="s">
        <v>22</v>
      </c>
      <c r="Y20" s="404"/>
      <c r="Z20" s="404"/>
      <c r="AA20" s="405"/>
      <c r="AB20" s="328"/>
      <c r="AC20" s="328"/>
      <c r="AD20" s="328"/>
      <c r="AK20" s="328"/>
      <c r="AL20" s="328"/>
    </row>
    <row r="21" spans="1:45" ht="18">
      <c r="A21" s="89" t="s">
        <v>194</v>
      </c>
      <c r="B21" s="340">
        <v>2E-3</v>
      </c>
      <c r="C21" s="341">
        <f>B21/D21</f>
        <v>9.3896713615023483E-4</v>
      </c>
      <c r="D21" s="89">
        <v>2.13</v>
      </c>
      <c r="H21" s="24"/>
      <c r="Q21" s="335"/>
      <c r="W21" s="335"/>
      <c r="X21" s="337"/>
      <c r="Y21" s="337"/>
      <c r="Z21" s="336"/>
      <c r="AA21" s="337"/>
      <c r="AB21" s="335"/>
      <c r="AC21" s="335"/>
      <c r="AD21" s="335"/>
      <c r="AK21" s="335"/>
      <c r="AL21" s="335"/>
    </row>
    <row r="22" spans="1:45" ht="18">
      <c r="A22" s="89" t="s">
        <v>16</v>
      </c>
      <c r="B22" s="198">
        <v>10</v>
      </c>
      <c r="C22" s="86">
        <f>B22/D22</f>
        <v>4.545454545454545</v>
      </c>
      <c r="D22" s="86">
        <v>2.2000000000000002</v>
      </c>
      <c r="K22" s="328"/>
      <c r="O22" s="23"/>
      <c r="X22" s="16"/>
      <c r="Y22" s="17"/>
      <c r="Z22" s="18"/>
      <c r="AK22" s="328"/>
      <c r="AL22" s="328"/>
    </row>
    <row r="23" spans="1:45" ht="18">
      <c r="A23" s="84" t="s">
        <v>17</v>
      </c>
      <c r="B23" s="86">
        <f>SUM(B19:B22)</f>
        <v>110.10248999999999</v>
      </c>
      <c r="C23" s="86">
        <f>SUM(C19:C22)</f>
        <v>104.86079446758889</v>
      </c>
      <c r="D23" s="86">
        <f>B23/C23</f>
        <v>1.0499871811864943</v>
      </c>
      <c r="K23" s="328"/>
      <c r="L23" s="36" t="s">
        <v>3</v>
      </c>
      <c r="M23" s="34"/>
      <c r="N23" s="15" t="s">
        <v>18</v>
      </c>
      <c r="O23" s="36" t="s">
        <v>49</v>
      </c>
      <c r="P23" s="73">
        <v>92.67</v>
      </c>
      <c r="Q23" s="328" t="s">
        <v>18</v>
      </c>
      <c r="X23" s="105" t="s">
        <v>3</v>
      </c>
      <c r="Y23" s="106"/>
      <c r="Z23" s="73"/>
      <c r="AA23" s="15" t="s">
        <v>18</v>
      </c>
      <c r="AB23" s="36" t="s">
        <v>49</v>
      </c>
      <c r="AC23" s="34">
        <v>150.9</v>
      </c>
      <c r="AD23" s="328" t="s">
        <v>18</v>
      </c>
      <c r="AK23" s="328"/>
      <c r="AL23" s="328"/>
    </row>
    <row r="24" spans="1:45" ht="18">
      <c r="B24" s="87"/>
      <c r="C24" s="87"/>
      <c r="D24" s="87"/>
      <c r="E24" s="87"/>
      <c r="K24" s="328"/>
      <c r="L24" s="36" t="s">
        <v>4</v>
      </c>
      <c r="M24" s="34"/>
      <c r="N24" s="15" t="s">
        <v>18</v>
      </c>
      <c r="O24" s="36" t="s">
        <v>27</v>
      </c>
      <c r="P24" s="34"/>
      <c r="Q24" s="328" t="s">
        <v>33</v>
      </c>
      <c r="X24" s="105" t="s">
        <v>4</v>
      </c>
      <c r="Y24" s="106"/>
      <c r="Z24" s="34"/>
      <c r="AA24" s="15" t="s">
        <v>18</v>
      </c>
      <c r="AB24" s="36" t="s">
        <v>27</v>
      </c>
      <c r="AC24" s="34">
        <f>0.03/100</f>
        <v>2.9999999999999997E-4</v>
      </c>
      <c r="AD24" s="328" t="s">
        <v>33</v>
      </c>
      <c r="AK24" s="328"/>
      <c r="AL24" s="328"/>
    </row>
    <row r="25" spans="1:45">
      <c r="A25" s="161"/>
      <c r="B25" s="161"/>
      <c r="K25" s="328"/>
      <c r="L25" s="103" t="s">
        <v>17</v>
      </c>
      <c r="M25" s="34"/>
      <c r="N25" s="15" t="s">
        <v>18</v>
      </c>
      <c r="O25" s="67" t="s">
        <v>30</v>
      </c>
      <c r="P25" s="37">
        <f>P24*P23</f>
        <v>0</v>
      </c>
      <c r="Q25" s="328" t="s">
        <v>18</v>
      </c>
      <c r="X25" s="105" t="s">
        <v>17</v>
      </c>
      <c r="Y25" s="106"/>
      <c r="Z25" s="73"/>
      <c r="AA25" s="15" t="s">
        <v>18</v>
      </c>
      <c r="AB25" s="67" t="s">
        <v>30</v>
      </c>
      <c r="AC25" s="37">
        <f>AC24*AC23</f>
        <v>4.5269999999999998E-2</v>
      </c>
      <c r="AD25" s="328" t="s">
        <v>18</v>
      </c>
      <c r="AK25" s="328"/>
      <c r="AL25" s="328"/>
    </row>
    <row r="26" spans="1:45">
      <c r="L26" s="67" t="s">
        <v>30</v>
      </c>
      <c r="M26" s="37">
        <f>P24*M25</f>
        <v>0</v>
      </c>
      <c r="N26" s="15" t="s">
        <v>18</v>
      </c>
      <c r="Q26" s="328"/>
      <c r="W26" s="328"/>
      <c r="X26" s="331" t="s">
        <v>30</v>
      </c>
      <c r="Y26" s="332"/>
      <c r="Z26" s="104">
        <f>AC24*Z25</f>
        <v>0</v>
      </c>
      <c r="AA26" s="15" t="s">
        <v>18</v>
      </c>
      <c r="AK26" s="328"/>
      <c r="AL26" s="328"/>
    </row>
    <row r="27" spans="1:45">
      <c r="A27" s="23"/>
      <c r="W27" s="328"/>
      <c r="X27" s="328"/>
      <c r="Y27" s="328"/>
      <c r="Z27" s="328"/>
      <c r="AA27" s="23"/>
      <c r="AB27" s="31">
        <f>AC23+Z25</f>
        <v>150.9</v>
      </c>
      <c r="AC27" s="15">
        <f>AC25+Z26</f>
        <v>4.5269999999999998E-2</v>
      </c>
      <c r="AL27" s="328"/>
    </row>
    <row r="28" spans="1:45">
      <c r="A28" s="23"/>
      <c r="I28" s="328"/>
      <c r="J28" s="328"/>
      <c r="K28" s="328"/>
      <c r="L28" s="328"/>
      <c r="AL28" s="328"/>
    </row>
    <row r="29" spans="1:45" ht="21">
      <c r="D29" s="143" t="s">
        <v>45</v>
      </c>
      <c r="E29" s="142">
        <f>B23-(C42+B45)</f>
        <v>109.42248999999998</v>
      </c>
      <c r="F29" s="15" t="s">
        <v>18</v>
      </c>
      <c r="I29" s="328"/>
      <c r="J29" s="328"/>
      <c r="K29" s="328"/>
      <c r="L29" s="328"/>
    </row>
    <row r="30" spans="1:45">
      <c r="I30" s="328"/>
      <c r="J30" s="328"/>
      <c r="K30" s="328"/>
      <c r="L30" s="328"/>
      <c r="V30" s="328"/>
      <c r="W30" s="328"/>
      <c r="X30" s="328"/>
      <c r="AJ30" s="22"/>
    </row>
    <row r="31" spans="1:45" ht="21">
      <c r="I31" s="102"/>
      <c r="S31" s="15" t="s">
        <v>250</v>
      </c>
      <c r="T31" s="15">
        <v>155.94999999999999</v>
      </c>
      <c r="U31" s="15" t="s">
        <v>18</v>
      </c>
      <c r="V31" s="328"/>
      <c r="W31" s="31">
        <f>AC23+AC44</f>
        <v>152.30000000000001</v>
      </c>
      <c r="X31" s="328"/>
      <c r="AG31" s="356"/>
      <c r="AH31" s="356"/>
      <c r="AI31" s="356"/>
      <c r="AJ31" s="356"/>
      <c r="AK31" s="356"/>
      <c r="AL31" s="356"/>
      <c r="AM31" s="356"/>
      <c r="AN31" s="356"/>
      <c r="AO31" s="356"/>
      <c r="AP31" s="356"/>
      <c r="AQ31" s="356"/>
      <c r="AR31" s="356"/>
      <c r="AS31" s="356"/>
    </row>
    <row r="32" spans="1:45">
      <c r="V32" s="328"/>
      <c r="W32" s="328"/>
      <c r="X32" s="328"/>
      <c r="AC32" s="356"/>
      <c r="AD32" s="356"/>
      <c r="AE32" s="356"/>
      <c r="AF32" s="356"/>
      <c r="AG32" s="356"/>
      <c r="AH32" s="356"/>
      <c r="AI32" s="356"/>
      <c r="AJ32" s="356"/>
      <c r="AK32" s="356"/>
      <c r="AL32" s="356"/>
      <c r="AM32" s="356"/>
      <c r="AN32" s="356"/>
      <c r="AO32" s="356"/>
      <c r="AP32" s="356"/>
      <c r="AQ32" s="356"/>
      <c r="AR32" s="356"/>
      <c r="AS32" s="356"/>
    </row>
    <row r="33" spans="1:55">
      <c r="AC33" s="356"/>
      <c r="AD33" s="356"/>
      <c r="AE33" s="356"/>
      <c r="AF33" s="356"/>
      <c r="AG33" s="356"/>
      <c r="AH33" s="356"/>
      <c r="AI33" s="356"/>
      <c r="AJ33" s="356"/>
      <c r="AK33" s="356"/>
      <c r="AL33" s="356"/>
      <c r="AM33" s="356"/>
      <c r="AN33" s="356"/>
      <c r="AO33" s="356"/>
      <c r="AP33" s="356"/>
      <c r="AQ33" s="356"/>
      <c r="AR33" s="356"/>
      <c r="AS33" s="356"/>
    </row>
    <row r="34" spans="1:55">
      <c r="G34" s="15" t="s">
        <v>101</v>
      </c>
      <c r="H34" s="31">
        <f>E29-P23-Q42</f>
        <v>0.93248999999998006</v>
      </c>
      <c r="I34" s="15" t="s">
        <v>18</v>
      </c>
      <c r="S34" s="15" t="s">
        <v>101</v>
      </c>
      <c r="T34" s="31">
        <f>T31-W31</f>
        <v>3.6499999999999773</v>
      </c>
      <c r="U34" s="15" t="s">
        <v>18</v>
      </c>
      <c r="AC34" s="356"/>
      <c r="AD34" s="356"/>
      <c r="AE34" s="356"/>
      <c r="AF34" s="356"/>
      <c r="AG34" s="356"/>
      <c r="AH34" s="356"/>
      <c r="AI34" s="356"/>
      <c r="AJ34" s="356"/>
      <c r="AK34" s="356"/>
      <c r="AL34" s="356"/>
      <c r="AM34" s="356"/>
      <c r="AN34" s="356"/>
      <c r="AO34" s="356"/>
      <c r="AP34" s="356"/>
      <c r="AQ34" s="356"/>
      <c r="AR34" s="356"/>
      <c r="AS34" s="356"/>
    </row>
    <row r="35" spans="1:55">
      <c r="D35" s="328"/>
      <c r="E35" s="328"/>
      <c r="F35" s="328"/>
      <c r="G35" s="15" t="s">
        <v>125</v>
      </c>
      <c r="H35" s="76">
        <f>H34/E29</f>
        <v>8.5219226870086786E-3</v>
      </c>
      <c r="S35" s="15" t="s">
        <v>125</v>
      </c>
      <c r="T35" s="76">
        <f>T34/E29</f>
        <v>3.3356945176443872E-2</v>
      </c>
      <c r="Z35" s="328"/>
      <c r="AA35" s="328"/>
      <c r="AB35" s="328"/>
      <c r="AC35" s="356"/>
      <c r="AD35" s="356"/>
      <c r="AE35" s="356"/>
      <c r="AF35" s="356"/>
      <c r="AG35" s="356"/>
      <c r="AH35" s="356"/>
      <c r="AI35" s="356"/>
      <c r="AJ35" s="356"/>
      <c r="AK35" s="356"/>
      <c r="AL35" s="356"/>
      <c r="AM35" s="356"/>
      <c r="AN35" s="356"/>
      <c r="AO35" s="356"/>
      <c r="AP35" s="356"/>
      <c r="AQ35" s="356"/>
      <c r="AR35" s="356"/>
      <c r="AS35" s="356"/>
    </row>
    <row r="36" spans="1:55">
      <c r="D36" s="328"/>
      <c r="E36" s="328"/>
      <c r="F36" s="328"/>
      <c r="G36" s="15" t="s">
        <v>126</v>
      </c>
      <c r="H36" s="81">
        <f>H35*B50</f>
        <v>8.4692907490101291E-2</v>
      </c>
      <c r="I36" s="328" t="s">
        <v>18</v>
      </c>
      <c r="S36" s="15" t="s">
        <v>126</v>
      </c>
      <c r="T36" s="81">
        <f>T35*B50</f>
        <v>0.33150930555702945</v>
      </c>
      <c r="U36" s="328" t="s">
        <v>18</v>
      </c>
      <c r="Z36" s="328"/>
      <c r="AC36" s="356"/>
      <c r="AD36" s="356"/>
      <c r="AE36" s="356"/>
      <c r="AF36" s="356"/>
      <c r="AG36" s="356"/>
      <c r="AH36" s="356"/>
      <c r="AI36" s="356"/>
      <c r="AJ36" s="356"/>
      <c r="AK36" s="356"/>
      <c r="AL36" s="356"/>
      <c r="AM36" s="356"/>
      <c r="AN36" s="356"/>
      <c r="AO36" s="356"/>
      <c r="AP36" s="356"/>
      <c r="AQ36" s="356"/>
      <c r="AR36" s="356"/>
      <c r="AS36" s="356"/>
    </row>
    <row r="37" spans="1:55">
      <c r="D37" s="328"/>
      <c r="E37" s="328"/>
      <c r="F37" s="328"/>
      <c r="G37" s="328"/>
      <c r="H37" s="200"/>
      <c r="P37" s="330"/>
      <c r="Q37" s="330"/>
      <c r="R37" s="16"/>
      <c r="U37" s="328"/>
      <c r="Z37" s="328"/>
      <c r="AC37" s="356"/>
      <c r="AD37" s="356"/>
      <c r="AE37" s="356"/>
      <c r="AF37" s="356"/>
      <c r="AG37" s="356"/>
      <c r="AH37" s="356"/>
      <c r="AI37" s="356"/>
      <c r="AJ37" s="356"/>
      <c r="AK37" s="356"/>
      <c r="AL37" s="356"/>
      <c r="AM37" s="356"/>
      <c r="AN37" s="356"/>
      <c r="AO37" s="356"/>
      <c r="AP37" s="356"/>
      <c r="AQ37" s="356"/>
      <c r="AR37" s="356"/>
      <c r="AS37" s="356"/>
    </row>
    <row r="38" spans="1:55">
      <c r="E38" s="30"/>
      <c r="Z38" s="328"/>
      <c r="AC38" s="356"/>
      <c r="AD38" s="356"/>
      <c r="AE38" s="356"/>
      <c r="AF38" s="356"/>
      <c r="AG38" s="356"/>
      <c r="AH38" s="356"/>
      <c r="AI38" s="356"/>
      <c r="AJ38" s="356"/>
      <c r="AK38" s="356"/>
      <c r="AL38" s="356"/>
      <c r="AM38" s="356"/>
      <c r="AN38" s="356"/>
      <c r="AO38" s="356"/>
      <c r="AP38" s="356"/>
      <c r="AQ38" s="356"/>
      <c r="AR38" s="356"/>
      <c r="AS38" s="356"/>
    </row>
    <row r="39" spans="1:55" ht="21">
      <c r="J39" s="81"/>
      <c r="M39" s="98" t="s">
        <v>242</v>
      </c>
      <c r="N39" s="48"/>
      <c r="Z39" s="328"/>
      <c r="AG39" s="356"/>
      <c r="AH39" s="356"/>
      <c r="AI39" s="356"/>
      <c r="AJ39" s="356"/>
      <c r="AK39" s="356"/>
      <c r="AL39" s="356"/>
      <c r="AM39" s="356"/>
      <c r="AN39" s="356"/>
      <c r="AO39" s="356"/>
      <c r="AP39" s="356"/>
      <c r="AQ39" s="356"/>
      <c r="AR39" s="356"/>
      <c r="AS39" s="356"/>
      <c r="AT39" s="328"/>
      <c r="AU39" s="328"/>
      <c r="AV39" s="328"/>
      <c r="AW39" s="328"/>
      <c r="AX39" s="328"/>
      <c r="AY39" s="328"/>
      <c r="AZ39" s="328"/>
      <c r="BA39" s="328"/>
      <c r="BB39" s="328"/>
    </row>
    <row r="40" spans="1:55" ht="21">
      <c r="A40" s="392" t="s">
        <v>6</v>
      </c>
      <c r="B40" s="392"/>
      <c r="C40" s="33">
        <v>0.18</v>
      </c>
      <c r="D40" s="15" t="s">
        <v>18</v>
      </c>
      <c r="E40" s="328"/>
      <c r="F40" s="328"/>
      <c r="G40" s="328"/>
      <c r="M40" s="325" t="s">
        <v>20</v>
      </c>
      <c r="N40" s="326"/>
      <c r="Y40" s="101" t="s">
        <v>244</v>
      </c>
      <c r="Z40" s="101"/>
      <c r="AA40" s="101"/>
      <c r="AG40" s="356"/>
      <c r="AH40" s="356"/>
      <c r="AI40" s="356"/>
      <c r="AJ40" s="356"/>
      <c r="AK40" s="356"/>
      <c r="AL40" s="356"/>
      <c r="AM40" s="356"/>
      <c r="AN40" s="356"/>
      <c r="AO40" s="356"/>
      <c r="AP40" s="356"/>
      <c r="AQ40" s="356"/>
      <c r="AR40" s="356"/>
      <c r="AS40" s="356"/>
      <c r="AT40" s="328"/>
      <c r="AU40" s="328"/>
      <c r="AV40" s="328"/>
      <c r="AW40" s="328"/>
      <c r="AX40" s="328"/>
      <c r="AY40" s="328"/>
      <c r="AZ40" s="328"/>
      <c r="BA40" s="328"/>
      <c r="BB40" s="328"/>
    </row>
    <row r="41" spans="1:55">
      <c r="A41" s="392" t="s">
        <v>5</v>
      </c>
      <c r="B41" s="392"/>
      <c r="C41" s="33">
        <v>0.2</v>
      </c>
      <c r="D41" s="15" t="s">
        <v>18</v>
      </c>
      <c r="E41" s="328"/>
      <c r="F41" s="328"/>
      <c r="G41" s="328"/>
      <c r="S41" s="328"/>
      <c r="V41" s="328"/>
      <c r="X41" s="403" t="s">
        <v>23</v>
      </c>
      <c r="Y41" s="404"/>
      <c r="Z41" s="404"/>
      <c r="AA41" s="405"/>
      <c r="AB41" s="328"/>
      <c r="AG41" s="356"/>
      <c r="AH41" s="356"/>
      <c r="AI41" s="356"/>
      <c r="AJ41" s="356"/>
      <c r="AK41" s="356"/>
      <c r="AL41" s="356"/>
      <c r="AM41" s="356"/>
      <c r="AN41" s="356"/>
      <c r="AO41" s="356"/>
      <c r="AP41" s="356"/>
      <c r="AQ41" s="356"/>
      <c r="AR41" s="356"/>
      <c r="AS41" s="356"/>
      <c r="AT41" s="328"/>
      <c r="AU41" s="328"/>
      <c r="AV41" s="328"/>
      <c r="AW41" s="328"/>
      <c r="AX41" s="328"/>
      <c r="AY41" s="328"/>
      <c r="AZ41" s="328"/>
      <c r="BA41" s="328"/>
      <c r="BB41" s="328"/>
    </row>
    <row r="42" spans="1:55">
      <c r="A42" s="400" t="s">
        <v>17</v>
      </c>
      <c r="B42" s="401"/>
      <c r="C42" s="91">
        <f>SUM(C40:C41)</f>
        <v>0.38</v>
      </c>
      <c r="D42" s="23" t="s">
        <v>18</v>
      </c>
      <c r="E42" s="328"/>
      <c r="F42" s="328"/>
      <c r="G42" s="328"/>
      <c r="J42" s="67" t="s">
        <v>1</v>
      </c>
      <c r="K42" s="34"/>
      <c r="L42" s="15" t="s">
        <v>18</v>
      </c>
      <c r="M42" s="36" t="s">
        <v>3</v>
      </c>
      <c r="N42" s="73"/>
      <c r="O42" s="15" t="s">
        <v>18</v>
      </c>
      <c r="P42" s="36" t="s">
        <v>49</v>
      </c>
      <c r="Q42" s="34">
        <v>15.82</v>
      </c>
      <c r="R42" s="328" t="s">
        <v>18</v>
      </c>
      <c r="S42" s="328"/>
      <c r="Z42" s="328"/>
      <c r="AG42" s="356"/>
      <c r="AH42" s="356"/>
      <c r="AI42" s="356"/>
      <c r="AJ42" s="356"/>
      <c r="AK42" s="356"/>
      <c r="AL42" s="356"/>
      <c r="AM42" s="356"/>
      <c r="AN42" s="356"/>
      <c r="AO42" s="356"/>
      <c r="AP42" s="356"/>
      <c r="AQ42" s="356"/>
      <c r="AR42" s="356"/>
      <c r="AS42" s="356"/>
      <c r="AT42" s="328"/>
      <c r="AU42" s="328"/>
      <c r="AV42" s="328"/>
      <c r="AW42" s="328"/>
      <c r="AX42" s="328"/>
      <c r="AY42" s="328"/>
      <c r="AZ42" s="328"/>
      <c r="BA42" s="328"/>
      <c r="BB42" s="328"/>
    </row>
    <row r="43" spans="1:55">
      <c r="C43" s="328"/>
      <c r="D43" s="328"/>
      <c r="E43" s="328"/>
      <c r="F43" s="328"/>
      <c r="G43" s="328"/>
      <c r="I43" s="26"/>
      <c r="J43" s="67" t="s">
        <v>9</v>
      </c>
      <c r="K43" s="64"/>
      <c r="L43" s="15" t="s">
        <v>18</v>
      </c>
      <c r="M43" s="36" t="s">
        <v>4</v>
      </c>
      <c r="N43" s="34"/>
      <c r="O43" s="15" t="s">
        <v>18</v>
      </c>
      <c r="P43" s="36" t="s">
        <v>27</v>
      </c>
      <c r="Q43" s="34">
        <f>54.29/100</f>
        <v>0.54289999999999994</v>
      </c>
      <c r="R43" s="328" t="s">
        <v>33</v>
      </c>
      <c r="S43" s="328"/>
      <c r="AE43" s="328"/>
      <c r="AF43" s="328"/>
      <c r="AG43" s="356"/>
      <c r="AH43" s="356"/>
      <c r="AI43" s="356"/>
      <c r="AJ43" s="356"/>
      <c r="AK43" s="356"/>
      <c r="AL43" s="356"/>
      <c r="AM43" s="356"/>
      <c r="AN43" s="356"/>
      <c r="AO43" s="356"/>
      <c r="AP43" s="356"/>
      <c r="AQ43" s="356"/>
      <c r="AR43" s="356"/>
      <c r="AS43" s="356"/>
      <c r="AT43" s="328"/>
      <c r="AU43" s="328"/>
      <c r="AV43" s="328"/>
      <c r="AW43" s="328"/>
      <c r="AX43" s="328"/>
      <c r="AY43" s="328"/>
      <c r="AZ43" s="328"/>
      <c r="BA43" s="328"/>
      <c r="BB43" s="328"/>
    </row>
    <row r="44" spans="1:55">
      <c r="A44" s="36" t="s">
        <v>44</v>
      </c>
      <c r="B44" s="33">
        <v>0.3</v>
      </c>
      <c r="C44" s="328" t="s">
        <v>18</v>
      </c>
      <c r="D44" s="328"/>
      <c r="E44" s="328"/>
      <c r="F44" s="328"/>
      <c r="G44" s="328"/>
      <c r="H44" s="329"/>
      <c r="J44" s="34" t="s">
        <v>17</v>
      </c>
      <c r="K44" s="91">
        <f>SUM(K42:K43)</f>
        <v>0</v>
      </c>
      <c r="L44" s="23" t="s">
        <v>18</v>
      </c>
      <c r="M44" s="103" t="s">
        <v>17</v>
      </c>
      <c r="N44" s="73"/>
      <c r="O44" s="15" t="s">
        <v>18</v>
      </c>
      <c r="P44" s="67" t="s">
        <v>30</v>
      </c>
      <c r="Q44" s="37">
        <f>Q43*Q42</f>
        <v>8.5886779999999998</v>
      </c>
      <c r="R44" s="328" t="s">
        <v>18</v>
      </c>
      <c r="S44" s="328"/>
      <c r="U44" s="35" t="s">
        <v>53</v>
      </c>
      <c r="V44" s="33"/>
      <c r="W44" s="328" t="s">
        <v>18</v>
      </c>
      <c r="X44" s="105" t="s">
        <v>3</v>
      </c>
      <c r="Y44" s="106"/>
      <c r="Z44" s="73"/>
      <c r="AA44" s="15" t="s">
        <v>18</v>
      </c>
      <c r="AB44" s="36" t="s">
        <v>49</v>
      </c>
      <c r="AC44" s="224">
        <v>1.4</v>
      </c>
      <c r="AD44" s="328" t="s">
        <v>18</v>
      </c>
      <c r="AF44" s="328"/>
      <c r="AG44" s="356"/>
      <c r="AH44" s="356"/>
      <c r="AI44" s="356"/>
      <c r="AJ44" s="356"/>
      <c r="AK44" s="356"/>
      <c r="AL44" s="356"/>
      <c r="AM44" s="356"/>
      <c r="AN44" s="356"/>
      <c r="AO44" s="356"/>
      <c r="AP44" s="356"/>
      <c r="AQ44" s="356"/>
      <c r="AR44" s="356"/>
      <c r="AS44" s="356"/>
      <c r="AT44" s="328"/>
      <c r="AU44" s="328"/>
      <c r="AV44" s="328"/>
      <c r="AW44" s="328"/>
      <c r="AX44" s="328"/>
      <c r="AY44" s="328"/>
      <c r="AZ44" s="328"/>
      <c r="BA44" s="328"/>
      <c r="BB44" s="328"/>
    </row>
    <row r="45" spans="1:55">
      <c r="A45" s="92" t="s">
        <v>17</v>
      </c>
      <c r="B45" s="90">
        <f>SUM(B44)</f>
        <v>0.3</v>
      </c>
      <c r="C45" s="328" t="s">
        <v>18</v>
      </c>
      <c r="D45" s="328"/>
      <c r="E45" s="328"/>
      <c r="M45" s="67" t="s">
        <v>30</v>
      </c>
      <c r="N45" s="37">
        <f>Q43*N44</f>
        <v>0</v>
      </c>
      <c r="O45" s="15" t="s">
        <v>18</v>
      </c>
      <c r="U45" s="328"/>
      <c r="V45" s="328"/>
      <c r="W45" s="328"/>
      <c r="X45" s="105" t="s">
        <v>4</v>
      </c>
      <c r="Y45" s="106"/>
      <c r="Z45" s="34"/>
      <c r="AA45" s="15" t="s">
        <v>18</v>
      </c>
      <c r="AB45" s="36" t="s">
        <v>27</v>
      </c>
      <c r="AC45" s="34">
        <f>33.85/100</f>
        <v>0.33850000000000002</v>
      </c>
      <c r="AD45" s="328" t="s">
        <v>33</v>
      </c>
      <c r="AG45" s="356"/>
      <c r="AH45" s="356"/>
      <c r="AI45" s="356"/>
      <c r="AJ45" s="356"/>
      <c r="AK45" s="356"/>
      <c r="AL45" s="356"/>
      <c r="AM45" s="356"/>
      <c r="AN45" s="356"/>
      <c r="AO45" s="356"/>
      <c r="AP45" s="356"/>
      <c r="AQ45" s="356"/>
      <c r="AR45" s="356"/>
      <c r="AS45" s="356"/>
      <c r="AT45" s="328"/>
      <c r="AU45" s="328"/>
      <c r="AV45" s="328"/>
      <c r="AW45" s="328"/>
      <c r="AX45" s="328"/>
      <c r="AY45" s="328"/>
      <c r="AZ45" s="328"/>
      <c r="BA45" s="328"/>
      <c r="BB45" s="328"/>
    </row>
    <row r="46" spans="1:55">
      <c r="C46" s="328"/>
      <c r="D46" s="328"/>
      <c r="E46" s="328"/>
      <c r="U46" s="328"/>
      <c r="V46" s="328"/>
      <c r="W46" s="328"/>
      <c r="X46" s="105" t="s">
        <v>17</v>
      </c>
      <c r="Y46" s="106"/>
      <c r="Z46" s="73"/>
      <c r="AA46" s="15" t="s">
        <v>18</v>
      </c>
      <c r="AB46" s="67" t="s">
        <v>30</v>
      </c>
      <c r="AC46" s="37">
        <f>AC45*AC44</f>
        <v>0.47389999999999999</v>
      </c>
      <c r="AD46" s="328" t="s">
        <v>18</v>
      </c>
      <c r="AG46" s="356"/>
      <c r="AH46" s="356"/>
      <c r="AI46" s="356"/>
      <c r="AJ46" s="356"/>
      <c r="AK46" s="356"/>
      <c r="AL46" s="356"/>
      <c r="AM46" s="356"/>
      <c r="AN46" s="356"/>
      <c r="AO46" s="356"/>
      <c r="AP46" s="356"/>
      <c r="AQ46" s="356"/>
      <c r="AR46" s="356"/>
      <c r="AS46" s="356"/>
      <c r="AT46" s="328"/>
      <c r="AU46" s="328"/>
      <c r="AV46" s="328"/>
      <c r="AW46" s="328"/>
      <c r="AX46" s="328"/>
      <c r="AY46" s="328"/>
      <c r="AZ46" s="328"/>
      <c r="BA46" s="328"/>
      <c r="BB46" s="328"/>
      <c r="BC46" s="328"/>
    </row>
    <row r="47" spans="1:55">
      <c r="A47" s="15" t="s">
        <v>66</v>
      </c>
      <c r="B47" s="15">
        <f>B44/D23</f>
        <v>0.28571777386938907</v>
      </c>
      <c r="C47" s="328" t="s">
        <v>62</v>
      </c>
      <c r="D47" s="328"/>
      <c r="E47" s="328"/>
      <c r="P47" s="31">
        <f>Q42+N44</f>
        <v>15.82</v>
      </c>
      <c r="Q47" s="15">
        <f>Q44+N45</f>
        <v>8.5886779999999998</v>
      </c>
      <c r="X47" s="331" t="s">
        <v>30</v>
      </c>
      <c r="Y47" s="332"/>
      <c r="Z47" s="104">
        <f>AC45*Z46</f>
        <v>0</v>
      </c>
      <c r="AA47" s="15" t="s">
        <v>18</v>
      </c>
      <c r="AF47" s="328"/>
      <c r="AG47" s="356"/>
      <c r="AH47" s="356"/>
      <c r="AI47" s="356"/>
      <c r="AJ47" s="356"/>
      <c r="AK47" s="356"/>
      <c r="AL47" s="356"/>
      <c r="AM47" s="356"/>
      <c r="AN47" s="356"/>
      <c r="AO47" s="356"/>
      <c r="AP47" s="356"/>
      <c r="AQ47" s="356"/>
      <c r="AR47" s="356"/>
      <c r="AS47" s="356"/>
      <c r="AT47" s="328"/>
      <c r="AU47" s="328"/>
      <c r="AV47" s="328"/>
      <c r="AW47" s="328"/>
      <c r="AX47" s="328"/>
      <c r="AY47" s="328"/>
      <c r="AZ47" s="328"/>
      <c r="BA47" s="328"/>
      <c r="BB47" s="328"/>
      <c r="BC47" s="328"/>
    </row>
    <row r="48" spans="1:55">
      <c r="A48" s="15" t="s">
        <v>65</v>
      </c>
      <c r="B48" s="15">
        <f>C42/D23</f>
        <v>0.36190918023455948</v>
      </c>
      <c r="C48" s="15" t="s">
        <v>62</v>
      </c>
      <c r="AG48" s="356"/>
      <c r="AH48" s="356"/>
      <c r="AI48" s="356"/>
      <c r="AJ48" s="356"/>
      <c r="AK48" s="356"/>
      <c r="AL48" s="356"/>
      <c r="AM48" s="356"/>
      <c r="AN48" s="356"/>
      <c r="AO48" s="356"/>
      <c r="AP48" s="356"/>
      <c r="AQ48" s="356"/>
      <c r="AR48" s="356"/>
      <c r="AS48" s="356"/>
      <c r="AT48" s="328"/>
      <c r="AU48" s="328"/>
      <c r="AV48" s="328"/>
      <c r="AW48" s="328"/>
      <c r="AX48" s="328"/>
      <c r="AY48" s="328"/>
      <c r="AZ48" s="328"/>
      <c r="BA48" s="328"/>
      <c r="BB48" s="328"/>
      <c r="BC48" s="328"/>
    </row>
    <row r="49" spans="1:59">
      <c r="A49" s="15" t="s">
        <v>67</v>
      </c>
      <c r="B49" s="15">
        <f>G19*(B47+B48)/1000</f>
        <v>6.1760637747611348E-2</v>
      </c>
      <c r="C49" s="15" t="s">
        <v>18</v>
      </c>
      <c r="E49" s="160"/>
      <c r="AI49" s="338"/>
      <c r="AJ49" s="339"/>
      <c r="AK49" s="338"/>
      <c r="AL49" s="338"/>
      <c r="AM49" s="338"/>
      <c r="AN49" s="338"/>
      <c r="AP49" s="328"/>
      <c r="AQ49" s="328"/>
      <c r="AR49" s="328"/>
      <c r="AS49" s="328"/>
      <c r="AT49" s="328"/>
      <c r="AU49" s="328"/>
      <c r="AV49" s="328"/>
      <c r="AW49" s="328"/>
      <c r="AX49" s="328"/>
      <c r="AY49" s="328"/>
      <c r="AZ49" s="328"/>
      <c r="BA49" s="328"/>
      <c r="BB49" s="328"/>
    </row>
    <row r="50" spans="1:59">
      <c r="A50" s="15" t="s">
        <v>64</v>
      </c>
      <c r="B50" s="74">
        <f>B22-B49</f>
        <v>9.9382393622523892</v>
      </c>
      <c r="C50" s="15" t="s">
        <v>18</v>
      </c>
      <c r="K50" s="81"/>
      <c r="AC50" s="31">
        <f>AC44+Z46</f>
        <v>1.4</v>
      </c>
      <c r="AD50" s="15">
        <f>AC46+Z47</f>
        <v>0.47389999999999999</v>
      </c>
      <c r="AI50" s="145"/>
      <c r="AJ50" s="339"/>
      <c r="AK50" s="338"/>
      <c r="AL50" s="338"/>
      <c r="AM50" s="338"/>
      <c r="AN50" s="338"/>
      <c r="AP50" s="328"/>
      <c r="AQ50" s="328"/>
      <c r="AR50" s="328"/>
      <c r="AS50" s="328"/>
      <c r="AT50" s="328"/>
      <c r="AU50" s="328"/>
      <c r="AV50" s="379"/>
      <c r="AW50" s="379"/>
      <c r="AX50" s="379"/>
      <c r="AY50" s="379"/>
      <c r="AZ50" s="379"/>
      <c r="BA50" s="328"/>
      <c r="BB50" s="328"/>
    </row>
    <row r="51" spans="1:59">
      <c r="R51" s="328"/>
      <c r="S51" s="15" t="s">
        <v>27</v>
      </c>
      <c r="U51" s="15" t="s">
        <v>40</v>
      </c>
      <c r="W51" s="15" t="s">
        <v>98</v>
      </c>
      <c r="X51" s="74">
        <f>B50</f>
        <v>9.9382393622523892</v>
      </c>
      <c r="Y51" s="15" t="s">
        <v>18</v>
      </c>
      <c r="AP51" s="328"/>
      <c r="AQ51" s="328"/>
      <c r="AR51" s="328"/>
      <c r="AS51" s="328"/>
      <c r="AT51" s="328"/>
      <c r="AU51" s="328"/>
      <c r="AV51" s="328"/>
      <c r="AW51" s="328"/>
      <c r="AX51" s="328"/>
      <c r="AY51" s="328"/>
      <c r="AZ51" s="328"/>
      <c r="BA51" s="328"/>
      <c r="BB51" s="328"/>
    </row>
    <row r="52" spans="1:59">
      <c r="Q52" s="328"/>
      <c r="R52" s="328"/>
      <c r="S52" s="15" t="s">
        <v>34</v>
      </c>
      <c r="T52" s="15">
        <f>AC25+Z26</f>
        <v>4.5269999999999998E-2</v>
      </c>
      <c r="U52" s="76">
        <f>T52/X51</f>
        <v>4.555132790617358E-3</v>
      </c>
      <c r="AP52" s="328"/>
      <c r="AQ52" s="328"/>
      <c r="AR52" s="328"/>
      <c r="AS52" s="328"/>
      <c r="AT52" s="328"/>
      <c r="AU52" s="328"/>
      <c r="AV52" s="328"/>
      <c r="AW52" s="328"/>
      <c r="AX52" s="328"/>
      <c r="AY52" s="328"/>
      <c r="AZ52" s="328"/>
      <c r="BA52" s="328"/>
      <c r="BB52" s="328"/>
    </row>
    <row r="53" spans="1:59">
      <c r="S53" s="15" t="s">
        <v>35</v>
      </c>
      <c r="T53" s="15">
        <f>AC46+Z47</f>
        <v>0.47389999999999999</v>
      </c>
      <c r="U53" s="76">
        <f>T53/X51</f>
        <v>4.7684502528684912E-2</v>
      </c>
      <c r="AP53" s="328"/>
      <c r="AQ53" s="328"/>
      <c r="AR53" s="328"/>
      <c r="AS53" s="328"/>
      <c r="AT53" s="328"/>
      <c r="AU53" s="328"/>
      <c r="AV53" s="328"/>
      <c r="AW53" s="328"/>
      <c r="AX53" s="328"/>
      <c r="AY53" s="328"/>
      <c r="AZ53" s="328"/>
      <c r="BA53" s="328"/>
      <c r="BB53" s="328"/>
    </row>
    <row r="54" spans="1:59">
      <c r="D54" s="328"/>
      <c r="E54" s="328"/>
      <c r="F54" s="328"/>
      <c r="G54" s="328"/>
      <c r="H54" s="328"/>
      <c r="I54" s="328"/>
      <c r="J54" s="328"/>
      <c r="K54" s="328"/>
      <c r="L54" s="328"/>
      <c r="M54" s="334"/>
      <c r="N54" s="328"/>
      <c r="O54" s="328"/>
      <c r="P54" s="328"/>
      <c r="Q54" s="328"/>
      <c r="R54" s="328"/>
      <c r="S54" s="15" t="s">
        <v>36</v>
      </c>
      <c r="T54" s="328">
        <f>Q44+N45</f>
        <v>8.5886779999999998</v>
      </c>
      <c r="U54" s="333">
        <f>T54/X51</f>
        <v>0.86420518634534815</v>
      </c>
      <c r="V54" s="328"/>
      <c r="W54" s="328"/>
      <c r="AN54" s="328"/>
      <c r="AO54" s="328"/>
      <c r="AP54" s="328"/>
      <c r="AQ54" s="328"/>
      <c r="AR54" s="328"/>
      <c r="AS54" s="328"/>
      <c r="AT54" s="328"/>
      <c r="AU54" s="328"/>
      <c r="AV54" s="328"/>
      <c r="AW54" s="328"/>
      <c r="AX54" s="328"/>
      <c r="AY54" s="328"/>
      <c r="AZ54" s="328"/>
      <c r="BA54" s="328"/>
      <c r="BB54" s="328"/>
      <c r="BC54" s="328"/>
      <c r="BD54" s="328"/>
      <c r="BE54" s="328"/>
      <c r="BF54" s="328"/>
      <c r="BG54" s="328"/>
    </row>
    <row r="55" spans="1:59">
      <c r="D55" s="379"/>
      <c r="E55" s="379"/>
      <c r="F55" s="379"/>
      <c r="G55" s="379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15" t="s">
        <v>17</v>
      </c>
      <c r="T55" s="328">
        <f>SUM(T52:T54)</f>
        <v>9.1078480000000006</v>
      </c>
      <c r="U55" s="333">
        <f>SUM(U52:U54)</f>
        <v>0.91644482166465047</v>
      </c>
      <c r="V55" s="328"/>
      <c r="W55" s="328"/>
      <c r="X55" s="328"/>
      <c r="Y55" s="328"/>
      <c r="Z55" s="328"/>
      <c r="AN55" s="328"/>
      <c r="AO55" s="328"/>
      <c r="AP55" s="328"/>
      <c r="AQ55" s="328"/>
      <c r="AR55" s="328"/>
      <c r="AS55" s="328"/>
      <c r="AT55" s="328"/>
      <c r="AU55" s="328"/>
      <c r="AV55" s="328"/>
      <c r="AW55" s="328"/>
      <c r="AX55" s="328"/>
      <c r="AY55" s="328"/>
      <c r="AZ55" s="328"/>
      <c r="BA55" s="328"/>
      <c r="BB55" s="328"/>
      <c r="BC55" s="328"/>
      <c r="BD55" s="328"/>
      <c r="BE55" s="328"/>
      <c r="BF55" s="328"/>
      <c r="BG55" s="328"/>
    </row>
    <row r="56" spans="1:59"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15" t="s">
        <v>37</v>
      </c>
      <c r="T56" s="145">
        <f>X51-T55</f>
        <v>0.83039136225238863</v>
      </c>
      <c r="U56" s="333">
        <f>T56/X51</f>
        <v>8.355517833534952E-2</v>
      </c>
      <c r="V56" s="328"/>
      <c r="W56" s="328"/>
      <c r="X56" s="328"/>
      <c r="Y56" s="328"/>
      <c r="Z56" s="328"/>
      <c r="AN56" s="328"/>
      <c r="AO56" s="328"/>
      <c r="AP56" s="328"/>
      <c r="AQ56" s="328"/>
      <c r="AR56" s="328"/>
      <c r="AS56" s="328"/>
      <c r="AT56" s="328"/>
      <c r="AU56" s="328"/>
      <c r="AV56" s="328"/>
      <c r="AW56" s="328"/>
      <c r="AX56" s="328"/>
      <c r="AY56" s="328"/>
      <c r="AZ56" s="328"/>
      <c r="BA56" s="328"/>
      <c r="BB56" s="328"/>
      <c r="BC56" s="328"/>
      <c r="BD56" s="328"/>
      <c r="BE56" s="328"/>
      <c r="BF56" s="328"/>
      <c r="BG56" s="328"/>
    </row>
    <row r="57" spans="1:59"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T57" s="328"/>
      <c r="U57" s="328"/>
      <c r="V57" s="328"/>
      <c r="W57" s="328"/>
      <c r="X57" s="328"/>
      <c r="Y57" s="328"/>
      <c r="Z57" s="328"/>
      <c r="AN57" s="328"/>
      <c r="AO57" s="328"/>
      <c r="AP57" s="328"/>
      <c r="AQ57" s="328"/>
      <c r="AR57" s="328"/>
      <c r="AS57" s="328"/>
      <c r="AT57" s="328"/>
      <c r="AU57" s="328"/>
      <c r="AV57" s="328"/>
      <c r="AW57" s="328"/>
      <c r="AX57" s="328"/>
      <c r="AY57" s="328"/>
      <c r="AZ57" s="328"/>
      <c r="BA57" s="328"/>
      <c r="BB57" s="328"/>
      <c r="BC57" s="328"/>
      <c r="BD57" s="328"/>
      <c r="BE57" s="328"/>
      <c r="BF57" s="328"/>
      <c r="BG57" s="328"/>
    </row>
    <row r="58" spans="1:59"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W58" s="328"/>
      <c r="X58" s="328"/>
      <c r="Y58" s="328"/>
      <c r="Z58" s="328"/>
      <c r="AN58" s="328"/>
      <c r="AO58" s="328"/>
      <c r="AP58" s="328"/>
      <c r="AQ58" s="328"/>
      <c r="AR58" s="328"/>
      <c r="AS58" s="328"/>
      <c r="AT58" s="328"/>
      <c r="AU58" s="328"/>
      <c r="AV58" s="328"/>
      <c r="AW58" s="328"/>
      <c r="AX58" s="328"/>
      <c r="AY58" s="328"/>
      <c r="AZ58" s="328"/>
      <c r="BA58" s="328"/>
      <c r="BB58" s="328"/>
      <c r="BC58" s="328"/>
      <c r="BD58" s="328"/>
      <c r="BE58" s="328"/>
      <c r="BF58" s="328"/>
      <c r="BG58" s="328"/>
    </row>
    <row r="59" spans="1:59"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  <c r="X59" s="328"/>
      <c r="Y59" s="328"/>
      <c r="Z59" s="328"/>
      <c r="AA59" s="328"/>
      <c r="AB59" s="328"/>
      <c r="AC59" s="328"/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328"/>
      <c r="AV59" s="328"/>
      <c r="AW59" s="328"/>
      <c r="AX59" s="328"/>
      <c r="AY59" s="328"/>
      <c r="AZ59" s="328"/>
      <c r="BA59" s="328"/>
      <c r="BB59" s="328"/>
      <c r="BC59" s="328"/>
      <c r="BD59" s="328"/>
      <c r="BE59" s="328"/>
      <c r="BF59" s="328"/>
      <c r="BG59" s="328"/>
    </row>
    <row r="60" spans="1:59"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  <c r="X60" s="328"/>
      <c r="Y60" s="328"/>
      <c r="Z60" s="328"/>
      <c r="AA60" s="328"/>
      <c r="AB60" s="328"/>
      <c r="AC60" s="328"/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328"/>
      <c r="AV60" s="328"/>
      <c r="AW60" s="328"/>
      <c r="AX60" s="328"/>
      <c r="AY60" s="328"/>
      <c r="AZ60" s="328"/>
      <c r="BA60" s="328"/>
      <c r="BB60" s="328"/>
      <c r="BC60" s="328"/>
      <c r="BD60" s="328"/>
      <c r="BE60" s="328"/>
      <c r="BF60" s="328"/>
      <c r="BG60" s="328"/>
    </row>
    <row r="61" spans="1:59"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  <c r="X61" s="328"/>
      <c r="Y61" s="328"/>
      <c r="Z61" s="328"/>
      <c r="AA61" s="328"/>
      <c r="AB61" s="328"/>
      <c r="AC61" s="328"/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  <c r="AV61" s="328"/>
      <c r="AW61" s="328"/>
      <c r="AX61" s="328"/>
      <c r="AY61" s="328"/>
      <c r="AZ61" s="328"/>
      <c r="BA61" s="328"/>
      <c r="BB61" s="328"/>
      <c r="BC61" s="328"/>
      <c r="BD61" s="328"/>
      <c r="BE61" s="328"/>
      <c r="BF61" s="328"/>
      <c r="BG61" s="328"/>
    </row>
    <row r="62" spans="1:59"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  <c r="X62" s="328"/>
      <c r="Y62" s="328"/>
      <c r="Z62" s="328"/>
      <c r="AA62" s="328"/>
      <c r="AB62" s="328"/>
      <c r="AC62" s="328"/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328"/>
      <c r="AV62" s="328"/>
      <c r="AW62" s="328"/>
      <c r="AX62" s="328"/>
      <c r="AY62" s="328"/>
      <c r="AZ62" s="328"/>
      <c r="BA62" s="328"/>
      <c r="BB62" s="328"/>
      <c r="BC62" s="328"/>
      <c r="BD62" s="328"/>
      <c r="BE62" s="328"/>
      <c r="BF62" s="328"/>
      <c r="BG62" s="328"/>
    </row>
    <row r="63" spans="1:59"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328"/>
      <c r="AV63" s="328"/>
      <c r="AW63" s="328"/>
      <c r="AX63" s="328"/>
      <c r="AY63" s="328"/>
      <c r="AZ63" s="328"/>
      <c r="BA63" s="328"/>
      <c r="BB63" s="328"/>
      <c r="BC63" s="328"/>
      <c r="BD63" s="328"/>
      <c r="BE63" s="328"/>
      <c r="BF63" s="328"/>
      <c r="BG63" s="328"/>
    </row>
    <row r="64" spans="1:59"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  <c r="X64" s="328"/>
      <c r="Y64" s="328"/>
      <c r="Z64" s="328"/>
      <c r="AA64" s="328"/>
      <c r="AB64" s="328"/>
      <c r="AC64" s="328"/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328"/>
      <c r="AV64" s="328"/>
      <c r="AW64" s="328"/>
      <c r="AX64" s="328"/>
      <c r="AY64" s="328"/>
      <c r="AZ64" s="328"/>
      <c r="BA64" s="328"/>
      <c r="BB64" s="328"/>
      <c r="BC64" s="328"/>
      <c r="BD64" s="328"/>
      <c r="BE64" s="328"/>
      <c r="BF64" s="328"/>
      <c r="BG64" s="328"/>
    </row>
    <row r="65" spans="4:59"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  <c r="X65" s="328"/>
      <c r="Y65" s="328"/>
      <c r="Z65" s="328"/>
      <c r="AA65" s="328"/>
      <c r="AB65" s="328"/>
      <c r="AC65" s="328"/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328"/>
      <c r="AV65" s="328"/>
      <c r="AW65" s="328"/>
      <c r="AX65" s="328"/>
      <c r="AY65" s="328"/>
      <c r="AZ65" s="328"/>
      <c r="BA65" s="328"/>
      <c r="BB65" s="328"/>
      <c r="BC65" s="328"/>
      <c r="BD65" s="328"/>
      <c r="BE65" s="328"/>
      <c r="BF65" s="328"/>
      <c r="BG65" s="328"/>
    </row>
    <row r="66" spans="4:59"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328"/>
      <c r="AV66" s="328"/>
      <c r="AW66" s="328"/>
      <c r="AX66" s="328"/>
      <c r="AY66" s="328"/>
      <c r="AZ66" s="328"/>
      <c r="BA66" s="328"/>
      <c r="BB66" s="328"/>
      <c r="BC66" s="328"/>
      <c r="BD66" s="328"/>
      <c r="BE66" s="328"/>
      <c r="BF66" s="328"/>
      <c r="BG66" s="328"/>
    </row>
    <row r="67" spans="4:59"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8"/>
      <c r="Z67" s="328"/>
      <c r="AA67" s="328"/>
      <c r="AB67" s="328"/>
      <c r="AC67" s="328"/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  <c r="AV67" s="328"/>
      <c r="AW67" s="328"/>
      <c r="AX67" s="328"/>
      <c r="AY67" s="328"/>
      <c r="AZ67" s="328"/>
      <c r="BA67" s="328"/>
      <c r="BB67" s="328"/>
      <c r="BC67" s="328"/>
      <c r="BD67" s="328"/>
      <c r="BE67" s="328"/>
      <c r="BF67" s="328"/>
      <c r="BG67" s="328"/>
    </row>
    <row r="68" spans="4:59"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8"/>
      <c r="Z68" s="328"/>
      <c r="AA68" s="328"/>
      <c r="AB68" s="328"/>
      <c r="AC68" s="328"/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28"/>
      <c r="AU68" s="328"/>
      <c r="AV68" s="328"/>
      <c r="AW68" s="328"/>
      <c r="AX68" s="328"/>
      <c r="AY68" s="328"/>
      <c r="AZ68" s="328"/>
      <c r="BA68" s="328"/>
      <c r="BB68" s="328"/>
      <c r="BC68" s="328"/>
      <c r="BD68" s="328"/>
      <c r="BE68" s="328"/>
      <c r="BF68" s="328"/>
      <c r="BG68" s="328"/>
    </row>
    <row r="69" spans="4:59"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  <c r="X69" s="328"/>
      <c r="Y69" s="328"/>
      <c r="Z69" s="328"/>
      <c r="AA69" s="328"/>
      <c r="AB69" s="328"/>
      <c r="AC69" s="328"/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8"/>
      <c r="AQ69" s="328"/>
      <c r="AR69" s="328"/>
      <c r="AS69" s="328"/>
      <c r="AT69" s="328"/>
      <c r="AU69" s="328"/>
      <c r="AV69" s="328"/>
      <c r="AW69" s="328"/>
      <c r="AX69" s="328"/>
      <c r="AY69" s="328"/>
      <c r="AZ69" s="328"/>
      <c r="BA69" s="328"/>
      <c r="BB69" s="328"/>
      <c r="BC69" s="328"/>
      <c r="BD69" s="328"/>
      <c r="BE69" s="328"/>
      <c r="BF69" s="328"/>
      <c r="BG69" s="328"/>
    </row>
    <row r="70" spans="4:59"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328"/>
      <c r="Z70" s="328"/>
      <c r="AA70" s="328"/>
      <c r="AB70" s="328"/>
      <c r="AC70" s="328"/>
      <c r="AD70" s="328"/>
      <c r="AE70" s="328"/>
      <c r="AF70" s="328"/>
      <c r="AG70" s="328"/>
      <c r="AH70" s="328"/>
      <c r="AI70" s="328"/>
      <c r="AJ70" s="328"/>
      <c r="AK70" s="328"/>
      <c r="AL70" s="328"/>
      <c r="AM70" s="328"/>
      <c r="AN70" s="328"/>
      <c r="AO70" s="328"/>
      <c r="AP70" s="328"/>
      <c r="AQ70" s="328"/>
      <c r="AR70" s="328"/>
      <c r="AS70" s="328"/>
      <c r="AT70" s="328"/>
      <c r="AU70" s="328"/>
      <c r="AV70" s="328"/>
      <c r="AW70" s="328"/>
      <c r="AX70" s="328"/>
      <c r="AY70" s="328"/>
      <c r="AZ70" s="328"/>
      <c r="BA70" s="328"/>
      <c r="BB70" s="328"/>
      <c r="BC70" s="328"/>
      <c r="BD70" s="328"/>
      <c r="BE70" s="328"/>
      <c r="BF70" s="328"/>
      <c r="BG70" s="328"/>
    </row>
    <row r="71" spans="4:59"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328"/>
      <c r="Z71" s="328"/>
      <c r="AA71" s="328"/>
      <c r="AB71" s="328"/>
      <c r="AC71" s="328"/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  <c r="AV71" s="328"/>
      <c r="AW71" s="328"/>
      <c r="AX71" s="328"/>
      <c r="AY71" s="328"/>
      <c r="AZ71" s="328"/>
      <c r="BA71" s="328"/>
      <c r="BB71" s="328"/>
      <c r="BC71" s="328"/>
      <c r="BD71" s="328"/>
      <c r="BE71" s="328"/>
      <c r="BF71" s="328"/>
      <c r="BG71" s="328"/>
    </row>
    <row r="72" spans="4:59"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  <c r="AA72" s="328"/>
      <c r="AB72" s="328"/>
      <c r="AC72" s="328"/>
      <c r="AD72" s="328"/>
      <c r="AE72" s="328"/>
      <c r="AF72" s="328"/>
      <c r="AG72" s="328"/>
      <c r="AH72" s="328"/>
      <c r="AI72" s="328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328"/>
      <c r="AV72" s="328"/>
      <c r="AW72" s="328"/>
      <c r="AX72" s="328"/>
      <c r="AY72" s="328"/>
      <c r="AZ72" s="328"/>
      <c r="BA72" s="328"/>
      <c r="BB72" s="328"/>
      <c r="BC72" s="328"/>
      <c r="BD72" s="328"/>
      <c r="BE72" s="328"/>
      <c r="BF72" s="328"/>
      <c r="BG72" s="328"/>
    </row>
    <row r="73" spans="4:59"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  <c r="AV73" s="328"/>
      <c r="AW73" s="379"/>
      <c r="AX73" s="379"/>
      <c r="AY73" s="328"/>
      <c r="AZ73" s="328"/>
      <c r="BA73" s="328"/>
      <c r="BB73" s="328"/>
      <c r="BC73" s="328"/>
      <c r="BD73" s="328"/>
      <c r="BE73" s="328"/>
      <c r="BF73" s="328"/>
      <c r="BG73" s="328"/>
    </row>
    <row r="74" spans="4:59"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  <c r="X74" s="328"/>
      <c r="Y74" s="328"/>
      <c r="Z74" s="328"/>
      <c r="AA74" s="328"/>
      <c r="AB74" s="328"/>
      <c r="AC74" s="328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  <c r="AV74" s="328"/>
      <c r="AW74" s="328"/>
      <c r="AX74" s="328"/>
      <c r="AY74" s="328"/>
      <c r="AZ74" s="328"/>
      <c r="BA74" s="328"/>
      <c r="BB74" s="328"/>
      <c r="BC74" s="328"/>
      <c r="BD74" s="328"/>
      <c r="BE74" s="328"/>
      <c r="BF74" s="328"/>
      <c r="BG74" s="328"/>
    </row>
    <row r="75" spans="4:59"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  <c r="X75" s="328"/>
      <c r="Y75" s="328"/>
      <c r="Z75" s="328"/>
      <c r="AA75" s="328"/>
      <c r="AB75" s="328"/>
      <c r="AC75" s="328"/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  <c r="AV75" s="328"/>
      <c r="AW75" s="328"/>
      <c r="AX75" s="328"/>
      <c r="AY75" s="328"/>
      <c r="AZ75" s="328"/>
      <c r="BA75" s="328"/>
      <c r="BB75" s="328"/>
      <c r="BC75" s="328"/>
      <c r="BD75" s="328"/>
      <c r="BE75" s="328"/>
      <c r="BF75" s="328"/>
      <c r="BG75" s="328"/>
    </row>
    <row r="76" spans="4:59"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  <c r="X76" s="328"/>
      <c r="Y76" s="328"/>
      <c r="Z76" s="328"/>
      <c r="AA76" s="328"/>
      <c r="AB76" s="328"/>
      <c r="AC76" s="328"/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  <c r="AW76" s="328"/>
      <c r="AX76" s="328"/>
      <c r="AY76" s="328"/>
      <c r="AZ76" s="328"/>
      <c r="BA76" s="328"/>
      <c r="BB76" s="328"/>
      <c r="BC76" s="328"/>
      <c r="BD76" s="328"/>
      <c r="BE76" s="328"/>
      <c r="BF76" s="328"/>
      <c r="BG76" s="328"/>
    </row>
    <row r="77" spans="4:59"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  <c r="X77" s="328"/>
      <c r="Y77" s="328"/>
      <c r="Z77" s="328"/>
      <c r="AA77" s="328"/>
      <c r="AB77" s="328"/>
      <c r="AC77" s="328"/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  <c r="AV77" s="328"/>
      <c r="AW77" s="328"/>
      <c r="AX77" s="328"/>
      <c r="AY77" s="328"/>
      <c r="AZ77" s="328"/>
      <c r="BA77" s="328"/>
      <c r="BB77" s="328"/>
      <c r="BC77" s="328"/>
      <c r="BD77" s="328"/>
      <c r="BE77" s="328"/>
      <c r="BF77" s="328"/>
      <c r="BG77" s="328"/>
    </row>
    <row r="78" spans="4:59"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  <c r="X78" s="328"/>
      <c r="Y78" s="328"/>
      <c r="Z78" s="328"/>
      <c r="AA78" s="328"/>
      <c r="AB78" s="328"/>
      <c r="AC78" s="328"/>
      <c r="AD78" s="328"/>
      <c r="AE78" s="328"/>
      <c r="AF78" s="328"/>
      <c r="AG78" s="328"/>
      <c r="AH78" s="328"/>
      <c r="AI78" s="328"/>
      <c r="AJ78" s="328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  <c r="AV78" s="328"/>
      <c r="AW78" s="328"/>
      <c r="AX78" s="328"/>
      <c r="AY78" s="328"/>
      <c r="AZ78" s="328"/>
      <c r="BA78" s="328"/>
      <c r="BB78" s="328"/>
      <c r="BC78" s="328"/>
      <c r="BD78" s="328"/>
      <c r="BE78" s="328"/>
      <c r="BF78" s="328"/>
      <c r="BG78" s="328"/>
    </row>
    <row r="79" spans="4:59"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  <c r="X79" s="328"/>
      <c r="Y79" s="328"/>
      <c r="Z79" s="328"/>
      <c r="AA79" s="328"/>
      <c r="AB79" s="328"/>
      <c r="AC79" s="328"/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  <c r="AV79" s="328"/>
      <c r="AW79" s="328"/>
      <c r="AX79" s="328"/>
      <c r="AY79" s="328"/>
      <c r="AZ79" s="328"/>
      <c r="BA79" s="328"/>
      <c r="BB79" s="328"/>
      <c r="BC79" s="328"/>
      <c r="BD79" s="328"/>
      <c r="BE79" s="328"/>
      <c r="BF79" s="328"/>
      <c r="BG79" s="328"/>
    </row>
    <row r="80" spans="4:59"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  <c r="X80" s="328"/>
      <c r="Y80" s="328"/>
      <c r="Z80" s="328"/>
      <c r="AA80" s="328"/>
      <c r="AB80" s="328"/>
      <c r="AC80" s="328"/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  <c r="AV80" s="328"/>
      <c r="AW80" s="328"/>
      <c r="AX80" s="328"/>
      <c r="AY80" s="328"/>
      <c r="AZ80" s="328"/>
      <c r="BA80" s="328"/>
      <c r="BB80" s="328"/>
      <c r="BC80" s="328"/>
      <c r="BD80" s="328"/>
      <c r="BE80" s="328"/>
      <c r="BF80" s="328"/>
      <c r="BG80" s="328"/>
    </row>
    <row r="81" spans="4:59"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  <c r="AA81" s="328"/>
      <c r="AB81" s="328"/>
      <c r="AC81" s="328"/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  <c r="AV81" s="328"/>
      <c r="AW81" s="328"/>
      <c r="AX81" s="328"/>
      <c r="AY81" s="328"/>
      <c r="AZ81" s="328"/>
      <c r="BA81" s="328"/>
      <c r="BB81" s="328"/>
      <c r="BC81" s="328"/>
      <c r="BD81" s="328"/>
      <c r="BE81" s="328"/>
      <c r="BF81" s="328"/>
      <c r="BG81" s="328"/>
    </row>
    <row r="82" spans="4:59"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  <c r="X82" s="328"/>
      <c r="Y82" s="328"/>
      <c r="Z82" s="328"/>
      <c r="AA82" s="328"/>
      <c r="AB82" s="328"/>
      <c r="AC82" s="328"/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  <c r="AV82" s="328"/>
      <c r="AW82" s="328"/>
      <c r="AX82" s="328"/>
      <c r="AY82" s="328"/>
      <c r="AZ82" s="328"/>
      <c r="BA82" s="328"/>
      <c r="BB82" s="328"/>
      <c r="BC82" s="328"/>
      <c r="BD82" s="328"/>
      <c r="BE82" s="328"/>
      <c r="BF82" s="328"/>
      <c r="BG82" s="328"/>
    </row>
    <row r="83" spans="4:59"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  <c r="X83" s="328"/>
      <c r="Y83" s="328"/>
      <c r="Z83" s="328"/>
      <c r="AA83" s="328"/>
      <c r="AB83" s="328"/>
      <c r="AC83" s="328"/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  <c r="AV83" s="328"/>
      <c r="AW83" s="328"/>
      <c r="AX83" s="328"/>
      <c r="AY83" s="328"/>
      <c r="AZ83" s="328"/>
      <c r="BA83" s="328"/>
      <c r="BB83" s="328"/>
      <c r="BC83" s="328"/>
      <c r="BD83" s="328"/>
      <c r="BE83" s="328"/>
      <c r="BF83" s="328"/>
      <c r="BG83" s="328"/>
    </row>
    <row r="84" spans="4:59"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  <c r="X84" s="328"/>
      <c r="Y84" s="328"/>
      <c r="Z84" s="328"/>
      <c r="AA84" s="328"/>
      <c r="AB84" s="328"/>
      <c r="AC84" s="328"/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  <c r="AV84" s="328"/>
      <c r="AW84" s="328"/>
      <c r="AX84" s="328"/>
      <c r="AY84" s="328"/>
      <c r="AZ84" s="328"/>
      <c r="BA84" s="328"/>
      <c r="BB84" s="328"/>
      <c r="BC84" s="328"/>
      <c r="BD84" s="328"/>
      <c r="BE84" s="328"/>
      <c r="BF84" s="328"/>
      <c r="BG84" s="328"/>
    </row>
    <row r="85" spans="4:59"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  <c r="X85" s="328"/>
      <c r="Y85" s="328"/>
      <c r="Z85" s="328"/>
      <c r="AA85" s="328"/>
      <c r="AB85" s="328"/>
      <c r="AC85" s="328"/>
      <c r="AD85" s="328"/>
      <c r="AE85" s="328"/>
      <c r="AF85" s="328"/>
      <c r="AG85" s="328"/>
      <c r="AH85" s="328"/>
      <c r="AI85" s="328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  <c r="AV85" s="328"/>
      <c r="AW85" s="328"/>
      <c r="AX85" s="328"/>
      <c r="AY85" s="328"/>
      <c r="AZ85" s="328"/>
      <c r="BA85" s="328"/>
      <c r="BB85" s="328"/>
      <c r="BC85" s="328"/>
      <c r="BD85" s="328"/>
      <c r="BE85" s="328"/>
      <c r="BF85" s="328"/>
      <c r="BG85" s="328"/>
    </row>
    <row r="86" spans="4:59"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  <c r="X86" s="328"/>
      <c r="Y86" s="328"/>
      <c r="Z86" s="328"/>
      <c r="AA86" s="328"/>
      <c r="AB86" s="328"/>
      <c r="AC86" s="328"/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  <c r="AV86" s="328"/>
      <c r="AW86" s="328"/>
      <c r="AX86" s="328"/>
      <c r="AY86" s="328"/>
      <c r="AZ86" s="328"/>
      <c r="BA86" s="328"/>
      <c r="BB86" s="328"/>
      <c r="BC86" s="328"/>
      <c r="BD86" s="328"/>
      <c r="BE86" s="328"/>
      <c r="BF86" s="328"/>
      <c r="BG86" s="328"/>
    </row>
    <row r="87" spans="4:59"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  <c r="X87" s="328"/>
      <c r="Y87" s="328"/>
      <c r="Z87" s="328"/>
      <c r="AA87" s="328"/>
      <c r="AB87" s="328"/>
      <c r="AC87" s="328"/>
      <c r="AD87" s="328"/>
      <c r="AE87" s="328"/>
      <c r="AF87" s="328"/>
      <c r="AG87" s="328"/>
      <c r="AH87" s="328"/>
      <c r="AI87" s="328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328"/>
      <c r="AV87" s="328"/>
      <c r="AW87" s="328"/>
      <c r="AX87" s="328"/>
      <c r="AY87" s="328"/>
      <c r="AZ87" s="328"/>
      <c r="BA87" s="328"/>
      <c r="BB87" s="328"/>
      <c r="BC87" s="328"/>
      <c r="BD87" s="328"/>
      <c r="BE87" s="328"/>
      <c r="BF87" s="328"/>
      <c r="BG87" s="328"/>
    </row>
    <row r="88" spans="4:59"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  <c r="X88" s="328"/>
      <c r="Y88" s="328"/>
      <c r="Z88" s="328"/>
      <c r="AA88" s="328"/>
      <c r="AB88" s="328"/>
      <c r="AC88" s="328"/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  <c r="AV88" s="328"/>
      <c r="AW88" s="328"/>
      <c r="AX88" s="328"/>
      <c r="AY88" s="328"/>
      <c r="AZ88" s="328"/>
      <c r="BA88" s="328"/>
      <c r="BB88" s="328"/>
      <c r="BC88" s="328"/>
      <c r="BD88" s="328"/>
      <c r="BE88" s="328"/>
      <c r="BF88" s="328"/>
      <c r="BG88" s="328"/>
    </row>
    <row r="89" spans="4:59"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  <c r="X89" s="328"/>
      <c r="Y89" s="328"/>
      <c r="Z89" s="328"/>
      <c r="AA89" s="328"/>
      <c r="AB89" s="328"/>
      <c r="AC89" s="328"/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328"/>
      <c r="AV89" s="328"/>
      <c r="AW89" s="328"/>
      <c r="AX89" s="328"/>
      <c r="AY89" s="328"/>
      <c r="AZ89" s="328"/>
      <c r="BA89" s="328"/>
      <c r="BB89" s="328"/>
      <c r="BC89" s="328"/>
      <c r="BD89" s="328"/>
      <c r="BE89" s="328"/>
      <c r="BF89" s="328"/>
      <c r="BG89" s="328"/>
    </row>
    <row r="90" spans="4:59"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  <c r="X90" s="328"/>
      <c r="Y90" s="328"/>
      <c r="Z90" s="328"/>
      <c r="AA90" s="328"/>
      <c r="AB90" s="328"/>
      <c r="AC90" s="328"/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  <c r="AV90" s="328"/>
      <c r="AW90" s="328"/>
      <c r="AX90" s="328"/>
      <c r="AY90" s="328"/>
      <c r="AZ90" s="328"/>
      <c r="BA90" s="328"/>
      <c r="BB90" s="328"/>
      <c r="BC90" s="328"/>
      <c r="BD90" s="328"/>
      <c r="BE90" s="328"/>
      <c r="BF90" s="328"/>
      <c r="BG90" s="328"/>
    </row>
    <row r="91" spans="4:59"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328"/>
      <c r="AI91" s="328"/>
      <c r="AJ91" s="328"/>
      <c r="AK91" s="328"/>
      <c r="AL91" s="328"/>
      <c r="AM91" s="328"/>
      <c r="AN91" s="328"/>
      <c r="AO91" s="328"/>
      <c r="AP91" s="328"/>
      <c r="AQ91" s="328"/>
      <c r="AR91" s="328"/>
      <c r="AS91" s="328"/>
      <c r="AT91" s="328"/>
      <c r="AU91" s="328"/>
      <c r="AV91" s="328"/>
      <c r="AW91" s="328"/>
      <c r="AX91" s="328"/>
      <c r="AY91" s="328"/>
      <c r="AZ91" s="328"/>
      <c r="BA91" s="328"/>
      <c r="BB91" s="328"/>
      <c r="BC91" s="328"/>
      <c r="BD91" s="328"/>
      <c r="BE91" s="328"/>
      <c r="BF91" s="328"/>
      <c r="BG91" s="328"/>
    </row>
    <row r="92" spans="4:59"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  <c r="X92" s="328"/>
      <c r="Y92" s="328"/>
      <c r="Z92" s="328"/>
      <c r="AA92" s="328"/>
      <c r="AB92" s="328"/>
      <c r="AC92" s="328"/>
      <c r="AD92" s="328"/>
      <c r="AE92" s="328"/>
      <c r="AF92" s="328"/>
      <c r="AG92" s="328"/>
      <c r="AH92" s="328"/>
      <c r="AI92" s="328"/>
      <c r="AJ92" s="328"/>
      <c r="AK92" s="328"/>
      <c r="AL92" s="328"/>
      <c r="AM92" s="328"/>
      <c r="AN92" s="328"/>
      <c r="AO92" s="328"/>
      <c r="AP92" s="328"/>
      <c r="AQ92" s="328"/>
      <c r="AR92" s="328"/>
      <c r="AS92" s="328"/>
      <c r="AT92" s="328"/>
      <c r="AU92" s="328"/>
      <c r="AV92" s="328"/>
      <c r="AW92" s="328"/>
      <c r="AX92" s="328"/>
      <c r="AY92" s="328"/>
      <c r="AZ92" s="328"/>
      <c r="BA92" s="328"/>
      <c r="BB92" s="328"/>
      <c r="BC92" s="328"/>
      <c r="BD92" s="328"/>
      <c r="BE92" s="328"/>
      <c r="BF92" s="328"/>
      <c r="BG92" s="328"/>
    </row>
    <row r="93" spans="4:59"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  <c r="X93" s="328"/>
      <c r="Y93" s="328"/>
      <c r="Z93" s="328"/>
      <c r="AA93" s="328"/>
      <c r="AB93" s="328"/>
      <c r="AC93" s="328"/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8"/>
      <c r="AP93" s="328"/>
      <c r="AQ93" s="328"/>
      <c r="AR93" s="328"/>
      <c r="AS93" s="328"/>
      <c r="AT93" s="328"/>
      <c r="AU93" s="328"/>
      <c r="AV93" s="328"/>
      <c r="AW93" s="328"/>
      <c r="AX93" s="328"/>
      <c r="AY93" s="328"/>
      <c r="AZ93" s="328"/>
      <c r="BA93" s="328"/>
      <c r="BB93" s="328"/>
      <c r="BC93" s="328"/>
      <c r="BD93" s="328"/>
      <c r="BE93" s="328"/>
      <c r="BF93" s="328"/>
      <c r="BG93" s="328"/>
    </row>
    <row r="94" spans="4:59"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  <c r="X94" s="328"/>
      <c r="Y94" s="328"/>
      <c r="Z94" s="328"/>
      <c r="AA94" s="328"/>
      <c r="AB94" s="328"/>
      <c r="AC94" s="328"/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  <c r="AV94" s="328"/>
      <c r="AW94" s="328"/>
      <c r="AX94" s="328"/>
      <c r="AY94" s="328"/>
      <c r="AZ94" s="328"/>
      <c r="BA94" s="328"/>
      <c r="BB94" s="328"/>
      <c r="BC94" s="328"/>
      <c r="BD94" s="328"/>
      <c r="BE94" s="328"/>
      <c r="BF94" s="328"/>
      <c r="BG94" s="328"/>
    </row>
    <row r="95" spans="4:59"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  <c r="X95" s="328"/>
      <c r="Y95" s="328"/>
      <c r="Z95" s="328"/>
      <c r="AA95" s="328"/>
      <c r="AB95" s="328"/>
      <c r="AC95" s="328"/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28"/>
      <c r="AW95" s="328"/>
      <c r="AX95" s="328"/>
      <c r="AY95" s="328"/>
      <c r="AZ95" s="328"/>
      <c r="BA95" s="328"/>
      <c r="BB95" s="328"/>
      <c r="BC95" s="328"/>
      <c r="BD95" s="328"/>
      <c r="BE95" s="328"/>
      <c r="BF95" s="328"/>
      <c r="BG95" s="328"/>
    </row>
    <row r="96" spans="4:59"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  <c r="X96" s="328"/>
      <c r="Y96" s="328"/>
      <c r="Z96" s="328"/>
      <c r="AA96" s="328"/>
      <c r="AB96" s="328"/>
      <c r="AC96" s="328"/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  <c r="AV96" s="328"/>
      <c r="AW96" s="328"/>
      <c r="AX96" s="328"/>
      <c r="AY96" s="328"/>
      <c r="AZ96" s="328"/>
      <c r="BA96" s="328"/>
      <c r="BB96" s="328"/>
      <c r="BC96" s="328"/>
      <c r="BD96" s="328"/>
      <c r="BE96" s="328"/>
      <c r="BF96" s="328"/>
      <c r="BG96" s="328"/>
    </row>
    <row r="97" spans="4:59"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  <c r="X97" s="328"/>
      <c r="Y97" s="328"/>
      <c r="Z97" s="328"/>
      <c r="AA97" s="328"/>
      <c r="AB97" s="328"/>
      <c r="AC97" s="328"/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28"/>
      <c r="AQ97" s="328"/>
      <c r="AR97" s="328"/>
      <c r="AS97" s="328"/>
      <c r="AT97" s="328"/>
      <c r="AU97" s="328"/>
      <c r="AV97" s="328"/>
      <c r="AW97" s="328"/>
      <c r="AX97" s="328"/>
      <c r="AY97" s="328"/>
      <c r="AZ97" s="328"/>
      <c r="BA97" s="328"/>
      <c r="BB97" s="328"/>
      <c r="BC97" s="328"/>
      <c r="BD97" s="328"/>
      <c r="BE97" s="328"/>
      <c r="BF97" s="328"/>
      <c r="BG97" s="328"/>
    </row>
    <row r="98" spans="4:59"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  <c r="X98" s="328"/>
      <c r="Y98" s="328"/>
      <c r="Z98" s="328"/>
      <c r="AA98" s="328"/>
      <c r="AB98" s="328"/>
      <c r="AC98" s="328"/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328"/>
      <c r="AV98" s="328"/>
      <c r="AW98" s="328"/>
      <c r="AX98" s="328"/>
      <c r="AY98" s="328"/>
      <c r="AZ98" s="328"/>
      <c r="BA98" s="328"/>
      <c r="BB98" s="328"/>
      <c r="BC98" s="328"/>
      <c r="BD98" s="328"/>
      <c r="BE98" s="328"/>
      <c r="BF98" s="328"/>
      <c r="BG98" s="328"/>
    </row>
    <row r="99" spans="4:59"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  <c r="X99" s="328"/>
      <c r="Y99" s="328"/>
      <c r="Z99" s="328"/>
      <c r="AA99" s="328"/>
      <c r="AB99" s="328"/>
      <c r="AC99" s="328"/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328"/>
      <c r="AV99" s="328"/>
      <c r="AW99" s="328"/>
      <c r="AX99" s="328"/>
      <c r="AY99" s="328"/>
      <c r="AZ99" s="328"/>
      <c r="BA99" s="328"/>
      <c r="BB99" s="328"/>
      <c r="BC99" s="328"/>
      <c r="BD99" s="328"/>
      <c r="BE99" s="328"/>
      <c r="BF99" s="328"/>
      <c r="BG99" s="328"/>
    </row>
    <row r="100" spans="4:59"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  <c r="X100" s="328"/>
      <c r="Y100" s="328"/>
      <c r="Z100" s="328"/>
      <c r="AA100" s="328"/>
      <c r="AB100" s="328"/>
      <c r="AC100" s="328"/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328"/>
      <c r="AV100" s="328"/>
      <c r="AW100" s="328"/>
      <c r="AX100" s="328"/>
      <c r="AY100" s="328"/>
      <c r="AZ100" s="328"/>
      <c r="BA100" s="328"/>
      <c r="BB100" s="328"/>
      <c r="BC100" s="328"/>
      <c r="BD100" s="328"/>
      <c r="BE100" s="328"/>
      <c r="BF100" s="328"/>
      <c r="BG100" s="328"/>
    </row>
    <row r="101" spans="4:59"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  <c r="X101" s="328"/>
      <c r="Y101" s="328"/>
      <c r="Z101" s="328"/>
      <c r="AA101" s="328"/>
      <c r="AB101" s="328"/>
      <c r="AC101" s="328"/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328"/>
      <c r="AV101" s="328"/>
      <c r="AW101" s="328"/>
      <c r="AX101" s="328"/>
      <c r="AY101" s="328"/>
      <c r="AZ101" s="328"/>
      <c r="BA101" s="328"/>
      <c r="BB101" s="328"/>
      <c r="BC101" s="328"/>
      <c r="BD101" s="328"/>
      <c r="BE101" s="328"/>
      <c r="BF101" s="328"/>
      <c r="BG101" s="328"/>
    </row>
    <row r="102" spans="4:59"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328"/>
      <c r="Z102" s="328"/>
      <c r="AA102" s="328"/>
      <c r="AB102" s="328"/>
      <c r="AC102" s="328"/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328"/>
      <c r="AV102" s="328"/>
      <c r="AW102" s="328"/>
      <c r="AX102" s="328"/>
      <c r="AY102" s="328"/>
      <c r="AZ102" s="328"/>
      <c r="BA102" s="328"/>
      <c r="BB102" s="328"/>
      <c r="BC102" s="328"/>
      <c r="BD102" s="328"/>
      <c r="BE102" s="328"/>
      <c r="BF102" s="328"/>
      <c r="BG102" s="328"/>
    </row>
    <row r="103" spans="4:59"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328"/>
      <c r="Z103" s="328"/>
      <c r="AA103" s="328"/>
      <c r="AB103" s="328"/>
      <c r="AC103" s="328"/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328"/>
      <c r="AV103" s="328"/>
      <c r="AW103" s="328"/>
      <c r="AX103" s="328"/>
      <c r="AY103" s="328"/>
      <c r="AZ103" s="328"/>
      <c r="BA103" s="328"/>
      <c r="BB103" s="328"/>
      <c r="BC103" s="328"/>
      <c r="BD103" s="328"/>
      <c r="BE103" s="328"/>
      <c r="BF103" s="328"/>
      <c r="BG103" s="328"/>
    </row>
    <row r="104" spans="4:59"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328"/>
      <c r="Z104" s="328"/>
      <c r="AA104" s="328"/>
      <c r="AB104" s="328"/>
      <c r="AC104" s="328"/>
      <c r="AD104" s="328"/>
      <c r="AE104" s="328"/>
      <c r="AF104" s="328"/>
      <c r="AG104" s="328"/>
      <c r="AH104" s="328"/>
      <c r="AI104" s="328"/>
      <c r="AJ104" s="328"/>
      <c r="AK104" s="328"/>
      <c r="AL104" s="328"/>
      <c r="AM104" s="328"/>
      <c r="AN104" s="328"/>
      <c r="AO104" s="328"/>
      <c r="AP104" s="328"/>
      <c r="AQ104" s="328"/>
      <c r="AR104" s="328"/>
      <c r="AS104" s="328"/>
      <c r="AT104" s="328"/>
      <c r="AU104" s="328"/>
      <c r="AV104" s="328"/>
      <c r="AW104" s="328"/>
      <c r="AX104" s="328"/>
      <c r="AY104" s="328"/>
      <c r="AZ104" s="328"/>
      <c r="BA104" s="328"/>
      <c r="BB104" s="328"/>
      <c r="BC104" s="328"/>
      <c r="BD104" s="328"/>
      <c r="BE104" s="328"/>
      <c r="BF104" s="328"/>
      <c r="BG104" s="328"/>
    </row>
    <row r="105" spans="4:59"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  <c r="AA105" s="328"/>
      <c r="AB105" s="328"/>
      <c r="AC105" s="328"/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328"/>
      <c r="AV105" s="328"/>
      <c r="AW105" s="328"/>
      <c r="AX105" s="328"/>
      <c r="AY105" s="328"/>
      <c r="AZ105" s="328"/>
      <c r="BA105" s="328"/>
      <c r="BB105" s="328"/>
      <c r="BC105" s="328"/>
      <c r="BD105" s="328"/>
      <c r="BE105" s="328"/>
      <c r="BF105" s="328"/>
      <c r="BG105" s="328"/>
    </row>
    <row r="106" spans="4:59"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  <c r="AA106" s="328"/>
      <c r="AB106" s="328"/>
      <c r="AC106" s="328"/>
      <c r="AD106" s="328"/>
      <c r="AE106" s="328"/>
      <c r="AF106" s="328"/>
      <c r="AG106" s="328"/>
      <c r="AH106" s="328"/>
      <c r="AI106" s="328"/>
      <c r="AJ106" s="328"/>
      <c r="AK106" s="328"/>
      <c r="AL106" s="328"/>
      <c r="AM106" s="328"/>
      <c r="AN106" s="328"/>
      <c r="AO106" s="328"/>
      <c r="AP106" s="328"/>
      <c r="AQ106" s="328"/>
      <c r="AR106" s="328"/>
      <c r="AS106" s="328"/>
      <c r="AT106" s="328"/>
      <c r="AU106" s="328"/>
      <c r="AV106" s="328"/>
      <c r="AW106" s="328"/>
      <c r="AX106" s="328"/>
      <c r="AY106" s="328"/>
      <c r="AZ106" s="328"/>
      <c r="BA106" s="328"/>
      <c r="BB106" s="328"/>
      <c r="BC106" s="328"/>
      <c r="BD106" s="328"/>
      <c r="BE106" s="328"/>
      <c r="BF106" s="328"/>
      <c r="BG106" s="328"/>
    </row>
    <row r="107" spans="4:59"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  <c r="X107" s="328"/>
      <c r="Y107" s="328"/>
      <c r="Z107" s="328"/>
      <c r="AA107" s="328"/>
      <c r="AB107" s="328"/>
      <c r="AC107" s="328"/>
      <c r="AD107" s="328"/>
      <c r="AE107" s="328"/>
      <c r="AF107" s="328"/>
      <c r="AG107" s="328"/>
      <c r="AH107" s="328"/>
      <c r="AI107" s="328"/>
      <c r="AJ107" s="328"/>
      <c r="AK107" s="328"/>
      <c r="AL107" s="328"/>
      <c r="AM107" s="328"/>
      <c r="AN107" s="328"/>
      <c r="AO107" s="328"/>
      <c r="AP107" s="328"/>
      <c r="AQ107" s="328"/>
      <c r="AR107" s="328"/>
      <c r="AS107" s="328"/>
      <c r="AT107" s="328"/>
      <c r="AU107" s="328"/>
      <c r="AV107" s="328"/>
      <c r="AW107" s="328"/>
      <c r="AX107" s="328"/>
      <c r="AY107" s="328"/>
      <c r="AZ107" s="328"/>
      <c r="BA107" s="328"/>
      <c r="BB107" s="328"/>
      <c r="BC107" s="328"/>
      <c r="BD107" s="328"/>
      <c r="BE107" s="328"/>
      <c r="BF107" s="328"/>
      <c r="BG107" s="328"/>
    </row>
    <row r="108" spans="4:59"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  <c r="X108" s="328"/>
      <c r="Y108" s="328"/>
      <c r="Z108" s="328"/>
      <c r="AA108" s="328"/>
      <c r="AB108" s="328"/>
      <c r="AC108" s="328"/>
      <c r="AD108" s="328"/>
      <c r="AE108" s="328"/>
      <c r="AF108" s="328"/>
      <c r="AG108" s="328"/>
      <c r="AH108" s="328"/>
      <c r="AI108" s="328"/>
      <c r="AJ108" s="328"/>
      <c r="AK108" s="328"/>
      <c r="AL108" s="328"/>
      <c r="AM108" s="328"/>
      <c r="AN108" s="328"/>
      <c r="AO108" s="328"/>
      <c r="AP108" s="328"/>
      <c r="AQ108" s="328"/>
      <c r="AR108" s="328"/>
      <c r="AS108" s="328"/>
      <c r="AT108" s="328"/>
      <c r="AU108" s="328"/>
      <c r="AV108" s="328"/>
      <c r="AW108" s="328"/>
      <c r="AX108" s="328"/>
      <c r="AY108" s="328"/>
      <c r="AZ108" s="328"/>
      <c r="BA108" s="328"/>
      <c r="BB108" s="328"/>
      <c r="BC108" s="328"/>
      <c r="BD108" s="328"/>
      <c r="BE108" s="328"/>
      <c r="BF108" s="328"/>
      <c r="BG108" s="328"/>
    </row>
    <row r="109" spans="4:59"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28"/>
      <c r="AD109" s="32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28"/>
      <c r="AR109" s="328"/>
      <c r="AS109" s="328"/>
      <c r="AT109" s="328"/>
      <c r="AU109" s="328"/>
      <c r="AV109" s="328"/>
      <c r="AW109" s="328"/>
      <c r="AX109" s="328"/>
      <c r="AY109" s="328"/>
      <c r="AZ109" s="328"/>
      <c r="BA109" s="328"/>
      <c r="BB109" s="328"/>
      <c r="BC109" s="328"/>
      <c r="BD109" s="328"/>
      <c r="BE109" s="328"/>
      <c r="BF109" s="328"/>
      <c r="BG109" s="328"/>
    </row>
    <row r="110" spans="4:59"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  <c r="X110" s="328"/>
      <c r="Y110" s="328"/>
      <c r="Z110" s="328"/>
      <c r="AA110" s="328"/>
      <c r="AB110" s="328"/>
      <c r="AC110" s="328"/>
      <c r="AD110" s="328"/>
      <c r="AE110" s="328"/>
      <c r="AF110" s="328"/>
      <c r="AG110" s="328"/>
      <c r="AH110" s="328"/>
      <c r="AI110" s="328"/>
      <c r="AJ110" s="328"/>
      <c r="AK110" s="328"/>
      <c r="AL110" s="328"/>
      <c r="AM110" s="328"/>
      <c r="AN110" s="328"/>
      <c r="AO110" s="328"/>
      <c r="AP110" s="328"/>
      <c r="AQ110" s="328"/>
      <c r="AR110" s="328"/>
      <c r="AS110" s="328"/>
      <c r="AT110" s="328"/>
      <c r="AU110" s="328"/>
      <c r="AV110" s="328"/>
      <c r="AW110" s="328"/>
      <c r="AX110" s="328"/>
      <c r="AY110" s="328"/>
      <c r="AZ110" s="328"/>
      <c r="BA110" s="328"/>
      <c r="BB110" s="328"/>
      <c r="BC110" s="328"/>
      <c r="BD110" s="328"/>
      <c r="BE110" s="328"/>
      <c r="BF110" s="328"/>
      <c r="BG110" s="328"/>
    </row>
    <row r="111" spans="4:59"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  <c r="AA111" s="328"/>
      <c r="AB111" s="328"/>
      <c r="AC111" s="328"/>
      <c r="AD111" s="328"/>
      <c r="AE111" s="328"/>
      <c r="AF111" s="328"/>
      <c r="AG111" s="328"/>
      <c r="AH111" s="328"/>
      <c r="AI111" s="328"/>
      <c r="AJ111" s="328"/>
      <c r="AK111" s="328"/>
      <c r="AL111" s="328"/>
      <c r="AM111" s="328"/>
      <c r="AN111" s="328"/>
      <c r="AO111" s="328"/>
      <c r="AP111" s="328"/>
      <c r="AQ111" s="328"/>
      <c r="AR111" s="328"/>
      <c r="AS111" s="328"/>
      <c r="AT111" s="328"/>
      <c r="AU111" s="328"/>
      <c r="AV111" s="328"/>
      <c r="AW111" s="328"/>
      <c r="AX111" s="328"/>
      <c r="AY111" s="328"/>
      <c r="AZ111" s="328"/>
      <c r="BA111" s="328"/>
      <c r="BB111" s="328"/>
      <c r="BC111" s="328"/>
      <c r="BD111" s="328"/>
      <c r="BE111" s="328"/>
      <c r="BF111" s="328"/>
      <c r="BG111" s="328"/>
    </row>
    <row r="112" spans="4:59"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  <c r="AA112" s="328"/>
      <c r="AB112" s="328"/>
      <c r="AC112" s="328"/>
      <c r="AD112" s="328"/>
      <c r="AE112" s="328"/>
      <c r="AF112" s="328"/>
      <c r="AG112" s="328"/>
      <c r="AH112" s="328"/>
      <c r="AI112" s="328"/>
      <c r="AJ112" s="328"/>
      <c r="AK112" s="328"/>
      <c r="AL112" s="328"/>
      <c r="AM112" s="328"/>
      <c r="AN112" s="328"/>
      <c r="AO112" s="328"/>
      <c r="AP112" s="328"/>
      <c r="AQ112" s="328"/>
      <c r="AR112" s="328"/>
      <c r="AS112" s="328"/>
      <c r="AT112" s="328"/>
      <c r="AU112" s="328"/>
      <c r="AV112" s="328"/>
      <c r="AW112" s="328"/>
      <c r="AX112" s="328"/>
      <c r="AY112" s="328"/>
      <c r="AZ112" s="328"/>
      <c r="BA112" s="328"/>
      <c r="BB112" s="328"/>
      <c r="BC112" s="328"/>
      <c r="BD112" s="328"/>
      <c r="BE112" s="328"/>
      <c r="BF112" s="328"/>
      <c r="BG112" s="328"/>
    </row>
    <row r="113" spans="4:61"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  <c r="AA113" s="328"/>
      <c r="AB113" s="328"/>
      <c r="AC113" s="328"/>
      <c r="AD113" s="328"/>
      <c r="AE113" s="328"/>
      <c r="AF113" s="328"/>
      <c r="AG113" s="328"/>
      <c r="AH113" s="328"/>
      <c r="AI113" s="328"/>
      <c r="AJ113" s="328"/>
      <c r="AK113" s="328"/>
      <c r="AL113" s="328"/>
      <c r="AM113" s="328"/>
      <c r="AN113" s="328"/>
      <c r="AO113" s="328"/>
      <c r="AP113" s="328"/>
      <c r="AQ113" s="328"/>
      <c r="AR113" s="328"/>
      <c r="AS113" s="328"/>
      <c r="AT113" s="328"/>
      <c r="AU113" s="328"/>
      <c r="AV113" s="328"/>
      <c r="AW113" s="328"/>
      <c r="AX113" s="328"/>
      <c r="AY113" s="328"/>
      <c r="AZ113" s="328"/>
      <c r="BA113" s="328"/>
      <c r="BB113" s="328"/>
      <c r="BC113" s="328"/>
      <c r="BD113" s="328"/>
      <c r="BE113" s="328"/>
      <c r="BF113" s="328"/>
      <c r="BG113" s="328"/>
    </row>
    <row r="114" spans="4:61"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8"/>
      <c r="AP114" s="328"/>
      <c r="AQ114" s="328"/>
      <c r="AR114" s="328"/>
      <c r="AS114" s="328"/>
      <c r="AT114" s="328"/>
      <c r="AU114" s="328"/>
      <c r="AV114" s="328"/>
      <c r="AW114" s="328"/>
      <c r="AX114" s="328"/>
      <c r="AY114" s="328"/>
      <c r="AZ114" s="328"/>
      <c r="BA114" s="328"/>
      <c r="BB114" s="328"/>
      <c r="BC114" s="328"/>
      <c r="BD114" s="328"/>
      <c r="BE114" s="328"/>
      <c r="BF114" s="328"/>
      <c r="BG114" s="328"/>
    </row>
    <row r="115" spans="4:61"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  <c r="AC115" s="328"/>
      <c r="AD115" s="328"/>
      <c r="AE115" s="328"/>
      <c r="AF115" s="328"/>
      <c r="AG115" s="328"/>
      <c r="AH115" s="328"/>
      <c r="AI115" s="328"/>
      <c r="AJ115" s="328"/>
      <c r="AK115" s="328"/>
      <c r="AL115" s="328"/>
      <c r="AM115" s="328"/>
      <c r="AN115" s="328"/>
      <c r="AO115" s="328"/>
      <c r="AP115" s="328"/>
      <c r="AQ115" s="328"/>
      <c r="AR115" s="328"/>
      <c r="AS115" s="328"/>
      <c r="AT115" s="328"/>
      <c r="AU115" s="328"/>
      <c r="AV115" s="328"/>
      <c r="AW115" s="328"/>
      <c r="AX115" s="328"/>
      <c r="AY115" s="328"/>
      <c r="AZ115" s="328"/>
      <c r="BA115" s="328"/>
      <c r="BB115" s="328"/>
      <c r="BC115" s="328"/>
      <c r="BD115" s="328"/>
      <c r="BE115" s="328"/>
      <c r="BF115" s="328"/>
      <c r="BG115" s="328"/>
    </row>
    <row r="116" spans="4:61"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  <c r="AA116" s="328"/>
      <c r="AB116" s="328"/>
      <c r="AC116" s="328"/>
      <c r="AD116" s="328"/>
      <c r="AE116" s="328"/>
      <c r="AF116" s="328"/>
      <c r="AG116" s="328"/>
      <c r="AH116" s="328"/>
      <c r="AI116" s="328"/>
      <c r="AJ116" s="328"/>
      <c r="AK116" s="328"/>
      <c r="AL116" s="328"/>
      <c r="AM116" s="328"/>
      <c r="AN116" s="328"/>
      <c r="AO116" s="328"/>
      <c r="AP116" s="328"/>
      <c r="AQ116" s="328"/>
      <c r="AR116" s="328"/>
      <c r="AS116" s="328"/>
      <c r="AT116" s="328"/>
      <c r="AU116" s="328"/>
      <c r="AV116" s="328"/>
      <c r="AW116" s="328"/>
      <c r="AX116" s="328"/>
      <c r="AY116" s="328"/>
      <c r="AZ116" s="328"/>
      <c r="BA116" s="328"/>
      <c r="BB116" s="328"/>
      <c r="BC116" s="328"/>
      <c r="BD116" s="328"/>
      <c r="BE116" s="328"/>
      <c r="BF116" s="328"/>
      <c r="BG116" s="328"/>
      <c r="BH116" s="27"/>
      <c r="BI116" s="27"/>
    </row>
    <row r="117" spans="4:61"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/>
      <c r="AE117" s="328"/>
      <c r="AF117" s="328"/>
      <c r="AG117" s="328"/>
      <c r="AH117" s="328"/>
      <c r="AI117" s="328"/>
      <c r="AJ117" s="328"/>
      <c r="AK117" s="328"/>
      <c r="AL117" s="328"/>
      <c r="AM117" s="328"/>
      <c r="AN117" s="328"/>
      <c r="AO117" s="328"/>
      <c r="AP117" s="328"/>
      <c r="AQ117" s="328"/>
      <c r="AR117" s="328"/>
      <c r="AS117" s="328"/>
      <c r="AT117" s="328"/>
      <c r="AU117" s="328"/>
      <c r="AV117" s="328"/>
      <c r="AW117" s="328"/>
      <c r="AX117" s="328"/>
      <c r="AY117" s="328"/>
      <c r="AZ117" s="328"/>
      <c r="BA117" s="328"/>
      <c r="BB117" s="328"/>
      <c r="BC117" s="328"/>
      <c r="BD117" s="328"/>
      <c r="BE117" s="328"/>
      <c r="BF117" s="328"/>
      <c r="BG117" s="328"/>
      <c r="BI117" s="22"/>
    </row>
    <row r="118" spans="4:61"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  <c r="AA118" s="328"/>
      <c r="AB118" s="328"/>
      <c r="AC118" s="328"/>
      <c r="AD118" s="328"/>
      <c r="AE118" s="328"/>
      <c r="AF118" s="328"/>
      <c r="AG118" s="328"/>
      <c r="AH118" s="328"/>
      <c r="AI118" s="328"/>
      <c r="AJ118" s="328"/>
      <c r="AK118" s="328"/>
      <c r="AL118" s="328"/>
      <c r="AM118" s="328"/>
      <c r="AN118" s="328"/>
      <c r="AO118" s="328"/>
      <c r="AP118" s="328"/>
      <c r="AQ118" s="328"/>
      <c r="AR118" s="328"/>
      <c r="AS118" s="328"/>
      <c r="AT118" s="328"/>
      <c r="AU118" s="328"/>
      <c r="AV118" s="328"/>
      <c r="AW118" s="328"/>
      <c r="AX118" s="328"/>
      <c r="AY118" s="328"/>
      <c r="AZ118" s="328"/>
      <c r="BA118" s="328"/>
      <c r="BB118" s="328"/>
      <c r="BC118" s="328"/>
      <c r="BD118" s="328"/>
      <c r="BE118" s="328"/>
      <c r="BF118" s="328"/>
      <c r="BG118" s="328"/>
    </row>
    <row r="119" spans="4:61"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  <c r="AA119" s="328"/>
      <c r="AB119" s="328"/>
      <c r="AC119" s="328"/>
      <c r="AD119" s="328"/>
      <c r="AE119" s="328"/>
      <c r="AF119" s="328"/>
      <c r="AG119" s="328"/>
      <c r="AH119" s="328"/>
      <c r="AI119" s="328"/>
      <c r="AJ119" s="328"/>
      <c r="AK119" s="328"/>
      <c r="AL119" s="328"/>
      <c r="AM119" s="328"/>
      <c r="AN119" s="328"/>
      <c r="AO119" s="328"/>
      <c r="AP119" s="328"/>
      <c r="AQ119" s="328"/>
      <c r="AR119" s="328"/>
      <c r="AS119" s="328"/>
      <c r="AT119" s="328"/>
      <c r="AU119" s="328"/>
      <c r="AV119" s="328"/>
      <c r="AW119" s="328"/>
      <c r="AX119" s="328"/>
      <c r="AY119" s="328"/>
      <c r="AZ119" s="328"/>
      <c r="BA119" s="328"/>
      <c r="BB119" s="328"/>
      <c r="BC119" s="328"/>
      <c r="BD119" s="328"/>
      <c r="BE119" s="328"/>
      <c r="BF119" s="328"/>
      <c r="BG119" s="328"/>
      <c r="BH119" s="56"/>
    </row>
    <row r="120" spans="4:61"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  <c r="AC120" s="328"/>
      <c r="AD120" s="328"/>
      <c r="AE120" s="328"/>
      <c r="AF120" s="328"/>
      <c r="AG120" s="328"/>
      <c r="AH120" s="328"/>
      <c r="AI120" s="328"/>
      <c r="AJ120" s="328"/>
      <c r="AK120" s="328"/>
      <c r="AL120" s="328"/>
      <c r="AM120" s="328"/>
      <c r="AN120" s="328"/>
      <c r="AO120" s="328"/>
      <c r="AP120" s="328"/>
      <c r="AQ120" s="328"/>
      <c r="AR120" s="328"/>
      <c r="AS120" s="328"/>
      <c r="AT120" s="328"/>
      <c r="AU120" s="328"/>
      <c r="AV120" s="328"/>
      <c r="AW120" s="328"/>
      <c r="AX120" s="328"/>
      <c r="AY120" s="328"/>
      <c r="AZ120" s="328"/>
      <c r="BA120" s="328"/>
      <c r="BB120" s="328"/>
      <c r="BC120" s="328"/>
      <c r="BD120" s="328"/>
      <c r="BE120" s="328"/>
      <c r="BF120" s="328"/>
      <c r="BG120" s="328"/>
    </row>
    <row r="121" spans="4:61"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  <c r="AC121" s="328"/>
      <c r="AD121" s="328"/>
      <c r="AE121" s="328"/>
      <c r="AF121" s="328"/>
      <c r="AG121" s="328"/>
      <c r="AH121" s="328"/>
      <c r="AI121" s="328"/>
      <c r="AJ121" s="328"/>
      <c r="AK121" s="328"/>
      <c r="AL121" s="328"/>
      <c r="AM121" s="328"/>
      <c r="AN121" s="328"/>
      <c r="AO121" s="328"/>
      <c r="AP121" s="328"/>
      <c r="AQ121" s="328"/>
      <c r="AR121" s="328"/>
      <c r="AS121" s="328"/>
      <c r="AT121" s="328"/>
      <c r="AU121" s="328"/>
      <c r="AV121" s="328"/>
      <c r="AW121" s="328"/>
      <c r="AX121" s="328"/>
      <c r="AY121" s="328"/>
      <c r="AZ121" s="328"/>
      <c r="BA121" s="328"/>
      <c r="BB121" s="328"/>
      <c r="BC121" s="328"/>
      <c r="BD121" s="328"/>
      <c r="BE121" s="328"/>
      <c r="BF121" s="328"/>
      <c r="BG121" s="328"/>
    </row>
    <row r="122" spans="4:61"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328"/>
      <c r="AB122" s="328"/>
      <c r="AC122" s="328"/>
      <c r="AD122" s="328"/>
      <c r="AE122" s="328"/>
      <c r="AF122" s="328"/>
      <c r="AG122" s="328"/>
      <c r="AH122" s="328"/>
      <c r="AI122" s="328"/>
      <c r="AJ122" s="328"/>
      <c r="AK122" s="328"/>
      <c r="AL122" s="328"/>
      <c r="AM122" s="328"/>
      <c r="AN122" s="328"/>
      <c r="AO122" s="328"/>
      <c r="AP122" s="328"/>
      <c r="AQ122" s="328"/>
      <c r="AR122" s="328"/>
      <c r="AS122" s="328"/>
      <c r="AT122" s="328"/>
      <c r="AU122" s="328"/>
      <c r="AV122" s="328"/>
      <c r="AW122" s="328"/>
      <c r="AX122" s="328"/>
      <c r="AY122" s="328"/>
      <c r="AZ122" s="328"/>
      <c r="BA122" s="328"/>
      <c r="BB122" s="328"/>
      <c r="BC122" s="328"/>
      <c r="BD122" s="328"/>
      <c r="BE122" s="328"/>
      <c r="BF122" s="328"/>
      <c r="BG122" s="328"/>
    </row>
    <row r="123" spans="4:61"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  <c r="AC123" s="328"/>
      <c r="AD123" s="328"/>
      <c r="AE123" s="328"/>
      <c r="AF123" s="328"/>
      <c r="AG123" s="328"/>
      <c r="AH123" s="328"/>
      <c r="AI123" s="328"/>
      <c r="AJ123" s="328"/>
      <c r="AK123" s="328"/>
      <c r="AL123" s="328"/>
      <c r="AM123" s="328"/>
      <c r="AN123" s="328"/>
      <c r="AO123" s="328"/>
      <c r="AP123" s="328"/>
      <c r="AQ123" s="328"/>
      <c r="AR123" s="328"/>
      <c r="AS123" s="328"/>
      <c r="AT123" s="328"/>
      <c r="AU123" s="328"/>
      <c r="AV123" s="379"/>
      <c r="AW123" s="379"/>
      <c r="AX123" s="328"/>
      <c r="AY123" s="328"/>
      <c r="AZ123" s="328"/>
      <c r="BA123" s="328"/>
      <c r="BB123" s="328"/>
      <c r="BC123" s="328"/>
      <c r="BD123" s="328"/>
      <c r="BE123" s="328"/>
      <c r="BF123" s="328"/>
      <c r="BG123" s="328"/>
    </row>
    <row r="124" spans="4:61"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  <c r="AA124" s="328"/>
      <c r="AB124" s="328"/>
      <c r="AC124" s="328"/>
      <c r="AD124" s="328"/>
      <c r="AE124" s="328"/>
      <c r="AF124" s="328"/>
      <c r="AG124" s="328"/>
      <c r="AH124" s="328"/>
      <c r="AI124" s="328"/>
      <c r="AJ124" s="328"/>
      <c r="AK124" s="328"/>
      <c r="AL124" s="328"/>
      <c r="AM124" s="328"/>
      <c r="AN124" s="328"/>
      <c r="AO124" s="328"/>
      <c r="AP124" s="328"/>
      <c r="AQ124" s="328"/>
      <c r="AR124" s="328"/>
      <c r="AS124" s="328"/>
      <c r="AT124" s="328"/>
      <c r="AU124" s="328"/>
      <c r="AV124" s="328"/>
      <c r="AW124" s="328"/>
      <c r="AX124" s="328"/>
      <c r="AY124" s="328"/>
      <c r="AZ124" s="328"/>
      <c r="BA124" s="328"/>
      <c r="BB124" s="328"/>
      <c r="BC124" s="328"/>
      <c r="BD124" s="328"/>
      <c r="BE124" s="328"/>
      <c r="BF124" s="328"/>
      <c r="BG124" s="328"/>
    </row>
    <row r="125" spans="4:61"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328"/>
      <c r="AV125" s="328"/>
      <c r="AW125" s="328"/>
      <c r="AX125" s="328"/>
      <c r="AY125" s="328"/>
      <c r="AZ125" s="328"/>
      <c r="BA125" s="328"/>
      <c r="BB125" s="328"/>
      <c r="BC125" s="328"/>
      <c r="BD125" s="328"/>
      <c r="BE125" s="328"/>
      <c r="BF125" s="328"/>
      <c r="BG125" s="328"/>
    </row>
    <row r="126" spans="4:61">
      <c r="AR126" s="328"/>
    </row>
    <row r="127" spans="4:61">
      <c r="AR127" s="328"/>
      <c r="AT127" s="328"/>
    </row>
    <row r="128" spans="4:61">
      <c r="AR128" s="328"/>
    </row>
    <row r="129" spans="44:55">
      <c r="AR129" s="328"/>
      <c r="AS129" s="328"/>
      <c r="AT129" s="328"/>
      <c r="AU129" s="328"/>
      <c r="AV129" s="328"/>
      <c r="AW129" s="328"/>
      <c r="AX129" s="328"/>
      <c r="AY129" s="328"/>
      <c r="AZ129" s="328"/>
      <c r="BA129" s="328"/>
      <c r="BB129" s="328"/>
      <c r="BC129" s="328"/>
    </row>
  </sheetData>
  <mergeCells count="9">
    <mergeCell ref="D55:G55"/>
    <mergeCell ref="AW73:AX73"/>
    <mergeCell ref="AV123:AW123"/>
    <mergeCell ref="X20:AA20"/>
    <mergeCell ref="A40:B40"/>
    <mergeCell ref="A41:B41"/>
    <mergeCell ref="X41:AA41"/>
    <mergeCell ref="A42:B42"/>
    <mergeCell ref="AV50:AZ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I129"/>
  <sheetViews>
    <sheetView showGridLines="0" topLeftCell="J38" zoomScale="90" zoomScaleNormal="90" workbookViewId="0">
      <selection activeCell="P53" sqref="P53"/>
    </sheetView>
  </sheetViews>
  <sheetFormatPr defaultRowHeight="16.5"/>
  <cols>
    <col min="1" max="1" width="11.28515625" style="15" customWidth="1"/>
    <col min="2" max="2" width="15.85546875" style="15" customWidth="1"/>
    <col min="3" max="3" width="15.140625" style="15" customWidth="1"/>
    <col min="4" max="4" width="14.7109375" style="15" customWidth="1"/>
    <col min="5" max="5" width="15" style="15" customWidth="1"/>
    <col min="6" max="6" width="11" style="15" customWidth="1"/>
    <col min="7" max="7" width="9.140625" style="15"/>
    <col min="8" max="8" width="10.5703125" style="15" customWidth="1"/>
    <col min="9" max="9" width="12.7109375" style="15" customWidth="1"/>
    <col min="10" max="10" width="13.5703125" style="15" customWidth="1"/>
    <col min="11" max="11" width="12.28515625" style="15" customWidth="1"/>
    <col min="12" max="12" width="9.140625" style="15"/>
    <col min="13" max="13" width="16.5703125" style="15" customWidth="1"/>
    <col min="14" max="14" width="13" style="15" customWidth="1"/>
    <col min="15" max="15" width="9.140625" style="15"/>
    <col min="16" max="16" width="13.5703125" style="15" customWidth="1"/>
    <col min="17" max="17" width="12" style="15" customWidth="1"/>
    <col min="18" max="18" width="14.5703125" style="15" customWidth="1"/>
    <col min="19" max="19" width="13" style="15" customWidth="1"/>
    <col min="20" max="20" width="10.85546875" style="15" customWidth="1"/>
    <col min="21" max="21" width="9.5703125" style="15" bestFit="1" customWidth="1"/>
    <col min="22" max="22" width="9.140625" style="15"/>
    <col min="23" max="23" width="11" style="15" bestFit="1" customWidth="1"/>
    <col min="24" max="24" width="9.140625" style="15"/>
    <col min="25" max="25" width="16.7109375" style="15" customWidth="1"/>
    <col min="26" max="26" width="8" style="15" customWidth="1"/>
    <col min="27" max="27" width="13.28515625" style="15" bestFit="1" customWidth="1"/>
    <col min="28" max="28" width="9.140625" style="15"/>
    <col min="29" max="29" width="11.5703125" style="15" customWidth="1"/>
    <col min="30" max="30" width="9.85546875" style="15" bestFit="1" customWidth="1"/>
    <col min="31" max="31" width="9.140625" style="15"/>
    <col min="32" max="32" width="9.85546875" style="15" bestFit="1" customWidth="1"/>
    <col min="33" max="33" width="13.7109375" style="15" bestFit="1" customWidth="1"/>
    <col min="34" max="34" width="11.42578125" style="15" customWidth="1"/>
    <col min="35" max="35" width="9.140625" style="15"/>
    <col min="36" max="36" width="10" style="15" bestFit="1" customWidth="1"/>
    <col min="37" max="50" width="9.140625" style="15"/>
    <col min="51" max="51" width="10.5703125" style="15" customWidth="1"/>
    <col min="52" max="16384" width="9.140625" style="15"/>
  </cols>
  <sheetData>
    <row r="1" spans="9:38"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</row>
    <row r="2" spans="9:38">
      <c r="AK2" s="363"/>
      <c r="AL2" s="363"/>
    </row>
    <row r="3" spans="9:38">
      <c r="AK3" s="363"/>
      <c r="AL3" s="363"/>
    </row>
    <row r="4" spans="9:38">
      <c r="AK4" s="363"/>
      <c r="AL4" s="363"/>
    </row>
    <row r="5" spans="9:38" ht="21" customHeight="1">
      <c r="I5" s="369"/>
      <c r="AK5" s="363"/>
      <c r="AL5" s="363"/>
    </row>
    <row r="6" spans="9:38">
      <c r="I6" s="363"/>
      <c r="AK6" s="363"/>
      <c r="AL6" s="363"/>
    </row>
    <row r="7" spans="9:38" ht="15.75" customHeight="1">
      <c r="I7" s="363"/>
      <c r="AK7" s="363"/>
      <c r="AL7" s="363"/>
    </row>
    <row r="8" spans="9:38">
      <c r="I8" s="363"/>
      <c r="AK8" s="363"/>
      <c r="AL8" s="363"/>
    </row>
    <row r="9" spans="9:38">
      <c r="I9" s="363"/>
      <c r="AK9" s="363"/>
      <c r="AL9" s="363"/>
    </row>
    <row r="10" spans="9:38">
      <c r="I10" s="363"/>
      <c r="AK10" s="363"/>
      <c r="AL10" s="363"/>
    </row>
    <row r="11" spans="9:38">
      <c r="AK11" s="363"/>
      <c r="AL11" s="363"/>
    </row>
    <row r="12" spans="9:38">
      <c r="AK12" s="363"/>
      <c r="AL12" s="363"/>
    </row>
    <row r="13" spans="9:38">
      <c r="AK13" s="363"/>
      <c r="AL13" s="363"/>
    </row>
    <row r="14" spans="9:38">
      <c r="Q14" s="22"/>
      <c r="T14" s="363"/>
      <c r="U14" s="363"/>
      <c r="V14" s="363"/>
      <c r="W14" s="363"/>
      <c r="AA14" s="363"/>
      <c r="AB14" s="363"/>
      <c r="AC14" s="363"/>
      <c r="AD14" s="363"/>
      <c r="AE14" s="363"/>
      <c r="AF14" s="363"/>
      <c r="AG14" s="363"/>
      <c r="AH14" s="363"/>
      <c r="AI14" s="363"/>
      <c r="AJ14" s="363"/>
      <c r="AK14" s="363"/>
      <c r="AL14" s="363"/>
    </row>
    <row r="15" spans="9:38">
      <c r="T15" s="363"/>
      <c r="U15" s="363"/>
      <c r="V15" s="363"/>
      <c r="W15" s="363"/>
      <c r="Y15" s="363"/>
      <c r="Z15" s="363"/>
      <c r="AA15" s="363"/>
      <c r="AB15" s="363"/>
      <c r="AC15" s="363"/>
      <c r="AD15" s="363"/>
      <c r="AE15" s="363"/>
      <c r="AF15" s="363"/>
      <c r="AG15" s="363"/>
      <c r="AH15" s="363"/>
      <c r="AI15" s="363"/>
      <c r="AJ15" s="363"/>
      <c r="AK15" s="363"/>
    </row>
    <row r="16" spans="9:38" ht="21">
      <c r="AB16" s="102"/>
      <c r="AC16" s="363"/>
      <c r="AD16" s="363"/>
      <c r="AE16" s="363"/>
      <c r="AF16" s="363"/>
      <c r="AG16" s="363"/>
      <c r="AH16" s="363"/>
      <c r="AI16" s="363"/>
      <c r="AJ16" s="363"/>
      <c r="AK16" s="363"/>
    </row>
    <row r="17" spans="1:45">
      <c r="H17" s="369"/>
      <c r="Q17" s="363"/>
      <c r="W17" s="363"/>
      <c r="X17" s="363"/>
      <c r="Y17" s="363"/>
      <c r="Z17" s="363"/>
      <c r="AA17" s="363"/>
      <c r="AB17" s="363"/>
      <c r="AC17" s="363"/>
      <c r="AD17" s="363"/>
      <c r="AE17" s="363"/>
      <c r="AF17" s="363"/>
      <c r="AG17" s="363"/>
      <c r="AH17" s="363"/>
      <c r="AI17" s="363"/>
      <c r="AJ17" s="363"/>
      <c r="AK17" s="363"/>
    </row>
    <row r="18" spans="1:45" ht="21">
      <c r="A18" s="88" t="s">
        <v>10</v>
      </c>
      <c r="B18" s="84" t="s">
        <v>11</v>
      </c>
      <c r="C18" s="84" t="s">
        <v>12</v>
      </c>
      <c r="D18" s="84" t="s">
        <v>13</v>
      </c>
      <c r="H18" s="24"/>
      <c r="M18" s="98" t="s">
        <v>246</v>
      </c>
      <c r="N18" s="98"/>
      <c r="O18" s="98"/>
      <c r="Q18" s="363"/>
      <c r="W18" s="363"/>
      <c r="X18" s="363"/>
      <c r="Y18" s="101" t="s">
        <v>248</v>
      </c>
      <c r="Z18" s="101"/>
      <c r="AA18" s="101"/>
      <c r="AB18" s="363"/>
      <c r="AC18" s="363"/>
      <c r="AD18" s="363"/>
      <c r="AE18" s="363"/>
      <c r="AJ18" s="363"/>
      <c r="AK18" s="363"/>
      <c r="AL18" s="363"/>
    </row>
    <row r="19" spans="1:45" ht="21">
      <c r="A19" s="89" t="s">
        <v>14</v>
      </c>
      <c r="B19" s="85">
        <v>100</v>
      </c>
      <c r="C19" s="85">
        <f>B19/D19</f>
        <v>100.22048506714772</v>
      </c>
      <c r="D19" s="86">
        <v>0.99780000000000002</v>
      </c>
      <c r="F19" s="143" t="s">
        <v>99</v>
      </c>
      <c r="G19" s="146">
        <f>B22/C23*1000</f>
        <v>95.36452637778622</v>
      </c>
      <c r="H19" s="24" t="s">
        <v>100</v>
      </c>
      <c r="L19" s="47" t="s">
        <v>46</v>
      </c>
      <c r="M19" s="96"/>
      <c r="N19" s="96"/>
      <c r="O19" s="34"/>
      <c r="P19" s="34"/>
      <c r="Q19" s="363"/>
      <c r="AE19" s="363"/>
      <c r="AJ19" s="363"/>
      <c r="AK19" s="363"/>
      <c r="AL19" s="363"/>
    </row>
    <row r="20" spans="1:45" ht="18">
      <c r="A20" s="89" t="s">
        <v>15</v>
      </c>
      <c r="B20" s="85">
        <f>100.49/1000</f>
        <v>0.10049</v>
      </c>
      <c r="C20" s="86">
        <f>B20/D20</f>
        <v>9.3915887850467283E-2</v>
      </c>
      <c r="D20" s="89">
        <v>1.07</v>
      </c>
      <c r="H20" s="24"/>
      <c r="Q20" s="363"/>
      <c r="W20" s="363"/>
      <c r="X20" s="403" t="s">
        <v>22</v>
      </c>
      <c r="Y20" s="404"/>
      <c r="Z20" s="404"/>
      <c r="AA20" s="405"/>
      <c r="AB20" s="363"/>
      <c r="AC20" s="363"/>
      <c r="AD20" s="363"/>
      <c r="AK20" s="363"/>
      <c r="AL20" s="363"/>
    </row>
    <row r="21" spans="1:45" ht="18">
      <c r="A21" s="89" t="s">
        <v>194</v>
      </c>
      <c r="B21" s="340">
        <v>2E-3</v>
      </c>
      <c r="C21" s="341">
        <f>B21/D21</f>
        <v>9.3896713615023483E-4</v>
      </c>
      <c r="D21" s="89">
        <v>2.13</v>
      </c>
      <c r="H21" s="24"/>
      <c r="Q21" s="363"/>
      <c r="W21" s="363"/>
      <c r="X21" s="369"/>
      <c r="Y21" s="369"/>
      <c r="Z21" s="365"/>
      <c r="AA21" s="369"/>
      <c r="AB21" s="363"/>
      <c r="AC21" s="363"/>
      <c r="AD21" s="363"/>
      <c r="AK21" s="363"/>
      <c r="AL21" s="363"/>
    </row>
    <row r="22" spans="1:45" ht="18">
      <c r="A22" s="89" t="s">
        <v>16</v>
      </c>
      <c r="B22" s="198">
        <v>10</v>
      </c>
      <c r="C22" s="86">
        <f>B22/D22</f>
        <v>4.545454545454545</v>
      </c>
      <c r="D22" s="86">
        <v>2.2000000000000002</v>
      </c>
      <c r="K22" s="363"/>
      <c r="O22" s="23"/>
      <c r="X22" s="16"/>
      <c r="Y22" s="17"/>
      <c r="Z22" s="18"/>
      <c r="AK22" s="363"/>
      <c r="AL22" s="363"/>
    </row>
    <row r="23" spans="1:45" ht="18">
      <c r="A23" s="84" t="s">
        <v>17</v>
      </c>
      <c r="B23" s="86">
        <f>SUM(B19:B22)</f>
        <v>110.10248999999999</v>
      </c>
      <c r="C23" s="86">
        <f>SUM(C19:C22)</f>
        <v>104.86079446758889</v>
      </c>
      <c r="D23" s="86">
        <f>B23/C23</f>
        <v>1.0499871811864943</v>
      </c>
      <c r="K23" s="363"/>
      <c r="L23" s="36" t="s">
        <v>3</v>
      </c>
      <c r="M23" s="34"/>
      <c r="N23" s="15" t="s">
        <v>18</v>
      </c>
      <c r="O23" s="36" t="s">
        <v>49</v>
      </c>
      <c r="P23" s="73">
        <v>92.46</v>
      </c>
      <c r="Q23" s="363" t="s">
        <v>18</v>
      </c>
      <c r="X23" s="105" t="s">
        <v>3</v>
      </c>
      <c r="Y23" s="106"/>
      <c r="Z23" s="73"/>
      <c r="AA23" s="15" t="s">
        <v>18</v>
      </c>
      <c r="AB23" s="36" t="s">
        <v>49</v>
      </c>
      <c r="AC23" s="34">
        <v>146.13999999999999</v>
      </c>
      <c r="AD23" s="363" t="s">
        <v>18</v>
      </c>
      <c r="AK23" s="363"/>
      <c r="AL23" s="363"/>
    </row>
    <row r="24" spans="1:45" ht="18">
      <c r="B24" s="87"/>
      <c r="C24" s="87"/>
      <c r="D24" s="87"/>
      <c r="E24" s="87"/>
      <c r="K24" s="363"/>
      <c r="L24" s="36" t="s">
        <v>4</v>
      </c>
      <c r="M24" s="34"/>
      <c r="N24" s="15" t="s">
        <v>18</v>
      </c>
      <c r="O24" s="36" t="s">
        <v>27</v>
      </c>
      <c r="P24" s="34"/>
      <c r="Q24" s="363" t="s">
        <v>33</v>
      </c>
      <c r="X24" s="105" t="s">
        <v>4</v>
      </c>
      <c r="Y24" s="106"/>
      <c r="Z24" s="34"/>
      <c r="AA24" s="15" t="s">
        <v>18</v>
      </c>
      <c r="AB24" s="36" t="s">
        <v>27</v>
      </c>
      <c r="AC24" s="34"/>
      <c r="AD24" s="363" t="s">
        <v>33</v>
      </c>
      <c r="AK24" s="363"/>
      <c r="AL24" s="363"/>
    </row>
    <row r="25" spans="1:45">
      <c r="A25" s="161"/>
      <c r="B25" s="161"/>
      <c r="K25" s="363"/>
      <c r="L25" s="103" t="s">
        <v>17</v>
      </c>
      <c r="M25" s="34"/>
      <c r="N25" s="15" t="s">
        <v>18</v>
      </c>
      <c r="O25" s="67" t="s">
        <v>30</v>
      </c>
      <c r="P25" s="37">
        <f>P24*P23</f>
        <v>0</v>
      </c>
      <c r="Q25" s="363" t="s">
        <v>18</v>
      </c>
      <c r="X25" s="105" t="s">
        <v>17</v>
      </c>
      <c r="Y25" s="106"/>
      <c r="Z25" s="73"/>
      <c r="AA25" s="15" t="s">
        <v>18</v>
      </c>
      <c r="AB25" s="67" t="s">
        <v>30</v>
      </c>
      <c r="AC25" s="37">
        <f>AC24*AC23</f>
        <v>0</v>
      </c>
      <c r="AD25" s="363" t="s">
        <v>18</v>
      </c>
      <c r="AK25" s="363"/>
      <c r="AL25" s="363"/>
    </row>
    <row r="26" spans="1:45">
      <c r="L26" s="67" t="s">
        <v>30</v>
      </c>
      <c r="M26" s="37">
        <f>P24*M25</f>
        <v>0</v>
      </c>
      <c r="N26" s="15" t="s">
        <v>18</v>
      </c>
      <c r="Q26" s="363"/>
      <c r="W26" s="363"/>
      <c r="X26" s="370" t="s">
        <v>30</v>
      </c>
      <c r="Y26" s="371"/>
      <c r="Z26" s="104">
        <f>AC24*Z25</f>
        <v>0</v>
      </c>
      <c r="AA26" s="15" t="s">
        <v>18</v>
      </c>
      <c r="AK26" s="363"/>
      <c r="AL26" s="363"/>
    </row>
    <row r="27" spans="1:45">
      <c r="A27" s="23"/>
      <c r="W27" s="363"/>
      <c r="X27" s="363"/>
      <c r="Y27" s="363"/>
      <c r="Z27" s="363"/>
      <c r="AA27" s="23"/>
      <c r="AB27" s="31">
        <f>AC23+Z25</f>
        <v>146.13999999999999</v>
      </c>
      <c r="AC27" s="15">
        <f>AC25+Z26</f>
        <v>0</v>
      </c>
      <c r="AL27" s="363"/>
    </row>
    <row r="28" spans="1:45">
      <c r="A28" s="23"/>
      <c r="I28" s="363"/>
      <c r="J28" s="363"/>
      <c r="K28" s="363"/>
      <c r="L28" s="363"/>
      <c r="AL28" s="363"/>
    </row>
    <row r="29" spans="1:45" ht="21">
      <c r="D29" s="143" t="s">
        <v>45</v>
      </c>
      <c r="E29" s="142">
        <f>B23-(C42+B45)</f>
        <v>109.42248999999998</v>
      </c>
      <c r="F29" s="15" t="s">
        <v>18</v>
      </c>
      <c r="I29" s="363"/>
      <c r="J29" s="363"/>
      <c r="K29" s="363"/>
      <c r="L29" s="363"/>
    </row>
    <row r="30" spans="1:45">
      <c r="I30" s="363"/>
      <c r="J30" s="363"/>
      <c r="K30" s="363"/>
      <c r="L30" s="363"/>
      <c r="V30" s="363"/>
      <c r="W30" s="363"/>
      <c r="X30" s="363"/>
      <c r="AJ30" s="22"/>
    </row>
    <row r="31" spans="1:45" ht="21">
      <c r="I31" s="102"/>
      <c r="S31" s="15" t="s">
        <v>250</v>
      </c>
      <c r="T31" s="15">
        <v>149.69999999999999</v>
      </c>
      <c r="V31" s="363"/>
      <c r="W31" s="31">
        <f>AC23+AC44</f>
        <v>147.44</v>
      </c>
      <c r="X31" s="363"/>
      <c r="AG31" s="363"/>
      <c r="AH31" s="363"/>
      <c r="AI31" s="363"/>
      <c r="AJ31" s="363"/>
      <c r="AK31" s="363"/>
      <c r="AL31" s="363"/>
      <c r="AM31" s="363"/>
      <c r="AN31" s="363"/>
      <c r="AO31" s="363"/>
      <c r="AP31" s="363"/>
      <c r="AQ31" s="363"/>
      <c r="AR31" s="363"/>
      <c r="AS31" s="363"/>
    </row>
    <row r="32" spans="1:45">
      <c r="V32" s="363"/>
      <c r="W32" s="363"/>
      <c r="X32" s="363"/>
      <c r="AC32" s="363"/>
      <c r="AD32" s="363"/>
      <c r="AE32" s="363"/>
      <c r="AF32" s="363"/>
      <c r="AG32" s="363"/>
      <c r="AH32" s="363"/>
      <c r="AI32" s="363"/>
      <c r="AJ32" s="363"/>
      <c r="AK32" s="363"/>
      <c r="AL32" s="363"/>
      <c r="AM32" s="363"/>
      <c r="AN32" s="363"/>
      <c r="AO32" s="363"/>
      <c r="AP32" s="363"/>
      <c r="AQ32" s="363"/>
      <c r="AR32" s="363"/>
      <c r="AS32" s="363"/>
    </row>
    <row r="33" spans="1:55">
      <c r="AC33" s="363"/>
      <c r="AD33" s="363"/>
      <c r="AE33" s="363"/>
      <c r="AF33" s="363"/>
      <c r="AG33" s="363"/>
      <c r="AH33" s="363"/>
      <c r="AI33" s="363"/>
      <c r="AJ33" s="363"/>
      <c r="AK33" s="363"/>
      <c r="AL33" s="363"/>
      <c r="AM33" s="363"/>
      <c r="AN33" s="363"/>
      <c r="AO33" s="363"/>
      <c r="AP33" s="363"/>
      <c r="AQ33" s="363"/>
      <c r="AR33" s="363"/>
      <c r="AS33" s="363"/>
    </row>
    <row r="34" spans="1:55">
      <c r="G34" s="15" t="s">
        <v>101</v>
      </c>
      <c r="H34" s="31">
        <f>E29-P23-Q42</f>
        <v>0.91248999999998759</v>
      </c>
      <c r="I34" s="15" t="s">
        <v>18</v>
      </c>
      <c r="S34" s="15" t="s">
        <v>101</v>
      </c>
      <c r="T34" s="31">
        <f>T31-W31</f>
        <v>2.2599999999999909</v>
      </c>
      <c r="U34" s="15" t="s">
        <v>18</v>
      </c>
      <c r="AC34" s="363"/>
      <c r="AD34" s="363"/>
      <c r="AE34" s="363"/>
      <c r="AF34" s="363"/>
      <c r="AG34" s="363"/>
      <c r="AH34" s="363"/>
      <c r="AI34" s="363"/>
      <c r="AJ34" s="363"/>
      <c r="AK34" s="363"/>
      <c r="AL34" s="363"/>
      <c r="AM34" s="363"/>
      <c r="AN34" s="363"/>
      <c r="AO34" s="363"/>
      <c r="AP34" s="363"/>
      <c r="AQ34" s="363"/>
      <c r="AR34" s="363"/>
      <c r="AS34" s="363"/>
    </row>
    <row r="35" spans="1:55">
      <c r="D35" s="363"/>
      <c r="E35" s="363"/>
      <c r="F35" s="363"/>
      <c r="G35" s="15" t="s">
        <v>125</v>
      </c>
      <c r="H35" s="76">
        <f>H34/E29</f>
        <v>8.3391449052200115E-3</v>
      </c>
      <c r="S35" s="15" t="s">
        <v>125</v>
      </c>
      <c r="T35" s="76">
        <f>T34/E29</f>
        <v>2.0653889342126936E-2</v>
      </c>
      <c r="Z35" s="363"/>
      <c r="AA35" s="363"/>
      <c r="AB35" s="363"/>
      <c r="AC35" s="363"/>
      <c r="AD35" s="363"/>
      <c r="AE35" s="363"/>
      <c r="AF35" s="363"/>
      <c r="AG35" s="363"/>
      <c r="AH35" s="363"/>
      <c r="AI35" s="363"/>
      <c r="AJ35" s="363"/>
      <c r="AK35" s="363"/>
      <c r="AL35" s="363"/>
      <c r="AM35" s="363"/>
      <c r="AN35" s="363"/>
      <c r="AO35" s="363"/>
      <c r="AP35" s="363"/>
      <c r="AQ35" s="363"/>
      <c r="AR35" s="363"/>
      <c r="AS35" s="363"/>
    </row>
    <row r="36" spans="1:55">
      <c r="D36" s="363"/>
      <c r="E36" s="363"/>
      <c r="F36" s="363"/>
      <c r="G36" s="15" t="s">
        <v>126</v>
      </c>
      <c r="H36" s="81">
        <f>H35*B50</f>
        <v>8.2876418144583991E-2</v>
      </c>
      <c r="I36" s="363" t="s">
        <v>18</v>
      </c>
      <c r="S36" s="15" t="s">
        <v>126</v>
      </c>
      <c r="T36" s="81">
        <f>T35*B50</f>
        <v>0.20526329604353102</v>
      </c>
      <c r="U36" s="363" t="s">
        <v>18</v>
      </c>
      <c r="Z36" s="363"/>
      <c r="AC36" s="363"/>
      <c r="AD36" s="363"/>
      <c r="AE36" s="363"/>
      <c r="AF36" s="363"/>
      <c r="AG36" s="363"/>
      <c r="AH36" s="363"/>
      <c r="AI36" s="363"/>
      <c r="AJ36" s="363"/>
      <c r="AK36" s="363"/>
      <c r="AL36" s="363"/>
      <c r="AM36" s="363"/>
      <c r="AN36" s="363"/>
      <c r="AO36" s="363"/>
      <c r="AP36" s="363"/>
      <c r="AQ36" s="363"/>
      <c r="AR36" s="363"/>
      <c r="AS36" s="363"/>
    </row>
    <row r="37" spans="1:55">
      <c r="D37" s="363"/>
      <c r="E37" s="363"/>
      <c r="F37" s="363"/>
      <c r="G37" s="363"/>
      <c r="H37" s="200"/>
      <c r="P37" s="364"/>
      <c r="Q37" s="364"/>
      <c r="R37" s="16"/>
      <c r="U37" s="363"/>
      <c r="Z37" s="363"/>
      <c r="AC37" s="363"/>
      <c r="AD37" s="363"/>
      <c r="AE37" s="363"/>
      <c r="AF37" s="363"/>
      <c r="AG37" s="363"/>
      <c r="AH37" s="363"/>
      <c r="AI37" s="363"/>
      <c r="AJ37" s="363"/>
      <c r="AK37" s="363"/>
      <c r="AL37" s="363"/>
      <c r="AM37" s="363"/>
      <c r="AN37" s="363"/>
      <c r="AO37" s="363"/>
      <c r="AP37" s="363"/>
      <c r="AQ37" s="363"/>
      <c r="AR37" s="363"/>
      <c r="AS37" s="363"/>
    </row>
    <row r="38" spans="1:55">
      <c r="E38" s="30"/>
      <c r="Z38" s="363"/>
      <c r="AC38" s="363"/>
      <c r="AD38" s="363"/>
      <c r="AE38" s="363"/>
      <c r="AF38" s="363"/>
      <c r="AG38" s="363"/>
      <c r="AH38" s="363"/>
      <c r="AI38" s="363"/>
      <c r="AJ38" s="363"/>
      <c r="AK38" s="363"/>
      <c r="AL38" s="363"/>
      <c r="AM38" s="363"/>
      <c r="AN38" s="363"/>
      <c r="AO38" s="363"/>
      <c r="AP38" s="363"/>
      <c r="AQ38" s="363"/>
      <c r="AR38" s="363"/>
      <c r="AS38" s="363"/>
    </row>
    <row r="39" spans="1:55" ht="21">
      <c r="M39" s="98" t="s">
        <v>247</v>
      </c>
      <c r="N39" s="48"/>
      <c r="Z39" s="363"/>
      <c r="AG39" s="363"/>
      <c r="AH39" s="363"/>
      <c r="AI39" s="363"/>
      <c r="AJ39" s="363"/>
      <c r="AK39" s="363"/>
      <c r="AL39" s="363"/>
      <c r="AM39" s="363"/>
      <c r="AN39" s="363"/>
      <c r="AO39" s="363"/>
      <c r="AP39" s="363"/>
      <c r="AQ39" s="363"/>
      <c r="AR39" s="363"/>
      <c r="AS39" s="363"/>
      <c r="AT39" s="363"/>
      <c r="AU39" s="363"/>
      <c r="AV39" s="363"/>
      <c r="AW39" s="363"/>
      <c r="AX39" s="363"/>
      <c r="AY39" s="363"/>
      <c r="AZ39" s="363"/>
      <c r="BA39" s="363"/>
      <c r="BB39" s="363"/>
    </row>
    <row r="40" spans="1:55" ht="21">
      <c r="A40" s="392" t="s">
        <v>6</v>
      </c>
      <c r="B40" s="392"/>
      <c r="C40" s="33">
        <v>0.18</v>
      </c>
      <c r="D40" s="15" t="s">
        <v>18</v>
      </c>
      <c r="E40" s="363"/>
      <c r="F40" s="363"/>
      <c r="G40" s="363"/>
      <c r="M40" s="367" t="s">
        <v>20</v>
      </c>
      <c r="N40" s="368"/>
      <c r="Y40" s="101" t="s">
        <v>249</v>
      </c>
      <c r="Z40" s="101"/>
      <c r="AA40" s="101"/>
      <c r="AG40" s="363"/>
      <c r="AH40" s="363"/>
      <c r="AI40" s="363"/>
      <c r="AJ40" s="363"/>
      <c r="AK40" s="363"/>
      <c r="AL40" s="363"/>
      <c r="AM40" s="363"/>
      <c r="AN40" s="363"/>
      <c r="AO40" s="363"/>
      <c r="AP40" s="363"/>
      <c r="AQ40" s="363"/>
      <c r="AR40" s="363"/>
      <c r="AS40" s="363"/>
      <c r="AT40" s="363"/>
      <c r="AU40" s="363"/>
      <c r="AV40" s="363"/>
      <c r="AW40" s="363"/>
      <c r="AX40" s="363"/>
      <c r="AY40" s="363"/>
      <c r="AZ40" s="363"/>
      <c r="BA40" s="363"/>
      <c r="BB40" s="363"/>
    </row>
    <row r="41" spans="1:55">
      <c r="A41" s="392" t="s">
        <v>5</v>
      </c>
      <c r="B41" s="392"/>
      <c r="C41" s="33">
        <v>0.2</v>
      </c>
      <c r="D41" s="15" t="s">
        <v>18</v>
      </c>
      <c r="E41" s="363"/>
      <c r="F41" s="363"/>
      <c r="G41" s="363"/>
      <c r="S41" s="363"/>
      <c r="V41" s="363"/>
      <c r="X41" s="403" t="s">
        <v>23</v>
      </c>
      <c r="Y41" s="404"/>
      <c r="Z41" s="404"/>
      <c r="AA41" s="405"/>
      <c r="AB41" s="363"/>
      <c r="AG41" s="363"/>
      <c r="AH41" s="363"/>
      <c r="AI41" s="363"/>
      <c r="AJ41" s="363"/>
      <c r="AK41" s="363"/>
      <c r="AL41" s="363"/>
      <c r="AM41" s="363"/>
      <c r="AN41" s="363"/>
      <c r="AO41" s="363"/>
      <c r="AP41" s="363"/>
      <c r="AQ41" s="363"/>
      <c r="AR41" s="363"/>
      <c r="AS41" s="363"/>
      <c r="AT41" s="363"/>
      <c r="AU41" s="363"/>
      <c r="AV41" s="363"/>
      <c r="AW41" s="363"/>
      <c r="AX41" s="363"/>
      <c r="AY41" s="363"/>
      <c r="AZ41" s="363"/>
      <c r="BA41" s="363"/>
      <c r="BB41" s="363"/>
    </row>
    <row r="42" spans="1:55">
      <c r="A42" s="400" t="s">
        <v>17</v>
      </c>
      <c r="B42" s="401"/>
      <c r="C42" s="91">
        <f>SUM(C40:C41)</f>
        <v>0.38</v>
      </c>
      <c r="D42" s="23" t="s">
        <v>18</v>
      </c>
      <c r="E42" s="363"/>
      <c r="F42" s="363"/>
      <c r="G42" s="363"/>
      <c r="J42" s="67" t="s">
        <v>1</v>
      </c>
      <c r="K42" s="34"/>
      <c r="L42" s="15" t="s">
        <v>18</v>
      </c>
      <c r="M42" s="36" t="s">
        <v>3</v>
      </c>
      <c r="N42" s="73"/>
      <c r="O42" s="15" t="s">
        <v>18</v>
      </c>
      <c r="P42" s="36" t="s">
        <v>49</v>
      </c>
      <c r="Q42" s="34">
        <v>16.05</v>
      </c>
      <c r="R42" s="363" t="s">
        <v>18</v>
      </c>
      <c r="S42" s="363"/>
      <c r="Z42" s="363"/>
      <c r="AG42" s="363"/>
      <c r="AH42" s="363"/>
      <c r="AI42" s="363"/>
      <c r="AJ42" s="363"/>
      <c r="AK42" s="363"/>
      <c r="AL42" s="363"/>
      <c r="AM42" s="363"/>
      <c r="AN42" s="363"/>
      <c r="AO42" s="363"/>
      <c r="AP42" s="363"/>
      <c r="AQ42" s="363"/>
      <c r="AR42" s="363"/>
      <c r="AS42" s="363"/>
      <c r="AT42" s="363"/>
      <c r="AU42" s="363"/>
      <c r="AV42" s="363"/>
      <c r="AW42" s="363"/>
      <c r="AX42" s="363"/>
      <c r="AY42" s="363"/>
      <c r="AZ42" s="363"/>
      <c r="BA42" s="363"/>
      <c r="BB42" s="363"/>
    </row>
    <row r="43" spans="1:55">
      <c r="C43" s="363"/>
      <c r="D43" s="363"/>
      <c r="E43" s="363"/>
      <c r="F43" s="363"/>
      <c r="G43" s="363"/>
      <c r="I43" s="26"/>
      <c r="J43" s="67" t="s">
        <v>9</v>
      </c>
      <c r="K43" s="64"/>
      <c r="L43" s="15" t="s">
        <v>18</v>
      </c>
      <c r="M43" s="36" t="s">
        <v>4</v>
      </c>
      <c r="N43" s="34"/>
      <c r="O43" s="15" t="s">
        <v>18</v>
      </c>
      <c r="P43" s="36" t="s">
        <v>27</v>
      </c>
      <c r="Q43" s="34">
        <f>54.53/100</f>
        <v>0.54530000000000001</v>
      </c>
      <c r="R43" s="363" t="s">
        <v>33</v>
      </c>
      <c r="S43" s="363"/>
      <c r="AE43" s="363"/>
      <c r="AF43" s="363"/>
      <c r="AG43" s="363"/>
      <c r="AH43" s="363"/>
      <c r="AI43" s="363"/>
      <c r="AJ43" s="363"/>
      <c r="AK43" s="363"/>
      <c r="AL43" s="363"/>
      <c r="AM43" s="363"/>
      <c r="AN43" s="363"/>
      <c r="AO43" s="363"/>
      <c r="AP43" s="363"/>
      <c r="AQ43" s="363"/>
      <c r="AR43" s="363"/>
      <c r="AS43" s="363"/>
      <c r="AT43" s="363"/>
      <c r="AU43" s="363"/>
      <c r="AV43" s="363"/>
      <c r="AW43" s="363"/>
      <c r="AX43" s="363"/>
      <c r="AY43" s="363"/>
      <c r="AZ43" s="363"/>
      <c r="BA43" s="363"/>
      <c r="BB43" s="363"/>
    </row>
    <row r="44" spans="1:55">
      <c r="A44" s="36" t="s">
        <v>44</v>
      </c>
      <c r="B44" s="33">
        <v>0.3</v>
      </c>
      <c r="C44" s="363" t="s">
        <v>18</v>
      </c>
      <c r="D44" s="363"/>
      <c r="E44" s="363"/>
      <c r="F44" s="363"/>
      <c r="G44" s="363"/>
      <c r="H44" s="366"/>
      <c r="J44" s="34" t="s">
        <v>17</v>
      </c>
      <c r="K44" s="91">
        <f>SUM(K42:K43)</f>
        <v>0</v>
      </c>
      <c r="L44" s="23" t="s">
        <v>18</v>
      </c>
      <c r="M44" s="103" t="s">
        <v>17</v>
      </c>
      <c r="N44" s="73"/>
      <c r="O44" s="15" t="s">
        <v>18</v>
      </c>
      <c r="P44" s="67" t="s">
        <v>30</v>
      </c>
      <c r="Q44" s="37">
        <f>Q43*Q42</f>
        <v>8.752065</v>
      </c>
      <c r="R44" s="363" t="s">
        <v>18</v>
      </c>
      <c r="S44" s="363"/>
      <c r="U44" s="35" t="s">
        <v>53</v>
      </c>
      <c r="V44" s="33"/>
      <c r="W44" s="363" t="s">
        <v>18</v>
      </c>
      <c r="X44" s="105" t="s">
        <v>3</v>
      </c>
      <c r="Y44" s="106"/>
      <c r="Z44" s="73"/>
      <c r="AA44" s="15" t="s">
        <v>18</v>
      </c>
      <c r="AB44" s="36" t="s">
        <v>49</v>
      </c>
      <c r="AC44" s="224">
        <v>1.3</v>
      </c>
      <c r="AD44" s="363" t="s">
        <v>18</v>
      </c>
      <c r="AF44" s="363"/>
      <c r="AG44" s="363"/>
      <c r="AH44" s="363"/>
      <c r="AI44" s="363"/>
      <c r="AJ44" s="363"/>
      <c r="AK44" s="363"/>
      <c r="AL44" s="363"/>
      <c r="AM44" s="363"/>
      <c r="AN44" s="363"/>
      <c r="AO44" s="363"/>
      <c r="AP44" s="363"/>
      <c r="AQ44" s="363"/>
      <c r="AR44" s="363"/>
      <c r="AS44" s="363"/>
      <c r="AT44" s="363"/>
      <c r="AU44" s="363"/>
      <c r="AV44" s="363"/>
      <c r="AW44" s="363"/>
      <c r="AX44" s="363"/>
      <c r="AY44" s="363"/>
      <c r="AZ44" s="363"/>
      <c r="BA44" s="363"/>
      <c r="BB44" s="363"/>
    </row>
    <row r="45" spans="1:55">
      <c r="A45" s="92" t="s">
        <v>17</v>
      </c>
      <c r="B45" s="90">
        <f>SUM(B44)</f>
        <v>0.3</v>
      </c>
      <c r="C45" s="363" t="s">
        <v>18</v>
      </c>
      <c r="D45" s="363"/>
      <c r="E45" s="363"/>
      <c r="M45" s="67" t="s">
        <v>30</v>
      </c>
      <c r="N45" s="37">
        <f>Q43*N44</f>
        <v>0</v>
      </c>
      <c r="O45" s="15" t="s">
        <v>18</v>
      </c>
      <c r="U45" s="363"/>
      <c r="V45" s="363"/>
      <c r="W45" s="363"/>
      <c r="X45" s="105" t="s">
        <v>4</v>
      </c>
      <c r="Y45" s="106"/>
      <c r="Z45" s="34"/>
      <c r="AA45" s="15" t="s">
        <v>18</v>
      </c>
      <c r="AB45" s="36" t="s">
        <v>27</v>
      </c>
      <c r="AC45" s="34"/>
      <c r="AD45" s="363" t="s">
        <v>33</v>
      </c>
      <c r="AG45" s="363"/>
      <c r="AH45" s="363"/>
      <c r="AI45" s="363"/>
      <c r="AJ45" s="363"/>
      <c r="AK45" s="363"/>
      <c r="AL45" s="363"/>
      <c r="AM45" s="363"/>
      <c r="AN45" s="363"/>
      <c r="AO45" s="363"/>
      <c r="AP45" s="363"/>
      <c r="AQ45" s="363"/>
      <c r="AR45" s="363"/>
      <c r="AS45" s="363"/>
      <c r="AT45" s="363"/>
      <c r="AU45" s="363"/>
      <c r="AV45" s="363"/>
      <c r="AW45" s="363"/>
      <c r="AX45" s="363"/>
      <c r="AY45" s="363"/>
      <c r="AZ45" s="363"/>
      <c r="BA45" s="363"/>
      <c r="BB45" s="363"/>
    </row>
    <row r="46" spans="1:55">
      <c r="C46" s="363"/>
      <c r="D46" s="363"/>
      <c r="E46" s="363"/>
      <c r="U46" s="363"/>
      <c r="V46" s="363"/>
      <c r="W46" s="363"/>
      <c r="X46" s="105" t="s">
        <v>17</v>
      </c>
      <c r="Y46" s="106"/>
      <c r="Z46" s="73"/>
      <c r="AA46" s="15" t="s">
        <v>18</v>
      </c>
      <c r="AB46" s="67" t="s">
        <v>30</v>
      </c>
      <c r="AC46" s="37">
        <f>AC45*AC44</f>
        <v>0</v>
      </c>
      <c r="AD46" s="363" t="s">
        <v>18</v>
      </c>
      <c r="AG46" s="363"/>
      <c r="AH46" s="363"/>
      <c r="AI46" s="363"/>
      <c r="AJ46" s="363"/>
      <c r="AK46" s="363"/>
      <c r="AL46" s="363"/>
      <c r="AM46" s="363"/>
      <c r="AN46" s="363"/>
      <c r="AO46" s="363"/>
      <c r="AP46" s="363"/>
      <c r="AQ46" s="363"/>
      <c r="AR46" s="363"/>
      <c r="AS46" s="363"/>
      <c r="AT46" s="363"/>
      <c r="AU46" s="363"/>
      <c r="AV46" s="363"/>
      <c r="AW46" s="363"/>
      <c r="AX46" s="363"/>
      <c r="AY46" s="363"/>
      <c r="AZ46" s="363"/>
      <c r="BA46" s="363"/>
      <c r="BB46" s="363"/>
      <c r="BC46" s="363"/>
    </row>
    <row r="47" spans="1:55">
      <c r="A47" s="15" t="s">
        <v>66</v>
      </c>
      <c r="B47" s="15">
        <f>B44/D23</f>
        <v>0.28571777386938907</v>
      </c>
      <c r="C47" s="363" t="s">
        <v>62</v>
      </c>
      <c r="D47" s="363"/>
      <c r="E47" s="363"/>
      <c r="P47" s="31">
        <f>Q42+N44</f>
        <v>16.05</v>
      </c>
      <c r="Q47" s="15">
        <f>Q44+N45</f>
        <v>8.752065</v>
      </c>
      <c r="X47" s="370" t="s">
        <v>30</v>
      </c>
      <c r="Y47" s="371"/>
      <c r="Z47" s="104">
        <f>AC45*Z46</f>
        <v>0</v>
      </c>
      <c r="AA47" s="15" t="s">
        <v>18</v>
      </c>
      <c r="AF47" s="363"/>
      <c r="AG47" s="363"/>
      <c r="AH47" s="363"/>
      <c r="AI47" s="363"/>
      <c r="AJ47" s="363"/>
      <c r="AK47" s="363"/>
      <c r="AL47" s="363"/>
      <c r="AM47" s="363"/>
      <c r="AN47" s="363"/>
      <c r="AO47" s="363"/>
      <c r="AP47" s="363"/>
      <c r="AQ47" s="363"/>
      <c r="AR47" s="363"/>
      <c r="AS47" s="363"/>
      <c r="AT47" s="363"/>
      <c r="AU47" s="363"/>
      <c r="AV47" s="363"/>
      <c r="AW47" s="363"/>
      <c r="AX47" s="363"/>
      <c r="AY47" s="363"/>
      <c r="AZ47" s="363"/>
      <c r="BA47" s="363"/>
      <c r="BB47" s="363"/>
      <c r="BC47" s="363"/>
    </row>
    <row r="48" spans="1:55">
      <c r="A48" s="15" t="s">
        <v>65</v>
      </c>
      <c r="B48" s="15">
        <f>C42/D23</f>
        <v>0.36190918023455948</v>
      </c>
      <c r="C48" s="15" t="s">
        <v>62</v>
      </c>
      <c r="AG48" s="363"/>
      <c r="AH48" s="363"/>
      <c r="AI48" s="363"/>
      <c r="AJ48" s="363"/>
      <c r="AK48" s="363"/>
      <c r="AL48" s="363"/>
      <c r="AM48" s="363"/>
      <c r="AN48" s="363"/>
      <c r="AO48" s="363"/>
      <c r="AP48" s="363"/>
      <c r="AQ48" s="363"/>
      <c r="AR48" s="363"/>
      <c r="AS48" s="363"/>
      <c r="AT48" s="363"/>
      <c r="AU48" s="363"/>
      <c r="AV48" s="363"/>
      <c r="AW48" s="363"/>
      <c r="AX48" s="363"/>
      <c r="AY48" s="363"/>
      <c r="AZ48" s="363"/>
      <c r="BA48" s="363"/>
      <c r="BB48" s="363"/>
      <c r="BC48" s="363"/>
    </row>
    <row r="49" spans="1:59">
      <c r="A49" s="15" t="s">
        <v>67</v>
      </c>
      <c r="B49" s="15">
        <f>G19*(B47+B48)/1000</f>
        <v>6.1760637747611348E-2</v>
      </c>
      <c r="C49" s="15" t="s">
        <v>18</v>
      </c>
      <c r="E49" s="160"/>
      <c r="AI49" s="363"/>
      <c r="AJ49" s="372"/>
      <c r="AK49" s="363"/>
      <c r="AL49" s="363"/>
      <c r="AM49" s="363"/>
      <c r="AN49" s="363"/>
      <c r="AP49" s="363"/>
      <c r="AQ49" s="363"/>
      <c r="AR49" s="363"/>
      <c r="AS49" s="363"/>
      <c r="AT49" s="363"/>
      <c r="AU49" s="363"/>
      <c r="AV49" s="363"/>
      <c r="AW49" s="363"/>
      <c r="AX49" s="363"/>
      <c r="AY49" s="363"/>
      <c r="AZ49" s="363"/>
      <c r="BA49" s="363"/>
      <c r="BB49" s="363"/>
    </row>
    <row r="50" spans="1:59">
      <c r="A50" s="15" t="s">
        <v>64</v>
      </c>
      <c r="B50" s="74">
        <f>B22-B49</f>
        <v>9.9382393622523892</v>
      </c>
      <c r="C50" s="15" t="s">
        <v>18</v>
      </c>
      <c r="K50" s="81"/>
      <c r="AC50" s="31">
        <f>AC44+Z46</f>
        <v>1.3</v>
      </c>
      <c r="AD50" s="15">
        <f>AC46+Z47</f>
        <v>0</v>
      </c>
      <c r="AI50" s="145"/>
      <c r="AJ50" s="372"/>
      <c r="AK50" s="363"/>
      <c r="AL50" s="363"/>
      <c r="AM50" s="363"/>
      <c r="AN50" s="363"/>
      <c r="AP50" s="363"/>
      <c r="AQ50" s="363"/>
      <c r="AR50" s="363"/>
      <c r="AS50" s="363"/>
      <c r="AT50" s="363"/>
      <c r="AU50" s="363"/>
      <c r="AV50" s="379"/>
      <c r="AW50" s="379"/>
      <c r="AX50" s="379"/>
      <c r="AY50" s="379"/>
      <c r="AZ50" s="379"/>
      <c r="BA50" s="363"/>
      <c r="BB50" s="363"/>
    </row>
    <row r="51" spans="1:59">
      <c r="R51" s="363"/>
      <c r="S51" s="15" t="s">
        <v>27</v>
      </c>
      <c r="U51" s="15" t="s">
        <v>40</v>
      </c>
      <c r="W51" s="15" t="s">
        <v>98</v>
      </c>
      <c r="X51" s="74">
        <f>B50</f>
        <v>9.9382393622523892</v>
      </c>
      <c r="Y51" s="15" t="s">
        <v>18</v>
      </c>
      <c r="AP51" s="363"/>
      <c r="AQ51" s="363"/>
      <c r="AR51" s="363"/>
      <c r="AS51" s="363"/>
      <c r="AT51" s="363"/>
      <c r="AU51" s="363"/>
      <c r="AV51" s="363"/>
      <c r="AW51" s="363"/>
      <c r="AX51" s="363"/>
      <c r="AY51" s="363"/>
      <c r="AZ51" s="363"/>
      <c r="BA51" s="363"/>
      <c r="BB51" s="363"/>
    </row>
    <row r="52" spans="1:59">
      <c r="Q52" s="363"/>
      <c r="R52" s="363"/>
      <c r="S52" s="15" t="s">
        <v>34</v>
      </c>
      <c r="T52" s="15">
        <f>AC25+Z26</f>
        <v>0</v>
      </c>
      <c r="U52" s="76">
        <f>T52/X51</f>
        <v>0</v>
      </c>
      <c r="AP52" s="363"/>
      <c r="AQ52" s="363"/>
      <c r="AR52" s="363"/>
      <c r="AS52" s="363"/>
      <c r="AT52" s="363"/>
      <c r="AU52" s="363"/>
      <c r="AV52" s="363"/>
      <c r="AW52" s="363"/>
      <c r="AX52" s="363"/>
      <c r="AY52" s="363"/>
      <c r="AZ52" s="363"/>
      <c r="BA52" s="363"/>
      <c r="BB52" s="363"/>
    </row>
    <row r="53" spans="1:59">
      <c r="S53" s="15" t="s">
        <v>35</v>
      </c>
      <c r="T53" s="15">
        <f>AC46+Z47</f>
        <v>0</v>
      </c>
      <c r="U53" s="76">
        <f>T53/X51</f>
        <v>0</v>
      </c>
      <c r="AP53" s="363"/>
      <c r="AQ53" s="363"/>
      <c r="AR53" s="363"/>
      <c r="AS53" s="363"/>
      <c r="AT53" s="363"/>
      <c r="AU53" s="363"/>
      <c r="AV53" s="363"/>
      <c r="AW53" s="363"/>
      <c r="AX53" s="363"/>
      <c r="AY53" s="363"/>
      <c r="AZ53" s="363"/>
      <c r="BA53" s="363"/>
      <c r="BB53" s="363"/>
    </row>
    <row r="54" spans="1:59">
      <c r="D54" s="363"/>
      <c r="E54" s="363"/>
      <c r="F54" s="363"/>
      <c r="G54" s="363"/>
      <c r="H54" s="363"/>
      <c r="I54" s="363"/>
      <c r="J54" s="363"/>
      <c r="K54" s="363"/>
      <c r="L54" s="363"/>
      <c r="M54" s="334"/>
      <c r="N54" s="363"/>
      <c r="O54" s="363"/>
      <c r="P54" s="363"/>
      <c r="Q54" s="363"/>
      <c r="R54" s="363"/>
      <c r="S54" s="15" t="s">
        <v>36</v>
      </c>
      <c r="T54" s="363">
        <f>Q44+N45</f>
        <v>8.752065</v>
      </c>
      <c r="U54" s="372">
        <f>T54/X51</f>
        <v>0.88064542229102072</v>
      </c>
      <c r="V54" s="363"/>
      <c r="W54" s="363"/>
      <c r="AN54" s="363"/>
      <c r="AO54" s="363"/>
      <c r="AP54" s="363"/>
      <c r="AQ54" s="363"/>
      <c r="AR54" s="363"/>
      <c r="AS54" s="363"/>
      <c r="AT54" s="363"/>
      <c r="AU54" s="363"/>
      <c r="AV54" s="363"/>
      <c r="AW54" s="363"/>
      <c r="AX54" s="363"/>
      <c r="AY54" s="363"/>
      <c r="AZ54" s="363"/>
      <c r="BA54" s="363"/>
      <c r="BB54" s="363"/>
      <c r="BC54" s="363"/>
      <c r="BD54" s="363"/>
      <c r="BE54" s="363"/>
      <c r="BF54" s="363"/>
      <c r="BG54" s="363"/>
    </row>
    <row r="55" spans="1:59">
      <c r="D55" s="379"/>
      <c r="E55" s="379"/>
      <c r="F55" s="379"/>
      <c r="G55" s="379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63"/>
      <c r="S55" s="15" t="s">
        <v>17</v>
      </c>
      <c r="T55" s="363">
        <f>SUM(T52:T54)</f>
        <v>8.752065</v>
      </c>
      <c r="U55" s="372">
        <f>SUM(U52:U54)</f>
        <v>0.88064542229102072</v>
      </c>
      <c r="V55" s="363"/>
      <c r="W55" s="363"/>
      <c r="X55" s="363"/>
      <c r="Y55" s="363"/>
      <c r="Z55" s="363"/>
      <c r="AN55" s="363"/>
      <c r="AO55" s="363"/>
      <c r="AP55" s="363"/>
      <c r="AQ55" s="363"/>
      <c r="AR55" s="363"/>
      <c r="AS55" s="363"/>
      <c r="AT55" s="363"/>
      <c r="AU55" s="363"/>
      <c r="AV55" s="363"/>
      <c r="AW55" s="363"/>
      <c r="AX55" s="363"/>
      <c r="AY55" s="363"/>
      <c r="AZ55" s="363"/>
      <c r="BA55" s="363"/>
      <c r="BB55" s="363"/>
      <c r="BC55" s="363"/>
      <c r="BD55" s="363"/>
      <c r="BE55" s="363"/>
      <c r="BF55" s="363"/>
      <c r="BG55" s="363"/>
    </row>
    <row r="56" spans="1:59"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15" t="s">
        <v>37</v>
      </c>
      <c r="T56" s="145">
        <f>X51-T55</f>
        <v>1.1861743622523893</v>
      </c>
      <c r="U56" s="372">
        <f>T56/X51</f>
        <v>0.11935457770897925</v>
      </c>
      <c r="V56" s="363"/>
      <c r="W56" s="363"/>
      <c r="X56" s="363"/>
      <c r="Y56" s="363"/>
      <c r="Z56" s="363"/>
      <c r="AN56" s="363"/>
      <c r="AO56" s="363"/>
      <c r="AP56" s="363"/>
      <c r="AQ56" s="363"/>
      <c r="AR56" s="363"/>
      <c r="AS56" s="363"/>
      <c r="AT56" s="363"/>
      <c r="AU56" s="363"/>
      <c r="AV56" s="363"/>
      <c r="AW56" s="363"/>
      <c r="AX56" s="363"/>
      <c r="AY56" s="363"/>
      <c r="AZ56" s="363"/>
      <c r="BA56" s="363"/>
      <c r="BB56" s="363"/>
      <c r="BC56" s="363"/>
      <c r="BD56" s="363"/>
      <c r="BE56" s="363"/>
      <c r="BF56" s="363"/>
      <c r="BG56" s="363"/>
    </row>
    <row r="57" spans="1:59"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T57" s="363"/>
      <c r="U57" s="363"/>
      <c r="V57" s="363"/>
      <c r="W57" s="363"/>
      <c r="X57" s="363"/>
      <c r="Y57" s="363"/>
      <c r="Z57" s="363"/>
      <c r="AN57" s="363"/>
      <c r="AO57" s="363"/>
      <c r="AP57" s="363"/>
      <c r="AQ57" s="363"/>
      <c r="AR57" s="363"/>
      <c r="AS57" s="363"/>
      <c r="AT57" s="363"/>
      <c r="AU57" s="363"/>
      <c r="AV57" s="363"/>
      <c r="AW57" s="363"/>
      <c r="AX57" s="363"/>
      <c r="AY57" s="363"/>
      <c r="AZ57" s="363"/>
      <c r="BA57" s="363"/>
      <c r="BB57" s="363"/>
      <c r="BC57" s="363"/>
      <c r="BD57" s="363"/>
      <c r="BE57" s="363"/>
      <c r="BF57" s="363"/>
      <c r="BG57" s="363"/>
    </row>
    <row r="58" spans="1:59"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W58" s="363"/>
      <c r="X58" s="363"/>
      <c r="Y58" s="363"/>
      <c r="Z58" s="363"/>
      <c r="AN58" s="363"/>
      <c r="AO58" s="363"/>
      <c r="AP58" s="363"/>
      <c r="AQ58" s="363"/>
      <c r="AR58" s="363"/>
      <c r="AS58" s="363"/>
      <c r="AT58" s="363"/>
      <c r="AU58" s="363"/>
      <c r="AV58" s="363"/>
      <c r="AW58" s="363"/>
      <c r="AX58" s="363"/>
      <c r="AY58" s="363"/>
      <c r="AZ58" s="363"/>
      <c r="BA58" s="363"/>
      <c r="BB58" s="363"/>
      <c r="BC58" s="363"/>
      <c r="BD58" s="363"/>
      <c r="BE58" s="363"/>
      <c r="BF58" s="363"/>
      <c r="BG58" s="363"/>
    </row>
    <row r="59" spans="1:59"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  <c r="AA59" s="363"/>
      <c r="AB59" s="363"/>
      <c r="AC59" s="363"/>
      <c r="AD59" s="363"/>
      <c r="AE59" s="363"/>
      <c r="AF59" s="363"/>
      <c r="AG59" s="363"/>
      <c r="AH59" s="363"/>
      <c r="AI59" s="363"/>
      <c r="AJ59" s="363"/>
      <c r="AK59" s="363"/>
      <c r="AL59" s="363"/>
      <c r="AM59" s="363"/>
      <c r="AN59" s="363"/>
      <c r="AO59" s="363"/>
      <c r="AP59" s="363"/>
      <c r="AQ59" s="363"/>
      <c r="AR59" s="363"/>
      <c r="AS59" s="363"/>
      <c r="AT59" s="363"/>
      <c r="AU59" s="363"/>
      <c r="AV59" s="363"/>
      <c r="AW59" s="363"/>
      <c r="AX59" s="363"/>
      <c r="AY59" s="363"/>
      <c r="AZ59" s="363"/>
      <c r="BA59" s="363"/>
      <c r="BB59" s="363"/>
      <c r="BC59" s="363"/>
      <c r="BD59" s="363"/>
      <c r="BE59" s="363"/>
      <c r="BF59" s="363"/>
      <c r="BG59" s="363"/>
    </row>
    <row r="60" spans="1:59"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363"/>
      <c r="AB60" s="363"/>
      <c r="AC60" s="363"/>
      <c r="AD60" s="363"/>
      <c r="AE60" s="363"/>
      <c r="AF60" s="363"/>
      <c r="AG60" s="363"/>
      <c r="AH60" s="363"/>
      <c r="AI60" s="363"/>
      <c r="AJ60" s="363"/>
      <c r="AK60" s="363"/>
      <c r="AL60" s="363"/>
      <c r="AM60" s="363"/>
      <c r="AN60" s="363"/>
      <c r="AO60" s="363"/>
      <c r="AP60" s="363"/>
      <c r="AQ60" s="363"/>
      <c r="AR60" s="363"/>
      <c r="AS60" s="363"/>
      <c r="AT60" s="363"/>
      <c r="AU60" s="363"/>
      <c r="AV60" s="363"/>
      <c r="AW60" s="363"/>
      <c r="AX60" s="363"/>
      <c r="AY60" s="363"/>
      <c r="AZ60" s="363"/>
      <c r="BA60" s="363"/>
      <c r="BB60" s="363"/>
      <c r="BC60" s="363"/>
      <c r="BD60" s="363"/>
      <c r="BE60" s="363"/>
      <c r="BF60" s="363"/>
      <c r="BG60" s="363"/>
    </row>
    <row r="61" spans="1:59"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3"/>
      <c r="AM61" s="363"/>
      <c r="AN61" s="363"/>
      <c r="AO61" s="363"/>
      <c r="AP61" s="363"/>
      <c r="AQ61" s="363"/>
      <c r="AR61" s="363"/>
      <c r="AS61" s="363"/>
      <c r="AT61" s="363"/>
      <c r="AU61" s="363"/>
      <c r="AV61" s="363"/>
      <c r="AW61" s="363"/>
      <c r="AX61" s="363"/>
      <c r="AY61" s="363"/>
      <c r="AZ61" s="363"/>
      <c r="BA61" s="363"/>
      <c r="BB61" s="363"/>
      <c r="BC61" s="363"/>
      <c r="BD61" s="363"/>
      <c r="BE61" s="363"/>
      <c r="BF61" s="363"/>
      <c r="BG61" s="363"/>
    </row>
    <row r="62" spans="1:59"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3"/>
      <c r="P62" s="363"/>
      <c r="Q62" s="363"/>
      <c r="R62" s="363"/>
      <c r="S62" s="363"/>
      <c r="T62" s="363"/>
      <c r="U62" s="363"/>
      <c r="V62" s="363"/>
      <c r="W62" s="363"/>
      <c r="X62" s="363"/>
      <c r="Y62" s="363"/>
      <c r="Z62" s="363"/>
      <c r="AA62" s="363"/>
      <c r="AB62" s="363"/>
      <c r="AC62" s="363"/>
      <c r="AD62" s="363"/>
      <c r="AE62" s="363"/>
      <c r="AF62" s="363"/>
      <c r="AG62" s="363"/>
      <c r="AH62" s="363"/>
      <c r="AI62" s="363"/>
      <c r="AJ62" s="363"/>
      <c r="AK62" s="363"/>
      <c r="AL62" s="363"/>
      <c r="AM62" s="363"/>
      <c r="AN62" s="363"/>
      <c r="AO62" s="363"/>
      <c r="AP62" s="363"/>
      <c r="AQ62" s="363"/>
      <c r="AR62" s="363"/>
      <c r="AS62" s="363"/>
      <c r="AT62" s="363"/>
      <c r="AU62" s="363"/>
      <c r="AV62" s="363"/>
      <c r="AW62" s="363"/>
      <c r="AX62" s="363"/>
      <c r="AY62" s="363"/>
      <c r="AZ62" s="363"/>
      <c r="BA62" s="363"/>
      <c r="BB62" s="363"/>
      <c r="BC62" s="363"/>
      <c r="BD62" s="363"/>
      <c r="BE62" s="363"/>
      <c r="BF62" s="363"/>
      <c r="BG62" s="363"/>
    </row>
    <row r="63" spans="1:59"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63"/>
      <c r="AE63" s="363"/>
      <c r="AF63" s="363"/>
      <c r="AG63" s="363"/>
      <c r="AH63" s="363"/>
      <c r="AI63" s="363"/>
      <c r="AJ63" s="363"/>
      <c r="AK63" s="363"/>
      <c r="AL63" s="363"/>
      <c r="AM63" s="363"/>
      <c r="AN63" s="363"/>
      <c r="AO63" s="363"/>
      <c r="AP63" s="363"/>
      <c r="AQ63" s="363"/>
      <c r="AR63" s="363"/>
      <c r="AS63" s="363"/>
      <c r="AT63" s="363"/>
      <c r="AU63" s="363"/>
      <c r="AV63" s="363"/>
      <c r="AW63" s="363"/>
      <c r="AX63" s="363"/>
      <c r="AY63" s="363"/>
      <c r="AZ63" s="363"/>
      <c r="BA63" s="363"/>
      <c r="BB63" s="363"/>
      <c r="BC63" s="363"/>
      <c r="BD63" s="363"/>
      <c r="BE63" s="363"/>
      <c r="BF63" s="363"/>
      <c r="BG63" s="363"/>
    </row>
    <row r="64" spans="1:59"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  <c r="Z64" s="363"/>
      <c r="AA64" s="363"/>
      <c r="AB64" s="363"/>
      <c r="AC64" s="363"/>
      <c r="AD64" s="363"/>
      <c r="AE64" s="363"/>
      <c r="AF64" s="363"/>
      <c r="AG64" s="363"/>
      <c r="AH64" s="363"/>
      <c r="AI64" s="363"/>
      <c r="AJ64" s="363"/>
      <c r="AK64" s="363"/>
      <c r="AL64" s="363"/>
      <c r="AM64" s="363"/>
      <c r="AN64" s="363"/>
      <c r="AO64" s="363"/>
      <c r="AP64" s="363"/>
      <c r="AQ64" s="363"/>
      <c r="AR64" s="363"/>
      <c r="AS64" s="363"/>
      <c r="AT64" s="363"/>
      <c r="AU64" s="363"/>
      <c r="AV64" s="363"/>
      <c r="AW64" s="363"/>
      <c r="AX64" s="363"/>
      <c r="AY64" s="363"/>
      <c r="AZ64" s="363"/>
      <c r="BA64" s="363"/>
      <c r="BB64" s="363"/>
      <c r="BC64" s="363"/>
      <c r="BD64" s="363"/>
      <c r="BE64" s="363"/>
      <c r="BF64" s="363"/>
      <c r="BG64" s="363"/>
    </row>
    <row r="65" spans="4:59"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3"/>
      <c r="P65" s="363"/>
      <c r="Q65" s="363"/>
      <c r="R65" s="363"/>
      <c r="S65" s="363"/>
      <c r="T65" s="363"/>
      <c r="U65" s="363"/>
      <c r="V65" s="363"/>
      <c r="W65" s="363"/>
      <c r="X65" s="363"/>
      <c r="Y65" s="363"/>
      <c r="Z65" s="363"/>
      <c r="AA65" s="363"/>
      <c r="AB65" s="363"/>
      <c r="AC65" s="363"/>
      <c r="AD65" s="363"/>
      <c r="AE65" s="363"/>
      <c r="AF65" s="363"/>
      <c r="AG65" s="363"/>
      <c r="AH65" s="363"/>
      <c r="AI65" s="363"/>
      <c r="AJ65" s="363"/>
      <c r="AK65" s="363"/>
      <c r="AL65" s="363"/>
      <c r="AM65" s="363"/>
      <c r="AN65" s="363"/>
      <c r="AO65" s="363"/>
      <c r="AP65" s="363"/>
      <c r="AQ65" s="363"/>
      <c r="AR65" s="363"/>
      <c r="AS65" s="363"/>
      <c r="AT65" s="363"/>
      <c r="AU65" s="363"/>
      <c r="AV65" s="363"/>
      <c r="AW65" s="363"/>
      <c r="AX65" s="363"/>
      <c r="AY65" s="363"/>
      <c r="AZ65" s="363"/>
      <c r="BA65" s="363"/>
      <c r="BB65" s="363"/>
      <c r="BC65" s="363"/>
      <c r="BD65" s="363"/>
      <c r="BE65" s="363"/>
      <c r="BF65" s="363"/>
      <c r="BG65" s="363"/>
    </row>
    <row r="66" spans="4:59"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63"/>
      <c r="AB66" s="363"/>
      <c r="AC66" s="363"/>
      <c r="AD66" s="363"/>
      <c r="AE66" s="363"/>
      <c r="AF66" s="363"/>
      <c r="AG66" s="363"/>
      <c r="AH66" s="363"/>
      <c r="AI66" s="363"/>
      <c r="AJ66" s="363"/>
      <c r="AK66" s="363"/>
      <c r="AL66" s="363"/>
      <c r="AM66" s="363"/>
      <c r="AN66" s="363"/>
      <c r="AO66" s="363"/>
      <c r="AP66" s="363"/>
      <c r="AQ66" s="363"/>
      <c r="AR66" s="363"/>
      <c r="AS66" s="363"/>
      <c r="AT66" s="363"/>
      <c r="AU66" s="363"/>
      <c r="AV66" s="363"/>
      <c r="AW66" s="363"/>
      <c r="AX66" s="363"/>
      <c r="AY66" s="363"/>
      <c r="AZ66" s="363"/>
      <c r="BA66" s="363"/>
      <c r="BB66" s="363"/>
      <c r="BC66" s="363"/>
      <c r="BD66" s="363"/>
      <c r="BE66" s="363"/>
      <c r="BF66" s="363"/>
      <c r="BG66" s="363"/>
    </row>
    <row r="67" spans="4:59"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  <c r="AH67" s="363"/>
      <c r="AI67" s="363"/>
      <c r="AJ67" s="363"/>
      <c r="AK67" s="363"/>
      <c r="AL67" s="363"/>
      <c r="AM67" s="363"/>
      <c r="AN67" s="363"/>
      <c r="AO67" s="363"/>
      <c r="AP67" s="363"/>
      <c r="AQ67" s="363"/>
      <c r="AR67" s="363"/>
      <c r="AS67" s="363"/>
      <c r="AT67" s="363"/>
      <c r="AU67" s="363"/>
      <c r="AV67" s="363"/>
      <c r="AW67" s="363"/>
      <c r="AX67" s="363"/>
      <c r="AY67" s="363"/>
      <c r="AZ67" s="363"/>
      <c r="BA67" s="363"/>
      <c r="BB67" s="363"/>
      <c r="BC67" s="363"/>
      <c r="BD67" s="363"/>
      <c r="BE67" s="363"/>
      <c r="BF67" s="363"/>
      <c r="BG67" s="363"/>
    </row>
    <row r="68" spans="4:59"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  <c r="AA68" s="363"/>
      <c r="AB68" s="363"/>
      <c r="AC68" s="363"/>
      <c r="AD68" s="363"/>
      <c r="AE68" s="363"/>
      <c r="AF68" s="363"/>
      <c r="AG68" s="363"/>
      <c r="AH68" s="363"/>
      <c r="AI68" s="363"/>
      <c r="AJ68" s="363"/>
      <c r="AK68" s="363"/>
      <c r="AL68" s="363"/>
      <c r="AM68" s="363"/>
      <c r="AN68" s="363"/>
      <c r="AO68" s="363"/>
      <c r="AP68" s="363"/>
      <c r="AQ68" s="363"/>
      <c r="AR68" s="363"/>
      <c r="AS68" s="363"/>
      <c r="AT68" s="363"/>
      <c r="AU68" s="363"/>
      <c r="AV68" s="363"/>
      <c r="AW68" s="363"/>
      <c r="AX68" s="363"/>
      <c r="AY68" s="363"/>
      <c r="AZ68" s="363"/>
      <c r="BA68" s="363"/>
      <c r="BB68" s="363"/>
      <c r="BC68" s="363"/>
      <c r="BD68" s="363"/>
      <c r="BE68" s="363"/>
      <c r="BF68" s="363"/>
      <c r="BG68" s="363"/>
    </row>
    <row r="69" spans="4:59"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63"/>
      <c r="P69" s="363"/>
      <c r="Q69" s="363"/>
      <c r="R69" s="363"/>
      <c r="S69" s="363"/>
      <c r="T69" s="363"/>
      <c r="U69" s="363"/>
      <c r="V69" s="363"/>
      <c r="W69" s="363"/>
      <c r="X69" s="363"/>
      <c r="Y69" s="363"/>
      <c r="Z69" s="363"/>
      <c r="AA69" s="363"/>
      <c r="AB69" s="363"/>
      <c r="AC69" s="363"/>
      <c r="AD69" s="363"/>
      <c r="AE69" s="363"/>
      <c r="AF69" s="363"/>
      <c r="AG69" s="363"/>
      <c r="AH69" s="363"/>
      <c r="AI69" s="363"/>
      <c r="AJ69" s="363"/>
      <c r="AK69" s="363"/>
      <c r="AL69" s="363"/>
      <c r="AM69" s="363"/>
      <c r="AN69" s="363"/>
      <c r="AO69" s="363"/>
      <c r="AP69" s="363"/>
      <c r="AQ69" s="363"/>
      <c r="AR69" s="363"/>
      <c r="AS69" s="363"/>
      <c r="AT69" s="363"/>
      <c r="AU69" s="363"/>
      <c r="AV69" s="363"/>
      <c r="AW69" s="363"/>
      <c r="AX69" s="363"/>
      <c r="AY69" s="363"/>
      <c r="AZ69" s="363"/>
      <c r="BA69" s="363"/>
      <c r="BB69" s="363"/>
      <c r="BC69" s="363"/>
      <c r="BD69" s="363"/>
      <c r="BE69" s="363"/>
      <c r="BF69" s="363"/>
      <c r="BG69" s="363"/>
    </row>
    <row r="70" spans="4:59"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63"/>
      <c r="AB70" s="363"/>
      <c r="AC70" s="363"/>
      <c r="AD70" s="363"/>
      <c r="AE70" s="363"/>
      <c r="AF70" s="363"/>
      <c r="AG70" s="363"/>
      <c r="AH70" s="363"/>
      <c r="AI70" s="363"/>
      <c r="AJ70" s="363"/>
      <c r="AK70" s="363"/>
      <c r="AL70" s="363"/>
      <c r="AM70" s="363"/>
      <c r="AN70" s="363"/>
      <c r="AO70" s="363"/>
      <c r="AP70" s="363"/>
      <c r="AQ70" s="363"/>
      <c r="AR70" s="363"/>
      <c r="AS70" s="363"/>
      <c r="AT70" s="363"/>
      <c r="AU70" s="363"/>
      <c r="AV70" s="363"/>
      <c r="AW70" s="363"/>
      <c r="AX70" s="363"/>
      <c r="AY70" s="363"/>
      <c r="AZ70" s="363"/>
      <c r="BA70" s="363"/>
      <c r="BB70" s="363"/>
      <c r="BC70" s="363"/>
      <c r="BD70" s="363"/>
      <c r="BE70" s="363"/>
      <c r="BF70" s="363"/>
      <c r="BG70" s="363"/>
    </row>
    <row r="71" spans="4:59"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3"/>
      <c r="P71" s="363"/>
      <c r="Q71" s="363"/>
      <c r="R71" s="363"/>
      <c r="S71" s="363"/>
      <c r="T71" s="363"/>
      <c r="U71" s="363"/>
      <c r="V71" s="363"/>
      <c r="W71" s="363"/>
      <c r="X71" s="363"/>
      <c r="Y71" s="363"/>
      <c r="Z71" s="363"/>
      <c r="AA71" s="363"/>
      <c r="AB71" s="363"/>
      <c r="AC71" s="363"/>
      <c r="AD71" s="363"/>
      <c r="AE71" s="363"/>
      <c r="AF71" s="363"/>
      <c r="AG71" s="363"/>
      <c r="AH71" s="363"/>
      <c r="AI71" s="363"/>
      <c r="AJ71" s="363"/>
      <c r="AK71" s="363"/>
      <c r="AL71" s="363"/>
      <c r="AM71" s="363"/>
      <c r="AN71" s="363"/>
      <c r="AO71" s="363"/>
      <c r="AP71" s="363"/>
      <c r="AQ71" s="363"/>
      <c r="AR71" s="363"/>
      <c r="AS71" s="363"/>
      <c r="AT71" s="363"/>
      <c r="AU71" s="363"/>
      <c r="AV71" s="363"/>
      <c r="AW71" s="363"/>
      <c r="AX71" s="363"/>
      <c r="AY71" s="363"/>
      <c r="AZ71" s="363"/>
      <c r="BA71" s="363"/>
      <c r="BB71" s="363"/>
      <c r="BC71" s="363"/>
      <c r="BD71" s="363"/>
      <c r="BE71" s="363"/>
      <c r="BF71" s="363"/>
      <c r="BG71" s="363"/>
    </row>
    <row r="72" spans="4:59"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  <c r="Z72" s="363"/>
      <c r="AA72" s="363"/>
      <c r="AB72" s="363"/>
      <c r="AC72" s="363"/>
      <c r="AD72" s="363"/>
      <c r="AE72" s="363"/>
      <c r="AF72" s="363"/>
      <c r="AG72" s="363"/>
      <c r="AH72" s="363"/>
      <c r="AI72" s="363"/>
      <c r="AJ72" s="363"/>
      <c r="AK72" s="363"/>
      <c r="AL72" s="363"/>
      <c r="AM72" s="363"/>
      <c r="AN72" s="363"/>
      <c r="AO72" s="363"/>
      <c r="AP72" s="363"/>
      <c r="AQ72" s="363"/>
      <c r="AR72" s="363"/>
      <c r="AS72" s="363"/>
      <c r="AT72" s="363"/>
      <c r="AU72" s="363"/>
      <c r="AV72" s="363"/>
      <c r="AW72" s="363"/>
      <c r="AX72" s="363"/>
      <c r="AY72" s="363"/>
      <c r="AZ72" s="363"/>
      <c r="BA72" s="363"/>
      <c r="BB72" s="363"/>
      <c r="BC72" s="363"/>
      <c r="BD72" s="363"/>
      <c r="BE72" s="363"/>
      <c r="BF72" s="363"/>
      <c r="BG72" s="363"/>
    </row>
    <row r="73" spans="4:59"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63"/>
      <c r="P73" s="363"/>
      <c r="Q73" s="363"/>
      <c r="R73" s="363"/>
      <c r="S73" s="363"/>
      <c r="T73" s="363"/>
      <c r="U73" s="363"/>
      <c r="V73" s="363"/>
      <c r="W73" s="363"/>
      <c r="X73" s="363"/>
      <c r="Y73" s="363"/>
      <c r="Z73" s="363"/>
      <c r="AA73" s="363"/>
      <c r="AB73" s="363"/>
      <c r="AC73" s="363"/>
      <c r="AD73" s="363"/>
      <c r="AE73" s="363"/>
      <c r="AF73" s="363"/>
      <c r="AG73" s="363"/>
      <c r="AH73" s="363"/>
      <c r="AI73" s="363"/>
      <c r="AJ73" s="363"/>
      <c r="AK73" s="363"/>
      <c r="AL73" s="363"/>
      <c r="AM73" s="363"/>
      <c r="AN73" s="363"/>
      <c r="AO73" s="363"/>
      <c r="AP73" s="363"/>
      <c r="AQ73" s="363"/>
      <c r="AR73" s="363"/>
      <c r="AS73" s="363"/>
      <c r="AT73" s="363"/>
      <c r="AU73" s="363"/>
      <c r="AV73" s="363"/>
      <c r="AW73" s="379"/>
      <c r="AX73" s="379"/>
      <c r="AY73" s="363"/>
      <c r="AZ73" s="363"/>
      <c r="BA73" s="363"/>
      <c r="BB73" s="363"/>
      <c r="BC73" s="363"/>
      <c r="BD73" s="363"/>
      <c r="BE73" s="363"/>
      <c r="BF73" s="363"/>
      <c r="BG73" s="363"/>
    </row>
    <row r="74" spans="4:59"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363"/>
      <c r="AN74" s="363"/>
      <c r="AO74" s="363"/>
      <c r="AP74" s="363"/>
      <c r="AQ74" s="363"/>
      <c r="AR74" s="363"/>
      <c r="AS74" s="363"/>
      <c r="AT74" s="363"/>
      <c r="AU74" s="363"/>
      <c r="AV74" s="363"/>
      <c r="AW74" s="363"/>
      <c r="AX74" s="363"/>
      <c r="AY74" s="363"/>
      <c r="AZ74" s="363"/>
      <c r="BA74" s="363"/>
      <c r="BB74" s="363"/>
      <c r="BC74" s="363"/>
      <c r="BD74" s="363"/>
      <c r="BE74" s="363"/>
      <c r="BF74" s="363"/>
      <c r="BG74" s="363"/>
    </row>
    <row r="75" spans="4:59"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  <c r="X75" s="363"/>
      <c r="Y75" s="363"/>
      <c r="Z75" s="363"/>
      <c r="AA75" s="363"/>
      <c r="AB75" s="363"/>
      <c r="AC75" s="363"/>
      <c r="AD75" s="363"/>
      <c r="AE75" s="363"/>
      <c r="AF75" s="363"/>
      <c r="AG75" s="363"/>
      <c r="AH75" s="363"/>
      <c r="AI75" s="363"/>
      <c r="AJ75" s="363"/>
      <c r="AK75" s="363"/>
      <c r="AL75" s="363"/>
      <c r="AM75" s="363"/>
      <c r="AN75" s="363"/>
      <c r="AO75" s="363"/>
      <c r="AP75" s="363"/>
      <c r="AQ75" s="363"/>
      <c r="AR75" s="363"/>
      <c r="AS75" s="363"/>
      <c r="AT75" s="363"/>
      <c r="AU75" s="363"/>
      <c r="AV75" s="363"/>
      <c r="AW75" s="363"/>
      <c r="AX75" s="363"/>
      <c r="AY75" s="363"/>
      <c r="AZ75" s="363"/>
      <c r="BA75" s="363"/>
      <c r="BB75" s="363"/>
      <c r="BC75" s="363"/>
      <c r="BD75" s="363"/>
      <c r="BE75" s="363"/>
      <c r="BF75" s="363"/>
      <c r="BG75" s="363"/>
    </row>
    <row r="76" spans="4:59"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3"/>
      <c r="P76" s="363"/>
      <c r="Q76" s="363"/>
      <c r="R76" s="363"/>
      <c r="S76" s="363"/>
      <c r="T76" s="363"/>
      <c r="U76" s="363"/>
      <c r="V76" s="363"/>
      <c r="W76" s="363"/>
      <c r="X76" s="363"/>
      <c r="Y76" s="363"/>
      <c r="Z76" s="363"/>
      <c r="AA76" s="363"/>
      <c r="AB76" s="363"/>
      <c r="AC76" s="363"/>
      <c r="AD76" s="363"/>
      <c r="AE76" s="363"/>
      <c r="AF76" s="363"/>
      <c r="AG76" s="363"/>
      <c r="AH76" s="363"/>
      <c r="AI76" s="363"/>
      <c r="AJ76" s="363"/>
      <c r="AK76" s="363"/>
      <c r="AL76" s="363"/>
      <c r="AM76" s="363"/>
      <c r="AN76" s="363"/>
      <c r="AO76" s="363"/>
      <c r="AP76" s="363"/>
      <c r="AQ76" s="363"/>
      <c r="AR76" s="363"/>
      <c r="AS76" s="363"/>
      <c r="AT76" s="363"/>
      <c r="AU76" s="363"/>
      <c r="AV76" s="363"/>
      <c r="AW76" s="363"/>
      <c r="AX76" s="363"/>
      <c r="AY76" s="363"/>
      <c r="AZ76" s="363"/>
      <c r="BA76" s="363"/>
      <c r="BB76" s="363"/>
      <c r="BC76" s="363"/>
      <c r="BD76" s="363"/>
      <c r="BE76" s="363"/>
      <c r="BF76" s="363"/>
      <c r="BG76" s="363"/>
    </row>
    <row r="77" spans="4:59"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63"/>
      <c r="W77" s="363"/>
      <c r="X77" s="363"/>
      <c r="Y77" s="363"/>
      <c r="Z77" s="363"/>
      <c r="AA77" s="363"/>
      <c r="AB77" s="363"/>
      <c r="AC77" s="363"/>
      <c r="AD77" s="363"/>
      <c r="AE77" s="363"/>
      <c r="AF77" s="363"/>
      <c r="AG77" s="363"/>
      <c r="AH77" s="363"/>
      <c r="AI77" s="363"/>
      <c r="AJ77" s="363"/>
      <c r="AK77" s="363"/>
      <c r="AL77" s="363"/>
      <c r="AM77" s="363"/>
      <c r="AN77" s="363"/>
      <c r="AO77" s="363"/>
      <c r="AP77" s="363"/>
      <c r="AQ77" s="363"/>
      <c r="AR77" s="363"/>
      <c r="AS77" s="363"/>
      <c r="AT77" s="363"/>
      <c r="AU77" s="363"/>
      <c r="AV77" s="363"/>
      <c r="AW77" s="363"/>
      <c r="AX77" s="363"/>
      <c r="AY77" s="363"/>
      <c r="AZ77" s="363"/>
      <c r="BA77" s="363"/>
      <c r="BB77" s="363"/>
      <c r="BC77" s="363"/>
      <c r="BD77" s="363"/>
      <c r="BE77" s="363"/>
      <c r="BF77" s="363"/>
      <c r="BG77" s="363"/>
    </row>
    <row r="78" spans="4:59"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  <c r="AA78" s="363"/>
      <c r="AB78" s="363"/>
      <c r="AC78" s="363"/>
      <c r="AD78" s="363"/>
      <c r="AE78" s="363"/>
      <c r="AF78" s="363"/>
      <c r="AG78" s="363"/>
      <c r="AH78" s="363"/>
      <c r="AI78" s="363"/>
      <c r="AJ78" s="363"/>
      <c r="AK78" s="363"/>
      <c r="AL78" s="363"/>
      <c r="AM78" s="363"/>
      <c r="AN78" s="363"/>
      <c r="AO78" s="363"/>
      <c r="AP78" s="363"/>
      <c r="AQ78" s="363"/>
      <c r="AR78" s="363"/>
      <c r="AS78" s="363"/>
      <c r="AT78" s="363"/>
      <c r="AU78" s="363"/>
      <c r="AV78" s="363"/>
      <c r="AW78" s="363"/>
      <c r="AX78" s="363"/>
      <c r="AY78" s="363"/>
      <c r="AZ78" s="363"/>
      <c r="BA78" s="363"/>
      <c r="BB78" s="363"/>
      <c r="BC78" s="363"/>
      <c r="BD78" s="363"/>
      <c r="BE78" s="363"/>
      <c r="BF78" s="363"/>
      <c r="BG78" s="363"/>
    </row>
    <row r="79" spans="4:59"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63"/>
      <c r="X79" s="363"/>
      <c r="Y79" s="363"/>
      <c r="Z79" s="363"/>
      <c r="AA79" s="363"/>
      <c r="AB79" s="363"/>
      <c r="AC79" s="363"/>
      <c r="AD79" s="363"/>
      <c r="AE79" s="363"/>
      <c r="AF79" s="363"/>
      <c r="AG79" s="363"/>
      <c r="AH79" s="363"/>
      <c r="AI79" s="363"/>
      <c r="AJ79" s="363"/>
      <c r="AK79" s="363"/>
      <c r="AL79" s="363"/>
      <c r="AM79" s="363"/>
      <c r="AN79" s="363"/>
      <c r="AO79" s="363"/>
      <c r="AP79" s="363"/>
      <c r="AQ79" s="363"/>
      <c r="AR79" s="363"/>
      <c r="AS79" s="363"/>
      <c r="AT79" s="363"/>
      <c r="AU79" s="363"/>
      <c r="AV79" s="363"/>
      <c r="AW79" s="363"/>
      <c r="AX79" s="363"/>
      <c r="AY79" s="363"/>
      <c r="AZ79" s="363"/>
      <c r="BA79" s="363"/>
      <c r="BB79" s="363"/>
      <c r="BC79" s="363"/>
      <c r="BD79" s="363"/>
      <c r="BE79" s="363"/>
      <c r="BF79" s="363"/>
      <c r="BG79" s="363"/>
    </row>
    <row r="80" spans="4:59"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63"/>
      <c r="AB80" s="363"/>
      <c r="AC80" s="363"/>
      <c r="AD80" s="363"/>
      <c r="AE80" s="363"/>
      <c r="AF80" s="363"/>
      <c r="AG80" s="363"/>
      <c r="AH80" s="363"/>
      <c r="AI80" s="363"/>
      <c r="AJ80" s="363"/>
      <c r="AK80" s="363"/>
      <c r="AL80" s="363"/>
      <c r="AM80" s="363"/>
      <c r="AN80" s="363"/>
      <c r="AO80" s="363"/>
      <c r="AP80" s="363"/>
      <c r="AQ80" s="363"/>
      <c r="AR80" s="363"/>
      <c r="AS80" s="363"/>
      <c r="AT80" s="363"/>
      <c r="AU80" s="363"/>
      <c r="AV80" s="363"/>
      <c r="AW80" s="363"/>
      <c r="AX80" s="363"/>
      <c r="AY80" s="363"/>
      <c r="AZ80" s="363"/>
      <c r="BA80" s="363"/>
      <c r="BB80" s="363"/>
      <c r="BC80" s="363"/>
      <c r="BD80" s="363"/>
      <c r="BE80" s="363"/>
      <c r="BF80" s="363"/>
      <c r="BG80" s="363"/>
    </row>
    <row r="81" spans="4:59"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363"/>
      <c r="AG81" s="363"/>
      <c r="AH81" s="363"/>
      <c r="AI81" s="363"/>
      <c r="AJ81" s="363"/>
      <c r="AK81" s="363"/>
      <c r="AL81" s="363"/>
      <c r="AM81" s="363"/>
      <c r="AN81" s="363"/>
      <c r="AO81" s="363"/>
      <c r="AP81" s="363"/>
      <c r="AQ81" s="363"/>
      <c r="AR81" s="363"/>
      <c r="AS81" s="363"/>
      <c r="AT81" s="363"/>
      <c r="AU81" s="363"/>
      <c r="AV81" s="363"/>
      <c r="AW81" s="363"/>
      <c r="AX81" s="363"/>
      <c r="AY81" s="363"/>
      <c r="AZ81" s="363"/>
      <c r="BA81" s="363"/>
      <c r="BB81" s="363"/>
      <c r="BC81" s="363"/>
      <c r="BD81" s="363"/>
      <c r="BE81" s="363"/>
      <c r="BF81" s="363"/>
      <c r="BG81" s="363"/>
    </row>
    <row r="82" spans="4:59"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  <c r="AA82" s="363"/>
      <c r="AB82" s="363"/>
      <c r="AC82" s="363"/>
      <c r="AD82" s="363"/>
      <c r="AE82" s="363"/>
      <c r="AF82" s="363"/>
      <c r="AG82" s="363"/>
      <c r="AH82" s="363"/>
      <c r="AI82" s="363"/>
      <c r="AJ82" s="363"/>
      <c r="AK82" s="363"/>
      <c r="AL82" s="363"/>
      <c r="AM82" s="363"/>
      <c r="AN82" s="363"/>
      <c r="AO82" s="363"/>
      <c r="AP82" s="363"/>
      <c r="AQ82" s="363"/>
      <c r="AR82" s="363"/>
      <c r="AS82" s="363"/>
      <c r="AT82" s="363"/>
      <c r="AU82" s="363"/>
      <c r="AV82" s="363"/>
      <c r="AW82" s="363"/>
      <c r="AX82" s="363"/>
      <c r="AY82" s="363"/>
      <c r="AZ82" s="363"/>
      <c r="BA82" s="363"/>
      <c r="BB82" s="363"/>
      <c r="BC82" s="363"/>
      <c r="BD82" s="363"/>
      <c r="BE82" s="363"/>
      <c r="BF82" s="363"/>
      <c r="BG82" s="363"/>
    </row>
    <row r="83" spans="4:59"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  <c r="AG83" s="363"/>
      <c r="AH83" s="363"/>
      <c r="AI83" s="363"/>
      <c r="AJ83" s="363"/>
      <c r="AK83" s="363"/>
      <c r="AL83" s="363"/>
      <c r="AM83" s="363"/>
      <c r="AN83" s="363"/>
      <c r="AO83" s="363"/>
      <c r="AP83" s="363"/>
      <c r="AQ83" s="363"/>
      <c r="AR83" s="363"/>
      <c r="AS83" s="363"/>
      <c r="AT83" s="363"/>
      <c r="AU83" s="363"/>
      <c r="AV83" s="363"/>
      <c r="AW83" s="363"/>
      <c r="AX83" s="363"/>
      <c r="AY83" s="363"/>
      <c r="AZ83" s="363"/>
      <c r="BA83" s="363"/>
      <c r="BB83" s="363"/>
      <c r="BC83" s="363"/>
      <c r="BD83" s="363"/>
      <c r="BE83" s="363"/>
      <c r="BF83" s="363"/>
      <c r="BG83" s="363"/>
    </row>
    <row r="84" spans="4:59"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63"/>
      <c r="W84" s="363"/>
      <c r="X84" s="363"/>
      <c r="Y84" s="363"/>
      <c r="Z84" s="363"/>
      <c r="AA84" s="363"/>
      <c r="AB84" s="363"/>
      <c r="AC84" s="363"/>
      <c r="AD84" s="363"/>
      <c r="AE84" s="363"/>
      <c r="AF84" s="363"/>
      <c r="AG84" s="363"/>
      <c r="AH84" s="363"/>
      <c r="AI84" s="363"/>
      <c r="AJ84" s="363"/>
      <c r="AK84" s="363"/>
      <c r="AL84" s="363"/>
      <c r="AM84" s="363"/>
      <c r="AN84" s="363"/>
      <c r="AO84" s="363"/>
      <c r="AP84" s="363"/>
      <c r="AQ84" s="363"/>
      <c r="AR84" s="363"/>
      <c r="AS84" s="363"/>
      <c r="AT84" s="363"/>
      <c r="AU84" s="363"/>
      <c r="AV84" s="363"/>
      <c r="AW84" s="363"/>
      <c r="AX84" s="363"/>
      <c r="AY84" s="363"/>
      <c r="AZ84" s="363"/>
      <c r="BA84" s="363"/>
      <c r="BB84" s="363"/>
      <c r="BC84" s="363"/>
      <c r="BD84" s="363"/>
      <c r="BE84" s="363"/>
      <c r="BF84" s="363"/>
      <c r="BG84" s="363"/>
    </row>
    <row r="85" spans="4:59"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63"/>
      <c r="P85" s="363"/>
      <c r="Q85" s="363"/>
      <c r="R85" s="363"/>
      <c r="S85" s="363"/>
      <c r="T85" s="363"/>
      <c r="U85" s="363"/>
      <c r="V85" s="363"/>
      <c r="W85" s="363"/>
      <c r="X85" s="363"/>
      <c r="Y85" s="363"/>
      <c r="Z85" s="363"/>
      <c r="AA85" s="363"/>
      <c r="AB85" s="363"/>
      <c r="AC85" s="363"/>
      <c r="AD85" s="363"/>
      <c r="AE85" s="363"/>
      <c r="AF85" s="363"/>
      <c r="AG85" s="363"/>
      <c r="AH85" s="363"/>
      <c r="AI85" s="363"/>
      <c r="AJ85" s="363"/>
      <c r="AK85" s="363"/>
      <c r="AL85" s="363"/>
      <c r="AM85" s="363"/>
      <c r="AN85" s="363"/>
      <c r="AO85" s="363"/>
      <c r="AP85" s="363"/>
      <c r="AQ85" s="363"/>
      <c r="AR85" s="363"/>
      <c r="AS85" s="363"/>
      <c r="AT85" s="363"/>
      <c r="AU85" s="363"/>
      <c r="AV85" s="363"/>
      <c r="AW85" s="363"/>
      <c r="AX85" s="363"/>
      <c r="AY85" s="363"/>
      <c r="AZ85" s="363"/>
      <c r="BA85" s="363"/>
      <c r="BB85" s="363"/>
      <c r="BC85" s="363"/>
      <c r="BD85" s="363"/>
      <c r="BE85" s="363"/>
      <c r="BF85" s="363"/>
      <c r="BG85" s="363"/>
    </row>
    <row r="86" spans="4:59"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/>
      <c r="AF86" s="363"/>
      <c r="AG86" s="363"/>
      <c r="AH86" s="363"/>
      <c r="AI86" s="363"/>
      <c r="AJ86" s="363"/>
      <c r="AK86" s="363"/>
      <c r="AL86" s="363"/>
      <c r="AM86" s="363"/>
      <c r="AN86" s="363"/>
      <c r="AO86" s="363"/>
      <c r="AP86" s="363"/>
      <c r="AQ86" s="363"/>
      <c r="AR86" s="363"/>
      <c r="AS86" s="363"/>
      <c r="AT86" s="363"/>
      <c r="AU86" s="363"/>
      <c r="AV86" s="363"/>
      <c r="AW86" s="363"/>
      <c r="AX86" s="363"/>
      <c r="AY86" s="363"/>
      <c r="AZ86" s="363"/>
      <c r="BA86" s="363"/>
      <c r="BB86" s="363"/>
      <c r="BC86" s="363"/>
      <c r="BD86" s="363"/>
      <c r="BE86" s="363"/>
      <c r="BF86" s="363"/>
      <c r="BG86" s="363"/>
    </row>
    <row r="87" spans="4:59"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/>
      <c r="AD87" s="363"/>
      <c r="AE87" s="363"/>
      <c r="AF87" s="363"/>
      <c r="AG87" s="363"/>
      <c r="AH87" s="363"/>
      <c r="AI87" s="363"/>
      <c r="AJ87" s="363"/>
      <c r="AK87" s="363"/>
      <c r="AL87" s="363"/>
      <c r="AM87" s="363"/>
      <c r="AN87" s="363"/>
      <c r="AO87" s="363"/>
      <c r="AP87" s="363"/>
      <c r="AQ87" s="363"/>
      <c r="AR87" s="363"/>
      <c r="AS87" s="363"/>
      <c r="AT87" s="363"/>
      <c r="AU87" s="363"/>
      <c r="AV87" s="363"/>
      <c r="AW87" s="363"/>
      <c r="AX87" s="363"/>
      <c r="AY87" s="363"/>
      <c r="AZ87" s="363"/>
      <c r="BA87" s="363"/>
      <c r="BB87" s="363"/>
      <c r="BC87" s="363"/>
      <c r="BD87" s="363"/>
      <c r="BE87" s="363"/>
      <c r="BF87" s="363"/>
      <c r="BG87" s="363"/>
    </row>
    <row r="88" spans="4:59"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  <c r="AA88" s="363"/>
      <c r="AB88" s="363"/>
      <c r="AC88" s="363"/>
      <c r="AD88" s="363"/>
      <c r="AE88" s="363"/>
      <c r="AF88" s="363"/>
      <c r="AG88" s="363"/>
      <c r="AH88" s="363"/>
      <c r="AI88" s="363"/>
      <c r="AJ88" s="363"/>
      <c r="AK88" s="363"/>
      <c r="AL88" s="363"/>
      <c r="AM88" s="363"/>
      <c r="AN88" s="363"/>
      <c r="AO88" s="363"/>
      <c r="AP88" s="363"/>
      <c r="AQ88" s="363"/>
      <c r="AR88" s="363"/>
      <c r="AS88" s="363"/>
      <c r="AT88" s="363"/>
      <c r="AU88" s="363"/>
      <c r="AV88" s="363"/>
      <c r="AW88" s="363"/>
      <c r="AX88" s="363"/>
      <c r="AY88" s="363"/>
      <c r="AZ88" s="363"/>
      <c r="BA88" s="363"/>
      <c r="BB88" s="363"/>
      <c r="BC88" s="363"/>
      <c r="BD88" s="363"/>
      <c r="BE88" s="363"/>
      <c r="BF88" s="363"/>
      <c r="BG88" s="363"/>
    </row>
    <row r="89" spans="4:59"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  <c r="AN89" s="363"/>
      <c r="AO89" s="363"/>
      <c r="AP89" s="363"/>
      <c r="AQ89" s="363"/>
      <c r="AR89" s="363"/>
      <c r="AS89" s="363"/>
      <c r="AT89" s="363"/>
      <c r="AU89" s="363"/>
      <c r="AV89" s="363"/>
      <c r="AW89" s="363"/>
      <c r="AX89" s="363"/>
      <c r="AY89" s="363"/>
      <c r="AZ89" s="363"/>
      <c r="BA89" s="363"/>
      <c r="BB89" s="363"/>
      <c r="BC89" s="363"/>
      <c r="BD89" s="363"/>
      <c r="BE89" s="363"/>
      <c r="BF89" s="363"/>
      <c r="BG89" s="363"/>
    </row>
    <row r="90" spans="4:59"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  <c r="AN90" s="363"/>
      <c r="AO90" s="363"/>
      <c r="AP90" s="363"/>
      <c r="AQ90" s="363"/>
      <c r="AR90" s="363"/>
      <c r="AS90" s="363"/>
      <c r="AT90" s="363"/>
      <c r="AU90" s="363"/>
      <c r="AV90" s="363"/>
      <c r="AW90" s="363"/>
      <c r="AX90" s="363"/>
      <c r="AY90" s="363"/>
      <c r="AZ90" s="363"/>
      <c r="BA90" s="363"/>
      <c r="BB90" s="363"/>
      <c r="BC90" s="363"/>
      <c r="BD90" s="363"/>
      <c r="BE90" s="363"/>
      <c r="BF90" s="363"/>
      <c r="BG90" s="363"/>
    </row>
    <row r="91" spans="4:59"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3"/>
      <c r="AG91" s="363"/>
      <c r="AH91" s="363"/>
      <c r="AI91" s="363"/>
      <c r="AJ91" s="363"/>
      <c r="AK91" s="363"/>
      <c r="AL91" s="363"/>
      <c r="AM91" s="363"/>
      <c r="AN91" s="363"/>
      <c r="AO91" s="363"/>
      <c r="AP91" s="363"/>
      <c r="AQ91" s="363"/>
      <c r="AR91" s="363"/>
      <c r="AS91" s="363"/>
      <c r="AT91" s="363"/>
      <c r="AU91" s="363"/>
      <c r="AV91" s="363"/>
      <c r="AW91" s="363"/>
      <c r="AX91" s="363"/>
      <c r="AY91" s="363"/>
      <c r="AZ91" s="363"/>
      <c r="BA91" s="363"/>
      <c r="BB91" s="363"/>
      <c r="BC91" s="363"/>
      <c r="BD91" s="363"/>
      <c r="BE91" s="363"/>
      <c r="BF91" s="363"/>
      <c r="BG91" s="363"/>
    </row>
    <row r="92" spans="4:59"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  <c r="AN92" s="363"/>
      <c r="AO92" s="363"/>
      <c r="AP92" s="363"/>
      <c r="AQ92" s="363"/>
      <c r="AR92" s="363"/>
      <c r="AS92" s="363"/>
      <c r="AT92" s="363"/>
      <c r="AU92" s="363"/>
      <c r="AV92" s="363"/>
      <c r="AW92" s="363"/>
      <c r="AX92" s="363"/>
      <c r="AY92" s="363"/>
      <c r="AZ92" s="363"/>
      <c r="BA92" s="363"/>
      <c r="BB92" s="363"/>
      <c r="BC92" s="363"/>
      <c r="BD92" s="363"/>
      <c r="BE92" s="363"/>
      <c r="BF92" s="363"/>
      <c r="BG92" s="363"/>
    </row>
    <row r="93" spans="4:59"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63"/>
      <c r="AB93" s="363"/>
      <c r="AC93" s="363"/>
      <c r="AD93" s="363"/>
      <c r="AE93" s="363"/>
      <c r="AF93" s="363"/>
      <c r="AG93" s="363"/>
      <c r="AH93" s="363"/>
      <c r="AI93" s="363"/>
      <c r="AJ93" s="363"/>
      <c r="AK93" s="363"/>
      <c r="AL93" s="363"/>
      <c r="AM93" s="363"/>
      <c r="AN93" s="363"/>
      <c r="AO93" s="363"/>
      <c r="AP93" s="363"/>
      <c r="AQ93" s="363"/>
      <c r="AR93" s="363"/>
      <c r="AS93" s="363"/>
      <c r="AT93" s="363"/>
      <c r="AU93" s="363"/>
      <c r="AV93" s="363"/>
      <c r="AW93" s="363"/>
      <c r="AX93" s="363"/>
      <c r="AY93" s="363"/>
      <c r="AZ93" s="363"/>
      <c r="BA93" s="363"/>
      <c r="BB93" s="363"/>
      <c r="BC93" s="363"/>
      <c r="BD93" s="363"/>
      <c r="BE93" s="363"/>
      <c r="BF93" s="363"/>
      <c r="BG93" s="363"/>
    </row>
    <row r="94" spans="4:59"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3"/>
      <c r="AG94" s="363"/>
      <c r="AH94" s="363"/>
      <c r="AI94" s="363"/>
      <c r="AJ94" s="363"/>
      <c r="AK94" s="363"/>
      <c r="AL94" s="363"/>
      <c r="AM94" s="363"/>
      <c r="AN94" s="363"/>
      <c r="AO94" s="363"/>
      <c r="AP94" s="363"/>
      <c r="AQ94" s="363"/>
      <c r="AR94" s="363"/>
      <c r="AS94" s="363"/>
      <c r="AT94" s="363"/>
      <c r="AU94" s="363"/>
      <c r="AV94" s="363"/>
      <c r="AW94" s="363"/>
      <c r="AX94" s="363"/>
      <c r="AY94" s="363"/>
      <c r="AZ94" s="363"/>
      <c r="BA94" s="363"/>
      <c r="BB94" s="363"/>
      <c r="BC94" s="363"/>
      <c r="BD94" s="363"/>
      <c r="BE94" s="363"/>
      <c r="BF94" s="363"/>
      <c r="BG94" s="363"/>
    </row>
    <row r="95" spans="4:59">
      <c r="D95" s="363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3"/>
      <c r="Y95" s="363"/>
      <c r="Z95" s="363"/>
      <c r="AA95" s="363"/>
      <c r="AB95" s="363"/>
      <c r="AC95" s="363"/>
      <c r="AD95" s="363"/>
      <c r="AE95" s="363"/>
      <c r="AF95" s="363"/>
      <c r="AG95" s="363"/>
      <c r="AH95" s="363"/>
      <c r="AI95" s="363"/>
      <c r="AJ95" s="363"/>
      <c r="AK95" s="363"/>
      <c r="AL95" s="363"/>
      <c r="AM95" s="363"/>
      <c r="AN95" s="363"/>
      <c r="AO95" s="363"/>
      <c r="AP95" s="363"/>
      <c r="AQ95" s="363"/>
      <c r="AR95" s="363"/>
      <c r="AS95" s="363"/>
      <c r="AT95" s="363"/>
      <c r="AU95" s="363"/>
      <c r="AV95" s="363"/>
      <c r="AW95" s="363"/>
      <c r="AX95" s="363"/>
      <c r="AY95" s="363"/>
      <c r="AZ95" s="363"/>
      <c r="BA95" s="363"/>
      <c r="BB95" s="363"/>
      <c r="BC95" s="363"/>
      <c r="BD95" s="363"/>
      <c r="BE95" s="363"/>
      <c r="BF95" s="363"/>
      <c r="BG95" s="363"/>
    </row>
    <row r="96" spans="4:59">
      <c r="D96" s="363"/>
      <c r="E96" s="363"/>
      <c r="F96" s="363"/>
      <c r="G96" s="363"/>
      <c r="H96" s="363"/>
      <c r="I96" s="363"/>
      <c r="J96" s="363"/>
      <c r="K96" s="363"/>
      <c r="L96" s="363"/>
      <c r="M96" s="363"/>
      <c r="N96" s="363"/>
      <c r="O96" s="363"/>
      <c r="P96" s="363"/>
      <c r="Q96" s="363"/>
      <c r="R96" s="363"/>
      <c r="S96" s="363"/>
      <c r="T96" s="363"/>
      <c r="U96" s="363"/>
      <c r="V96" s="363"/>
      <c r="W96" s="363"/>
      <c r="X96" s="363"/>
      <c r="Y96" s="363"/>
      <c r="Z96" s="363"/>
      <c r="AA96" s="363"/>
      <c r="AB96" s="363"/>
      <c r="AC96" s="363"/>
      <c r="AD96" s="363"/>
      <c r="AE96" s="363"/>
      <c r="AF96" s="363"/>
      <c r="AG96" s="363"/>
      <c r="AH96" s="363"/>
      <c r="AI96" s="363"/>
      <c r="AJ96" s="363"/>
      <c r="AK96" s="363"/>
      <c r="AL96" s="363"/>
      <c r="AM96" s="363"/>
      <c r="AN96" s="363"/>
      <c r="AO96" s="363"/>
      <c r="AP96" s="363"/>
      <c r="AQ96" s="363"/>
      <c r="AR96" s="363"/>
      <c r="AS96" s="363"/>
      <c r="AT96" s="363"/>
      <c r="AU96" s="363"/>
      <c r="AV96" s="363"/>
      <c r="AW96" s="363"/>
      <c r="AX96" s="363"/>
      <c r="AY96" s="363"/>
      <c r="AZ96" s="363"/>
      <c r="BA96" s="363"/>
      <c r="BB96" s="363"/>
      <c r="BC96" s="363"/>
      <c r="BD96" s="363"/>
      <c r="BE96" s="363"/>
      <c r="BF96" s="363"/>
      <c r="BG96" s="363"/>
    </row>
    <row r="97" spans="4:59">
      <c r="D97" s="363"/>
      <c r="E97" s="363"/>
      <c r="F97" s="363"/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363"/>
      <c r="R97" s="363"/>
      <c r="S97" s="363"/>
      <c r="T97" s="363"/>
      <c r="U97" s="363"/>
      <c r="V97" s="363"/>
      <c r="W97" s="363"/>
      <c r="X97" s="363"/>
      <c r="Y97" s="363"/>
      <c r="Z97" s="363"/>
      <c r="AA97" s="363"/>
      <c r="AB97" s="363"/>
      <c r="AC97" s="363"/>
      <c r="AD97" s="363"/>
      <c r="AE97" s="363"/>
      <c r="AF97" s="363"/>
      <c r="AG97" s="363"/>
      <c r="AH97" s="363"/>
      <c r="AI97" s="363"/>
      <c r="AJ97" s="363"/>
      <c r="AK97" s="363"/>
      <c r="AL97" s="363"/>
      <c r="AM97" s="363"/>
      <c r="AN97" s="363"/>
      <c r="AO97" s="363"/>
      <c r="AP97" s="363"/>
      <c r="AQ97" s="363"/>
      <c r="AR97" s="363"/>
      <c r="AS97" s="363"/>
      <c r="AT97" s="363"/>
      <c r="AU97" s="363"/>
      <c r="AV97" s="363"/>
      <c r="AW97" s="363"/>
      <c r="AX97" s="363"/>
      <c r="AY97" s="363"/>
      <c r="AZ97" s="363"/>
      <c r="BA97" s="363"/>
      <c r="BB97" s="363"/>
      <c r="BC97" s="363"/>
      <c r="BD97" s="363"/>
      <c r="BE97" s="363"/>
      <c r="BF97" s="363"/>
      <c r="BG97" s="363"/>
    </row>
    <row r="98" spans="4:59">
      <c r="D98" s="363"/>
      <c r="E98" s="363"/>
      <c r="F98" s="363"/>
      <c r="G98" s="363"/>
      <c r="H98" s="363"/>
      <c r="I98" s="363"/>
      <c r="J98" s="363"/>
      <c r="K98" s="363"/>
      <c r="L98" s="363"/>
      <c r="M98" s="363"/>
      <c r="N98" s="363"/>
      <c r="O98" s="363"/>
      <c r="P98" s="363"/>
      <c r="Q98" s="363"/>
      <c r="R98" s="363"/>
      <c r="S98" s="363"/>
      <c r="T98" s="363"/>
      <c r="U98" s="363"/>
      <c r="V98" s="363"/>
      <c r="W98" s="363"/>
      <c r="X98" s="363"/>
      <c r="Y98" s="363"/>
      <c r="Z98" s="363"/>
      <c r="AA98" s="363"/>
      <c r="AB98" s="363"/>
      <c r="AC98" s="363"/>
      <c r="AD98" s="363"/>
      <c r="AE98" s="363"/>
      <c r="AF98" s="363"/>
      <c r="AG98" s="363"/>
      <c r="AH98" s="363"/>
      <c r="AI98" s="363"/>
      <c r="AJ98" s="363"/>
      <c r="AK98" s="363"/>
      <c r="AL98" s="363"/>
      <c r="AM98" s="363"/>
      <c r="AN98" s="363"/>
      <c r="AO98" s="363"/>
      <c r="AP98" s="363"/>
      <c r="AQ98" s="363"/>
      <c r="AR98" s="363"/>
      <c r="AS98" s="363"/>
      <c r="AT98" s="363"/>
      <c r="AU98" s="363"/>
      <c r="AV98" s="363"/>
      <c r="AW98" s="363"/>
      <c r="AX98" s="363"/>
      <c r="AY98" s="363"/>
      <c r="AZ98" s="363"/>
      <c r="BA98" s="363"/>
      <c r="BB98" s="363"/>
      <c r="BC98" s="363"/>
      <c r="BD98" s="363"/>
      <c r="BE98" s="363"/>
      <c r="BF98" s="363"/>
      <c r="BG98" s="363"/>
    </row>
    <row r="99" spans="4:59"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63"/>
      <c r="P99" s="363"/>
      <c r="Q99" s="363"/>
      <c r="R99" s="363"/>
      <c r="S99" s="363"/>
      <c r="T99" s="363"/>
      <c r="U99" s="363"/>
      <c r="V99" s="363"/>
      <c r="W99" s="363"/>
      <c r="X99" s="363"/>
      <c r="Y99" s="363"/>
      <c r="Z99" s="363"/>
      <c r="AA99" s="363"/>
      <c r="AB99" s="363"/>
      <c r="AC99" s="363"/>
      <c r="AD99" s="363"/>
      <c r="AE99" s="363"/>
      <c r="AF99" s="363"/>
      <c r="AG99" s="363"/>
      <c r="AH99" s="363"/>
      <c r="AI99" s="363"/>
      <c r="AJ99" s="363"/>
      <c r="AK99" s="363"/>
      <c r="AL99" s="363"/>
      <c r="AM99" s="363"/>
      <c r="AN99" s="363"/>
      <c r="AO99" s="363"/>
      <c r="AP99" s="363"/>
      <c r="AQ99" s="363"/>
      <c r="AR99" s="363"/>
      <c r="AS99" s="363"/>
      <c r="AT99" s="363"/>
      <c r="AU99" s="363"/>
      <c r="AV99" s="363"/>
      <c r="AW99" s="363"/>
      <c r="AX99" s="363"/>
      <c r="AY99" s="363"/>
      <c r="AZ99" s="363"/>
      <c r="BA99" s="363"/>
      <c r="BB99" s="363"/>
      <c r="BC99" s="363"/>
      <c r="BD99" s="363"/>
      <c r="BE99" s="363"/>
      <c r="BF99" s="363"/>
      <c r="BG99" s="363"/>
    </row>
    <row r="100" spans="4:59"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  <c r="AA100" s="363"/>
      <c r="AB100" s="363"/>
      <c r="AC100" s="363"/>
      <c r="AD100" s="363"/>
      <c r="AE100" s="363"/>
      <c r="AF100" s="363"/>
      <c r="AG100" s="363"/>
      <c r="AH100" s="363"/>
      <c r="AI100" s="363"/>
      <c r="AJ100" s="363"/>
      <c r="AK100" s="363"/>
      <c r="AL100" s="363"/>
      <c r="AM100" s="363"/>
      <c r="AN100" s="363"/>
      <c r="AO100" s="363"/>
      <c r="AP100" s="363"/>
      <c r="AQ100" s="363"/>
      <c r="AR100" s="363"/>
      <c r="AS100" s="363"/>
      <c r="AT100" s="363"/>
      <c r="AU100" s="363"/>
      <c r="AV100" s="363"/>
      <c r="AW100" s="363"/>
      <c r="AX100" s="363"/>
      <c r="AY100" s="363"/>
      <c r="AZ100" s="363"/>
      <c r="BA100" s="363"/>
      <c r="BB100" s="363"/>
      <c r="BC100" s="363"/>
      <c r="BD100" s="363"/>
      <c r="BE100" s="363"/>
      <c r="BF100" s="363"/>
      <c r="BG100" s="363"/>
    </row>
    <row r="101" spans="4:59"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63"/>
      <c r="AB101" s="363"/>
      <c r="AC101" s="363"/>
      <c r="AD101" s="363"/>
      <c r="AE101" s="363"/>
      <c r="AF101" s="363"/>
      <c r="AG101" s="363"/>
      <c r="AH101" s="363"/>
      <c r="AI101" s="363"/>
      <c r="AJ101" s="363"/>
      <c r="AK101" s="363"/>
      <c r="AL101" s="363"/>
      <c r="AM101" s="363"/>
      <c r="AN101" s="363"/>
      <c r="AO101" s="363"/>
      <c r="AP101" s="363"/>
      <c r="AQ101" s="363"/>
      <c r="AR101" s="363"/>
      <c r="AS101" s="363"/>
      <c r="AT101" s="363"/>
      <c r="AU101" s="363"/>
      <c r="AV101" s="363"/>
      <c r="AW101" s="363"/>
      <c r="AX101" s="363"/>
      <c r="AY101" s="363"/>
      <c r="AZ101" s="363"/>
      <c r="BA101" s="363"/>
      <c r="BB101" s="363"/>
      <c r="BC101" s="363"/>
      <c r="BD101" s="363"/>
      <c r="BE101" s="363"/>
      <c r="BF101" s="363"/>
      <c r="BG101" s="363"/>
    </row>
    <row r="102" spans="4:59"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63"/>
      <c r="AB102" s="363"/>
      <c r="AC102" s="363"/>
      <c r="AD102" s="363"/>
      <c r="AE102" s="363"/>
      <c r="AF102" s="363"/>
      <c r="AG102" s="363"/>
      <c r="AH102" s="363"/>
      <c r="AI102" s="363"/>
      <c r="AJ102" s="363"/>
      <c r="AK102" s="363"/>
      <c r="AL102" s="363"/>
      <c r="AM102" s="363"/>
      <c r="AN102" s="363"/>
      <c r="AO102" s="363"/>
      <c r="AP102" s="363"/>
      <c r="AQ102" s="363"/>
      <c r="AR102" s="363"/>
      <c r="AS102" s="363"/>
      <c r="AT102" s="363"/>
      <c r="AU102" s="363"/>
      <c r="AV102" s="363"/>
      <c r="AW102" s="363"/>
      <c r="AX102" s="363"/>
      <c r="AY102" s="363"/>
      <c r="AZ102" s="363"/>
      <c r="BA102" s="363"/>
      <c r="BB102" s="363"/>
      <c r="BC102" s="363"/>
      <c r="BD102" s="363"/>
      <c r="BE102" s="363"/>
      <c r="BF102" s="363"/>
      <c r="BG102" s="363"/>
    </row>
    <row r="103" spans="4:59">
      <c r="D103" s="363"/>
      <c r="E103" s="363"/>
      <c r="F103" s="363"/>
      <c r="G103" s="363"/>
      <c r="H103" s="363"/>
      <c r="I103" s="363"/>
      <c r="J103" s="363"/>
      <c r="K103" s="363"/>
      <c r="L103" s="363"/>
      <c r="M103" s="363"/>
      <c r="N103" s="363"/>
      <c r="O103" s="363"/>
      <c r="P103" s="363"/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  <c r="AA103" s="363"/>
      <c r="AB103" s="363"/>
      <c r="AC103" s="363"/>
      <c r="AD103" s="363"/>
      <c r="AE103" s="363"/>
      <c r="AF103" s="363"/>
      <c r="AG103" s="363"/>
      <c r="AH103" s="363"/>
      <c r="AI103" s="363"/>
      <c r="AJ103" s="363"/>
      <c r="AK103" s="363"/>
      <c r="AL103" s="363"/>
      <c r="AM103" s="363"/>
      <c r="AN103" s="363"/>
      <c r="AO103" s="363"/>
      <c r="AP103" s="363"/>
      <c r="AQ103" s="363"/>
      <c r="AR103" s="363"/>
      <c r="AS103" s="363"/>
      <c r="AT103" s="363"/>
      <c r="AU103" s="363"/>
      <c r="AV103" s="363"/>
      <c r="AW103" s="363"/>
      <c r="AX103" s="363"/>
      <c r="AY103" s="363"/>
      <c r="AZ103" s="363"/>
      <c r="BA103" s="363"/>
      <c r="BB103" s="363"/>
      <c r="BC103" s="363"/>
      <c r="BD103" s="363"/>
      <c r="BE103" s="363"/>
      <c r="BF103" s="363"/>
      <c r="BG103" s="363"/>
    </row>
    <row r="104" spans="4:59"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3"/>
      <c r="P104" s="363"/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  <c r="AA104" s="363"/>
      <c r="AB104" s="363"/>
      <c r="AC104" s="363"/>
      <c r="AD104" s="363"/>
      <c r="AE104" s="363"/>
      <c r="AF104" s="363"/>
      <c r="AG104" s="363"/>
      <c r="AH104" s="363"/>
      <c r="AI104" s="363"/>
      <c r="AJ104" s="363"/>
      <c r="AK104" s="363"/>
      <c r="AL104" s="363"/>
      <c r="AM104" s="363"/>
      <c r="AN104" s="363"/>
      <c r="AO104" s="363"/>
      <c r="AP104" s="363"/>
      <c r="AQ104" s="363"/>
      <c r="AR104" s="363"/>
      <c r="AS104" s="363"/>
      <c r="AT104" s="363"/>
      <c r="AU104" s="363"/>
      <c r="AV104" s="363"/>
      <c r="AW104" s="363"/>
      <c r="AX104" s="363"/>
      <c r="AY104" s="363"/>
      <c r="AZ104" s="363"/>
      <c r="BA104" s="363"/>
      <c r="BB104" s="363"/>
      <c r="BC104" s="363"/>
      <c r="BD104" s="363"/>
      <c r="BE104" s="363"/>
      <c r="BF104" s="363"/>
      <c r="BG104" s="363"/>
    </row>
    <row r="105" spans="4:59"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  <c r="AA105" s="363"/>
      <c r="AB105" s="363"/>
      <c r="AC105" s="363"/>
      <c r="AD105" s="363"/>
      <c r="AE105" s="363"/>
      <c r="AF105" s="363"/>
      <c r="AG105" s="363"/>
      <c r="AH105" s="363"/>
      <c r="AI105" s="363"/>
      <c r="AJ105" s="363"/>
      <c r="AK105" s="363"/>
      <c r="AL105" s="363"/>
      <c r="AM105" s="363"/>
      <c r="AN105" s="363"/>
      <c r="AO105" s="363"/>
      <c r="AP105" s="363"/>
      <c r="AQ105" s="363"/>
      <c r="AR105" s="363"/>
      <c r="AS105" s="363"/>
      <c r="AT105" s="363"/>
      <c r="AU105" s="363"/>
      <c r="AV105" s="363"/>
      <c r="AW105" s="363"/>
      <c r="AX105" s="363"/>
      <c r="AY105" s="363"/>
      <c r="AZ105" s="363"/>
      <c r="BA105" s="363"/>
      <c r="BB105" s="363"/>
      <c r="BC105" s="363"/>
      <c r="BD105" s="363"/>
      <c r="BE105" s="363"/>
      <c r="BF105" s="363"/>
      <c r="BG105" s="363"/>
    </row>
    <row r="106" spans="4:59">
      <c r="D106" s="363"/>
      <c r="E106" s="363"/>
      <c r="F106" s="363"/>
      <c r="G106" s="363"/>
      <c r="H106" s="363"/>
      <c r="I106" s="363"/>
      <c r="J106" s="363"/>
      <c r="K106" s="363"/>
      <c r="L106" s="363"/>
      <c r="M106" s="363"/>
      <c r="N106" s="363"/>
      <c r="O106" s="363"/>
      <c r="P106" s="363"/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/>
      <c r="AF106" s="363"/>
      <c r="AG106" s="363"/>
      <c r="AH106" s="363"/>
      <c r="AI106" s="363"/>
      <c r="AJ106" s="363"/>
      <c r="AK106" s="363"/>
      <c r="AL106" s="363"/>
      <c r="AM106" s="363"/>
      <c r="AN106" s="363"/>
      <c r="AO106" s="363"/>
      <c r="AP106" s="363"/>
      <c r="AQ106" s="363"/>
      <c r="AR106" s="363"/>
      <c r="AS106" s="363"/>
      <c r="AT106" s="363"/>
      <c r="AU106" s="363"/>
      <c r="AV106" s="363"/>
      <c r="AW106" s="363"/>
      <c r="AX106" s="363"/>
      <c r="AY106" s="363"/>
      <c r="AZ106" s="363"/>
      <c r="BA106" s="363"/>
      <c r="BB106" s="363"/>
      <c r="BC106" s="363"/>
      <c r="BD106" s="363"/>
      <c r="BE106" s="363"/>
      <c r="BF106" s="363"/>
      <c r="BG106" s="363"/>
    </row>
    <row r="107" spans="4:59"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  <c r="AA107" s="363"/>
      <c r="AB107" s="363"/>
      <c r="AC107" s="363"/>
      <c r="AD107" s="363"/>
      <c r="AE107" s="363"/>
      <c r="AF107" s="363"/>
      <c r="AG107" s="363"/>
      <c r="AH107" s="363"/>
      <c r="AI107" s="363"/>
      <c r="AJ107" s="363"/>
      <c r="AK107" s="363"/>
      <c r="AL107" s="363"/>
      <c r="AM107" s="363"/>
      <c r="AN107" s="363"/>
      <c r="AO107" s="363"/>
      <c r="AP107" s="363"/>
      <c r="AQ107" s="363"/>
      <c r="AR107" s="363"/>
      <c r="AS107" s="363"/>
      <c r="AT107" s="363"/>
      <c r="AU107" s="363"/>
      <c r="AV107" s="363"/>
      <c r="AW107" s="363"/>
      <c r="AX107" s="363"/>
      <c r="AY107" s="363"/>
      <c r="AZ107" s="363"/>
      <c r="BA107" s="363"/>
      <c r="BB107" s="363"/>
      <c r="BC107" s="363"/>
      <c r="BD107" s="363"/>
      <c r="BE107" s="363"/>
      <c r="BF107" s="363"/>
      <c r="BG107" s="363"/>
    </row>
    <row r="108" spans="4:59">
      <c r="D108" s="363"/>
      <c r="E108" s="363"/>
      <c r="F108" s="363"/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  <c r="AA108" s="363"/>
      <c r="AB108" s="363"/>
      <c r="AC108" s="363"/>
      <c r="AD108" s="363"/>
      <c r="AE108" s="363"/>
      <c r="AF108" s="363"/>
      <c r="AG108" s="363"/>
      <c r="AH108" s="363"/>
      <c r="AI108" s="363"/>
      <c r="AJ108" s="363"/>
      <c r="AK108" s="363"/>
      <c r="AL108" s="363"/>
      <c r="AM108" s="363"/>
      <c r="AN108" s="363"/>
      <c r="AO108" s="363"/>
      <c r="AP108" s="363"/>
      <c r="AQ108" s="363"/>
      <c r="AR108" s="363"/>
      <c r="AS108" s="363"/>
      <c r="AT108" s="363"/>
      <c r="AU108" s="363"/>
      <c r="AV108" s="363"/>
      <c r="AW108" s="363"/>
      <c r="AX108" s="363"/>
      <c r="AY108" s="363"/>
      <c r="AZ108" s="363"/>
      <c r="BA108" s="363"/>
      <c r="BB108" s="363"/>
      <c r="BC108" s="363"/>
      <c r="BD108" s="363"/>
      <c r="BE108" s="363"/>
      <c r="BF108" s="363"/>
      <c r="BG108" s="363"/>
    </row>
    <row r="109" spans="4:59">
      <c r="D109" s="363"/>
      <c r="E109" s="363"/>
      <c r="F109" s="363"/>
      <c r="G109" s="363"/>
      <c r="H109" s="363"/>
      <c r="I109" s="363"/>
      <c r="J109" s="363"/>
      <c r="K109" s="363"/>
      <c r="L109" s="363"/>
      <c r="M109" s="363"/>
      <c r="N109" s="363"/>
      <c r="O109" s="363"/>
      <c r="P109" s="363"/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/>
      <c r="AF109" s="363"/>
      <c r="AG109" s="363"/>
      <c r="AH109" s="363"/>
      <c r="AI109" s="363"/>
      <c r="AJ109" s="363"/>
      <c r="AK109" s="363"/>
      <c r="AL109" s="363"/>
      <c r="AM109" s="363"/>
      <c r="AN109" s="363"/>
      <c r="AO109" s="363"/>
      <c r="AP109" s="363"/>
      <c r="AQ109" s="363"/>
      <c r="AR109" s="363"/>
      <c r="AS109" s="363"/>
      <c r="AT109" s="363"/>
      <c r="AU109" s="363"/>
      <c r="AV109" s="363"/>
      <c r="AW109" s="363"/>
      <c r="AX109" s="363"/>
      <c r="AY109" s="363"/>
      <c r="AZ109" s="363"/>
      <c r="BA109" s="363"/>
      <c r="BB109" s="363"/>
      <c r="BC109" s="363"/>
      <c r="BD109" s="363"/>
      <c r="BE109" s="363"/>
      <c r="BF109" s="363"/>
      <c r="BG109" s="363"/>
    </row>
    <row r="110" spans="4:59"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3"/>
      <c r="P110" s="363"/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  <c r="AA110" s="363"/>
      <c r="AB110" s="363"/>
      <c r="AC110" s="363"/>
      <c r="AD110" s="363"/>
      <c r="AE110" s="363"/>
      <c r="AF110" s="363"/>
      <c r="AG110" s="363"/>
      <c r="AH110" s="363"/>
      <c r="AI110" s="363"/>
      <c r="AJ110" s="363"/>
      <c r="AK110" s="363"/>
      <c r="AL110" s="363"/>
      <c r="AM110" s="363"/>
      <c r="AN110" s="363"/>
      <c r="AO110" s="363"/>
      <c r="AP110" s="363"/>
      <c r="AQ110" s="363"/>
      <c r="AR110" s="363"/>
      <c r="AS110" s="363"/>
      <c r="AT110" s="363"/>
      <c r="AU110" s="363"/>
      <c r="AV110" s="363"/>
      <c r="AW110" s="363"/>
      <c r="AX110" s="363"/>
      <c r="AY110" s="363"/>
      <c r="AZ110" s="363"/>
      <c r="BA110" s="363"/>
      <c r="BB110" s="363"/>
      <c r="BC110" s="363"/>
      <c r="BD110" s="363"/>
      <c r="BE110" s="363"/>
      <c r="BF110" s="363"/>
      <c r="BG110" s="363"/>
    </row>
    <row r="111" spans="4:59"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  <c r="AA111" s="363"/>
      <c r="AB111" s="363"/>
      <c r="AC111" s="363"/>
      <c r="AD111" s="363"/>
      <c r="AE111" s="363"/>
      <c r="AF111" s="363"/>
      <c r="AG111" s="363"/>
      <c r="AH111" s="363"/>
      <c r="AI111" s="363"/>
      <c r="AJ111" s="363"/>
      <c r="AK111" s="363"/>
      <c r="AL111" s="363"/>
      <c r="AM111" s="363"/>
      <c r="AN111" s="363"/>
      <c r="AO111" s="363"/>
      <c r="AP111" s="363"/>
      <c r="AQ111" s="363"/>
      <c r="AR111" s="363"/>
      <c r="AS111" s="363"/>
      <c r="AT111" s="363"/>
      <c r="AU111" s="363"/>
      <c r="AV111" s="363"/>
      <c r="AW111" s="363"/>
      <c r="AX111" s="363"/>
      <c r="AY111" s="363"/>
      <c r="AZ111" s="363"/>
      <c r="BA111" s="363"/>
      <c r="BB111" s="363"/>
      <c r="BC111" s="363"/>
      <c r="BD111" s="363"/>
      <c r="BE111" s="363"/>
      <c r="BF111" s="363"/>
      <c r="BG111" s="363"/>
    </row>
    <row r="112" spans="4:59"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63"/>
      <c r="AB112" s="363"/>
      <c r="AC112" s="363"/>
      <c r="AD112" s="363"/>
      <c r="AE112" s="363"/>
      <c r="AF112" s="363"/>
      <c r="AG112" s="363"/>
      <c r="AH112" s="363"/>
      <c r="AI112" s="363"/>
      <c r="AJ112" s="363"/>
      <c r="AK112" s="363"/>
      <c r="AL112" s="363"/>
      <c r="AM112" s="363"/>
      <c r="AN112" s="363"/>
      <c r="AO112" s="363"/>
      <c r="AP112" s="363"/>
      <c r="AQ112" s="363"/>
      <c r="AR112" s="363"/>
      <c r="AS112" s="363"/>
      <c r="AT112" s="363"/>
      <c r="AU112" s="363"/>
      <c r="AV112" s="363"/>
      <c r="AW112" s="363"/>
      <c r="AX112" s="363"/>
      <c r="AY112" s="363"/>
      <c r="AZ112" s="363"/>
      <c r="BA112" s="363"/>
      <c r="BB112" s="363"/>
      <c r="BC112" s="363"/>
      <c r="BD112" s="363"/>
      <c r="BE112" s="363"/>
      <c r="BF112" s="363"/>
      <c r="BG112" s="363"/>
    </row>
    <row r="113" spans="4:61"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/>
      <c r="AF113" s="363"/>
      <c r="AG113" s="363"/>
      <c r="AH113" s="363"/>
      <c r="AI113" s="363"/>
      <c r="AJ113" s="363"/>
      <c r="AK113" s="363"/>
      <c r="AL113" s="363"/>
      <c r="AM113" s="363"/>
      <c r="AN113" s="363"/>
      <c r="AO113" s="363"/>
      <c r="AP113" s="363"/>
      <c r="AQ113" s="363"/>
      <c r="AR113" s="363"/>
      <c r="AS113" s="363"/>
      <c r="AT113" s="363"/>
      <c r="AU113" s="363"/>
      <c r="AV113" s="363"/>
      <c r="AW113" s="363"/>
      <c r="AX113" s="363"/>
      <c r="AY113" s="363"/>
      <c r="AZ113" s="363"/>
      <c r="BA113" s="363"/>
      <c r="BB113" s="363"/>
      <c r="BC113" s="363"/>
      <c r="BD113" s="363"/>
      <c r="BE113" s="363"/>
      <c r="BF113" s="363"/>
      <c r="BG113" s="363"/>
    </row>
    <row r="114" spans="4:61">
      <c r="D114" s="363"/>
      <c r="E114" s="363"/>
      <c r="F114" s="363"/>
      <c r="G114" s="363"/>
      <c r="H114" s="363"/>
      <c r="I114" s="363"/>
      <c r="J114" s="363"/>
      <c r="K114" s="363"/>
      <c r="L114" s="363"/>
      <c r="M114" s="363"/>
      <c r="N114" s="363"/>
      <c r="O114" s="363"/>
      <c r="P114" s="363"/>
      <c r="Q114" s="363"/>
      <c r="R114" s="363"/>
      <c r="S114" s="363"/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/>
      <c r="AF114" s="363"/>
      <c r="AG114" s="363"/>
      <c r="AH114" s="363"/>
      <c r="AI114" s="363"/>
      <c r="AJ114" s="363"/>
      <c r="AK114" s="363"/>
      <c r="AL114" s="363"/>
      <c r="AM114" s="363"/>
      <c r="AN114" s="363"/>
      <c r="AO114" s="363"/>
      <c r="AP114" s="363"/>
      <c r="AQ114" s="363"/>
      <c r="AR114" s="363"/>
      <c r="AS114" s="363"/>
      <c r="AT114" s="363"/>
      <c r="AU114" s="363"/>
      <c r="AV114" s="363"/>
      <c r="AW114" s="363"/>
      <c r="AX114" s="363"/>
      <c r="AY114" s="363"/>
      <c r="AZ114" s="363"/>
      <c r="BA114" s="363"/>
      <c r="BB114" s="363"/>
      <c r="BC114" s="363"/>
      <c r="BD114" s="363"/>
      <c r="BE114" s="363"/>
      <c r="BF114" s="363"/>
      <c r="BG114" s="363"/>
    </row>
    <row r="115" spans="4:61">
      <c r="D115" s="363"/>
      <c r="E115" s="363"/>
      <c r="F115" s="363"/>
      <c r="G115" s="363"/>
      <c r="H115" s="363"/>
      <c r="I115" s="363"/>
      <c r="J115" s="363"/>
      <c r="K115" s="363"/>
      <c r="L115" s="363"/>
      <c r="M115" s="363"/>
      <c r="N115" s="363"/>
      <c r="O115" s="363"/>
      <c r="P115" s="363"/>
      <c r="Q115" s="363"/>
      <c r="R115" s="363"/>
      <c r="S115" s="363"/>
      <c r="T115" s="363"/>
      <c r="U115" s="363"/>
      <c r="V115" s="363"/>
      <c r="W115" s="363"/>
      <c r="X115" s="363"/>
      <c r="Y115" s="363"/>
      <c r="Z115" s="363"/>
      <c r="AA115" s="363"/>
      <c r="AB115" s="363"/>
      <c r="AC115" s="363"/>
      <c r="AD115" s="363"/>
      <c r="AE115" s="363"/>
      <c r="AF115" s="363"/>
      <c r="AG115" s="363"/>
      <c r="AH115" s="363"/>
      <c r="AI115" s="363"/>
      <c r="AJ115" s="363"/>
      <c r="AK115" s="363"/>
      <c r="AL115" s="363"/>
      <c r="AM115" s="363"/>
      <c r="AN115" s="363"/>
      <c r="AO115" s="363"/>
      <c r="AP115" s="363"/>
      <c r="AQ115" s="363"/>
      <c r="AR115" s="363"/>
      <c r="AS115" s="363"/>
      <c r="AT115" s="363"/>
      <c r="AU115" s="363"/>
      <c r="AV115" s="363"/>
      <c r="AW115" s="363"/>
      <c r="AX115" s="363"/>
      <c r="AY115" s="363"/>
      <c r="AZ115" s="363"/>
      <c r="BA115" s="363"/>
      <c r="BB115" s="363"/>
      <c r="BC115" s="363"/>
      <c r="BD115" s="363"/>
      <c r="BE115" s="363"/>
      <c r="BF115" s="363"/>
      <c r="BG115" s="363"/>
    </row>
    <row r="116" spans="4:61">
      <c r="D116" s="363"/>
      <c r="E116" s="363"/>
      <c r="F116" s="363"/>
      <c r="G116" s="363"/>
      <c r="H116" s="363"/>
      <c r="I116" s="363"/>
      <c r="J116" s="363"/>
      <c r="K116" s="363"/>
      <c r="L116" s="363"/>
      <c r="M116" s="363"/>
      <c r="N116" s="363"/>
      <c r="O116" s="363"/>
      <c r="P116" s="363"/>
      <c r="Q116" s="363"/>
      <c r="R116" s="363"/>
      <c r="S116" s="363"/>
      <c r="T116" s="363"/>
      <c r="U116" s="363"/>
      <c r="V116" s="363"/>
      <c r="W116" s="363"/>
      <c r="X116" s="363"/>
      <c r="Y116" s="363"/>
      <c r="Z116" s="363"/>
      <c r="AA116" s="363"/>
      <c r="AB116" s="363"/>
      <c r="AC116" s="363"/>
      <c r="AD116" s="363"/>
      <c r="AE116" s="363"/>
      <c r="AF116" s="363"/>
      <c r="AG116" s="363"/>
      <c r="AH116" s="363"/>
      <c r="AI116" s="363"/>
      <c r="AJ116" s="363"/>
      <c r="AK116" s="363"/>
      <c r="AL116" s="363"/>
      <c r="AM116" s="363"/>
      <c r="AN116" s="363"/>
      <c r="AO116" s="363"/>
      <c r="AP116" s="363"/>
      <c r="AQ116" s="363"/>
      <c r="AR116" s="363"/>
      <c r="AS116" s="363"/>
      <c r="AT116" s="363"/>
      <c r="AU116" s="363"/>
      <c r="AV116" s="363"/>
      <c r="AW116" s="363"/>
      <c r="AX116" s="363"/>
      <c r="AY116" s="363"/>
      <c r="AZ116" s="363"/>
      <c r="BA116" s="363"/>
      <c r="BB116" s="363"/>
      <c r="BC116" s="363"/>
      <c r="BD116" s="363"/>
      <c r="BE116" s="363"/>
      <c r="BF116" s="363"/>
      <c r="BG116" s="363"/>
      <c r="BH116" s="27"/>
      <c r="BI116" s="27"/>
    </row>
    <row r="117" spans="4:61">
      <c r="D117" s="363"/>
      <c r="E117" s="363"/>
      <c r="F117" s="363"/>
      <c r="G117" s="363"/>
      <c r="H117" s="363"/>
      <c r="I117" s="363"/>
      <c r="J117" s="363"/>
      <c r="K117" s="363"/>
      <c r="L117" s="363"/>
      <c r="M117" s="363"/>
      <c r="N117" s="363"/>
      <c r="O117" s="363"/>
      <c r="P117" s="363"/>
      <c r="Q117" s="363"/>
      <c r="R117" s="363"/>
      <c r="S117" s="363"/>
      <c r="T117" s="363"/>
      <c r="U117" s="363"/>
      <c r="V117" s="363"/>
      <c r="W117" s="363"/>
      <c r="X117" s="363"/>
      <c r="Y117" s="363"/>
      <c r="Z117" s="363"/>
      <c r="AA117" s="363"/>
      <c r="AB117" s="363"/>
      <c r="AC117" s="363"/>
      <c r="AD117" s="363"/>
      <c r="AE117" s="363"/>
      <c r="AF117" s="363"/>
      <c r="AG117" s="363"/>
      <c r="AH117" s="363"/>
      <c r="AI117" s="363"/>
      <c r="AJ117" s="363"/>
      <c r="AK117" s="363"/>
      <c r="AL117" s="363"/>
      <c r="AM117" s="363"/>
      <c r="AN117" s="363"/>
      <c r="AO117" s="363"/>
      <c r="AP117" s="363"/>
      <c r="AQ117" s="363"/>
      <c r="AR117" s="363"/>
      <c r="AS117" s="363"/>
      <c r="AT117" s="363"/>
      <c r="AU117" s="363"/>
      <c r="AV117" s="363"/>
      <c r="AW117" s="363"/>
      <c r="AX117" s="363"/>
      <c r="AY117" s="363"/>
      <c r="AZ117" s="363"/>
      <c r="BA117" s="363"/>
      <c r="BB117" s="363"/>
      <c r="BC117" s="363"/>
      <c r="BD117" s="363"/>
      <c r="BE117" s="363"/>
      <c r="BF117" s="363"/>
      <c r="BG117" s="363"/>
      <c r="BI117" s="22"/>
    </row>
    <row r="118" spans="4:61"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363"/>
      <c r="S118" s="363"/>
      <c r="T118" s="363"/>
      <c r="U118" s="363"/>
      <c r="V118" s="363"/>
      <c r="W118" s="363"/>
      <c r="X118" s="363"/>
      <c r="Y118" s="363"/>
      <c r="Z118" s="363"/>
      <c r="AA118" s="363"/>
      <c r="AB118" s="363"/>
      <c r="AC118" s="363"/>
      <c r="AD118" s="363"/>
      <c r="AE118" s="363"/>
      <c r="AF118" s="363"/>
      <c r="AG118" s="363"/>
      <c r="AH118" s="363"/>
      <c r="AI118" s="363"/>
      <c r="AJ118" s="363"/>
      <c r="AK118" s="363"/>
      <c r="AL118" s="363"/>
      <c r="AM118" s="363"/>
      <c r="AN118" s="363"/>
      <c r="AO118" s="363"/>
      <c r="AP118" s="363"/>
      <c r="AQ118" s="363"/>
      <c r="AR118" s="363"/>
      <c r="AS118" s="363"/>
      <c r="AT118" s="363"/>
      <c r="AU118" s="363"/>
      <c r="AV118" s="363"/>
      <c r="AW118" s="363"/>
      <c r="AX118" s="363"/>
      <c r="AY118" s="363"/>
      <c r="AZ118" s="363"/>
      <c r="BA118" s="363"/>
      <c r="BB118" s="363"/>
      <c r="BC118" s="363"/>
      <c r="BD118" s="363"/>
      <c r="BE118" s="363"/>
      <c r="BF118" s="363"/>
      <c r="BG118" s="363"/>
    </row>
    <row r="119" spans="4:61"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3"/>
      <c r="Y119" s="363"/>
      <c r="Z119" s="363"/>
      <c r="AA119" s="363"/>
      <c r="AB119" s="363"/>
      <c r="AC119" s="363"/>
      <c r="AD119" s="363"/>
      <c r="AE119" s="363"/>
      <c r="AF119" s="363"/>
      <c r="AG119" s="363"/>
      <c r="AH119" s="363"/>
      <c r="AI119" s="363"/>
      <c r="AJ119" s="363"/>
      <c r="AK119" s="363"/>
      <c r="AL119" s="363"/>
      <c r="AM119" s="363"/>
      <c r="AN119" s="363"/>
      <c r="AO119" s="363"/>
      <c r="AP119" s="363"/>
      <c r="AQ119" s="363"/>
      <c r="AR119" s="363"/>
      <c r="AS119" s="363"/>
      <c r="AT119" s="363"/>
      <c r="AU119" s="363"/>
      <c r="AV119" s="363"/>
      <c r="AW119" s="363"/>
      <c r="AX119" s="363"/>
      <c r="AY119" s="363"/>
      <c r="AZ119" s="363"/>
      <c r="BA119" s="363"/>
      <c r="BB119" s="363"/>
      <c r="BC119" s="363"/>
      <c r="BD119" s="363"/>
      <c r="BE119" s="363"/>
      <c r="BF119" s="363"/>
      <c r="BG119" s="363"/>
      <c r="BH119" s="56"/>
    </row>
    <row r="120" spans="4:61"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63"/>
      <c r="AB120" s="363"/>
      <c r="AC120" s="363"/>
      <c r="AD120" s="363"/>
      <c r="AE120" s="363"/>
      <c r="AF120" s="363"/>
      <c r="AG120" s="363"/>
      <c r="AH120" s="363"/>
      <c r="AI120" s="363"/>
      <c r="AJ120" s="363"/>
      <c r="AK120" s="363"/>
      <c r="AL120" s="363"/>
      <c r="AM120" s="363"/>
      <c r="AN120" s="363"/>
      <c r="AO120" s="363"/>
      <c r="AP120" s="363"/>
      <c r="AQ120" s="363"/>
      <c r="AR120" s="363"/>
      <c r="AS120" s="363"/>
      <c r="AT120" s="363"/>
      <c r="AU120" s="363"/>
      <c r="AV120" s="363"/>
      <c r="AW120" s="363"/>
      <c r="AX120" s="363"/>
      <c r="AY120" s="363"/>
      <c r="AZ120" s="363"/>
      <c r="BA120" s="363"/>
      <c r="BB120" s="363"/>
      <c r="BC120" s="363"/>
      <c r="BD120" s="363"/>
      <c r="BE120" s="363"/>
      <c r="BF120" s="363"/>
      <c r="BG120" s="363"/>
    </row>
    <row r="121" spans="4:61"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63"/>
      <c r="AB121" s="363"/>
      <c r="AC121" s="363"/>
      <c r="AD121" s="363"/>
      <c r="AE121" s="363"/>
      <c r="AF121" s="363"/>
      <c r="AG121" s="363"/>
      <c r="AH121" s="363"/>
      <c r="AI121" s="363"/>
      <c r="AJ121" s="363"/>
      <c r="AK121" s="363"/>
      <c r="AL121" s="363"/>
      <c r="AM121" s="363"/>
      <c r="AN121" s="363"/>
      <c r="AO121" s="363"/>
      <c r="AP121" s="363"/>
      <c r="AQ121" s="363"/>
      <c r="AR121" s="363"/>
      <c r="AS121" s="363"/>
      <c r="AT121" s="363"/>
      <c r="AU121" s="363"/>
      <c r="AV121" s="363"/>
      <c r="AW121" s="363"/>
      <c r="AX121" s="363"/>
      <c r="AY121" s="363"/>
      <c r="AZ121" s="363"/>
      <c r="BA121" s="363"/>
      <c r="BB121" s="363"/>
      <c r="BC121" s="363"/>
      <c r="BD121" s="363"/>
      <c r="BE121" s="363"/>
      <c r="BF121" s="363"/>
      <c r="BG121" s="363"/>
    </row>
    <row r="122" spans="4:61"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  <c r="AA122" s="363"/>
      <c r="AB122" s="363"/>
      <c r="AC122" s="363"/>
      <c r="AD122" s="363"/>
      <c r="AE122" s="363"/>
      <c r="AF122" s="363"/>
      <c r="AG122" s="363"/>
      <c r="AH122" s="363"/>
      <c r="AI122" s="363"/>
      <c r="AJ122" s="363"/>
      <c r="AK122" s="363"/>
      <c r="AL122" s="363"/>
      <c r="AM122" s="363"/>
      <c r="AN122" s="363"/>
      <c r="AO122" s="363"/>
      <c r="AP122" s="363"/>
      <c r="AQ122" s="363"/>
      <c r="AR122" s="363"/>
      <c r="AS122" s="363"/>
      <c r="AT122" s="363"/>
      <c r="AU122" s="363"/>
      <c r="AV122" s="363"/>
      <c r="AW122" s="363"/>
      <c r="AX122" s="363"/>
      <c r="AY122" s="363"/>
      <c r="AZ122" s="363"/>
      <c r="BA122" s="363"/>
      <c r="BB122" s="363"/>
      <c r="BC122" s="363"/>
      <c r="BD122" s="363"/>
      <c r="BE122" s="363"/>
      <c r="BF122" s="363"/>
      <c r="BG122" s="363"/>
    </row>
    <row r="123" spans="4:61"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  <c r="AA123" s="363"/>
      <c r="AB123" s="363"/>
      <c r="AC123" s="363"/>
      <c r="AD123" s="363"/>
      <c r="AE123" s="363"/>
      <c r="AF123" s="363"/>
      <c r="AG123" s="363"/>
      <c r="AH123" s="363"/>
      <c r="AI123" s="363"/>
      <c r="AJ123" s="363"/>
      <c r="AK123" s="363"/>
      <c r="AL123" s="363"/>
      <c r="AM123" s="363"/>
      <c r="AN123" s="363"/>
      <c r="AO123" s="363"/>
      <c r="AP123" s="363"/>
      <c r="AQ123" s="363"/>
      <c r="AR123" s="363"/>
      <c r="AS123" s="363"/>
      <c r="AT123" s="363"/>
      <c r="AU123" s="363"/>
      <c r="AV123" s="379"/>
      <c r="AW123" s="379"/>
      <c r="AX123" s="363"/>
      <c r="AY123" s="363"/>
      <c r="AZ123" s="363"/>
      <c r="BA123" s="363"/>
      <c r="BB123" s="363"/>
      <c r="BC123" s="363"/>
      <c r="BD123" s="363"/>
      <c r="BE123" s="363"/>
      <c r="BF123" s="363"/>
      <c r="BG123" s="363"/>
    </row>
    <row r="124" spans="4:61"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  <c r="AA124" s="363"/>
      <c r="AB124" s="363"/>
      <c r="AC124" s="363"/>
      <c r="AD124" s="363"/>
      <c r="AE124" s="363"/>
      <c r="AF124" s="363"/>
      <c r="AG124" s="363"/>
      <c r="AH124" s="363"/>
      <c r="AI124" s="363"/>
      <c r="AJ124" s="363"/>
      <c r="AK124" s="363"/>
      <c r="AL124" s="363"/>
      <c r="AM124" s="363"/>
      <c r="AN124" s="363"/>
      <c r="AO124" s="363"/>
      <c r="AP124" s="363"/>
      <c r="AQ124" s="363"/>
      <c r="AR124" s="363"/>
      <c r="AS124" s="363"/>
      <c r="AT124" s="363"/>
      <c r="AU124" s="363"/>
      <c r="AV124" s="363"/>
      <c r="AW124" s="363"/>
      <c r="AX124" s="363"/>
      <c r="AY124" s="363"/>
      <c r="AZ124" s="363"/>
      <c r="BA124" s="363"/>
      <c r="BB124" s="363"/>
      <c r="BC124" s="363"/>
      <c r="BD124" s="363"/>
      <c r="BE124" s="363"/>
      <c r="BF124" s="363"/>
      <c r="BG124" s="363"/>
    </row>
    <row r="125" spans="4:61"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  <c r="AA125" s="363"/>
      <c r="AB125" s="363"/>
      <c r="AC125" s="363"/>
      <c r="AD125" s="363"/>
      <c r="AE125" s="363"/>
      <c r="AF125" s="363"/>
      <c r="AG125" s="363"/>
      <c r="AH125" s="363"/>
      <c r="AI125" s="363"/>
      <c r="AJ125" s="363"/>
      <c r="AK125" s="363"/>
      <c r="AL125" s="363"/>
      <c r="AM125" s="363"/>
      <c r="AN125" s="363"/>
      <c r="AO125" s="363"/>
      <c r="AP125" s="363"/>
      <c r="AQ125" s="363"/>
      <c r="AR125" s="363"/>
      <c r="AS125" s="363"/>
      <c r="AT125" s="363"/>
      <c r="AU125" s="363"/>
      <c r="AV125" s="363"/>
      <c r="AW125" s="363"/>
      <c r="AX125" s="363"/>
      <c r="AY125" s="363"/>
      <c r="AZ125" s="363"/>
      <c r="BA125" s="363"/>
      <c r="BB125" s="363"/>
      <c r="BC125" s="363"/>
      <c r="BD125" s="363"/>
      <c r="BE125" s="363"/>
      <c r="BF125" s="363"/>
      <c r="BG125" s="363"/>
    </row>
    <row r="126" spans="4:61">
      <c r="AR126" s="363"/>
    </row>
    <row r="127" spans="4:61">
      <c r="AR127" s="363"/>
      <c r="AT127" s="363"/>
    </row>
    <row r="128" spans="4:61">
      <c r="AR128" s="363"/>
    </row>
    <row r="129" spans="44:55">
      <c r="AR129" s="363"/>
      <c r="AS129" s="363"/>
      <c r="AT129" s="363"/>
      <c r="AU129" s="363"/>
      <c r="AV129" s="363"/>
      <c r="AW129" s="363"/>
      <c r="AX129" s="363"/>
      <c r="AY129" s="363"/>
      <c r="AZ129" s="363"/>
      <c r="BA129" s="363"/>
      <c r="BB129" s="363"/>
      <c r="BC129" s="363"/>
    </row>
  </sheetData>
  <mergeCells count="9">
    <mergeCell ref="D55:G55"/>
    <mergeCell ref="AW73:AX73"/>
    <mergeCell ref="AV123:AW123"/>
    <mergeCell ref="X20:AA20"/>
    <mergeCell ref="A40:B40"/>
    <mergeCell ref="A41:B41"/>
    <mergeCell ref="X41:AA41"/>
    <mergeCell ref="A42:B42"/>
    <mergeCell ref="AV50:AZ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20210118Pa</vt:lpstr>
      <vt:lpstr>20210301Pa</vt:lpstr>
      <vt:lpstr>20210510Pa</vt:lpstr>
      <vt:lpstr>20210524Pa</vt:lpstr>
      <vt:lpstr>20210607Pa</vt:lpstr>
      <vt:lpstr>20210616Pa</vt:lpstr>
      <vt:lpstr>20210622Pa</vt:lpstr>
      <vt:lpstr>20210714Pa</vt:lpstr>
      <vt:lpstr>20210719Pa</vt:lpstr>
      <vt:lpstr>20210720Pa</vt:lpstr>
      <vt:lpstr>20210729Pa</vt:lpstr>
      <vt:lpstr>20210810Pa</vt:lpstr>
      <vt:lpstr>20210816Pa</vt:lpstr>
      <vt:lpstr>20210818Pa</vt:lpstr>
      <vt:lpstr>20210824Pa</vt:lpstr>
      <vt:lpstr>20210927Pb</vt:lpstr>
      <vt:lpstr>20210927Pa</vt:lpstr>
      <vt:lpstr>20211004Pa</vt:lpstr>
      <vt:lpstr>20211025Pa</vt:lpstr>
      <vt:lpstr>20211116Pa </vt:lpstr>
      <vt:lpstr>20211122Pa </vt:lpstr>
      <vt:lpstr>20211124Pa</vt:lpstr>
      <vt:lpstr>20211129Pa</vt:lpstr>
      <vt:lpstr>20211201Pa</vt:lpstr>
      <vt:lpstr>20211206Pa</vt:lpstr>
      <vt:lpstr>20211214Pa</vt:lpstr>
      <vt:lpstr>20220118Pa</vt:lpstr>
      <vt:lpstr>20220208Pa</vt:lpstr>
      <vt:lpstr>20220214Pa</vt:lpstr>
      <vt:lpstr>20220221Pa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L. Barros Vieira</dc:creator>
  <cp:lastModifiedBy>lucas.chaves</cp:lastModifiedBy>
  <dcterms:created xsi:type="dcterms:W3CDTF">2021-01-21T13:37:11Z</dcterms:created>
  <dcterms:modified xsi:type="dcterms:W3CDTF">2022-03-07T17:03:55Z</dcterms:modified>
</cp:coreProperties>
</file>