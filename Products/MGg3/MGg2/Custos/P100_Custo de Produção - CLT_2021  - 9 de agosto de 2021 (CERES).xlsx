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nfigurações" sheetId="1" r:id="rId5"/>
    <sheet state="hidden" name="Dashboard" sheetId="2" r:id="rId6"/>
    <sheet state="visible" name="Gráficos" sheetId="3" r:id="rId7"/>
    <sheet state="visible" name="US$Kg" sheetId="4" r:id="rId8"/>
    <sheet state="visible" name="Custo Final" sheetId="5" r:id="rId9"/>
    <sheet state="hidden" name="Detalhe1-Produção" sheetId="6" r:id="rId10"/>
    <sheet state="visible" name="Parâmetros" sheetId="7" r:id="rId11"/>
    <sheet state="visible" name="Equipe" sheetId="8" r:id="rId12"/>
    <sheet state="visible" name="Insumos-Consumíveis" sheetId="9" r:id="rId13"/>
    <sheet state="visible" name="Equipamentos- Lote" sheetId="10" r:id="rId14"/>
    <sheet state="visible" name="Equipamentos - Caracterização" sheetId="11" r:id="rId15"/>
    <sheet state="visible" name="Equipamentos - SSMA" sheetId="12" r:id="rId16"/>
    <sheet state="hidden" name="Equipamentos- Produção" sheetId="13" r:id="rId17"/>
    <sheet state="hidden" name="Energia CEMIG" sheetId="14" r:id="rId18"/>
  </sheets>
  <definedNames>
    <definedName name="Equipamentos_Conversão">'Equipamentos- Produção'!$AA$5:$AA$24</definedName>
    <definedName name="Equipamentos_Separação">#REF!</definedName>
    <definedName name="Equipamentos_Acabamento">#REF!</definedName>
    <definedName localSheetId="9" name="Equipamentos_Conversão">#REF!</definedName>
    <definedName hidden="1" localSheetId="0" name="_xlnm._FilterDatabase">'Configurações'!$A$3:$R$1015</definedName>
    <definedName hidden="1" localSheetId="10" name="_xlnm._FilterDatabase">'Equipamentos - Caracterização'!$A$2:$U$62</definedName>
    <definedName hidden="1" localSheetId="12" name="_xlnm._FilterDatabase">'Equipamentos- Produção'!$A$4:$AQ$44</definedName>
    <definedName hidden="1" localSheetId="4" name="Z_90499436_F017_4F6D_9643_FE646033B0E6_.wvu.FilterData">'Custo Final'!$B$4:$L$15</definedName>
    <definedName hidden="1" localSheetId="4" name="Z_3AA2CB78_DD01_444A_A3B5_F84B7D3F6B5D_.wvu.FilterData">'Custo Final'!$B$20:$E$28</definedName>
    <definedName name="SlicerCache_Table_1_Col_1">#N/A</definedName>
    <definedName name="SlicerCache_Table_2_Col_1">#N/A</definedName>
  </definedNames>
  <calcPr/>
  <customWorkbookViews>
    <customWorkbookView activeSheetId="0" maximized="1" windowHeight="0" windowWidth="0" guid="{90499436-F017-4F6D-9643-FE646033B0E6}" name="Filtro 1"/>
    <customWorkbookView activeSheetId="0" maximized="1" windowHeight="0" windowWidth="0" guid="{3AA2CB78-DD01-444A-A3B5-F84B7D3F6B5D}" name="Filtro 2"/>
  </customWorkbookViews>
  <pivotCaches>
    <pivotCache cacheId="0" r:id="rId19"/>
    <pivotCache cacheId="1" r:id="rId20"/>
    <pivotCache cacheId="2" r:id="rId21"/>
  </pivotCaches>
  <extLst>
    <ext uri="{46BE6895-7355-4a93-B00E-2C351335B9C9}">
      <x15:slicerCaches>
        <x14:slicerCache r:id="rId22"/>
        <x14:slicerCache r:id="rId23"/>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Sara R. A. dos Santos:
Taxa calculada para tarifas industriais COPASA</t>
      </text>
    </comment>
    <comment authorId="0" ref="H7">
      <text>
        <t xml:space="preserve">Sara R. A. dos Santos:
Taxa calculada para tarifas industriais COPASA</t>
      </text>
    </comment>
    <comment authorId="0" ref="J7">
      <text>
        <t xml:space="preserve">Sara R. A. dos Santos:
Taxa calculada para tarifas industriais COPASA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Sara R. A. dos Santos:
Conferir esta lista, pq nem em todo lote usa todos os  equipamentos</t>
      </text>
    </comment>
    <comment authorId="0" ref="W15">
      <text>
        <t xml:space="preserve">Sara R. A. dos Santos:
R$ 100 cada anel; em cada bomba contêm dois</t>
      </text>
    </comment>
    <comment authorId="0" ref="Q25">
      <text>
        <t xml:space="preserve">Sara R. A. dos Santos:
Compamos este equipamento usado</t>
      </text>
    </comment>
    <comment authorId="0" ref="W25">
      <text>
        <t xml:space="preserve">Sara R. A. dos Santos:
óleo R$ 100
aneis de vedação R$ 50 (dois aneis)</t>
      </text>
    </comment>
    <comment authorId="0" ref="G30">
      <text>
        <t xml:space="preserve">Sara R. A. dos Santos:
Conferir valor. Nesta tabela estava R$2213</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Sara R. A. dos Santos:
Conferir esta lista, pq nem em todo lote usa todos os  equipamentos</t>
      </text>
    </comment>
    <comment authorId="0" ref="D4">
      <text>
        <t xml:space="preserve">Sara R. A. dos Santos:
Conferir esta lista pq nem em todo lote usa todos estes equipamementos
</t>
      </text>
    </comment>
    <comment authorId="0" ref="AB5">
      <text>
        <t xml:space="preserve">Sara R. A. dos Santos:
Formúla de depreciação
Da=(VN-VR)/N</t>
      </text>
    </comment>
    <comment authorId="0" ref="H9">
      <text>
        <t xml:space="preserve">Sara R. A. dos Santos:
Conferir valor. Tem duas tabelas com valores diferentes uma valor de $4380 e outra $3820. E o valor que estava nesta tabela era R$18660.</t>
      </text>
    </comment>
    <comment authorId="0" ref="I9">
      <text>
        <t xml:space="preserve">Sara R. A. dos Santos:
Conferir valor. Tem duas tabelas com valores diferentes uma valor de $4380 e outra $3820. E o valor que estava nesta tabela era R$18660.</t>
      </text>
    </comment>
    <comment authorId="0" ref="Y9">
      <text>
        <t xml:space="preserve">Orsilane Silva de Carvalho:
Esse valor esta correto? 
Precisa relaizar conversão
</t>
      </text>
    </comment>
    <comment authorId="0" ref="S18">
      <text>
        <t xml:space="preserve">Sara R. A. dos Santos:
Eu acho</t>
      </text>
    </comment>
    <comment authorId="0" ref="Y18">
      <text>
        <t xml:space="preserve">Sara R. A. dos Santos:
R$ 100 cada anel; em cada bomba contêm dois</t>
      </text>
    </comment>
    <comment authorId="0" ref="Y24">
      <text>
        <t xml:space="preserve">Sara R. A. dos Santos:
Conferir valor com fornecedor</t>
      </text>
    </comment>
    <comment authorId="0" ref="M26">
      <text>
        <t xml:space="preserve">Sara R. A. dos Santos:
Estou na duvida se coloca 24h considerando uma produção contínua ou 96h considerando o real</t>
      </text>
    </comment>
    <comment authorId="0" ref="S29">
      <text>
        <t xml:space="preserve">Sara R. A. dos Santos:
Compamos este equipamento usado</t>
      </text>
    </comment>
    <comment authorId="0" ref="Y29">
      <text>
        <t xml:space="preserve">Sara R. A. dos Santos:
óleo R$ 100
aneis de vedação R$ 50 (dois aneis)</t>
      </text>
    </comment>
    <comment authorId="0" ref="H32">
      <text>
        <t xml:space="preserve">Sara R. A. dos Santos:
Obter valor em euros</t>
      </text>
    </comment>
    <comment authorId="0" ref="I32">
      <text>
        <t xml:space="preserve">Sara R. A. dos Santos:
Obter valor em euros</t>
      </text>
    </comment>
    <comment authorId="0" ref="Y32">
      <text>
        <t xml:space="preserve">Sara R. A. dos Santos:
Troca de duas correias de transmissão</t>
      </text>
    </comment>
    <comment authorId="0" ref="H33">
      <text>
        <t xml:space="preserve">Sara R. A. dos Santos:
Obter valor em euros</t>
      </text>
    </comment>
    <comment authorId="0" ref="I33">
      <text>
        <t xml:space="preserve">Sara R. A. dos Santos:
Obter valor em euros</t>
      </text>
    </comment>
    <comment authorId="0" ref="Y33">
      <text>
        <t xml:space="preserve">Sara R. A. dos Santos:
Conferir com a Rosana</t>
      </text>
    </comment>
    <comment authorId="0" ref="L36">
      <text>
        <t xml:space="preserve">Sara R. A. dos Santos:
Considerando a potência máxima do equipamento </t>
      </text>
    </comment>
    <comment authorId="0" ref="H39">
      <text>
        <t xml:space="preserve">Sara R. A. dos Santos:
Conferir valor. Nesta tabela estava R$2213</t>
      </text>
    </comment>
    <comment authorId="0" ref="I39">
      <text>
        <t xml:space="preserve">Sara R. A. dos Santos:
Conferir valor. Nesta tabela estava R$2213</t>
      </text>
    </comment>
  </commentList>
</comments>
</file>

<file path=xl/sharedStrings.xml><?xml version="1.0" encoding="utf-8"?>
<sst xmlns="http://schemas.openxmlformats.org/spreadsheetml/2006/main" count="3871" uniqueCount="874">
  <si>
    <t>Configuração de Linha</t>
  </si>
  <si>
    <t>Conversão</t>
  </si>
  <si>
    <t>Separação</t>
  </si>
  <si>
    <t>Acabamento</t>
  </si>
  <si>
    <t>#</t>
  </si>
  <si>
    <t>Separação 1</t>
  </si>
  <si>
    <t>Separação 2</t>
  </si>
  <si>
    <t>Separação 3</t>
  </si>
  <si>
    <t>Separação 4</t>
  </si>
  <si>
    <t>Acabamento 1</t>
  </si>
  <si>
    <t>Acabamento 2</t>
  </si>
  <si>
    <t>Padrão</t>
  </si>
  <si>
    <t>Teste 1</t>
  </si>
  <si>
    <t>Cisalhador Konmix</t>
  </si>
  <si>
    <t>Decantação estática</t>
  </si>
  <si>
    <t>Liofilizador</t>
  </si>
  <si>
    <t>Config.</t>
  </si>
  <si>
    <t>Centrífuga de Discos</t>
  </si>
  <si>
    <t>-</t>
  </si>
  <si>
    <t>Codemge 2018</t>
  </si>
  <si>
    <t>S</t>
  </si>
  <si>
    <t>Cisalhador 175/275UHS Silverson</t>
  </si>
  <si>
    <t>Spray dryer</t>
  </si>
  <si>
    <t>Cisalhador Verso V10208</t>
  </si>
  <si>
    <t>Centrífuga Decanter</t>
  </si>
  <si>
    <t>Concentrador por Membranas</t>
  </si>
  <si>
    <t>Cisalhador Verso V10209</t>
  </si>
  <si>
    <t>Centrífuga Tubular</t>
  </si>
  <si>
    <t>Hidrociclone</t>
  </si>
  <si>
    <t>Colunas de Flotação</t>
  </si>
  <si>
    <t>Codemge 2019</t>
  </si>
  <si>
    <t>Validação 2020</t>
  </si>
  <si>
    <t>Produto</t>
  </si>
  <si>
    <t>Custo de Produção</t>
  </si>
  <si>
    <t>CUSTO DE PRODUÇÃO EM GRAMA POR TIPO DE PRODUTO</t>
  </si>
  <si>
    <t>Grafeno A Spray Dryer</t>
  </si>
  <si>
    <t>Grafeno A Conc.+ Spray Dryer</t>
  </si>
  <si>
    <t>Grafeno A Conc.+Liofilizado</t>
  </si>
  <si>
    <t>Grafeno A</t>
  </si>
  <si>
    <t>/g</t>
  </si>
  <si>
    <t>Grafeno A Liofilizado</t>
  </si>
  <si>
    <t>Grafeno A Concentrado</t>
  </si>
  <si>
    <t>Grafeno B</t>
  </si>
  <si>
    <t>Nanoplaca</t>
  </si>
  <si>
    <t>DISTRIBUIÇÃO DO CUSTO EM CADA PRODUTO</t>
  </si>
  <si>
    <t>Frente de Trabalho</t>
  </si>
  <si>
    <t>SUM de R$/grama de grafeno A</t>
  </si>
  <si>
    <t>SUM de R$/grama de grafeno B</t>
  </si>
  <si>
    <t>SUM de R$/grama de Nanoplaca</t>
  </si>
  <si>
    <t>Custo</t>
  </si>
  <si>
    <t>Caracterização</t>
  </si>
  <si>
    <t>Depreciação Predial</t>
  </si>
  <si>
    <t>Produção</t>
  </si>
  <si>
    <t>Depreciação/Equipamentos</t>
  </si>
  <si>
    <t>SSMA</t>
  </si>
  <si>
    <t>Energia</t>
  </si>
  <si>
    <t>Equipe - Direta</t>
  </si>
  <si>
    <t>Equipe - Indireta</t>
  </si>
  <si>
    <t>Insumos e Consumíveis</t>
  </si>
  <si>
    <t>Manutenção</t>
  </si>
  <si>
    <t>Quantidades de produtos gerados</t>
  </si>
  <si>
    <t>CUSTO</t>
  </si>
  <si>
    <t>SUM de CUSTO ANUAL</t>
  </si>
  <si>
    <t>Kg/lote</t>
  </si>
  <si>
    <t>Kg/mês</t>
  </si>
  <si>
    <t>Kg/ano</t>
  </si>
  <si>
    <t>Grafeno de poucas camadas (Grafeno A)</t>
  </si>
  <si>
    <t>Nanoplaca de grafeno                        (Grafeno B)</t>
  </si>
  <si>
    <t>Nanografite (Nanoplaca)</t>
  </si>
  <si>
    <t>Depreciação predial</t>
  </si>
  <si>
    <t>CUSTO TOTAL</t>
  </si>
  <si>
    <t>US$/Kg de grafeno A</t>
  </si>
  <si>
    <t>US$/Kg de grafeno B</t>
  </si>
  <si>
    <t>US$/Kg de Nanoplaca</t>
  </si>
  <si>
    <t>Custos de produção da planta piloto P100</t>
  </si>
  <si>
    <t>Módulo/Técnica</t>
  </si>
  <si>
    <t>Depreciação</t>
  </si>
  <si>
    <t>Total Equipamentos</t>
  </si>
  <si>
    <t>Insumos / Consumíveis</t>
  </si>
  <si>
    <t>Total</t>
  </si>
  <si>
    <t>R$/grama de grafeno A</t>
  </si>
  <si>
    <t>R$/grama de grafeno B</t>
  </si>
  <si>
    <t>R$/grama de Nanoplaca</t>
  </si>
  <si>
    <t>Primeira Separação</t>
  </si>
  <si>
    <t>Segunda Separação</t>
  </si>
  <si>
    <t>Secagem</t>
  </si>
  <si>
    <t>Tratamento de Resíduos</t>
  </si>
  <si>
    <t>Raman</t>
  </si>
  <si>
    <t>TG</t>
  </si>
  <si>
    <t>Gravimetria</t>
  </si>
  <si>
    <t>DRX</t>
  </si>
  <si>
    <t>AFM</t>
  </si>
  <si>
    <t>MEV</t>
  </si>
  <si>
    <t>Custo Total</t>
  </si>
  <si>
    <t>P100</t>
  </si>
  <si>
    <t>CUSTO/LOTE</t>
  </si>
  <si>
    <t>CUSTO/MÊS</t>
  </si>
  <si>
    <t>CUSTO ANUAL</t>
  </si>
  <si>
    <t>Data de Atualização:</t>
  </si>
  <si>
    <t>Lotes/Mês</t>
  </si>
  <si>
    <t>Aumento de carga 2021</t>
  </si>
  <si>
    <t>Premissas</t>
  </si>
  <si>
    <t>Descrição</t>
  </si>
  <si>
    <t>Unidade</t>
  </si>
  <si>
    <t>Linha (tanque inox)</t>
  </si>
  <si>
    <t>Obra Civil</t>
  </si>
  <si>
    <t>Qnt MC</t>
  </si>
  <si>
    <t>Taxa de depreciação (a.a.)</t>
  </si>
  <si>
    <t>Volume do Lote</t>
  </si>
  <si>
    <t>L</t>
  </si>
  <si>
    <t>Depreciação Anual</t>
  </si>
  <si>
    <t>Tempo de Carga e preparo</t>
  </si>
  <si>
    <t>h/lote</t>
  </si>
  <si>
    <t>Depreciação Mensal</t>
  </si>
  <si>
    <t>Tempo de Descarga</t>
  </si>
  <si>
    <t>Depreciação/Lote</t>
  </si>
  <si>
    <t>Tempo Operação MC</t>
  </si>
  <si>
    <t>Tempo de Lote MC</t>
  </si>
  <si>
    <t>h</t>
  </si>
  <si>
    <t>Fração de Grafite</t>
  </si>
  <si>
    <t>g/L</t>
  </si>
  <si>
    <t>Cotação do Dólar</t>
  </si>
  <si>
    <t>Carga de Grafite</t>
  </si>
  <si>
    <t>g/lote</t>
  </si>
  <si>
    <t>Cotação do Euro</t>
  </si>
  <si>
    <t>Aditivo %</t>
  </si>
  <si>
    <t>m/m</t>
  </si>
  <si>
    <t>Aditivo</t>
  </si>
  <si>
    <t>Tempo 1ª Separação MS</t>
  </si>
  <si>
    <t>Técnica</t>
  </si>
  <si>
    <t>Quantidade de Amostras por lote</t>
  </si>
  <si>
    <t>Tempo 2ª Separação MS</t>
  </si>
  <si>
    <t>x</t>
  </si>
  <si>
    <t>Limpeza MS</t>
  </si>
  <si>
    <t>Tempo de Lote MS</t>
  </si>
  <si>
    <t>Turno</t>
  </si>
  <si>
    <t>Número de Turnos</t>
  </si>
  <si>
    <t>/dia</t>
  </si>
  <si>
    <t>Dias</t>
  </si>
  <si>
    <t>/semana</t>
  </si>
  <si>
    <t>Lotes</t>
  </si>
  <si>
    <t>Tempo de Lote</t>
  </si>
  <si>
    <t>Lote 2021</t>
  </si>
  <si>
    <t>Produtividade da Planta</t>
  </si>
  <si>
    <t>Material</t>
  </si>
  <si>
    <t>Rendimentos (% m/m)</t>
  </si>
  <si>
    <t>Produção (g/lote)</t>
  </si>
  <si>
    <t>g/dia</t>
  </si>
  <si>
    <t>g/h</t>
  </si>
  <si>
    <t>g/ano</t>
  </si>
  <si>
    <t>g/mês</t>
  </si>
  <si>
    <t>A+B</t>
  </si>
  <si>
    <t>Perdas</t>
  </si>
  <si>
    <t>Valores relativos a massas de grafite e produtos secos</t>
  </si>
  <si>
    <t>Rendimentos relativos a massas de grafite e produtos secos</t>
  </si>
  <si>
    <t>Para g/dia foi considerado o tempo total do Modulo de Conversao</t>
  </si>
  <si>
    <t>Dias uteis 2026</t>
  </si>
  <si>
    <r>
      <rPr>
        <i/>
        <color rgb="FF000000"/>
        <sz val="9.0"/>
      </rPr>
      <t xml:space="preserve">2026 tem 365 dias totais, retirando 52 sábados e 52 domingos, restam 261 dias </t>
    </r>
    <r>
      <rPr>
        <i/>
        <color rgb="FF1155CC"/>
        <sz val="9.0"/>
        <u/>
      </rPr>
      <t>Dias Úteis</t>
    </r>
  </si>
  <si>
    <t>Removendo 11 feriados nacionais que não caem em finais de semana, chegamos a 250 dias úteis</t>
  </si>
  <si>
    <t>Funcionário</t>
  </si>
  <si>
    <t>Qte</t>
  </si>
  <si>
    <t>Salário</t>
  </si>
  <si>
    <t>Salario Total</t>
  </si>
  <si>
    <t>1 Separação</t>
  </si>
  <si>
    <t>2 Separação</t>
  </si>
  <si>
    <t>EQUIPE - INDIRETA</t>
  </si>
  <si>
    <t>Técnicos - Turno 1</t>
  </si>
  <si>
    <t>% m / m total</t>
  </si>
  <si>
    <t>R$ equipe/produto</t>
  </si>
  <si>
    <t>Cargo</t>
  </si>
  <si>
    <t>Quantidade</t>
  </si>
  <si>
    <t>Encargos</t>
  </si>
  <si>
    <t>Técnicos - Turno 2</t>
  </si>
  <si>
    <t>Coordenador Produção</t>
  </si>
  <si>
    <t>Técnicos - Turno 3</t>
  </si>
  <si>
    <t>Técnico de produção - Tratamento de Resíduos</t>
  </si>
  <si>
    <t>Supervisor</t>
  </si>
  <si>
    <t>Coordenador Qualidade</t>
  </si>
  <si>
    <t>Técnico de Caracterização</t>
  </si>
  <si>
    <t>Químico - Caracterização</t>
  </si>
  <si>
    <t>R$ mensal de funcionários / módulo</t>
  </si>
  <si>
    <t>Coordenador Logística</t>
  </si>
  <si>
    <t>Auxiliar de Logística</t>
  </si>
  <si>
    <t>Empilhadeirista (terceirizado)</t>
  </si>
  <si>
    <t>Módulo</t>
  </si>
  <si>
    <t>Técnico</t>
  </si>
  <si>
    <t>Custo de remuneração/produto</t>
  </si>
  <si>
    <t>R$/g</t>
  </si>
  <si>
    <t>Coordenador de manutenção</t>
  </si>
  <si>
    <t>Dados P500 de Fevereiro</t>
  </si>
  <si>
    <t>Técnico em Mecânica</t>
  </si>
  <si>
    <t>Tecnicos - Turno 3</t>
  </si>
  <si>
    <t>%</t>
  </si>
  <si>
    <t>R$</t>
  </si>
  <si>
    <t>Técnico em Elétrica</t>
  </si>
  <si>
    <t>Técnico de Segurança</t>
  </si>
  <si>
    <t>Enfermeira</t>
  </si>
  <si>
    <t>Total/Lote</t>
  </si>
  <si>
    <t>Obs: Com o aumento da carga, nos aumentamos a produção de nanoplaca e sua representação massica sobre os produtos, então os custos de remuneração para equipe direta são distribuidos em maior parte para nanoplaca. Como a procentagem de grafeno B diminuiu também, vemos uma redução no custo de remuneração por grama do grafeno A e B passando antes de 0,31 agora para 0,12. Essa alteração reflete nos dois produtos porque ambos passam pelos mesmos processos de produção para serem obtidos.</t>
  </si>
  <si>
    <t>Módulo de Conversão</t>
  </si>
  <si>
    <t>CARACTERIZAÇÃO</t>
  </si>
  <si>
    <t>Discriminação</t>
  </si>
  <si>
    <t>Valor unitário</t>
  </si>
  <si>
    <t>Quantidade utilizada/amostra</t>
  </si>
  <si>
    <t>Durabilidade (Quantidade de amostras até precisar trocar)</t>
  </si>
  <si>
    <t>Valor/Amostra</t>
  </si>
  <si>
    <t>Quantidade utilizada/lote</t>
  </si>
  <si>
    <t>Durabilidade (Quantidade de lotes até precisar trocar)</t>
  </si>
  <si>
    <t>Valor/lote</t>
  </si>
  <si>
    <t>Quantidade utilizada</t>
  </si>
  <si>
    <t>Luvas Nitrílicas</t>
  </si>
  <si>
    <t>un</t>
  </si>
  <si>
    <t>Locação de resina</t>
  </si>
  <si>
    <t>Triton X-100 Sigma</t>
  </si>
  <si>
    <t>Nitrogênio</t>
  </si>
  <si>
    <t>Carvão ativado</t>
  </si>
  <si>
    <t>kg</t>
  </si>
  <si>
    <t>Grafite 9980*</t>
  </si>
  <si>
    <t>Sonda tapping (NSC35/AlBS Mikromash)</t>
  </si>
  <si>
    <t>Lonas filtrantes para filtro prensa</t>
  </si>
  <si>
    <t>Hidroxido de amônio 25%</t>
  </si>
  <si>
    <t>Aminopropyltrietoxylane (APTES)</t>
  </si>
  <si>
    <t>Refil filtro 45 microns</t>
  </si>
  <si>
    <t>Água Tipo II</t>
  </si>
  <si>
    <t>Lâmina para Microscopia</t>
  </si>
  <si>
    <t>Refil filtro 22 microns</t>
  </si>
  <si>
    <t>Água Tratada</t>
  </si>
  <si>
    <t>Água tipo I ultra pura</t>
  </si>
  <si>
    <t>Frasco de 1 L</t>
  </si>
  <si>
    <t>Eppendorf 1,5 mL</t>
  </si>
  <si>
    <t>Lâmpada UV de 16 Watts</t>
  </si>
  <si>
    <t>Tubos Falcon de 15 mL</t>
  </si>
  <si>
    <t>Pipeta de Pasteur 3mL</t>
  </si>
  <si>
    <t>Válvulas</t>
  </si>
  <si>
    <t>Vial 15 ml</t>
  </si>
  <si>
    <t>Substrato de Si-SiOx</t>
  </si>
  <si>
    <t>Mangueiras</t>
  </si>
  <si>
    <t>Balde de 20 L</t>
  </si>
  <si>
    <t xml:space="preserve">Pinça de alta precisão, modelo 6, ponta ultra-fina </t>
  </si>
  <si>
    <t>Análise surfactante - HPLC</t>
  </si>
  <si>
    <t>* baseada na cotação do dólar</t>
  </si>
  <si>
    <t>Placa de petri de vidro 150 mm</t>
  </si>
  <si>
    <t>Sulfato de aluminio</t>
  </si>
  <si>
    <t>Ponteira - 10,0 mL</t>
  </si>
  <si>
    <t>DLS</t>
  </si>
  <si>
    <t>Pilhas alcalinas para funcionamento turbidimetro e multiparametro</t>
  </si>
  <si>
    <t>Módulo de Separação- Primeira etapa</t>
  </si>
  <si>
    <t>Ponteira - 1,0 mL</t>
  </si>
  <si>
    <t>Análises fisico-quimicas METHA (Obs.: temporário)</t>
  </si>
  <si>
    <t>serviço</t>
  </si>
  <si>
    <t>Tubo vial de vidro com tampas - 15 mL</t>
  </si>
  <si>
    <t>Triton X-100</t>
  </si>
  <si>
    <t>g</t>
  </si>
  <si>
    <t>Tubos Falcon de 50 ml</t>
  </si>
  <si>
    <t>Balão volumétrico 50 mL</t>
  </si>
  <si>
    <t>un.</t>
  </si>
  <si>
    <t>Frascos de 200 mL</t>
  </si>
  <si>
    <t>Hidróxido de sódio P.A</t>
  </si>
  <si>
    <t>mg</t>
  </si>
  <si>
    <t>Béquer 100 mL de vidro</t>
  </si>
  <si>
    <t>Balde de 5L</t>
  </si>
  <si>
    <t>Pipeta Pasteur 3 mL</t>
  </si>
  <si>
    <t>Frascos boca larga de 1 L</t>
  </si>
  <si>
    <t>Solução tampão pHmetro</t>
  </si>
  <si>
    <t>Pote de 250 g</t>
  </si>
  <si>
    <t>Lenço de papel macio</t>
  </si>
  <si>
    <t>Bombonas de 20L</t>
  </si>
  <si>
    <t>Cubeta descartável 10 mm</t>
  </si>
  <si>
    <t>Bombonas de 50 L</t>
  </si>
  <si>
    <t>Cubeta quartzo 10 mm</t>
  </si>
  <si>
    <t>Cloreto de sódio P.A</t>
  </si>
  <si>
    <t>Módulo de Separação- Segunda etapa</t>
  </si>
  <si>
    <t>Pisseta 500 mL</t>
  </si>
  <si>
    <t>Água deionizada</t>
  </si>
  <si>
    <t>mL</t>
  </si>
  <si>
    <t xml:space="preserve">Caneta marcador </t>
  </si>
  <si>
    <t>Luvas nitrilicas</t>
  </si>
  <si>
    <t>Ponteiras 10000 µL</t>
  </si>
  <si>
    <t>Placa de petri descartáveis</t>
  </si>
  <si>
    <t>Membranas filtrantes de policarbonato  0,2 microns 25 mm</t>
  </si>
  <si>
    <t>Granulometria</t>
  </si>
  <si>
    <t>Espátula</t>
  </si>
  <si>
    <t>Papel toalha</t>
  </si>
  <si>
    <t>folhas</t>
  </si>
  <si>
    <t>Módulo de Acabamento</t>
  </si>
  <si>
    <t>Pipeta Pasteur</t>
  </si>
  <si>
    <t>Vials de vidro + tampas</t>
  </si>
  <si>
    <t>Balde de 5 L</t>
  </si>
  <si>
    <t>Balão volumétrico 250 mL</t>
  </si>
  <si>
    <t>Sacos de 20 L</t>
  </si>
  <si>
    <t>Sacos de 1 L</t>
  </si>
  <si>
    <t>Béquer 100 mL</t>
  </si>
  <si>
    <t>Frascos boca larga de 500 ml</t>
  </si>
  <si>
    <t>Suporte + filtro de água 0,22 um</t>
  </si>
  <si>
    <t>Água filtrada 0,22 um</t>
  </si>
  <si>
    <t>Ácido cítrco</t>
  </si>
  <si>
    <t>Hipoclorito de sódio</t>
  </si>
  <si>
    <t>Galão de 50 L (descarte)</t>
  </si>
  <si>
    <t>Filme PVC</t>
  </si>
  <si>
    <t>m</t>
  </si>
  <si>
    <t>Pote de 1 Kg</t>
  </si>
  <si>
    <t>Cadinho de porcelana</t>
  </si>
  <si>
    <t>Extran MA 02 - Neutro</t>
  </si>
  <si>
    <t>Mapa RAMAN</t>
  </si>
  <si>
    <t>Pinça de alta precisão, modelo 7, ponta ultra-fina para MEV</t>
  </si>
  <si>
    <t>MET</t>
  </si>
  <si>
    <t>Pinça de alta precisão, modelo 5, ponta ultra-fina para MEV</t>
  </si>
  <si>
    <t>filamento LaB6 MET</t>
  </si>
  <si>
    <t>conjunto de aberturas da lente objetiva MET</t>
  </si>
  <si>
    <t>conjunto abertura lentes condensadoras MET</t>
  </si>
  <si>
    <t>Olho da bomba difusora do MET</t>
  </si>
  <si>
    <t>Cinta aquecimento bomba difusora do MET</t>
  </si>
  <si>
    <t>conjunto telas fosforecentes do MET</t>
  </si>
  <si>
    <t>válvula solenoide do canhão do MET</t>
  </si>
  <si>
    <t>Pinça de alta precisão, modelo 7, ponta ultra-fina para MET</t>
  </si>
  <si>
    <t>Pinça de alta precisão, modelo 5, ponta ultra-fina para MET</t>
  </si>
  <si>
    <t>cilindro nitrogênio gasoso alta pureza para MET</t>
  </si>
  <si>
    <t>nitrogênio líquido para MET</t>
  </si>
  <si>
    <t>Canhão FEG MEV</t>
  </si>
  <si>
    <t>cabo alta tensão canhão FEG MEV</t>
  </si>
  <si>
    <t>conjunto de anéis o´rings canhão FEG MEV</t>
  </si>
  <si>
    <t>Conjunto de aberturas da lente objetiva</t>
  </si>
  <si>
    <t>cilindro nitrogênio gasoso alta pureza para MEV</t>
  </si>
  <si>
    <t>Microscopia óptica</t>
  </si>
  <si>
    <t>Lâmina</t>
  </si>
  <si>
    <t>Microscopia ótica</t>
  </si>
  <si>
    <t>Lamínula</t>
  </si>
  <si>
    <t>Acetona</t>
  </si>
  <si>
    <t>Lenço de Papel</t>
  </si>
  <si>
    <t>Ar sintético</t>
  </si>
  <si>
    <t>Cadinhos de Alumina (porta amostras)</t>
  </si>
  <si>
    <t>UV-VIS</t>
  </si>
  <si>
    <t>Ponteira 10,0 mL</t>
  </si>
  <si>
    <t>Ponteira 1,0 mL</t>
  </si>
  <si>
    <t>Pisseta Pasteur - 3 mL</t>
  </si>
  <si>
    <t>Tubo vial de vidro - 15 mL</t>
  </si>
  <si>
    <t xml:space="preserve">Papel toalha </t>
  </si>
  <si>
    <t>cx</t>
  </si>
  <si>
    <t>Surfactante</t>
  </si>
  <si>
    <t>Balão volumétrico - 50 mL</t>
  </si>
  <si>
    <t xml:space="preserve">Béquer de vidro - 100 mL </t>
  </si>
  <si>
    <t>Cubeta de quartzo 10 mm</t>
  </si>
  <si>
    <t>Zeta</t>
  </si>
  <si>
    <t>Cubeta ômega</t>
  </si>
  <si>
    <t xml:space="preserve">Zeta </t>
  </si>
  <si>
    <t>ESPECIFICAÇÃO DE EQUIPAMENTOS</t>
  </si>
  <si>
    <t>ENERGIA</t>
  </si>
  <si>
    <t>DEPRECIAÇÃO</t>
  </si>
  <si>
    <t>MANUTENÇÃO</t>
  </si>
  <si>
    <t>TOTAL</t>
  </si>
  <si>
    <t>Tipo</t>
  </si>
  <si>
    <t>DESCRIÇÃO</t>
  </si>
  <si>
    <t>MODELO</t>
  </si>
  <si>
    <t>Fabricante</t>
  </si>
  <si>
    <t>Qnt.</t>
  </si>
  <si>
    <t>Valor total (R$)</t>
  </si>
  <si>
    <t>Potência max [kW]</t>
  </si>
  <si>
    <t>Tempo de uso por lote [h]</t>
  </si>
  <si>
    <t>Potência consumida [kWh]</t>
  </si>
  <si>
    <t>Bandeira Verde [R$/kWh]</t>
  </si>
  <si>
    <t>R$/lote</t>
  </si>
  <si>
    <t>R$/lote unitária para equipamento</t>
  </si>
  <si>
    <t>Vida útil (anos)</t>
  </si>
  <si>
    <t>Ano de compra</t>
  </si>
  <si>
    <t>Depreciação anual</t>
  </si>
  <si>
    <t>R$/lote unitária</t>
  </si>
  <si>
    <t>Manutenção preventiva e preditiva</t>
  </si>
  <si>
    <t>Frequência (dias)</t>
  </si>
  <si>
    <t>Valor manutenção</t>
  </si>
  <si>
    <t>Custo/lote</t>
  </si>
  <si>
    <t>Processo</t>
  </si>
  <si>
    <t>Utilidade</t>
  </si>
  <si>
    <t>Sistema de produção de água por Osmose Reversa</t>
  </si>
  <si>
    <t>ROS 0590</t>
  </si>
  <si>
    <t>PERMUTION</t>
  </si>
  <si>
    <t>Troca: Membrana de osmose reversa (2160h); cartucho de carvão ativado (360 h); coluna deionizadora (150 h); membrana microbiológica (1080 h); lâmpada UV (2160 h); regeneração da coluna do abrandador  ou troca (8640 h)</t>
  </si>
  <si>
    <t>Instrumentação analítica</t>
  </si>
  <si>
    <t>Balança Analitica (máx. 220g)</t>
  </si>
  <si>
    <t>Balança Analitica ME204</t>
  </si>
  <si>
    <t>METTLER TOLEDO</t>
  </si>
  <si>
    <t>Calibração</t>
  </si>
  <si>
    <t>Cisalhador KonMix (Misturador de alto cisalhamento em linha) NOVO</t>
  </si>
  <si>
    <t>KRB 4/3 High shear homogenizer machine 4Kw (inline type three stage chamber)</t>
  </si>
  <si>
    <t>KONMIX</t>
  </si>
  <si>
    <t>Troca de selo-1 ano de uso($255,0). Trocar o rotor/estator -3 anos de uso($1650,0)</t>
  </si>
  <si>
    <t>Instrumentação &amp; Automação</t>
  </si>
  <si>
    <t>Inversor para cisalhador</t>
  </si>
  <si>
    <t>Inversor de frequência 7,5CV 220 Trifásico</t>
  </si>
  <si>
    <t>WEG</t>
  </si>
  <si>
    <t xml:space="preserve">Limpeza </t>
  </si>
  <si>
    <t>Sensores de temperatura para tubulações entre o tanque e cisalhador</t>
  </si>
  <si>
    <t>Termopar Tipo J pugle isola 1/4 NPT</t>
  </si>
  <si>
    <t>OMEGA</t>
  </si>
  <si>
    <t>?</t>
  </si>
  <si>
    <t>Sensores de pressão para as tubulaçoes entre o tanque e cisalhador</t>
  </si>
  <si>
    <t>Manômetro Digital Silver com sinal de saída 4a20mA - 1/4 NPT macho</t>
  </si>
  <si>
    <t>VELKI</t>
  </si>
  <si>
    <t>Field Logger - Registrador de dados</t>
  </si>
  <si>
    <t>FieldLogger 512k com IHM Interface RS485 Ethernet</t>
  </si>
  <si>
    <t>NOVUS</t>
  </si>
  <si>
    <t>Limpeza</t>
  </si>
  <si>
    <t>Tanque (100L) de Aço Inox com sistema de agitação e encamisamento para sistema de refrigeração e silo/funil de alimentação</t>
  </si>
  <si>
    <t>TWO LAYER MIXING TANK 100L</t>
  </si>
  <si>
    <t>ZHEJIANG L&amp;B FLUID</t>
  </si>
  <si>
    <t>R$ 3.908,30</t>
  </si>
  <si>
    <t>R$7.816,60</t>
  </si>
  <si>
    <t>R$30,86</t>
  </si>
  <si>
    <t>R$ 15,43</t>
  </si>
  <si>
    <t>R$703,49</t>
  </si>
  <si>
    <t>R$5,78</t>
  </si>
  <si>
    <t>R$2,89</t>
  </si>
  <si>
    <t>R$0,00</t>
  </si>
  <si>
    <t>R$18,32</t>
  </si>
  <si>
    <t>Termoregulador de água fria e água quente- Chiller</t>
  </si>
  <si>
    <t>TFQF 09</t>
  </si>
  <si>
    <t>Friotec</t>
  </si>
  <si>
    <t xml:space="preserve">30 dias - limpeza; verificação de vazamentos  / 60 dias - verificar a eficiência do condesador; limpar a serpentina do condensador </t>
  </si>
  <si>
    <t>Bomba Peristáltica (500ml/min)</t>
  </si>
  <si>
    <t>QDOS 30/30LH/MANUAL/125RPM</t>
  </si>
  <si>
    <t>WATSON-MARLOW</t>
  </si>
  <si>
    <t>Troca de aneis de vedação</t>
  </si>
  <si>
    <t>Sensor de pH</t>
  </si>
  <si>
    <t>HA405-DXK-S8/120</t>
  </si>
  <si>
    <t>Sensor de condutividade/temperatura</t>
  </si>
  <si>
    <t>InPro7001/120-VP 3.1</t>
  </si>
  <si>
    <t>Sensor de vazão</t>
  </si>
  <si>
    <t>SM8000</t>
  </si>
  <si>
    <t>IFM</t>
  </si>
  <si>
    <t>Transmissor M300</t>
  </si>
  <si>
    <t>M300 Process 2-channel 1/2 DIN</t>
  </si>
  <si>
    <t>Balança analógica (máx. 60Kg)</t>
  </si>
  <si>
    <t>Balança PBD655-BC60 + Terminal ICS435g</t>
  </si>
  <si>
    <t>Bomba Peristáltica (18L/min)</t>
  </si>
  <si>
    <t>621F/RE</t>
  </si>
  <si>
    <t>Troca do mangote</t>
  </si>
  <si>
    <t>Tanque (100L) de Aço Inox com agitação</t>
  </si>
  <si>
    <t>SINGLE LAYER MIXING TANK 100L</t>
  </si>
  <si>
    <t>R$ 4.356,00</t>
  </si>
  <si>
    <t>R$4.356,00</t>
  </si>
  <si>
    <t>R$49,38</t>
  </si>
  <si>
    <t>R$ 49,38</t>
  </si>
  <si>
    <t>R$392,04</t>
  </si>
  <si>
    <t>R$12,89</t>
  </si>
  <si>
    <t>R$62,27</t>
  </si>
  <si>
    <t>MD 80</t>
  </si>
  <si>
    <t>LEMITEC</t>
  </si>
  <si>
    <t xml:space="preserve">Troca dos rolamentos e limpeza dos filtros </t>
  </si>
  <si>
    <t>Transformador Decanter</t>
  </si>
  <si>
    <t>ITS-TT</t>
  </si>
  <si>
    <t>Ideal</t>
  </si>
  <si>
    <t>Limpeza e inspeção</t>
  </si>
  <si>
    <t xml:space="preserve">Centrifuga de Discos </t>
  </si>
  <si>
    <t>TSD 1-06-107 Single separator</t>
  </si>
  <si>
    <t>GEA</t>
  </si>
  <si>
    <t>Troca de óleo, troca de aneis de vedação</t>
  </si>
  <si>
    <t>Bomba Helicoidal ( máx 100L/h )</t>
  </si>
  <si>
    <t>NM011</t>
  </si>
  <si>
    <t>NETZSCH</t>
  </si>
  <si>
    <t>Limpeza  e inspeção</t>
  </si>
  <si>
    <t>Liofilização</t>
  </si>
  <si>
    <t>Liofilizador JJ Cientifica</t>
  </si>
  <si>
    <t>LIJ250</t>
  </si>
  <si>
    <t>JJ Cientifica</t>
  </si>
  <si>
    <t>cotação mar/21</t>
  </si>
  <si>
    <t>Limpeza do radiador do condensador do compressor de frio</t>
  </si>
  <si>
    <t>Bomba de vácuo seca</t>
  </si>
  <si>
    <t>R$ -</t>
  </si>
  <si>
    <t>cotação fev/21</t>
  </si>
  <si>
    <t>Limpeza e troca do filtro de ar</t>
  </si>
  <si>
    <t>ULTRAFREEZER VERTICAL</t>
  </si>
  <si>
    <t>CL 800-80</t>
  </si>
  <si>
    <t>Coldlab</t>
  </si>
  <si>
    <t>cotação Mar/21</t>
  </si>
  <si>
    <t>ESTUFA COM CIRCULAÇÃO E RENOVAÇÃO DE AR</t>
  </si>
  <si>
    <t>NL-82-330 E1</t>
  </si>
  <si>
    <t>New Lab</t>
  </si>
  <si>
    <t>Concentração por Membranas</t>
  </si>
  <si>
    <t xml:space="preserve">Equipamento Piloto de Micro/Ultrafilração </t>
  </si>
  <si>
    <t>Pam Membranas Bancada</t>
  </si>
  <si>
    <t>Pam Membranas Piloto</t>
  </si>
  <si>
    <t>Troca da membrana quando necessário</t>
  </si>
  <si>
    <t>Concentrado + Liofilização</t>
  </si>
  <si>
    <t xml:space="preserve">Liofilizador Terroni </t>
  </si>
  <si>
    <t>LI 2000</t>
  </si>
  <si>
    <t>TERRONI</t>
  </si>
  <si>
    <t>Congelador Vertical</t>
  </si>
  <si>
    <t>SINGLE LAYER(3mm),OVAL BOTTOM / DISCHARGE
 VALVE (1 1⁄2”) / CLAMP CONNECTION HALF OPEN FLAT COVER
 * GPG GEAR MOTOR AGITATOR: 0,75KW/300RPM.</t>
  </si>
  <si>
    <t>SINGLE LAYER MIXING TANK 300L</t>
  </si>
  <si>
    <t>Equipamento</t>
  </si>
  <si>
    <t>Atividade</t>
  </si>
  <si>
    <t>Valor</t>
  </si>
  <si>
    <t>Valor total</t>
  </si>
  <si>
    <t>Potência [kW]</t>
  </si>
  <si>
    <t>Tempo de uso por amostra (kit) [h]</t>
  </si>
  <si>
    <t>Depreciação/lote</t>
  </si>
  <si>
    <t>Manutenção (descrição)</t>
  </si>
  <si>
    <t>Valor/Lote</t>
  </si>
  <si>
    <t>Custo/Amostra</t>
  </si>
  <si>
    <t>Microscópio de força atômica NX-10 Park Systems</t>
  </si>
  <si>
    <t>Operação</t>
  </si>
  <si>
    <t>Não existe manutenção programada para o equipamento.</t>
  </si>
  <si>
    <t>Monocromador CU Pixcel</t>
  </si>
  <si>
    <t>Não se aplica</t>
  </si>
  <si>
    <t xml:space="preserve">Balança analítica 5 casas Shimadzu </t>
  </si>
  <si>
    <t>Manutenção preventiva e Calibração anual</t>
  </si>
  <si>
    <t>Bomba de vácuo quimis</t>
  </si>
  <si>
    <t>Manutenção corretiva</t>
  </si>
  <si>
    <t>Micropipeta monocanal - 1000 uL a 10000 uL</t>
  </si>
  <si>
    <t>Preparação de amostras</t>
  </si>
  <si>
    <t xml:space="preserve">Calibração anual </t>
  </si>
  <si>
    <t>Sistema de filtração 25 mm</t>
  </si>
  <si>
    <t>Troca de borracha</t>
  </si>
  <si>
    <t>Difratômetro de DRX (sistema completo)</t>
  </si>
  <si>
    <t>Preventiva/Corretiva</t>
  </si>
  <si>
    <t>Balança Analítica (5 casas) - Shimadzu</t>
  </si>
  <si>
    <t>Mufla digital - Nabertherm LT-5/12</t>
  </si>
  <si>
    <t>Calibração anual</t>
  </si>
  <si>
    <t>Estufa microprocessada de secagem  - Newlab</t>
  </si>
  <si>
    <t>Microscópio eletrônico de varredura com canhão tipo FEG, detectores ETD, BSED, EDS</t>
  </si>
  <si>
    <t>manutenção preventiva anual, elevada demanda de manutenção corretiva</t>
  </si>
  <si>
    <t>ESPECTRÔMETRO E MICROSCÓPIO WITEC</t>
  </si>
  <si>
    <t>Manuntenção Preventiva (Raman e perifericos)</t>
  </si>
  <si>
    <t>Estágio Motorizado modelo XSP3000 (Scanner para WITEC)</t>
  </si>
  <si>
    <t>Periferico Raman</t>
  </si>
  <si>
    <t>Laser diodo</t>
  </si>
  <si>
    <t>Computador</t>
  </si>
  <si>
    <t>Notebook</t>
  </si>
  <si>
    <t>Ultrassom LimpSonic</t>
  </si>
  <si>
    <t>Não possui manutenção preventiva associada a esse equipamento</t>
  </si>
  <si>
    <t>Nobreak</t>
  </si>
  <si>
    <t>Analisador TG/DTA - Calorimetro SDT650</t>
  </si>
  <si>
    <t>Manutenção Preventiva</t>
  </si>
  <si>
    <t>Formatação</t>
  </si>
  <si>
    <t>EQUIPAMENTOS SSMA</t>
  </si>
  <si>
    <t>GERAL EQUIPAMENTOS</t>
  </si>
  <si>
    <t>Item</t>
  </si>
  <si>
    <t>Turbidímetro - 0 a 1000 NTU - modelo TB1000</t>
  </si>
  <si>
    <t>Limpeza/ troca de Pilhas</t>
  </si>
  <si>
    <t>Bomba pneumática 2 unidades</t>
  </si>
  <si>
    <t>Limpeza/inspeção</t>
  </si>
  <si>
    <t>Analisador multiparâmetros</t>
  </si>
  <si>
    <t>Bomba centrífuga</t>
  </si>
  <si>
    <t>Filtro prensa</t>
  </si>
  <si>
    <t>Limpeza/troca de óleo/troca de lonas</t>
  </si>
  <si>
    <t>Tanques de 80L de capacidade</t>
  </si>
  <si>
    <t>Tanques de 500 L</t>
  </si>
  <si>
    <t>Tanques de 300 L</t>
  </si>
  <si>
    <t>Vidrarias</t>
  </si>
  <si>
    <t>Carcaças filtros e carvão ativado - sistema de tratamento</t>
  </si>
  <si>
    <t>Limpeza/refil filtros</t>
  </si>
  <si>
    <t>Reator lâmpada UV</t>
  </si>
  <si>
    <t>Limpeza/troca da lâmpada</t>
  </si>
  <si>
    <t>EQUIPAMENTOS PRODUÇÃO</t>
  </si>
  <si>
    <t>Resumo</t>
  </si>
  <si>
    <t>Custo/Lote</t>
  </si>
  <si>
    <t>Configuração</t>
  </si>
  <si>
    <t>R$/lote uniária para equipamento</t>
  </si>
  <si>
    <t>Manutenção preventiva (descrição)</t>
  </si>
  <si>
    <t>Reserva</t>
  </si>
  <si>
    <t>Cisalhador Silverson (Misturador de alto cisalhamento em linha)</t>
  </si>
  <si>
    <t>175/275UHS Silverson Inline Mixer Emulsifier</t>
  </si>
  <si>
    <t>SILVERSON</t>
  </si>
  <si>
    <t>Padrão Konmix</t>
  </si>
  <si>
    <t>Decanter</t>
  </si>
  <si>
    <t>Todos</t>
  </si>
  <si>
    <t>Centrífuga discos</t>
  </si>
  <si>
    <t>Cisalhador KonMix (Misturador de alto cisalhamento em linha)</t>
  </si>
  <si>
    <t>Secagem sóidos</t>
  </si>
  <si>
    <t>Troca de selo</t>
  </si>
  <si>
    <t>Concentração</t>
  </si>
  <si>
    <t>Field Logger</t>
  </si>
  <si>
    <t>Outros</t>
  </si>
  <si>
    <t>Tanques de vidro- capacidade 100 L</t>
  </si>
  <si>
    <t>TOPTION</t>
  </si>
  <si>
    <t xml:space="preserve">30 dias - limpeza; verificação de vazamentos                                     60 dias - verificar a eficiência do condesador; limpar a serpentina do condensador </t>
  </si>
  <si>
    <t>Bombas centrifugas para refrigeracao</t>
  </si>
  <si>
    <t>Limpeza do rotor</t>
  </si>
  <si>
    <t>Toca do mangote</t>
  </si>
  <si>
    <t>Tanque (100L) de Aço Inox sem agitação</t>
  </si>
  <si>
    <t>STORAGE TANK 100L</t>
  </si>
  <si>
    <t>Bomba Helicoidal ( máx 200L/h )</t>
  </si>
  <si>
    <t>NM®021SY02S12B</t>
  </si>
  <si>
    <t>JDF CENTRIFUGAS EIRELI</t>
  </si>
  <si>
    <t>Centrifuga de Discos continua NOVA</t>
  </si>
  <si>
    <t>Inversor para Centrífuga de Discos</t>
  </si>
  <si>
    <t>1CV</t>
  </si>
  <si>
    <t>Centrífuga Decanter I</t>
  </si>
  <si>
    <t>Secador Spray Dryer LabMaq MSD 1.0</t>
  </si>
  <si>
    <t>MSD 1.0</t>
  </si>
  <si>
    <t>LABMAQ</t>
  </si>
  <si>
    <t>LS 3000</t>
  </si>
  <si>
    <t>Estufa</t>
  </si>
  <si>
    <t xml:space="preserve">Equipamento de Bancada de Micro/Ultrafilração </t>
  </si>
  <si>
    <t>50 L/dia</t>
  </si>
  <si>
    <t>Pam Membranas</t>
  </si>
  <si>
    <t>200 L/dia</t>
  </si>
  <si>
    <t>Centrífuga Tubular Nacional</t>
  </si>
  <si>
    <t>IMA T-2L</t>
  </si>
  <si>
    <t>Atlanta</t>
  </si>
  <si>
    <t>Compressor de ar tipo parafuso</t>
  </si>
  <si>
    <t>G7 100 AFF 200v/60Hz/3F YD TD 77L</t>
  </si>
  <si>
    <t>Atlas Copco</t>
  </si>
  <si>
    <t>Centrífuga Tubular Chinesa</t>
  </si>
  <si>
    <t>TS-45</t>
  </si>
  <si>
    <t>Cronw</t>
  </si>
  <si>
    <t>Bandeira</t>
  </si>
  <si>
    <t>Custo atual (R$/ kWh)</t>
  </si>
  <si>
    <t>Custo real (R$/kWh)</t>
  </si>
  <si>
    <t>Data de atualização</t>
  </si>
  <si>
    <t>BAIXA TENSÃO</t>
  </si>
  <si>
    <t>Bandeira verde [R$/kWh]</t>
  </si>
  <si>
    <t>Bandeira amarela [R$/kWh]</t>
  </si>
  <si>
    <t>Atenção: conforme art. 98. da resolução 414 da Ameel, o custo de disponibilidade do sistema elétrico, aplicável ao faturamento mensal de consumidor responsável por unidade consumidora do grupo B, é o valor em moeda corrente equivalente a:​</t>
  </si>
  <si>
    <t>Bandeira vermelha - Patamar 1 [R$/kWh]</t>
  </si>
  <si>
    <t>I – 30 kWh, se monofásico ou bifásico a 2 (dois) condutores;</t>
  </si>
  <si>
    <t>Bandeira vermelha - Patamar 2 [R$/kWh]</t>
  </si>
  <si>
    <t>II – 50 kWh, se bifásico a 3 (três) condutores; ou</t>
  </si>
  <si>
    <t>III – 100 kWh, se trifásico</t>
  </si>
  <si>
    <t>Tarifas do Grupo B</t>
  </si>
  <si>
    <t>Data</t>
  </si>
  <si>
    <t>(Antes de IMPOSTOS)</t>
  </si>
  <si>
    <t>VERDE</t>
  </si>
  <si>
    <t>AMARELA</t>
  </si>
  <si>
    <t>VERMELHA 1</t>
  </si>
  <si>
    <t>VERMELHA 2</t>
  </si>
  <si>
    <t>Amarela</t>
  </si>
  <si>
    <t>​</t>
  </si>
  <si>
    <t>Verde</t>
  </si>
  <si>
    <t>CONVENCIONAL​</t>
  </si>
  <si>
    <t>B1- RESIDENCIAL NORMAL</t>
  </si>
  <si>
    <t>Consumo R$/kWh</t>
  </si>
  <si>
    <t>​PATAMAR 1Consumo R$/kWh</t>
  </si>
  <si>
    <t>​PATAMAR 2Consumo R$/kWh</t>
  </si>
  <si>
    <t>Residencial Normal (Consumo R$/kWh)</t>
  </si>
  <si>
    <t>0,​62833</t>
  </si>
  <si>
    <t>​0,64333</t>
  </si>
  <si>
    <t>​0,66833</t>
  </si>
  <si>
    <t>​0,68833</t>
  </si>
  <si>
    <t>B1 - RESIDENCIAL BAIXA RENDA</t>
  </si>
  <si>
    <t>​
PATAMAR 1Consumo R$/kWh</t>
  </si>
  <si>
    <t>PATAMAR 2Consumo R$/kWh</t>
  </si>
  <si>
    <t>Consumo mensal até 30 kWh (R$/kWh)</t>
  </si>
  <si>
    <t>0​,21812</t>
  </si>
  <si>
    <t>Consumo mensal entre 31 até 100 kWh (R$/kWh)</t>
  </si>
  <si>
    <t>​0,34693</t>
  </si>
  <si>
    <t>​0,36193</t>
  </si>
  <si>
    <t>​0,37393</t>
  </si>
  <si>
    <t>Consumo mensal entre 101 até 220 kWh (R$/kWh)</t>
  </si>
  <si>
    <t>​0,52039</t>
  </si>
  <si>
    <t>​0,54289</t>
  </si>
  <si>
    <t>​0,56089</t>
  </si>
  <si>
    <t>Consumo mensal superior a 220 kWh (R$/kWh)</t>
  </si>
  <si>
    <t>​0,57821</t>
  </si>
  <si>
    <t>​0,60321</t>
  </si>
  <si>
    <t>B2 - RURAL​</t>
  </si>
  <si>
    <t>Rural - Normal (Consumo R$/kWh)</t>
  </si>
  <si>
    <t>​0,49253</t>
  </si>
  <si>
    <t>​0,51753</t>
  </si>
  <si>
    <t>​0,53753</t>
  </si>
  <si>
    <t>Rural - Vale Jequitinhonha - (Irrigação noturna) - 73% de desconto (Consumo R$/kWh)</t>
  </si>
  <si>
    <t>​0,13298</t>
  </si>
  <si>
    <t>​0,14513</t>
  </si>
  <si>
    <t>Rural - Demais Regiões - (Irrigação noturna) - 67% de desconto (Consumo R$/kWh)</t>
  </si>
  <si>
    <t>​0,16253</t>
  </si>
  <si>
    <t>​0,17738</t>
  </si>
  <si>
    <t>B3 - DEMAIS CLASSES</t>
  </si>
  <si>
    <t>​PATAMAR 1 Consumo R$/kWh</t>
  </si>
  <si>
    <t>Demais classes (Consumo R$/kWh)</t>
  </si>
  <si>
    <t>​​0,64333</t>
  </si>
  <si>
    <t>​​0,68833</t>
  </si>
  <si>
    <t>B4 - ILUMINAÇÃO PÚBLICA ​ ​</t>
  </si>
  <si>
    <t>Iluminação Pública - B4a - Rede de Distribuição</t>
  </si>
  <si>
    <t>​0,38559</t>
  </si>
  <si>
    <t>​0,40559</t>
  </si>
  <si>
    <t>Iluminação Pública - B4b - Bulbo da Lâmpada</t>
  </si>
  <si>
    <t>​0,39200</t>
  </si>
  <si>
    <t>​0,41700</t>
  </si>
  <si>
    <t>​0,43700</t>
  </si>
  <si>
    <t>BRANCA​</t>
  </si>
  <si>
    <t>TARIFA BRANCA</t>
  </si>
  <si>
    <t>PATAMAR 2 Consumo R$/kWh</t>
  </si>
  <si>
    <t>​B1 - RESIDENCIAL - Ponta</t>
  </si>
  <si>
    <t>​1,23806</t>
  </si>
  <si>
    <t>​B1 -RESIDENCIAL - Intermediário</t>
  </si>
  <si>
    <t>​0,78471</t>
  </si>
  <si>
    <t>​0,82971</t>
  </si>
  <si>
    <t>​B1 - RESIDENCIAL - F. Ponta</t>
  </si>
  <si>
    <t>​0,53394</t>
  </si>
  <si>
    <t>​0,57894</t>
  </si>
  <si>
    <t>B2 - RURAL - Ponta</t>
  </si>
  <si>
    <t>​0,95232</t>
  </si>
  <si>
    <t>​0,96732</t>
  </si>
  <si>
    <t>​0,99232</t>
  </si>
  <si>
    <t>​B2 - RURAL - Intermediário</t>
  </si>
  <si>
    <t>​0,61006</t>
  </si>
  <si>
    <t>​0,62506</t>
  </si>
  <si>
    <t>​B2 - RURAL - F. Ponta</t>
  </si>
  <si>
    <t>​0,40276</t>
  </si>
  <si>
    <t>​0,44276</t>
  </si>
  <si>
    <t>​B3 - DEMAIS CLASSES - Ponta</t>
  </si>
  <si>
    <t>​B3 - DEMAIS CLASSES - Intermediário</t>
  </si>
  <si>
    <t>​0,81110</t>
  </si>
  <si>
    <t>​0,85610</t>
  </si>
  <si>
    <t>​B3 - DEMAIS CLASSES - F. Ponta</t>
  </si>
  <si>
    <t>​0,52774</t>
  </si>
  <si>
    <t>​0,54274</t>
  </si>
  <si>
    <t>​0,56774</t>
  </si>
  <si>
    <t>​0,58774</t>
  </si>
  <si>
    <t>Fonte:</t>
  </si>
  <si>
    <t>- Resolução Normativa Aneel 733 de 06/09/2016 - Tarifa Branca</t>
  </si>
  <si>
    <t>- Resolução Homologatória Aneel 2189 de 13/12/2016 vigência a partir de 01/01/2017.</t>
  </si>
  <si>
    <t>- Resolução Homologatória Aneel 2550 de 21/05/2019.</t>
  </si>
  <si>
    <t>- Bandeira Tarifária do Mês - site Aneel</t>
  </si>
  <si>
    <t>___________________________________________________________________________________________</t>
  </si>
  <si>
    <t>MÉDIA / ALTA TENSÃO</t>
  </si>
  <si>
    <t>Tarifas do Grupo A</t>
  </si>
  <si>
    <t>TAR​IFA AZUL</t>
  </si>
  <si>
    <t>A1 -230KV ​​OU MAIS​</t>
  </si>
  <si>
    <t>Demanda R$/kW​​</t>
  </si>
  <si>
    <t>Consumo R$/kWh​</t>
  </si>
  <si>
    <t>​​​ Consumo R$/kWh</t>
  </si>
  <si>
    <t>PATAMAR 1 Consumo R$/kWh​​​</t>
  </si>
  <si>
    <t>​ PATAMAR 2 Consumo R$/kWh​</t>
  </si>
  <si>
    <t>Demanda Ponta​</t>
  </si>
  <si>
    <t>​0,00</t>
  </si>
  <si>
    <t>Dem​anda Fora de Ponta​</t>
  </si>
  <si>
    <t>​0,00​</t>
  </si>
  <si>
    <t>​​Demanda Ultrap. F. Ponta​</t>
  </si>
  <si>
    <t>​​​0,00​​</t>
  </si>
  <si>
    <t>Demanda Ultrap. F. Ponta</t>
  </si>
  <si>
    <t>​Cons. Ponta - P. Seco</t>
  </si>
  <si>
    <t>​​​</t>
  </si>
  <si>
    <t>​​0,00000​</t>
  </si>
  <si>
    <t>​0,00000</t>
  </si>
  <si>
    <t>​0,00000​</t>
  </si>
  <si>
    <t>Cons. Ponta-P. Úmido​</t>
  </si>
  <si>
    <t>​​​Cons. F.Ponta - P. Seco</t>
  </si>
  <si>
    <t>0,00000​</t>
  </si>
  <si>
    <t>Cons. F.Ponta - P. Úmido​</t>
  </si>
  <si>
    <t>0,00000​​</t>
  </si>
  <si>
    <t>A2 -88 KV A 138KV​</t>
  </si>
  <si>
    <t>​Demanda R$/kW​</t>
  </si>
  <si>
    <t>​Consumo R$/kWh​</t>
  </si>
  <si>
    <t>​​ Consumo R$/kWh</t>
  </si>
  <si>
    <t>PATAMAR 1 Consumo R$/kWh​​</t>
  </si>
  <si>
    <t>​ PATAMAR 2 Consumo R$/kWh</t>
  </si>
  <si>
    <t>​​​Demanda Ponta</t>
  </si>
  <si>
    <t>​9,81</t>
  </si>
  <si>
    <t>​Demanda Fora de Ponta</t>
  </si>
  <si>
    <t>3,70​</t>
  </si>
  <si>
    <t>​​​Demanda Ultrap. F. Ponta</t>
  </si>
  <si>
    <t>19,62​</t>
  </si>
  <si>
    <t>​Demanda Ultrap. F. Ponta</t>
  </si>
  <si>
    <t>7,40​</t>
  </si>
  <si>
    <t>​0,51005</t>
  </si>
  <si>
    <t>​0,52505</t>
  </si>
  <si>
    <t>​0,55005</t>
  </si>
  <si>
    <t>0,57005​</t>
  </si>
  <si>
    <t>​​Cons. Ponta-P. Úmido</t>
  </si>
  <si>
    <t>0,55005​</t>
  </si>
  <si>
    <t>​​Cons. F.Ponta - P. Seco</t>
  </si>
  <si>
    <t>​0,33246</t>
  </si>
  <si>
    <t>​0,34746</t>
  </si>
  <si>
    <t>0,37246​</t>
  </si>
  <si>
    <t>​0,39246</t>
  </si>
  <si>
    <t>​Cons. F.Ponta - P. Úmido</t>
  </si>
  <si>
    <t>​0,37246</t>
  </si>
  <si>
    <t>0,39246​</t>
  </si>
  <si>
    <t>A3 - 69 KV</t>
  </si>
  <si>
    <t>​Demanda R$/kW</t>
  </si>
  <si>
    <t>​ Consumo R$/kWh</t>
  </si>
  <si>
    <t>​PATAMAR 1 Consumo R$/kWh​ ​</t>
  </si>
  <si>
    <t>Demanda Ponta</t>
  </si>
  <si>
    <t>​20,16</t>
  </si>
  <si>
    <t>​​​​Demanda Fora de Ponta</t>
  </si>
  <si>
    <t>​​Demanda Ultrap. F. Ponta</t>
  </si>
  <si>
    <t>​​​40,32</t>
  </si>
  <si>
    <t>​13,36</t>
  </si>
  <si>
    <t>Cons. Ponta - P. Seco</t>
  </si>
  <si>
    <t>​0,56219</t>
  </si>
  <si>
    <t>​Cons. Ponta-P. Úmido</t>
  </si>
  <si>
    <t>​0,52219</t>
  </si>
  <si>
    <t>​0,58219</t>
  </si>
  <si>
    <t>​Cons. F.Ponta - P. Seco</t>
  </si>
  <si>
    <t>​0,34460</t>
  </si>
  <si>
    <t>​0,35960</t>
  </si>
  <si>
    <t>​0,38460</t>
  </si>
  <si>
    <t>​0,40460</t>
  </si>
  <si>
    <t>​​​​Cons. F.Ponta - P. Úmido</t>
  </si>
  <si>
    <t>​​​
A3A - 30 KV A 44 KV</t>
  </si>
  <si>
    <t>​Consumo R$/kWh</t>
  </si>
  <si>
    <t>​​Consumo R$/kWh</t>
  </si>
  <si>
    <t>​​PATAMAR 1 Consumo R$/kWh​</t>
  </si>
  <si>
    <t>​PATAMAR 2 Consumo R$/kWh</t>
  </si>
  <si>
    <t>​Demanda Ultrap. Ponta</t>
  </si>
  <si>
    <t>​0,57425</t>
  </si>
  <si>
    <t>​0,59425</t>
  </si>
  <si>
    <t>​0,54925</t>
  </si>
  <si>
    <t>​0,35666</t>
  </si>
  <si>
    <t>​0,37166</t>
  </si>
  <si>
    <t>​0,41666</t>
  </si>
  <si>
    <t>​0,39666</t>
  </si>
  <si>
    <t>​​​​
A4 - 2,3 KV A 25 KV</t>
  </si>
  <si>
    <t>​​​Demanda R$/kW</t>
  </si>
  <si>
    <t>​​PATAMAR 2 Consumo R$/kWh</t>
  </si>
  <si>
    <t>​43,85</t>
  </si>
  <si>
    <t>​13,95</t>
  </si>
  <si>
    <t>​​​Cons. Ponta - P. Seco</t>
  </si>
  <si>
    <t>​0,53425</t>
  </si>
  <si>
    <t>​​0,57425</t>
  </si>
  <si>
    <t>​​0,41666</t>
  </si>
  <si>
    <t>​
AS - SUBTERRÂNEO</t>
  </si>
  <si>
    <t>​​Demanda R$/kW</t>
  </si>
  <si>
    <t>​70,83</t>
  </si>
  <si>
    <t>​0,57179</t>
  </si>
  <si>
    <t>​0,58679</t>
  </si>
  <si>
    <t>​0,61179</t>
  </si>
  <si>
    <t>​0,63179</t>
  </si>
  <si>
    <t>​0,​57179</t>
  </si>
  <si>
    <t>​0,39420</t>
  </si>
  <si>
    <t>​0,40920</t>
  </si>
  <si>
    <t>​0,43420</t>
  </si>
  <si>
    <t>​0,45420</t>
  </si>
  <si>
    <t>Cons. F.Ponta - P. Úmido​​​</t>
  </si>
  <si>
    <t>TARIFA VE​RDE</t>
  </si>
  <si>
    <t>​A3A - 30 KV A​ 44​ K​V</t>
  </si>
  <si>
    <t>​​​​Consumo R$/kWh</t>
  </si>
  <si>
    <t>​PATAMAR 2ConsumoR$/kWh</t>
  </si>
  <si>
    <t>Demanda</t>
  </si>
  <si>
    <t>​1,61469</t>
  </si>
  <si>
    <t>​1,59969</t>
  </si>
  <si>
    <t>​1,63969</t>
  </si>
  <si>
    <t>​1,65969</t>
  </si>
  <si>
    <t>​​0,35666</t>
  </si>
  <si>
    <t>​A4 - 2,3 KV A 25 KV</t>
  </si>
  <si>
    <t>​​​​ ConsumoR$/kWh</t>
  </si>
  <si>
    <t>​Demanda</t>
  </si>
  <si>
    <t>​​​1,61469</t>
  </si>
  <si>
    <t>​​AS-SUBSTERRÂNEO</t>
  </si>
  <si>
    <t>​​​​​​ ConsumoR$/kWh</t>
  </si>
  <si>
    <t>​2,30756</t>
  </si>
  <si>
    <t>​​Cons. F.Ponta - P. Úmido</t>
  </si>
  <si>
    <t>​​0,40920</t>
  </si>
  <si>
    <t>​​0,45420</t>
  </si>
  <si>
    <t>- Bandeira Tarifária do mês - site Aneel</t>
  </si>
  <si>
    <t>_____________________________________________________________________________________________</t>
  </si>
  <si>
    <t>TABELA DE SERVIÇOS COBRÁVEIS</t>
  </si>
  <si>
    <t>(*) objeto de orçamento específico (art 103 da REN nº 414/2010).</t>
  </si>
  <si>
    <t>Fonte: Resolução Homologatória Aneel 2550 de 21/05/2019.</t>
  </si>
  <si>
    <t>(Valores antes da aplicação de PASEP/COFINS)</t>
  </si>
  <si>
    <t>SERVIÇOS COBRÁVEIS (ARTIGOS 102, 103 E 131 DA REN 414/2010)</t>
  </si>
  <si>
    <t>GRUPO B
MONOFÁSICO
(R$)</t>
  </si>
  <si>
    <t>GRUPO B
BIFÁSICO
(R$)</t>
  </si>
  <si>
    <t>GRUPO B
TRIFÁSICO
(R$)</t>
  </si>
  <si>
    <t>GRUPO A (R$)</t>
  </si>
  <si>
    <t>Aferição de medidor</t>
  </si>
  <si>
    <t>Comissionamento de Obra</t>
  </si>
  <si>
    <t>Custo administrativo de inspeção</t>
  </si>
  <si>
    <t>Desligamento programado</t>
  </si>
  <si>
    <t>Deslocamento ou remoção de poste</t>
  </si>
  <si>
    <t>(*)</t>
  </si>
  <si>
    <t>Deslocamento ou remoção de rede</t>
  </si>
  <si>
    <t>Disponibilização dados de medição (memória de massa)</t>
  </si>
  <si>
    <t>Fornecimento pulsos potência e sincronismo</t>
  </si>
  <si>
    <t>Religação normal</t>
  </si>
  <si>
    <t>Religação programada</t>
  </si>
  <si>
    <t>Segunda via declaração de quitação anual de débitos</t>
  </si>
  <si>
    <t>​2ª via de fatura (emissão através dos postos de atendimento)</t>
  </si>
  <si>
    <t>6,02​</t>
  </si>
  <si>
    <t>​​2ª via de fatura (emissão através dos canais virtuais)</t>
  </si>
  <si>
    <t>0,00​​</t>
  </si>
  <si>
    <t>Verificação de nível de tensão</t>
  </si>
  <si>
    <t>Visita técnica</t>
  </si>
  <si>
    <t>Vistoria de unidade consumidora</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</si>
</sst>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_-&quot;R$&quot;* #,##0.00_-;\-&quot;R$&quot;* #,##0.00_-;_-&quot;R$&quot;* &quot;-&quot;??_-;_-@"/>
    <numFmt numFmtId="165" formatCode="[$R$ -416]#,##0.00"/>
    <numFmt numFmtId="166" formatCode="0.0"/>
    <numFmt numFmtId="167" formatCode="_-&quot;R$&quot;* #,##0.000_-;\-&quot;R$&quot;* #,##0.000_-;_-&quot;R$&quot;* &quot;-&quot;??.000_-;_-@"/>
    <numFmt numFmtId="168" formatCode="dd/MM/yyyy"/>
    <numFmt numFmtId="169" formatCode="[$R$]#,##0.00"/>
    <numFmt numFmtId="170" formatCode="0.0000"/>
    <numFmt numFmtId="171" formatCode="&quot;R$&quot;#,##0.00"/>
    <numFmt numFmtId="172" formatCode="[$R$ -416]#,##0.000"/>
    <numFmt numFmtId="173" formatCode="&quot;$&quot;#,##0.00"/>
    <numFmt numFmtId="174" formatCode="&quot;R$&quot;#,##0"/>
    <numFmt numFmtId="175" formatCode="[$$]#,##0.00"/>
    <numFmt numFmtId="176" formatCode="_-[$$-409]* #,##0.00_ ;_-[$$-409]* \-#,##0.00\ ;_-[$$-409]* &quot;-&quot;??_ ;_-@_ "/>
    <numFmt numFmtId="177" formatCode="_-[$R$-416]* #,##0.00_-;\-[$R$-416]* #,##0.00_-;_-[$R$-416]* &quot;-&quot;??_-;_-@"/>
    <numFmt numFmtId="178" formatCode="_-[$€-2]\ * #,##0.00_-;\-[$€-2]\ * #,##0.00_-;_-[$€-2]\ * &quot;-&quot;??_-;_-@"/>
    <numFmt numFmtId="179" formatCode="&quot;R$&quot;\ #,##0.00;[Red]\-&quot;R$&quot;\ #,##0.00"/>
    <numFmt numFmtId="180" formatCode="d/m/yy"/>
    <numFmt numFmtId="181" formatCode="mmmm/d"/>
  </numFmts>
  <fonts count="95">
    <font>
      <sz val="11.0"/>
      <color rgb="FF000000"/>
      <name val="Calibri"/>
      <scheme val="minor"/>
    </font>
    <font>
      <sz val="11.0"/>
      <color theme="1"/>
      <name val="Calibri"/>
    </font>
    <font>
      <sz val="12.0"/>
      <color rgb="FFFFFFFF"/>
      <name val="Trebuchet MS"/>
    </font>
    <font/>
    <font>
      <b/>
      <sz val="11.0"/>
      <color theme="1"/>
      <name val="Calibri"/>
    </font>
    <font>
      <b/>
      <sz val="11.0"/>
      <color rgb="FF548DD4"/>
      <name val="Calibri"/>
    </font>
    <font>
      <sz val="11.0"/>
      <color rgb="FF548DD4"/>
      <name val="Calibri"/>
    </font>
    <font>
      <sz val="11.0"/>
      <color rgb="FF000000"/>
      <name val="Calibri"/>
    </font>
    <font>
      <sz val="11.0"/>
      <color rgb="FFFF0000"/>
      <name val="Calibri"/>
    </font>
    <font>
      <color rgb="FFFFFFFF"/>
      <name val="Calibri"/>
      <scheme val="minor"/>
    </font>
    <font>
      <color theme="1"/>
      <name val="Calibri"/>
      <scheme val="minor"/>
    </font>
    <font>
      <b/>
      <sz val="14.0"/>
      <color rgb="FFFFFFFF"/>
      <name val="Trebuchet MS"/>
    </font>
    <font>
      <b/>
      <sz val="14.0"/>
      <color theme="1"/>
      <name val="Calibri"/>
      <scheme val="minor"/>
    </font>
    <font>
      <color rgb="FF000000"/>
      <name val="Calibri"/>
      <scheme val="minor"/>
    </font>
    <font>
      <b/>
      <sz val="18.0"/>
      <color rgb="FF666666"/>
      <name val="Calibri"/>
      <scheme val="minor"/>
    </font>
    <font>
      <b/>
      <sz val="14.0"/>
      <color rgb="FF434343"/>
      <name val="Calibri"/>
      <scheme val="minor"/>
    </font>
    <font>
      <b/>
      <sz val="14.0"/>
      <color rgb="FFFFFFFF"/>
      <name val="Calibri"/>
      <scheme val="minor"/>
    </font>
    <font>
      <b/>
      <sz val="12.0"/>
      <color rgb="FFFFFFFF"/>
      <name val="Calibri"/>
      <scheme val="minor"/>
    </font>
    <font>
      <b/>
      <sz val="14.0"/>
      <color rgb="FF666666"/>
      <name val="Calibri"/>
      <scheme val="minor"/>
    </font>
    <font>
      <b/>
      <color rgb="FFFFFFFF"/>
      <name val="Calibri"/>
      <scheme val="minor"/>
    </font>
    <font>
      <b/>
      <sz val="12.0"/>
      <color rgb="FF434343"/>
      <name val="Calibri"/>
      <scheme val="minor"/>
    </font>
    <font>
      <i/>
      <color theme="1"/>
      <name val="Calibri"/>
      <scheme val="minor"/>
    </font>
    <font>
      <b/>
      <sz val="11.0"/>
      <color rgb="FFFFFFFF"/>
      <name val="Trebuchet MS"/>
    </font>
    <font>
      <sz val="11.0"/>
      <color rgb="FFFFFFFF"/>
      <name val="Trebuchet MS"/>
    </font>
    <font>
      <sz val="11.0"/>
      <color rgb="FFA61D4C"/>
      <name val="Inconsolata"/>
    </font>
    <font>
      <sz val="11.0"/>
      <color theme="1"/>
      <name val="Trebuchet MS"/>
    </font>
    <font>
      <b/>
      <sz val="12.0"/>
      <color theme="1"/>
      <name val="Calibri"/>
      <scheme val="minor"/>
    </font>
    <font>
      <b/>
      <color theme="1"/>
      <name val="Calibri"/>
      <scheme val="minor"/>
    </font>
    <font>
      <b/>
      <sz val="11.0"/>
      <color rgb="FF000000"/>
      <name val="Calibri"/>
    </font>
    <font>
      <color rgb="FFFF0000"/>
      <name val="Calibri"/>
      <scheme val="minor"/>
    </font>
    <font>
      <sz val="11.0"/>
      <color rgb="FF000000"/>
      <name val="Trebuchet MS"/>
    </font>
    <font>
      <u/>
      <sz val="11.0"/>
      <color rgb="FF0000FF"/>
      <name val="Trebuchet MS"/>
    </font>
    <font>
      <b/>
      <sz val="11.0"/>
      <color theme="1"/>
      <name val="Trebuchet MS"/>
    </font>
    <font>
      <i/>
      <sz val="11.0"/>
      <color rgb="FF434343"/>
      <name val="Trebuchet MS"/>
    </font>
    <font>
      <i/>
      <sz val="9.0"/>
      <color rgb="FF000000"/>
      <name val="Trebuchet MS"/>
    </font>
    <font>
      <i/>
      <u/>
      <sz val="9.0"/>
      <color rgb="FF000000"/>
    </font>
    <font>
      <i/>
      <sz val="9.0"/>
      <color rgb="FF000000"/>
      <name val="Calibri"/>
      <scheme val="minor"/>
    </font>
    <font>
      <b/>
      <sz val="11.0"/>
      <color rgb="FFFFFFFF"/>
      <name val="Calibri"/>
    </font>
    <font>
      <sz val="11.0"/>
      <color rgb="FFFFFFFF"/>
      <name val="Calibri"/>
    </font>
    <font>
      <color rgb="FF000000"/>
      <name val="&quot;Trebuchet MS&quot;"/>
    </font>
    <font>
      <b/>
      <sz val="12.0"/>
      <color rgb="FFFFFFFF"/>
      <name val="Calibri"/>
    </font>
    <font>
      <sz val="11.0"/>
      <color theme="1"/>
      <name val="Arial"/>
    </font>
    <font>
      <sz val="11.0"/>
      <color rgb="FF000000"/>
      <name val="Docs-Calibri"/>
    </font>
    <font>
      <b/>
      <sz val="14.0"/>
      <color rgb="FFFFFFFF"/>
      <name val="Calibri"/>
    </font>
    <font>
      <sz val="11.0"/>
      <color rgb="FF000000"/>
      <name val="Roboto"/>
    </font>
    <font>
      <b/>
      <i/>
      <sz val="11.0"/>
      <color rgb="FFFFFFFF"/>
      <name val="Arial"/>
    </font>
    <font>
      <b/>
      <i/>
      <sz val="11.0"/>
      <color rgb="FF172938"/>
      <name val="Arial"/>
    </font>
    <font>
      <b/>
      <sz val="11.0"/>
      <color rgb="FF00693E"/>
      <name val="Arial"/>
    </font>
    <font>
      <sz val="8.0"/>
      <color rgb="FF696961"/>
      <name val="Arial"/>
    </font>
    <font>
      <b/>
      <sz val="11.0"/>
      <color rgb="FF312A26"/>
      <name val="Arial"/>
    </font>
    <font>
      <b/>
      <sz val="8.0"/>
      <color rgb="FF312A26"/>
      <name val="Arial"/>
    </font>
    <font>
      <b/>
      <sz val="11.0"/>
      <color theme="1"/>
      <name val="Arial"/>
    </font>
    <font>
      <b/>
      <sz val="8.0"/>
      <color rgb="FF676767"/>
      <name val="Verdana"/>
    </font>
    <font>
      <b/>
      <sz val="8.0"/>
      <color rgb="FF676767"/>
      <name val="Arial"/>
    </font>
    <font>
      <b/>
      <sz val="8.0"/>
      <color rgb="FF3F3F3F"/>
      <name val="Arial"/>
    </font>
    <font>
      <b/>
      <sz val="8.0"/>
      <color rgb="FF3F3F3F"/>
      <name val="Verdana"/>
    </font>
    <font>
      <b/>
      <u/>
      <sz val="11.0"/>
      <color theme="1"/>
      <name val="Arial"/>
    </font>
    <font>
      <b/>
      <u/>
      <sz val="11.0"/>
      <color rgb="FF00693E"/>
      <name val="Arial"/>
    </font>
    <font>
      <b/>
      <u/>
      <sz val="8.0"/>
      <color rgb="FF676767"/>
      <name val="Verdana"/>
    </font>
    <font>
      <b/>
      <u/>
      <sz val="8.0"/>
      <color rgb="FF676767"/>
      <name val="Verdana"/>
    </font>
    <font>
      <b/>
      <u/>
      <sz val="8.0"/>
      <color rgb="FF3F3F3F"/>
      <name val="Verdana"/>
    </font>
    <font>
      <b/>
      <u/>
      <sz val="8.0"/>
      <color rgb="FF3F3F3F"/>
      <name val="Verdana"/>
    </font>
    <font>
      <b/>
      <u/>
      <sz val="8.0"/>
      <color rgb="FF3F3F3F"/>
      <name val="Arial"/>
    </font>
    <font>
      <u/>
      <sz val="8.0"/>
      <color rgb="FF3F3F3F"/>
      <name val="Arial"/>
    </font>
    <font>
      <b/>
      <u/>
      <sz val="8.0"/>
      <color rgb="FF00558D"/>
      <name val="Arial"/>
    </font>
    <font>
      <b/>
      <u/>
      <sz val="8.0"/>
      <color rgb="FF696961"/>
      <name val="Arial"/>
    </font>
    <font>
      <b/>
      <u/>
      <sz val="8.0"/>
      <color rgb="FFB10069"/>
      <name val="Arial"/>
    </font>
    <font>
      <b/>
      <sz val="8.0"/>
      <color rgb="FFB10069"/>
      <name val="Arial"/>
    </font>
    <font>
      <b/>
      <sz val="8.0"/>
      <color rgb="FFBFBFBF"/>
      <name val="Arial"/>
    </font>
    <font>
      <sz val="8.0"/>
      <color rgb="FF676767"/>
      <name val="Arial"/>
    </font>
    <font>
      <sz val="8.0"/>
      <color rgb="FF676767"/>
      <name val="Verdana"/>
    </font>
    <font>
      <sz val="8.0"/>
      <color rgb="FF3F3F3F"/>
      <name val="Arial"/>
    </font>
    <font>
      <sz val="8.0"/>
      <color rgb="FF3F3F3F"/>
      <name val="Verdana"/>
    </font>
    <font>
      <b/>
      <sz val="8.0"/>
      <color rgb="FF00693E"/>
      <name val="Arial"/>
    </font>
    <font>
      <sz val="8.0"/>
      <color rgb="FF555555"/>
      <name val="Arial"/>
    </font>
    <font>
      <sz val="8.0"/>
      <color rgb="FF555555"/>
      <name val="Verdana"/>
    </font>
    <font>
      <b/>
      <sz val="8.0"/>
      <color rgb="FF696961"/>
      <name val="Arial"/>
    </font>
    <font>
      <u/>
      <sz val="8.0"/>
      <color rgb="FFB10069"/>
      <name val="Arial"/>
    </font>
    <font>
      <u/>
      <sz val="8.0"/>
      <color rgb="FF696961"/>
      <name val="Arial"/>
    </font>
    <font>
      <u/>
      <sz val="8.0"/>
      <color rgb="FFBFBFBF"/>
      <name val="Arial"/>
    </font>
    <font>
      <b/>
      <u/>
      <sz val="11.0"/>
      <color rgb="FF00693E"/>
      <name val="Arial"/>
    </font>
    <font>
      <b/>
      <u/>
      <sz val="8.0"/>
      <color rgb="FF696961"/>
      <name val="Arial"/>
    </font>
    <font>
      <b/>
      <u/>
      <sz val="8.0"/>
      <color rgb="FF312A26"/>
      <name val="Arial"/>
    </font>
    <font>
      <b/>
      <u/>
      <sz val="8.0"/>
      <color rgb="FF00693E"/>
      <name val="Arial"/>
    </font>
    <font>
      <b/>
      <u/>
      <sz val="8.0"/>
      <color rgb="FF00693E"/>
      <name val="Arial"/>
    </font>
    <font>
      <u/>
      <sz val="8.0"/>
      <color rgb="FF555555"/>
      <name val="Arial"/>
    </font>
    <font>
      <u/>
      <sz val="8.0"/>
      <color rgb="FF555555"/>
      <name val="Arial"/>
    </font>
    <font>
      <u/>
      <sz val="8.0"/>
      <color rgb="FF555555"/>
      <name val="Arial"/>
    </font>
    <font>
      <u/>
      <sz val="8.0"/>
      <color rgb="FF555555"/>
      <name val="Arial"/>
    </font>
    <font>
      <u/>
      <sz val="8.0"/>
      <color rgb="FF555555"/>
      <name val="Arial"/>
    </font>
    <font>
      <u/>
      <sz val="8.0"/>
      <color rgb="FF555555"/>
      <name val="Arial"/>
    </font>
    <font>
      <u/>
      <sz val="8.0"/>
      <color rgb="FF555555"/>
      <name val="Arial"/>
    </font>
    <font>
      <u/>
      <sz val="8.0"/>
      <color rgb="FF555555"/>
      <name val="Verdana"/>
    </font>
    <font>
      <u/>
      <sz val="8.0"/>
      <color rgb="FF555555"/>
      <name val="Verdana"/>
    </font>
    <font>
      <u/>
      <sz val="8.0"/>
      <color rgb="FF555555"/>
      <name val="Verdana"/>
    </font>
  </fonts>
  <fills count="27">
    <fill>
      <patternFill patternType="none"/>
    </fill>
    <fill>
      <patternFill patternType="lightGray"/>
    </fill>
    <fill>
      <patternFill patternType="solid">
        <fgColor rgb="FF45818E"/>
        <bgColor rgb="FF45818E"/>
      </patternFill>
    </fill>
    <fill>
      <patternFill patternType="solid">
        <fgColor rgb="FF649687"/>
        <bgColor rgb="FF649687"/>
      </patternFill>
    </fill>
    <fill>
      <patternFill patternType="solid">
        <fgColor rgb="FF741B47"/>
        <bgColor rgb="FF741B47"/>
      </patternFill>
    </fill>
    <fill>
      <patternFill patternType="solid">
        <fgColor rgb="FFBFBFBF"/>
        <bgColor rgb="FFBFBFBF"/>
      </patternFill>
    </fill>
    <fill>
      <patternFill patternType="solid">
        <fgColor rgb="FF999999"/>
        <bgColor rgb="FF999999"/>
      </patternFill>
    </fill>
    <fill>
      <patternFill patternType="solid">
        <fgColor theme="9"/>
        <bgColor theme="9"/>
      </patternFill>
    </fill>
    <fill>
      <patternFill patternType="solid">
        <fgColor rgb="FF373C5F"/>
        <bgColor rgb="FF373C5F"/>
      </patternFill>
    </fill>
    <fill>
      <patternFill patternType="solid">
        <fgColor rgb="FFFFFFFF"/>
        <bgColor rgb="FFFFFFFF"/>
      </patternFill>
    </fill>
    <fill>
      <patternFill patternType="solid">
        <fgColor rgb="FFEAD1DC"/>
        <bgColor rgb="FFEAD1DC"/>
      </patternFill>
    </fill>
    <fill>
      <patternFill patternType="solid">
        <fgColor rgb="FF00FFFF"/>
        <bgColor rgb="FF00FFFF"/>
      </patternFill>
    </fill>
    <fill>
      <patternFill patternType="solid">
        <fgColor rgb="FF44546A"/>
        <bgColor rgb="FF44546A"/>
      </patternFill>
    </fill>
    <fill>
      <patternFill patternType="solid">
        <fgColor rgb="FF38761D"/>
        <bgColor rgb="FF38761D"/>
      </patternFill>
    </fill>
    <fill>
      <patternFill patternType="solid">
        <fgColor rgb="FFCCCCCC"/>
        <bgColor rgb="FFCCCCCC"/>
      </patternFill>
    </fill>
    <fill>
      <patternFill patternType="solid">
        <fgColor rgb="FFB7B7B7"/>
        <bgColor rgb="FFB7B7B7"/>
      </patternFill>
    </fill>
    <fill>
      <patternFill patternType="solid">
        <fgColor rgb="FFFFFF00"/>
        <bgColor rgb="FFFFFF00"/>
      </patternFill>
    </fill>
    <fill>
      <patternFill patternType="solid">
        <fgColor rgb="FF666666"/>
        <bgColor rgb="FF666666"/>
      </patternFill>
    </fill>
    <fill>
      <patternFill patternType="solid">
        <fgColor rgb="FF93C47D"/>
        <bgColor rgb="FF93C47D"/>
      </patternFill>
    </fill>
    <fill>
      <patternFill patternType="solid">
        <fgColor rgb="FF8CCDAF"/>
        <bgColor rgb="FF8CCDAF"/>
      </patternFill>
    </fill>
    <fill>
      <patternFill patternType="solid">
        <fgColor rgb="FFA2C4C9"/>
        <bgColor rgb="FFA2C4C9"/>
      </patternFill>
    </fill>
    <fill>
      <patternFill patternType="solid">
        <fgColor rgb="FFD99594"/>
        <bgColor rgb="FFD99594"/>
      </patternFill>
    </fill>
    <fill>
      <patternFill patternType="solid">
        <fgColor theme="0"/>
        <bgColor theme="0"/>
      </patternFill>
    </fill>
    <fill>
      <patternFill patternType="solid">
        <fgColor rgb="FFFAE032"/>
        <bgColor rgb="FFFAE032"/>
      </patternFill>
    </fill>
    <fill>
      <patternFill patternType="solid">
        <fgColor rgb="FFD8D8D8"/>
        <bgColor rgb="FFD8D8D8"/>
      </patternFill>
    </fill>
    <fill>
      <patternFill patternType="solid">
        <fgColor rgb="FFF2F2F4"/>
        <bgColor rgb="FFF2F2F4"/>
      </patternFill>
    </fill>
    <fill>
      <patternFill patternType="solid">
        <fgColor rgb="FFE9EDED"/>
        <bgColor rgb="FFE9EDED"/>
      </patternFill>
    </fill>
  </fills>
  <borders count="63">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right style="thin">
        <color rgb="FFBFBFBF"/>
      </right>
      <top style="thin">
        <color rgb="FFBFBFBF"/>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thin">
        <color rgb="FFB7B7B7"/>
      </right>
      <top style="thin">
        <color rgb="FFB7B7B7"/>
      </top>
    </border>
    <border>
      <left style="thin">
        <color rgb="FFB7B7B7"/>
      </left>
      <right style="thin">
        <color rgb="FFB7B7B7"/>
      </right>
      <top style="thin">
        <color rgb="FFB7B7B7"/>
      </top>
    </border>
    <border>
      <left style="thin">
        <color rgb="FFBFBFBF"/>
      </left>
      <top/>
    </border>
    <border>
      <top/>
    </border>
    <border>
      <left style="thin">
        <color rgb="FFBFBFBF"/>
      </left>
      <right style="thin">
        <color rgb="FFBFBFBF"/>
      </right>
      <top style="thin">
        <color rgb="FFBFBFBF"/>
      </top>
      <bottom style="thin">
        <color rgb="FFBFBFBF"/>
      </bottom>
    </border>
    <border>
      <top style="thin">
        <color rgb="FFB7B7B7"/>
      </top>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7B7B7"/>
      </left>
      <top style="thin">
        <color rgb="FFB7B7B7"/>
      </top>
    </border>
    <border>
      <left style="thin">
        <color rgb="FF000000"/>
      </left>
      <right style="thin">
        <color rgb="FF000000"/>
      </right>
      <top style="thin">
        <color rgb="FF000000"/>
      </top>
      <bottom style="thin">
        <color rgb="FF000000"/>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CCCCCC"/>
      </bottom>
    </border>
    <border>
      <left style="thin">
        <color rgb="FFD8D8D8"/>
      </left>
      <right style="thin">
        <color rgb="FFD8D8D8"/>
      </right>
      <bottom style="thin">
        <color rgb="FFD8D8D8"/>
      </bottom>
    </border>
    <border>
      <left style="thin">
        <color rgb="FFCCCCCC"/>
      </left>
    </border>
    <border>
      <left style="thin">
        <color rgb="FFD8D8D8"/>
      </left>
      <top style="thin">
        <color rgb="FFD8D8D8"/>
      </top>
      <bottom style="thin">
        <color rgb="FFD8D8D8"/>
      </bottom>
    </border>
    <border>
      <top style="thin">
        <color rgb="FFD8D8D8"/>
      </top>
      <bottom style="thin">
        <color rgb="FFD8D8D8"/>
      </bottom>
    </border>
    <border>
      <left style="thin">
        <color rgb="FFD8D8D8"/>
      </left>
    </border>
    <border>
      <left style="thin">
        <color rgb="FFD8D8D8"/>
      </left>
      <right style="thin">
        <color rgb="FFD8D8D8"/>
      </right>
      <top style="thin">
        <color rgb="FFD8D8D8"/>
      </top>
      <bottom style="thin">
        <color rgb="FFD8D8D8"/>
      </bottom>
    </border>
    <border>
      <left style="thin">
        <color rgb="FF999999"/>
      </left>
      <right style="thin">
        <color rgb="FF999999"/>
      </right>
      <top style="thin">
        <color rgb="FF999999"/>
      </top>
    </border>
    <border>
      <left style="thin">
        <color rgb="FF999999"/>
      </left>
      <top style="thin">
        <color rgb="FF999999"/>
      </top>
      <bottom/>
    </border>
    <border>
      <right style="thin">
        <color rgb="FF999999"/>
      </right>
      <top style="thin">
        <color rgb="FF999999"/>
      </top>
      <bottom/>
    </border>
    <border>
      <left style="thin">
        <color rgb="FF999999"/>
      </left>
      <right style="thin">
        <color rgb="FF999999"/>
      </right>
      <bottom style="thin">
        <color rgb="FF999999"/>
      </bottom>
    </border>
    <border>
      <left style="thin">
        <color rgb="FFD9D9D9"/>
      </left>
      <right style="thin">
        <color rgb="FFD9D9D9"/>
      </right>
      <top style="thin">
        <color rgb="FFD9D9D9"/>
      </top>
      <bottom style="thin">
        <color rgb="FFD9D9D9"/>
      </bottom>
    </border>
    <border>
      <right style="thin">
        <color rgb="FF999999"/>
      </right>
    </border>
    <border>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theme="1"/>
      </left>
      <right style="thin">
        <color theme="1"/>
      </right>
      <top style="thin">
        <color theme="1"/>
      </top>
    </border>
  </borders>
  <cellStyleXfs count="1">
    <xf borderId="0" fillId="0" fontId="0" numFmtId="0" applyAlignment="1" applyFont="1"/>
  </cellStyleXfs>
  <cellXfs count="517">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shrinkToFit="0" wrapText="1"/>
    </xf>
    <xf borderId="0" fillId="0" fontId="1" numFmtId="0" xfId="0" applyAlignment="1" applyFont="1">
      <alignment shrinkToFit="0" wrapText="1"/>
    </xf>
    <xf borderId="2" fillId="2" fontId="2" numFmtId="0" xfId="0" applyAlignment="1" applyBorder="1" applyFill="1" applyFont="1">
      <alignment horizontal="center"/>
    </xf>
    <xf borderId="3" fillId="0" fontId="3" numFmtId="0" xfId="0" applyBorder="1" applyFont="1"/>
    <xf borderId="4" fillId="0" fontId="3" numFmtId="0" xfId="0" applyBorder="1" applyFont="1"/>
    <xf borderId="0" fillId="0" fontId="1" numFmtId="0" xfId="0" applyFont="1"/>
    <xf borderId="1" fillId="2" fontId="2" numFmtId="0" xfId="0" applyAlignment="1" applyBorder="1" applyFont="1">
      <alignment horizontal="center"/>
    </xf>
    <xf borderId="1" fillId="2" fontId="2" numFmtId="0" xfId="0" applyAlignment="1" applyBorder="1" applyFont="1">
      <alignment horizontal="center" shrinkToFit="0" wrapText="1"/>
    </xf>
    <xf borderId="5" fillId="2" fontId="2" numFmtId="0" xfId="0" applyAlignment="1" applyBorder="1" applyFont="1">
      <alignment horizontal="center" shrinkToFit="0" wrapText="1"/>
    </xf>
    <xf borderId="1" fillId="0" fontId="4" numFmtId="0" xfId="0" applyAlignment="1" applyBorder="1" applyFont="1">
      <alignment horizontal="center"/>
    </xf>
    <xf borderId="1" fillId="0" fontId="4" numFmtId="0" xfId="0" applyAlignment="1" applyBorder="1" applyFont="1">
      <alignment shrinkToFit="0" wrapText="1"/>
    </xf>
    <xf borderId="0" fillId="0" fontId="4" numFmtId="0" xfId="0" applyAlignment="1" applyFont="1">
      <alignment shrinkToFit="0" wrapText="1"/>
    </xf>
    <xf borderId="1" fillId="0" fontId="5" numFmtId="0" xfId="0" applyAlignment="1" applyBorder="1" applyFont="1">
      <alignment shrinkToFit="0" wrapText="1"/>
    </xf>
    <xf borderId="0" fillId="0" fontId="6" numFmtId="0" xfId="0" applyFont="1"/>
    <xf borderId="0" fillId="0" fontId="6" numFmtId="0" xfId="0" applyAlignment="1" applyFont="1">
      <alignment shrinkToFit="0" wrapText="1"/>
    </xf>
    <xf borderId="0" fillId="0" fontId="7" numFmtId="0" xfId="0" applyFont="1"/>
    <xf borderId="1" fillId="0" fontId="8" numFmtId="0" xfId="0" applyAlignment="1" applyBorder="1" applyFont="1">
      <alignment horizontal="center"/>
    </xf>
    <xf borderId="1" fillId="0" fontId="8" numFmtId="0" xfId="0" applyAlignment="1" applyBorder="1" applyFont="1">
      <alignment shrinkToFit="0" wrapText="1"/>
    </xf>
    <xf borderId="0" fillId="0" fontId="8" numFmtId="0" xfId="0" applyFont="1"/>
    <xf borderId="0" fillId="0" fontId="8" numFmtId="0" xfId="0" applyAlignment="1" applyFont="1">
      <alignment shrinkToFit="0" wrapText="1"/>
    </xf>
    <xf borderId="1" fillId="0" fontId="6" numFmtId="0" xfId="0" applyAlignment="1" applyBorder="1" applyFont="1">
      <alignment shrinkToFit="0" wrapText="1"/>
    </xf>
    <xf borderId="0" fillId="0" fontId="9" numFmtId="0" xfId="0" applyFont="1"/>
    <xf borderId="0" fillId="0" fontId="10" numFmtId="0" xfId="0" applyAlignment="1" applyFont="1">
      <alignment vertical="center"/>
    </xf>
    <xf borderId="0" fillId="0" fontId="9" numFmtId="0" xfId="0" applyAlignment="1" applyFont="1">
      <alignment readingOrder="0"/>
    </xf>
    <xf borderId="6" fillId="2" fontId="11"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2" fontId="11" numFmtId="0" xfId="0" applyAlignment="1" applyBorder="1" applyFont="1">
      <alignment horizontal="center" readingOrder="0" shrinkToFit="0" vertical="center" wrapText="1"/>
    </xf>
    <xf borderId="0" fillId="0" fontId="12" numFmtId="0" xfId="0" applyAlignment="1" applyFont="1">
      <alignment vertical="center"/>
    </xf>
    <xf borderId="12" fillId="0" fontId="12" numFmtId="164" xfId="0" applyAlignment="1" applyBorder="1" applyFont="1" applyNumberFormat="1">
      <alignment vertical="center"/>
    </xf>
    <xf borderId="13" fillId="0" fontId="12" numFmtId="0" xfId="0" applyAlignment="1" applyBorder="1" applyFont="1">
      <alignment readingOrder="0" vertical="center"/>
    </xf>
    <xf borderId="0" fillId="0" fontId="9" numFmtId="164" xfId="0" applyFont="1" applyNumberFormat="1"/>
    <xf borderId="0" fillId="0" fontId="13" numFmtId="0" xfId="0" applyAlignment="1" applyFont="1">
      <alignment readingOrder="0"/>
    </xf>
    <xf borderId="0" fillId="0" fontId="13" numFmtId="0" xfId="0" applyFont="1"/>
    <xf borderId="0" fillId="3" fontId="10" numFmtId="0" xfId="0" applyFill="1" applyFont="1"/>
    <xf borderId="0" fillId="4" fontId="9" numFmtId="0" xfId="0" applyFill="1" applyFont="1"/>
    <xf borderId="0" fillId="4" fontId="10" numFmtId="0" xfId="0" applyFont="1"/>
    <xf borderId="0" fillId="5" fontId="10" numFmtId="0" xfId="0" applyFill="1" applyFont="1"/>
    <xf borderId="0" fillId="0" fontId="10" numFmtId="164" xfId="0" applyFont="1" applyNumberFormat="1"/>
    <xf borderId="0" fillId="0" fontId="10" numFmtId="0" xfId="0" applyFont="1"/>
    <xf borderId="0" fillId="0" fontId="10" numFmtId="165" xfId="0" applyFont="1" applyNumberFormat="1"/>
    <xf borderId="14" fillId="0" fontId="14" numFmtId="0" xfId="0" applyAlignment="1" applyBorder="1" applyFont="1">
      <alignment horizontal="center" readingOrder="0"/>
    </xf>
    <xf borderId="15" fillId="0" fontId="3" numFmtId="0" xfId="0" applyBorder="1" applyFont="1"/>
    <xf borderId="16" fillId="0" fontId="3" numFmtId="0" xfId="0" applyBorder="1" applyFont="1"/>
    <xf borderId="0" fillId="0" fontId="10" numFmtId="0" xfId="0" applyAlignment="1" applyFont="1">
      <alignment horizontal="center" readingOrder="0"/>
    </xf>
    <xf borderId="0" fillId="0" fontId="15" numFmtId="0" xfId="0" applyAlignment="1" applyFont="1">
      <alignment horizontal="center" readingOrder="0"/>
    </xf>
    <xf borderId="0" fillId="6" fontId="16" numFmtId="0" xfId="0" applyAlignment="1" applyFill="1" applyFont="1">
      <alignment horizontal="center" readingOrder="0"/>
    </xf>
    <xf borderId="0" fillId="3" fontId="17" numFmtId="0" xfId="0" applyAlignment="1" applyFont="1">
      <alignment readingOrder="0" shrinkToFit="0" wrapText="1"/>
    </xf>
    <xf borderId="0" fillId="0" fontId="18" numFmtId="0" xfId="0" applyAlignment="1" applyFont="1">
      <alignment horizontal="center" vertical="center"/>
    </xf>
    <xf borderId="17" fillId="0" fontId="18" numFmtId="2" xfId="0" applyAlignment="1" applyBorder="1" applyFont="1" applyNumberFormat="1">
      <alignment horizontal="center" vertical="center"/>
    </xf>
    <xf borderId="17" fillId="0" fontId="18" numFmtId="166" xfId="0" applyAlignment="1" applyBorder="1" applyFont="1" applyNumberFormat="1">
      <alignment horizontal="center" vertical="center"/>
    </xf>
    <xf borderId="0" fillId="0" fontId="10" numFmtId="10" xfId="0" applyFont="1" applyNumberFormat="1"/>
    <xf borderId="0" fillId="0" fontId="17" numFmtId="0" xfId="0" applyFont="1"/>
    <xf borderId="0" fillId="3" fontId="17" numFmtId="0" xfId="0" applyAlignment="1" applyFont="1">
      <alignment readingOrder="0"/>
    </xf>
    <xf borderId="0" fillId="7" fontId="19" numFmtId="0" xfId="0" applyAlignment="1" applyFill="1" applyFont="1">
      <alignment horizontal="center" readingOrder="0" vertical="center"/>
    </xf>
    <xf borderId="17" fillId="8" fontId="17" numFmtId="165" xfId="0" applyAlignment="1" applyBorder="1" applyFill="1" applyFont="1" applyNumberFormat="1">
      <alignment horizontal="center"/>
    </xf>
    <xf borderId="0" fillId="0" fontId="20" numFmtId="0" xfId="0" applyAlignment="1" applyFont="1">
      <alignment horizontal="center"/>
    </xf>
    <xf borderId="0" fillId="0" fontId="21" numFmtId="0" xfId="0" applyFont="1"/>
    <xf borderId="0" fillId="2" fontId="22"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18" fillId="2" fontId="23" numFmtId="0" xfId="0" applyAlignment="1" applyBorder="1" applyFont="1">
      <alignment horizontal="center" readingOrder="0" shrinkToFit="0" vertical="center" wrapText="1"/>
    </xf>
    <xf borderId="0" fillId="0" fontId="10" numFmtId="1" xfId="0" applyAlignment="1" applyFont="1" applyNumberFormat="1">
      <alignment horizontal="center" vertical="center"/>
    </xf>
    <xf borderId="19" fillId="2" fontId="23" numFmtId="0" xfId="0" applyAlignment="1" applyBorder="1" applyFont="1">
      <alignment horizontal="center" readingOrder="0" shrinkToFit="0" vertical="center" wrapText="1"/>
    </xf>
    <xf borderId="0" fillId="9" fontId="24" numFmtId="0" xfId="0" applyAlignment="1" applyFill="1" applyFont="1">
      <alignment readingOrder="0"/>
    </xf>
    <xf borderId="20" fillId="2" fontId="23" numFmtId="0" xfId="0" applyAlignment="1" applyBorder="1" applyFont="1">
      <alignment horizontal="center" readingOrder="0"/>
    </xf>
    <xf borderId="21" fillId="0" fontId="3" numFmtId="0" xfId="0" applyBorder="1" applyFont="1"/>
    <xf borderId="11" fillId="2" fontId="23" numFmtId="0" xfId="0" applyAlignment="1" applyBorder="1" applyFont="1">
      <alignment horizontal="center" readingOrder="0" shrinkToFit="0" vertical="center" wrapText="1"/>
    </xf>
    <xf borderId="11" fillId="2" fontId="23" numFmtId="0" xfId="0" applyAlignment="1" applyBorder="1" applyFont="1">
      <alignment horizontal="center" readingOrder="0" vertical="center"/>
    </xf>
    <xf borderId="22" fillId="2" fontId="23" numFmtId="0" xfId="0" applyAlignment="1" applyBorder="1" applyFont="1">
      <alignment horizontal="center" vertical="center"/>
    </xf>
    <xf borderId="11" fillId="2" fontId="23" numFmtId="0" xfId="0" applyAlignment="1" applyBorder="1" applyFont="1">
      <alignment horizontal="center" shrinkToFit="0" vertical="center" wrapText="1"/>
    </xf>
    <xf borderId="18" fillId="2" fontId="23" numFmtId="0" xfId="0" applyAlignment="1" applyBorder="1" applyFont="1">
      <alignment horizontal="center" shrinkToFit="0" vertical="center" wrapText="1"/>
    </xf>
    <xf borderId="22" fillId="0" fontId="25" numFmtId="0" xfId="0" applyAlignment="1" applyBorder="1" applyFont="1">
      <alignment readingOrder="0"/>
    </xf>
    <xf borderId="22" fillId="0" fontId="25" numFmtId="164" xfId="0" applyBorder="1" applyFont="1" applyNumberFormat="1"/>
    <xf borderId="22" fillId="0" fontId="25" numFmtId="167" xfId="0" applyBorder="1" applyFont="1" applyNumberFormat="1"/>
    <xf borderId="0" fillId="9" fontId="10" numFmtId="0" xfId="0" applyFont="1"/>
    <xf borderId="22" fillId="9" fontId="25" numFmtId="0" xfId="0" applyAlignment="1" applyBorder="1" applyFont="1">
      <alignment readingOrder="0"/>
    </xf>
    <xf borderId="22" fillId="9" fontId="25" numFmtId="164" xfId="0" applyBorder="1" applyFont="1" applyNumberFormat="1"/>
    <xf borderId="22" fillId="9" fontId="25" numFmtId="164" xfId="0" applyAlignment="1" applyBorder="1" applyFont="1" applyNumberFormat="1">
      <alignment readingOrder="0"/>
    </xf>
    <xf borderId="6" fillId="2" fontId="23" numFmtId="0" xfId="0" applyAlignment="1" applyBorder="1" applyFont="1">
      <alignment horizontal="center" readingOrder="0" shrinkToFit="0" vertical="center" wrapText="1"/>
    </xf>
    <xf borderId="0" fillId="0" fontId="26" numFmtId="164" xfId="0" applyAlignment="1" applyFont="1" applyNumberFormat="1">
      <alignment horizontal="center"/>
    </xf>
    <xf borderId="0" fillId="0" fontId="10" numFmtId="165" xfId="0" applyAlignment="1" applyFont="1" applyNumberFormat="1">
      <alignment horizontal="center" readingOrder="0"/>
    </xf>
    <xf borderId="0" fillId="0" fontId="10" numFmtId="165" xfId="0" applyAlignment="1" applyFont="1" applyNumberFormat="1">
      <alignment horizontal="center"/>
    </xf>
    <xf borderId="0" fillId="0" fontId="10" numFmtId="2" xfId="0" applyFont="1" applyNumberFormat="1"/>
    <xf borderId="0" fillId="9" fontId="10" numFmtId="165" xfId="0" applyAlignment="1" applyFont="1" applyNumberFormat="1">
      <alignment horizontal="center" readingOrder="0"/>
    </xf>
    <xf borderId="0" fillId="9" fontId="10" numFmtId="165" xfId="0" applyAlignment="1" applyFont="1" applyNumberFormat="1">
      <alignment horizontal="center"/>
    </xf>
    <xf borderId="0" fillId="0" fontId="27" numFmtId="165" xfId="0" applyAlignment="1" applyFont="1" applyNumberFormat="1">
      <alignment horizontal="center"/>
    </xf>
    <xf borderId="23" fillId="2" fontId="23" numFmtId="0" xfId="0" applyAlignment="1" applyBorder="1" applyFont="1">
      <alignment horizontal="center" readingOrder="0" shrinkToFit="0" vertical="center" wrapText="1"/>
    </xf>
    <xf borderId="23" fillId="0" fontId="3" numFmtId="0" xfId="0" applyBorder="1" applyFont="1"/>
    <xf borderId="18" fillId="0" fontId="3" numFmtId="0" xfId="0" applyBorder="1" applyFont="1"/>
    <xf borderId="0" fillId="0" fontId="1" numFmtId="165" xfId="0" applyAlignment="1" applyFont="1" applyNumberFormat="1">
      <alignment horizontal="center" shrinkToFit="0" vertical="bottom" wrapText="0"/>
    </xf>
    <xf borderId="0" fillId="0" fontId="7" numFmtId="165" xfId="0" applyAlignment="1" applyFont="1" applyNumberFormat="1">
      <alignment horizontal="center" shrinkToFit="0" vertical="bottom" wrapText="0"/>
    </xf>
    <xf borderId="0" fillId="9" fontId="27" numFmtId="165" xfId="0" applyAlignment="1" applyFont="1" applyNumberFormat="1">
      <alignment horizontal="center"/>
    </xf>
    <xf borderId="0" fillId="0" fontId="28" numFmtId="165" xfId="0" applyAlignment="1" applyFont="1" applyNumberFormat="1">
      <alignment horizontal="center" shrinkToFit="0" vertical="bottom" wrapText="0"/>
    </xf>
    <xf borderId="0" fillId="0" fontId="29" numFmtId="0" xfId="0" applyFont="1"/>
    <xf borderId="24" fillId="0" fontId="19" numFmtId="0" xfId="0" applyAlignment="1" applyBorder="1" applyFont="1">
      <alignment horizontal="center" readingOrder="0"/>
    </xf>
    <xf borderId="25" fillId="0" fontId="19" numFmtId="0" xfId="0" applyAlignment="1" applyBorder="1" applyFont="1">
      <alignment horizontal="center" readingOrder="0"/>
    </xf>
    <xf borderId="26" fillId="0" fontId="19" numFmtId="0" xfId="0" applyAlignment="1" applyBorder="1" applyFont="1">
      <alignment horizontal="center" readingOrder="0"/>
    </xf>
    <xf borderId="27" fillId="0" fontId="10" numFmtId="0" xfId="0" applyAlignment="1" applyBorder="1" applyFont="1">
      <alignment readingOrder="0"/>
    </xf>
    <xf borderId="28" fillId="0" fontId="10" numFmtId="0" xfId="0" applyAlignment="1" applyBorder="1" applyFont="1">
      <alignment readingOrder="0"/>
    </xf>
    <xf borderId="28" fillId="0" fontId="10" numFmtId="164" xfId="0" applyAlignment="1" applyBorder="1" applyFont="1" applyNumberFormat="1">
      <alignment readingOrder="0"/>
    </xf>
    <xf borderId="29" fillId="0" fontId="10" numFmtId="164" xfId="0" applyAlignment="1" applyBorder="1" applyFont="1" applyNumberFormat="1">
      <alignment readingOrder="0"/>
    </xf>
    <xf borderId="28" fillId="0" fontId="10" numFmtId="167" xfId="0" applyAlignment="1" applyBorder="1" applyFont="1" applyNumberFormat="1">
      <alignment readingOrder="0"/>
    </xf>
    <xf borderId="29" fillId="0" fontId="10" numFmtId="167" xfId="0" applyAlignment="1" applyBorder="1" applyFont="1" applyNumberFormat="1">
      <alignment readingOrder="0"/>
    </xf>
    <xf borderId="0" fillId="0" fontId="30" numFmtId="0" xfId="0" applyFont="1"/>
    <xf borderId="0" fillId="0" fontId="30" numFmtId="0" xfId="0" applyAlignment="1" applyFont="1">
      <alignment readingOrder="0"/>
    </xf>
    <xf borderId="30" fillId="2" fontId="23" numFmtId="0" xfId="0" applyAlignment="1" applyBorder="1" applyFont="1">
      <alignment horizontal="center" readingOrder="0" shrinkToFit="0" wrapText="1"/>
    </xf>
    <xf borderId="31" fillId="0" fontId="3" numFmtId="0" xfId="0" applyBorder="1" applyFont="1"/>
    <xf borderId="32" fillId="0" fontId="30" numFmtId="168" xfId="0" applyAlignment="1" applyBorder="1" applyFont="1" applyNumberFormat="1">
      <alignment readingOrder="0"/>
    </xf>
    <xf borderId="33" fillId="0" fontId="3" numFmtId="0" xfId="0" applyBorder="1" applyFont="1"/>
    <xf borderId="34" fillId="2" fontId="23" numFmtId="0" xfId="0" applyAlignment="1" applyBorder="1" applyFont="1">
      <alignment horizontal="center" vertical="center"/>
    </xf>
    <xf borderId="35" fillId="0" fontId="30" numFmtId="1" xfId="0" applyAlignment="1" applyBorder="1" applyFont="1" applyNumberFormat="1">
      <alignment readingOrder="0"/>
    </xf>
    <xf borderId="0" fillId="0" fontId="23" numFmtId="0" xfId="0" applyAlignment="1" applyFont="1">
      <alignment horizontal="center" readingOrder="0" vertical="center"/>
    </xf>
    <xf borderId="36" fillId="2" fontId="23" numFmtId="0" xfId="0" applyAlignment="1" applyBorder="1" applyFont="1">
      <alignment horizontal="center" readingOrder="0" vertical="center"/>
    </xf>
    <xf borderId="37" fillId="0" fontId="3" numFmtId="0" xfId="0" applyBorder="1" applyFont="1"/>
    <xf borderId="38" fillId="0" fontId="3" numFmtId="0" xfId="0" applyBorder="1" applyFont="1"/>
    <xf borderId="0" fillId="0" fontId="23" numFmtId="0" xfId="0" applyAlignment="1" applyFont="1">
      <alignment horizontal="center" vertical="center"/>
    </xf>
    <xf borderId="39" fillId="2" fontId="23" numFmtId="0" xfId="0" applyAlignment="1" applyBorder="1" applyFont="1">
      <alignment horizontal="center" vertical="center"/>
    </xf>
    <xf borderId="0" fillId="0" fontId="30" numFmtId="0" xfId="0" applyAlignment="1" applyFont="1">
      <alignment shrinkToFit="0" vertical="center" wrapText="1"/>
    </xf>
    <xf borderId="1" fillId="0" fontId="25" numFmtId="0" xfId="0" applyAlignment="1" applyBorder="1" applyFont="1">
      <alignment horizontal="center" vertical="center"/>
    </xf>
    <xf borderId="1" fillId="0" fontId="25" numFmtId="0" xfId="0" applyAlignment="1" applyBorder="1" applyFont="1">
      <alignment horizontal="center" readingOrder="0" vertical="center"/>
    </xf>
    <xf borderId="40" fillId="0" fontId="25" numFmtId="0" xfId="0" applyAlignment="1" applyBorder="1" applyFont="1">
      <alignment horizontal="center" readingOrder="0" vertical="center"/>
    </xf>
    <xf borderId="35" fillId="0" fontId="30" numFmtId="165" xfId="0" applyAlignment="1" applyBorder="1" applyFont="1" applyNumberFormat="1">
      <alignment readingOrder="0"/>
    </xf>
    <xf borderId="1" fillId="0" fontId="31" numFmtId="0" xfId="0" applyAlignment="1" applyBorder="1" applyFont="1">
      <alignment horizontal="center" readingOrder="0" vertical="center"/>
    </xf>
    <xf borderId="35" fillId="0" fontId="30" numFmtId="10" xfId="0" applyAlignment="1" applyBorder="1" applyFont="1" applyNumberFormat="1">
      <alignment readingOrder="0"/>
    </xf>
    <xf borderId="35" fillId="0" fontId="30" numFmtId="165" xfId="0" applyBorder="1" applyFont="1" applyNumberFormat="1"/>
    <xf borderId="40" fillId="0" fontId="25" numFmtId="0" xfId="0" applyAlignment="1" applyBorder="1" applyFont="1">
      <alignment horizontal="center" vertical="center"/>
    </xf>
    <xf borderId="40" fillId="0" fontId="25" numFmtId="166" xfId="0" applyAlignment="1" applyBorder="1" applyFont="1" applyNumberFormat="1">
      <alignment horizontal="center" vertical="center"/>
    </xf>
    <xf borderId="22" fillId="2" fontId="23" numFmtId="0" xfId="0" applyAlignment="1" applyBorder="1" applyFont="1">
      <alignment horizontal="center" readingOrder="0" shrinkToFit="0" wrapText="1"/>
    </xf>
    <xf borderId="39" fillId="2" fontId="23" numFmtId="0" xfId="0" applyAlignment="1" applyBorder="1" applyFont="1">
      <alignment horizontal="center" shrinkToFit="0" vertical="center" wrapText="1"/>
    </xf>
    <xf borderId="0" fillId="0" fontId="32" numFmtId="169" xfId="0" applyAlignment="1" applyFont="1" applyNumberFormat="1">
      <alignment horizontal="center" vertical="center"/>
    </xf>
    <xf borderId="35" fillId="9" fontId="1" numFmtId="0" xfId="0" applyAlignment="1" applyBorder="1" applyFont="1">
      <alignment vertical="bottom"/>
    </xf>
    <xf borderId="35" fillId="0" fontId="1" numFmtId="0" xfId="0" applyAlignment="1" applyBorder="1" applyFont="1">
      <alignment horizontal="center" readingOrder="0" vertical="bottom"/>
    </xf>
    <xf borderId="35" fillId="0" fontId="4" numFmtId="0" xfId="0" applyAlignment="1" applyBorder="1" applyFont="1">
      <alignment horizontal="center" readingOrder="0" vertical="center"/>
    </xf>
    <xf borderId="35" fillId="0" fontId="1" numFmtId="0" xfId="0" applyAlignment="1" applyBorder="1" applyFont="1">
      <alignment vertical="bottom"/>
    </xf>
    <xf borderId="41" fillId="0" fontId="23" numFmtId="0" xfId="0" applyAlignment="1" applyBorder="1" applyFont="1">
      <alignment vertical="center"/>
    </xf>
    <xf borderId="35" fillId="0" fontId="7" numFmtId="0" xfId="0" applyAlignment="1" applyBorder="1" applyFont="1">
      <alignment horizontal="center" readingOrder="0" vertical="bottom"/>
    </xf>
    <xf borderId="40" fillId="0" fontId="25" numFmtId="1" xfId="0" applyAlignment="1" applyBorder="1" applyFont="1" applyNumberFormat="1">
      <alignment horizontal="center" readingOrder="0" vertical="center"/>
    </xf>
    <xf borderId="0" fillId="0" fontId="25" numFmtId="0" xfId="0" applyFont="1"/>
    <xf borderId="0" fillId="0" fontId="25" numFmtId="0" xfId="0" applyAlignment="1" applyFont="1">
      <alignment horizontal="center"/>
    </xf>
    <xf borderId="42" fillId="2" fontId="23" numFmtId="0" xfId="0" applyAlignment="1" applyBorder="1" applyFont="1">
      <alignment horizontal="center" readingOrder="0" shrinkToFit="0" wrapText="1"/>
    </xf>
    <xf borderId="43" fillId="0" fontId="3" numFmtId="0" xfId="0" applyBorder="1" applyFont="1"/>
    <xf borderId="44" fillId="0" fontId="30" numFmtId="0" xfId="0" applyBorder="1" applyFont="1"/>
    <xf borderId="45" fillId="2" fontId="23" numFmtId="0" xfId="0" applyAlignment="1" applyBorder="1" applyFont="1">
      <alignment horizontal="center" shrinkToFit="0" vertical="center" wrapText="1"/>
    </xf>
    <xf borderId="42" fillId="2" fontId="23" numFmtId="0" xfId="0" applyAlignment="1" applyBorder="1" applyFont="1">
      <alignment horizontal="center" vertical="center"/>
    </xf>
    <xf borderId="0" fillId="0" fontId="30" numFmtId="0" xfId="0" applyAlignment="1" applyFont="1">
      <alignment horizontal="center" readingOrder="0" vertical="center"/>
    </xf>
    <xf borderId="0" fillId="0" fontId="25" numFmtId="0" xfId="0" applyAlignment="1" applyFont="1">
      <alignment horizontal="center" readingOrder="0" vertical="center"/>
    </xf>
    <xf borderId="45" fillId="2" fontId="23" numFmtId="0" xfId="0" applyAlignment="1" applyBorder="1" applyFont="1">
      <alignment horizontal="center" readingOrder="0" shrinkToFit="0" vertical="center" wrapText="1"/>
    </xf>
    <xf borderId="42" fillId="2" fontId="23" numFmtId="0" xfId="0" applyAlignment="1" applyBorder="1" applyFont="1">
      <alignment horizontal="center" readingOrder="0" vertical="center"/>
    </xf>
    <xf borderId="45" fillId="0" fontId="30" numFmtId="0" xfId="0" applyBorder="1" applyFont="1"/>
    <xf borderId="40" fillId="0" fontId="25" numFmtId="10" xfId="0" applyAlignment="1" applyBorder="1" applyFont="1" applyNumberFormat="1">
      <alignment horizontal="center" readingOrder="0" vertical="center"/>
    </xf>
    <xf borderId="40" fillId="0" fontId="25" numFmtId="4" xfId="0" applyAlignment="1" applyBorder="1" applyFont="1" applyNumberFormat="1">
      <alignment horizontal="right" readingOrder="0" vertical="center"/>
    </xf>
    <xf borderId="0" fillId="0" fontId="30" numFmtId="170" xfId="0" applyAlignment="1" applyFont="1" applyNumberFormat="1">
      <alignment horizontal="center" vertical="center"/>
    </xf>
    <xf borderId="0" fillId="0" fontId="30" numFmtId="2" xfId="0" applyAlignment="1" applyFont="1" applyNumberFormat="1">
      <alignment readingOrder="0"/>
    </xf>
    <xf borderId="45" fillId="0" fontId="30" numFmtId="0" xfId="0" applyAlignment="1" applyBorder="1" applyFont="1">
      <alignment horizontal="center"/>
    </xf>
    <xf borderId="40" fillId="0" fontId="25" numFmtId="4" xfId="0" applyAlignment="1" applyBorder="1" applyFont="1" applyNumberFormat="1">
      <alignment horizontal="right" vertical="center"/>
    </xf>
    <xf borderId="0" fillId="0" fontId="30" numFmtId="0" xfId="0" applyAlignment="1" applyFont="1">
      <alignment horizontal="right" readingOrder="0" vertical="center"/>
    </xf>
    <xf borderId="45" fillId="0" fontId="33" numFmtId="0" xfId="0" applyAlignment="1" applyBorder="1" applyFont="1">
      <alignment horizontal="center"/>
    </xf>
    <xf borderId="40" fillId="0" fontId="33" numFmtId="10" xfId="0" applyAlignment="1" applyBorder="1" applyFont="1" applyNumberFormat="1">
      <alignment horizontal="center" readingOrder="0" vertical="center"/>
    </xf>
    <xf borderId="40" fillId="0" fontId="33" numFmtId="4" xfId="0" applyAlignment="1" applyBorder="1" applyFont="1" applyNumberFormat="1">
      <alignment horizontal="right" readingOrder="0" vertical="center"/>
    </xf>
    <xf borderId="40" fillId="0" fontId="33" numFmtId="4" xfId="0" applyAlignment="1" applyBorder="1" applyFont="1" applyNumberFormat="1">
      <alignment horizontal="right" vertical="center"/>
    </xf>
    <xf borderId="40" fillId="0" fontId="33" numFmtId="10" xfId="0" applyAlignment="1" applyBorder="1" applyFont="1" applyNumberFormat="1">
      <alignment horizontal="center" vertical="center"/>
    </xf>
    <xf borderId="0" fillId="0" fontId="30" numFmtId="0" xfId="0" applyAlignment="1" applyFont="1">
      <alignment horizontal="center" vertical="center"/>
    </xf>
    <xf borderId="0" fillId="0" fontId="34" numFmtId="0" xfId="0" applyAlignment="1" applyFont="1">
      <alignment readingOrder="0"/>
    </xf>
    <xf borderId="0" fillId="0" fontId="30" numFmtId="0" xfId="0" applyAlignment="1" applyFont="1">
      <alignment horizontal="center"/>
    </xf>
    <xf borderId="0" fillId="0" fontId="34" numFmtId="0" xfId="0" applyAlignment="1" applyFont="1">
      <alignment horizontal="left" readingOrder="0"/>
    </xf>
    <xf borderId="0" fillId="0" fontId="35" numFmtId="0" xfId="0" applyAlignment="1" applyFont="1">
      <alignment readingOrder="0"/>
    </xf>
    <xf borderId="0" fillId="0" fontId="36" numFmtId="0" xfId="0" applyAlignment="1" applyFont="1">
      <alignment readingOrder="0"/>
    </xf>
    <xf borderId="0" fillId="0" fontId="7" numFmtId="0" xfId="0" applyAlignment="1" applyFont="1">
      <alignment shrinkToFit="0" vertical="bottom" wrapText="0"/>
    </xf>
    <xf borderId="0" fillId="2" fontId="37" numFmtId="0" xfId="0" applyAlignment="1" applyFont="1">
      <alignment horizontal="center" readingOrder="0" shrinkToFit="0" vertical="bottom" wrapText="0"/>
    </xf>
    <xf borderId="0" fillId="2" fontId="38" numFmtId="0" xfId="0" applyAlignment="1" applyFont="1">
      <alignment horizontal="center" readingOrder="0" shrinkToFit="0" vertical="bottom" wrapText="0"/>
    </xf>
    <xf borderId="0" fillId="2" fontId="37" numFmtId="0" xfId="0" applyAlignment="1" applyFont="1">
      <alignment horizontal="center" readingOrder="0" shrinkToFit="0" wrapText="0"/>
    </xf>
    <xf borderId="0" fillId="0" fontId="1" numFmtId="0" xfId="0" applyAlignment="1" applyFont="1">
      <alignment readingOrder="0" shrinkToFit="0" vertical="bottom" wrapText="0"/>
    </xf>
    <xf borderId="0" fillId="0" fontId="7" numFmtId="2" xfId="0" applyAlignment="1" applyFont="1" applyNumberFormat="1">
      <alignment horizontal="right" readingOrder="0" shrinkToFit="0" vertical="bottom" wrapText="0"/>
    </xf>
    <xf borderId="0" fillId="0" fontId="7" numFmtId="2" xfId="0" applyAlignment="1" applyFont="1" applyNumberFormat="1">
      <alignment shrinkToFit="0" vertical="bottom" wrapText="0"/>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7" numFmtId="165" xfId="0" applyAlignment="1" applyFont="1" applyNumberFormat="1">
      <alignment horizontal="right" readingOrder="0" shrinkToFit="0" vertical="bottom" wrapText="0"/>
    </xf>
    <xf borderId="0" fillId="2" fontId="37" numFmtId="0" xfId="0" applyAlignment="1" applyFont="1">
      <alignment readingOrder="0" shrinkToFit="0" vertical="bottom" wrapText="0"/>
    </xf>
    <xf borderId="0" fillId="0" fontId="28" numFmtId="0" xfId="0" applyAlignment="1" applyFont="1">
      <alignment readingOrder="0" shrinkToFit="0" vertical="bottom" wrapText="0"/>
    </xf>
    <xf borderId="0" fillId="0" fontId="39" numFmtId="10" xfId="0" applyAlignment="1" applyFont="1" applyNumberFormat="1">
      <alignment horizontal="right" readingOrder="0" shrinkToFit="0" vertical="bottom" wrapText="0"/>
    </xf>
    <xf borderId="0" fillId="0" fontId="39" numFmtId="165" xfId="0" applyAlignment="1" applyFont="1" applyNumberFormat="1">
      <alignment horizontal="right" readingOrder="0" shrinkToFit="0" vertical="bottom" wrapText="0"/>
    </xf>
    <xf borderId="0" fillId="0" fontId="7" numFmtId="0" xfId="0" applyAlignment="1" applyFont="1">
      <alignment vertical="bottom"/>
    </xf>
    <xf borderId="0" fillId="0" fontId="7" numFmtId="3" xfId="0" applyAlignment="1" applyFont="1" applyNumberFormat="1">
      <alignment horizontal="center" vertical="bottom"/>
    </xf>
    <xf borderId="0" fillId="0" fontId="7" numFmtId="165" xfId="0" applyAlignment="1" applyFont="1" applyNumberFormat="1">
      <alignment horizontal="center" vertical="bottom"/>
    </xf>
    <xf borderId="0" fillId="10" fontId="39" numFmtId="10" xfId="0" applyAlignment="1" applyFill="1" applyFont="1" applyNumberFormat="1">
      <alignment horizontal="right" readingOrder="0" shrinkToFit="0" vertical="bottom" wrapText="0"/>
    </xf>
    <xf borderId="0" fillId="0" fontId="7" numFmtId="0" xfId="0" applyAlignment="1" applyFont="1">
      <alignment vertical="bottom"/>
    </xf>
    <xf borderId="0" fillId="0" fontId="28" numFmtId="0" xfId="0" applyAlignment="1" applyFont="1">
      <alignment horizontal="center" readingOrder="0" shrinkToFit="0" vertical="bottom" wrapText="0"/>
    </xf>
    <xf borderId="0" fillId="0" fontId="28" numFmtId="165" xfId="0" applyAlignment="1" applyFont="1" applyNumberFormat="1">
      <alignment horizontal="right" readingOrder="0" shrinkToFit="0" vertical="bottom" wrapText="0"/>
    </xf>
    <xf borderId="0" fillId="2" fontId="37" numFmtId="0" xfId="0" applyAlignment="1" applyFont="1">
      <alignment horizontal="center" readingOrder="0" shrinkToFit="0" vertical="center" wrapText="0"/>
    </xf>
    <xf borderId="0" fillId="2" fontId="37" numFmtId="0" xfId="0" applyAlignment="1" applyFont="1">
      <alignment horizontal="center" readingOrder="0" shrinkToFit="0" vertical="bottom" wrapText="1"/>
    </xf>
    <xf borderId="0" fillId="0" fontId="7" numFmtId="0" xfId="0" applyAlignment="1" applyFont="1">
      <alignment horizontal="center" readingOrder="0" shrinkToFit="0" vertical="bottom" wrapText="0"/>
    </xf>
    <xf borderId="0" fillId="0" fontId="7" numFmtId="0" xfId="0" applyAlignment="1" applyFont="1">
      <alignment horizontal="center" readingOrder="0" shrinkToFit="0" vertical="center" wrapText="0"/>
    </xf>
    <xf borderId="0" fillId="0" fontId="10" numFmtId="0" xfId="0" applyAlignment="1" applyFont="1">
      <alignment readingOrder="0"/>
    </xf>
    <xf borderId="0" fillId="9" fontId="39" numFmtId="165" xfId="0" applyAlignment="1" applyFont="1" applyNumberFormat="1">
      <alignment horizontal="right" readingOrder="0" shrinkToFit="0" vertical="bottom" wrapText="0"/>
    </xf>
    <xf borderId="0" fillId="10" fontId="7" numFmtId="2" xfId="0" applyAlignment="1" applyFont="1" applyNumberFormat="1">
      <alignment horizontal="right" readingOrder="0" shrinkToFit="0" vertical="bottom" wrapText="0"/>
    </xf>
    <xf borderId="0" fillId="0" fontId="10" numFmtId="3" xfId="0" applyAlignment="1" applyFont="1" applyNumberFormat="1">
      <alignment horizontal="center"/>
    </xf>
    <xf borderId="0" fillId="11" fontId="10" numFmtId="165" xfId="0" applyAlignment="1" applyFill="1" applyFont="1" applyNumberFormat="1">
      <alignment horizontal="center"/>
    </xf>
    <xf borderId="0" fillId="0" fontId="7" numFmtId="0" xfId="0" applyAlignment="1" applyFont="1">
      <alignment horizontal="center" readingOrder="0" shrinkToFit="0" wrapText="0"/>
    </xf>
    <xf borderId="0" fillId="0" fontId="7" numFmtId="165" xfId="0" applyAlignment="1" applyFont="1" applyNumberFormat="1">
      <alignment shrinkToFit="0" vertical="bottom" wrapText="0"/>
    </xf>
    <xf borderId="0" fillId="0" fontId="7" numFmtId="0" xfId="0" applyAlignment="1" applyFont="1">
      <alignment readingOrder="0" shrinkToFit="0" vertical="bottom" wrapText="1"/>
    </xf>
    <xf borderId="14" fillId="12" fontId="40" numFmtId="0" xfId="0" applyAlignment="1" applyBorder="1" applyFill="1" applyFont="1">
      <alignment horizontal="center" vertical="center"/>
    </xf>
    <xf borderId="0" fillId="12" fontId="40" numFmtId="0" xfId="0" applyAlignment="1" applyFont="1">
      <alignment horizontal="center" shrinkToFit="0" wrapText="1"/>
    </xf>
    <xf borderId="36" fillId="13" fontId="37" numFmtId="0" xfId="0" applyAlignment="1" applyBorder="1" applyFill="1" applyFont="1">
      <alignment horizontal="center" vertical="bottom"/>
    </xf>
    <xf borderId="46" fillId="12" fontId="40" numFmtId="0" xfId="0" applyAlignment="1" applyBorder="1" applyFont="1">
      <alignment horizontal="center" shrinkToFit="0" vertical="center" wrapText="1"/>
    </xf>
    <xf borderId="14" fillId="12" fontId="40" numFmtId="0" xfId="0" applyAlignment="1" applyBorder="1" applyFont="1">
      <alignment horizontal="center" shrinkToFit="0" vertical="center" wrapText="1"/>
    </xf>
    <xf borderId="47" fillId="12" fontId="40" numFmtId="0" xfId="0" applyAlignment="1" applyBorder="1" applyFont="1">
      <alignment horizontal="center" shrinkToFit="0" vertical="center" wrapText="1"/>
    </xf>
    <xf borderId="48" fillId="0" fontId="3" numFmtId="0" xfId="0" applyBorder="1" applyFont="1"/>
    <xf borderId="35" fillId="12" fontId="40" numFmtId="0" xfId="0" applyAlignment="1" applyBorder="1" applyFont="1">
      <alignment horizontal="center" shrinkToFit="0" wrapText="1"/>
    </xf>
    <xf borderId="35" fillId="12" fontId="40" numFmtId="0" xfId="0" applyAlignment="1" applyBorder="1" applyFont="1">
      <alignment horizontal="center" shrinkToFit="0" wrapText="1"/>
    </xf>
    <xf borderId="0" fillId="13" fontId="37" numFmtId="0" xfId="0" applyAlignment="1" applyFont="1">
      <alignment horizontal="center" shrinkToFit="0" wrapText="1"/>
    </xf>
    <xf borderId="0" fillId="13" fontId="40" numFmtId="0" xfId="0" applyAlignment="1" applyFont="1">
      <alignment horizontal="center" shrinkToFit="0" wrapText="1"/>
    </xf>
    <xf borderId="49" fillId="0" fontId="3" numFmtId="0" xfId="0" applyBorder="1" applyFont="1"/>
    <xf borderId="17" fillId="12" fontId="40" numFmtId="0" xfId="0" applyAlignment="1" applyBorder="1" applyFont="1">
      <alignment horizontal="center" shrinkToFit="0" vertical="center" wrapText="1"/>
    </xf>
    <xf borderId="35" fillId="0" fontId="7" numFmtId="0" xfId="0" applyAlignment="1" applyBorder="1" applyFont="1">
      <alignment vertical="bottom"/>
    </xf>
    <xf borderId="35" fillId="9" fontId="7" numFmtId="0" xfId="0" applyAlignment="1" applyBorder="1" applyFont="1">
      <alignment horizontal="center" vertical="bottom"/>
    </xf>
    <xf borderId="35" fillId="9" fontId="7" numFmtId="171" xfId="0" applyAlignment="1" applyBorder="1" applyFont="1" applyNumberFormat="1">
      <alignment horizontal="center"/>
    </xf>
    <xf borderId="35" fillId="9" fontId="7" numFmtId="0" xfId="0" applyAlignment="1" applyBorder="1" applyFont="1">
      <alignment horizontal="center" shrinkToFit="0" wrapText="1"/>
    </xf>
    <xf borderId="35" fillId="9" fontId="7" numFmtId="0" xfId="0" applyAlignment="1" applyBorder="1" applyFont="1">
      <alignment horizontal="center"/>
    </xf>
    <xf borderId="35" fillId="14" fontId="7" numFmtId="165" xfId="0" applyAlignment="1" applyBorder="1" applyFill="1" applyFont="1" applyNumberFormat="1">
      <alignment horizontal="center"/>
    </xf>
    <xf borderId="35" fillId="0" fontId="41" numFmtId="165" xfId="0" applyAlignment="1" applyBorder="1" applyFont="1" applyNumberFormat="1">
      <alignment horizontal="right" vertical="bottom"/>
    </xf>
    <xf borderId="35" fillId="0" fontId="41" numFmtId="0" xfId="0" applyAlignment="1" applyBorder="1" applyFont="1">
      <alignment horizontal="right" readingOrder="0" vertical="bottom"/>
    </xf>
    <xf borderId="35" fillId="9" fontId="1" numFmtId="4" xfId="0" applyAlignment="1" applyBorder="1" applyFont="1" applyNumberFormat="1">
      <alignment readingOrder="0" vertical="bottom"/>
    </xf>
    <xf borderId="35" fillId="15" fontId="41" numFmtId="165" xfId="0" applyAlignment="1" applyBorder="1" applyFill="1" applyFont="1" applyNumberFormat="1">
      <alignment horizontal="right" vertical="bottom"/>
    </xf>
    <xf borderId="17" fillId="9" fontId="7" numFmtId="0" xfId="0" applyBorder="1" applyFont="1"/>
    <xf borderId="17" fillId="9" fontId="7" numFmtId="0" xfId="0" applyAlignment="1" applyBorder="1" applyFont="1">
      <alignment horizontal="center"/>
    </xf>
    <xf borderId="17" fillId="9" fontId="7" numFmtId="171" xfId="0" applyAlignment="1" applyBorder="1" applyFont="1" applyNumberFormat="1">
      <alignment horizontal="center"/>
    </xf>
    <xf borderId="35" fillId="0" fontId="7" numFmtId="0" xfId="0" applyAlignment="1" applyBorder="1" applyFont="1">
      <alignment horizontal="right" vertical="bottom"/>
    </xf>
    <xf borderId="35" fillId="9" fontId="7" numFmtId="171" xfId="0" applyAlignment="1" applyBorder="1" applyFont="1" applyNumberFormat="1">
      <alignment horizontal="center" vertical="bottom"/>
    </xf>
    <xf borderId="17" fillId="0" fontId="7" numFmtId="0" xfId="0" applyAlignment="1" applyBorder="1" applyFont="1">
      <alignment readingOrder="0"/>
    </xf>
    <xf borderId="17" fillId="0" fontId="7" numFmtId="0" xfId="0" applyBorder="1" applyFont="1"/>
    <xf borderId="35" fillId="9" fontId="7" numFmtId="0" xfId="0" applyAlignment="1" applyBorder="1" applyFont="1">
      <alignment vertical="bottom"/>
    </xf>
    <xf borderId="35" fillId="9" fontId="7" numFmtId="165" xfId="0" applyAlignment="1" applyBorder="1" applyFont="1" applyNumberFormat="1">
      <alignment horizontal="center"/>
    </xf>
    <xf borderId="35" fillId="0" fontId="41" numFmtId="0" xfId="0" applyAlignment="1" applyBorder="1" applyFont="1">
      <alignment horizontal="right" vertical="bottom"/>
    </xf>
    <xf borderId="35" fillId="9" fontId="1" numFmtId="4" xfId="0" applyAlignment="1" applyBorder="1" applyFont="1" applyNumberFormat="1">
      <alignment vertical="bottom"/>
    </xf>
    <xf borderId="17" fillId="9" fontId="7" numFmtId="0" xfId="0" applyAlignment="1" applyBorder="1" applyFont="1">
      <alignment readingOrder="0"/>
    </xf>
    <xf borderId="17" fillId="9" fontId="7" numFmtId="0" xfId="0" applyAlignment="1" applyBorder="1" applyFont="1">
      <alignment horizontal="center" readingOrder="0"/>
    </xf>
    <xf borderId="17" fillId="9" fontId="7" numFmtId="171" xfId="0" applyAlignment="1" applyBorder="1" applyFont="1" applyNumberFormat="1">
      <alignment horizontal="center" readingOrder="0"/>
    </xf>
    <xf borderId="0" fillId="0" fontId="7" numFmtId="0" xfId="0" applyAlignment="1" applyFont="1">
      <alignment readingOrder="0"/>
    </xf>
    <xf borderId="35" fillId="16" fontId="1" numFmtId="0" xfId="0" applyAlignment="1" applyBorder="1" applyFill="1" applyFont="1">
      <alignment vertical="bottom"/>
    </xf>
    <xf borderId="35" fillId="16" fontId="1" numFmtId="171" xfId="0" applyAlignment="1" applyBorder="1" applyFont="1" applyNumberFormat="1">
      <alignment vertical="bottom"/>
    </xf>
    <xf borderId="50" fillId="0" fontId="7" numFmtId="0" xfId="0" applyBorder="1" applyFont="1"/>
    <xf borderId="35" fillId="9" fontId="42" numFmtId="0" xfId="0" applyAlignment="1" applyBorder="1" applyFont="1">
      <alignment vertical="bottom"/>
    </xf>
    <xf borderId="51" fillId="0" fontId="7" numFmtId="0" xfId="0" applyBorder="1" applyFont="1"/>
    <xf borderId="35" fillId="9" fontId="7" numFmtId="0" xfId="0" applyAlignment="1" applyBorder="1" applyFont="1">
      <alignment horizontal="center"/>
    </xf>
    <xf borderId="35" fillId="9" fontId="7" numFmtId="165" xfId="0" applyAlignment="1" applyBorder="1" applyFont="1" applyNumberFormat="1">
      <alignment horizontal="center" vertical="bottom"/>
    </xf>
    <xf borderId="35" fillId="9" fontId="1" numFmtId="0" xfId="0" applyBorder="1" applyFont="1"/>
    <xf borderId="35" fillId="14" fontId="7" numFmtId="172" xfId="0" applyAlignment="1" applyBorder="1" applyFont="1" applyNumberFormat="1">
      <alignment horizontal="center"/>
    </xf>
    <xf borderId="35" fillId="9" fontId="7" numFmtId="0" xfId="0" applyAlignment="1" applyBorder="1" applyFont="1">
      <alignment horizontal="center" readingOrder="0" vertical="bottom"/>
    </xf>
    <xf borderId="35" fillId="9" fontId="7" numFmtId="0" xfId="0" applyAlignment="1" applyBorder="1" applyFont="1">
      <alignment vertical="bottom"/>
    </xf>
    <xf borderId="35" fillId="9" fontId="7" numFmtId="0" xfId="0" applyAlignment="1" applyBorder="1" applyFont="1">
      <alignment horizontal="center" vertical="bottom"/>
    </xf>
    <xf borderId="35" fillId="9" fontId="7" numFmtId="0" xfId="0" applyAlignment="1" applyBorder="1" applyFont="1">
      <alignment horizontal="center" shrinkToFit="0" wrapText="1"/>
    </xf>
    <xf borderId="0" fillId="0" fontId="30" numFmtId="0" xfId="0" applyAlignment="1" applyFont="1">
      <alignment horizontal="center" shrinkToFit="0" vertical="center" wrapText="1"/>
    </xf>
    <xf borderId="0" fillId="0" fontId="37" numFmtId="0" xfId="0" applyAlignment="1" applyFont="1">
      <alignment horizontal="center" vertical="center"/>
    </xf>
    <xf borderId="0" fillId="2" fontId="43" numFmtId="0" xfId="0" applyAlignment="1" applyFont="1">
      <alignment horizontal="center" shrinkToFit="0" vertical="center" wrapText="1"/>
    </xf>
    <xf borderId="52" fillId="2" fontId="43" numFmtId="0" xfId="0" applyAlignment="1" applyBorder="1" applyFont="1">
      <alignment horizontal="center" shrinkToFit="0" vertical="center" wrapText="1"/>
    </xf>
    <xf borderId="53" fillId="0" fontId="3" numFmtId="0" xfId="0" applyBorder="1" applyFont="1"/>
    <xf borderId="0" fillId="0" fontId="7" numFmtId="0" xfId="0" applyAlignment="1" applyFont="1">
      <alignment horizontal="center" vertical="center"/>
    </xf>
    <xf borderId="54" fillId="17" fontId="37" numFmtId="0" xfId="0" applyAlignment="1" applyBorder="1" applyFill="1" applyFont="1">
      <alignment horizontal="center" shrinkToFit="0" vertical="center" wrapText="1"/>
    </xf>
    <xf borderId="55" fillId="0" fontId="3" numFmtId="0" xfId="0" applyBorder="1" applyFont="1"/>
    <xf borderId="56" fillId="0" fontId="3" numFmtId="0" xfId="0" applyBorder="1" applyFont="1"/>
    <xf borderId="54" fillId="12" fontId="37" numFmtId="0" xfId="0" applyAlignment="1" applyBorder="1" applyFont="1">
      <alignment horizontal="center" shrinkToFit="0" vertical="center" wrapText="1"/>
    </xf>
    <xf borderId="54" fillId="18" fontId="37" numFmtId="0" xfId="0" applyAlignment="1" applyBorder="1" applyFill="1" applyFont="1">
      <alignment horizontal="center" shrinkToFit="0" vertical="center" wrapText="1"/>
    </xf>
    <xf borderId="54" fillId="19" fontId="37" numFmtId="0" xfId="0" applyAlignment="1" applyBorder="1" applyFill="1" applyFont="1">
      <alignment horizontal="center" vertical="center"/>
    </xf>
    <xf borderId="57" fillId="20" fontId="37" numFmtId="0" xfId="0" applyAlignment="1" applyBorder="1" applyFill="1" applyFont="1">
      <alignment horizontal="center" vertical="center"/>
    </xf>
    <xf borderId="0" fillId="0" fontId="7" numFmtId="169" xfId="0" applyAlignment="1" applyFont="1" applyNumberFormat="1">
      <alignment horizontal="center" vertical="center"/>
    </xf>
    <xf borderId="58" fillId="0" fontId="3" numFmtId="0" xfId="0" applyBorder="1" applyFont="1"/>
    <xf borderId="59" fillId="0" fontId="3" numFmtId="0" xfId="0" applyBorder="1" applyFont="1"/>
    <xf borderId="60" fillId="0" fontId="3" numFmtId="0" xfId="0" applyBorder="1" applyFont="1"/>
    <xf borderId="61" fillId="0" fontId="3" numFmtId="0" xfId="0" applyBorder="1" applyFont="1"/>
    <xf borderId="0" fillId="17" fontId="37" numFmtId="0" xfId="0" applyAlignment="1" applyFont="1">
      <alignment horizontal="center" shrinkToFit="0" wrapText="1"/>
    </xf>
    <xf borderId="35" fillId="17" fontId="37" numFmtId="0" xfId="0" applyAlignment="1" applyBorder="1" applyFont="1">
      <alignment horizontal="center" shrinkToFit="0" wrapText="1"/>
    </xf>
    <xf borderId="35" fillId="17" fontId="37" numFmtId="0" xfId="0" applyAlignment="1" applyBorder="1" applyFont="1">
      <alignment horizontal="center"/>
    </xf>
    <xf borderId="35" fillId="12" fontId="37" numFmtId="0" xfId="0" applyAlignment="1" applyBorder="1" applyFont="1">
      <alignment horizontal="center" shrinkToFit="0" wrapText="1"/>
    </xf>
    <xf borderId="35" fillId="12" fontId="37" numFmtId="2" xfId="0" applyAlignment="1" applyBorder="1" applyFont="1" applyNumberFormat="1">
      <alignment horizontal="center" shrinkToFit="0" wrapText="1"/>
    </xf>
    <xf borderId="35" fillId="12" fontId="37" numFmtId="0" xfId="0" applyAlignment="1" applyBorder="1" applyFont="1">
      <alignment horizontal="center" readingOrder="0" shrinkToFit="0" wrapText="1"/>
    </xf>
    <xf borderId="35" fillId="18" fontId="37" numFmtId="0" xfId="0" applyAlignment="1" applyBorder="1" applyFont="1">
      <alignment horizontal="center" shrinkToFit="0" wrapText="1"/>
    </xf>
    <xf borderId="35" fillId="18" fontId="37" numFmtId="173" xfId="0" applyAlignment="1" applyBorder="1" applyFont="1" applyNumberFormat="1">
      <alignment horizontal="center" shrinkToFit="0" wrapText="1"/>
    </xf>
    <xf borderId="35" fillId="19" fontId="37" numFmtId="0" xfId="0" applyAlignment="1" applyBorder="1" applyFont="1">
      <alignment horizontal="center" shrinkToFit="0" wrapText="1"/>
    </xf>
    <xf borderId="35" fillId="19" fontId="37" numFmtId="0" xfId="0" applyAlignment="1" applyBorder="1" applyFont="1">
      <alignment horizontal="center"/>
    </xf>
    <xf borderId="35" fillId="20" fontId="37" numFmtId="0" xfId="0" applyAlignment="1" applyBorder="1" applyFont="1">
      <alignment horizontal="center"/>
    </xf>
    <xf borderId="35" fillId="0" fontId="1" numFmtId="0" xfId="0" applyBorder="1" applyFont="1"/>
    <xf borderId="35" fillId="9" fontId="7" numFmtId="0" xfId="0" applyAlignment="1" applyBorder="1" applyFont="1">
      <alignment horizontal="center" shrinkToFit="0" wrapText="1"/>
    </xf>
    <xf borderId="35" fillId="9" fontId="7" numFmtId="0" xfId="0" applyAlignment="1" applyBorder="1" applyFont="1">
      <alignment horizontal="center" readingOrder="0" shrinkToFit="0" wrapText="1"/>
    </xf>
    <xf borderId="35" fillId="9" fontId="7" numFmtId="0" xfId="0" applyAlignment="1" applyBorder="1" applyFont="1">
      <alignment horizontal="center" readingOrder="0" shrinkToFit="0" vertical="center" wrapText="1"/>
    </xf>
    <xf borderId="35" fillId="9" fontId="7" numFmtId="164" xfId="0" applyAlignment="1" applyBorder="1" applyFont="1" applyNumberFormat="1">
      <alignment horizontal="center" readingOrder="0" vertical="center"/>
    </xf>
    <xf borderId="35" fillId="9" fontId="7" numFmtId="0" xfId="0" applyAlignment="1" applyBorder="1" applyFont="1">
      <alignment horizontal="center" readingOrder="0"/>
    </xf>
    <xf borderId="35" fillId="9" fontId="7" numFmtId="171" xfId="0" applyAlignment="1" applyBorder="1" applyFont="1" applyNumberFormat="1">
      <alignment horizontal="center" vertical="center"/>
    </xf>
    <xf borderId="35" fillId="9" fontId="7" numFmtId="2" xfId="0" applyAlignment="1" applyBorder="1" applyFont="1" applyNumberFormat="1">
      <alignment horizontal="center" shrinkToFit="0" wrapText="1"/>
    </xf>
    <xf borderId="35" fillId="9" fontId="7" numFmtId="164" xfId="0" applyAlignment="1" applyBorder="1" applyFont="1" applyNumberFormat="1">
      <alignment horizontal="center"/>
    </xf>
    <xf borderId="35" fillId="9" fontId="7" numFmtId="169" xfId="0" applyAlignment="1" applyBorder="1" applyFont="1" applyNumberFormat="1">
      <alignment horizontal="center"/>
    </xf>
    <xf borderId="0" fillId="0" fontId="7" numFmtId="0" xfId="0" applyAlignment="1" applyFont="1">
      <alignment horizontal="center" readingOrder="0" vertical="center"/>
    </xf>
    <xf borderId="35" fillId="0" fontId="7" numFmtId="0" xfId="0" applyAlignment="1" applyBorder="1" applyFont="1">
      <alignment horizontal="center" readingOrder="0" shrinkToFit="0" wrapText="1"/>
    </xf>
    <xf borderId="35" fillId="0" fontId="7" numFmtId="0" xfId="0" applyAlignment="1" applyBorder="1" applyFont="1">
      <alignment horizontal="center" readingOrder="0"/>
    </xf>
    <xf borderId="35" fillId="0" fontId="7" numFmtId="0" xfId="0" applyAlignment="1" applyBorder="1" applyFont="1">
      <alignment horizontal="left" readingOrder="0" shrinkToFit="0" wrapText="1"/>
    </xf>
    <xf borderId="0" fillId="0" fontId="1" numFmtId="0" xfId="0" applyAlignment="1" applyFont="1">
      <alignment horizontal="center" shrinkToFit="0" vertical="center" wrapText="1"/>
    </xf>
    <xf borderId="35" fillId="9" fontId="7" numFmtId="164" xfId="0" applyAlignment="1" applyBorder="1" applyFont="1" applyNumberFormat="1">
      <alignment horizontal="center" readingOrder="0"/>
    </xf>
    <xf borderId="35" fillId="9" fontId="7" numFmtId="0" xfId="0" applyAlignment="1" applyBorder="1" applyFont="1">
      <alignment horizontal="center" shrinkToFit="0" vertical="bottom" wrapText="1"/>
    </xf>
    <xf borderId="33" fillId="9" fontId="7" numFmtId="0" xfId="0" applyAlignment="1" applyBorder="1" applyFont="1">
      <alignment horizontal="center" readingOrder="0" shrinkToFit="0" vertical="bottom" wrapText="1"/>
    </xf>
    <xf borderId="33" fillId="9" fontId="7" numFmtId="165" xfId="0" applyAlignment="1" applyBorder="1" applyFont="1" applyNumberFormat="1">
      <alignment horizontal="center" shrinkToFit="0" vertical="bottom" wrapText="1"/>
    </xf>
    <xf borderId="35" fillId="0" fontId="1" numFmtId="0" xfId="0" applyAlignment="1" applyBorder="1" applyFont="1">
      <alignment readingOrder="0"/>
    </xf>
    <xf borderId="33" fillId="0" fontId="7" numFmtId="0" xfId="0" applyAlignment="1" applyBorder="1" applyFont="1">
      <alignment horizontal="center" readingOrder="0"/>
    </xf>
    <xf borderId="33" fillId="0" fontId="7" numFmtId="164" xfId="0" applyAlignment="1" applyBorder="1" applyFont="1" applyNumberFormat="1">
      <alignment horizontal="center" readingOrder="0" shrinkToFit="0" wrapText="0"/>
    </xf>
    <xf borderId="33" fillId="0" fontId="7" numFmtId="171" xfId="0" applyAlignment="1" applyBorder="1" applyFont="1" applyNumberFormat="1">
      <alignment horizontal="center" readingOrder="0" shrinkToFit="0" wrapText="0"/>
    </xf>
    <xf borderId="33" fillId="14" fontId="7" numFmtId="2" xfId="0" applyAlignment="1" applyBorder="1" applyFont="1" applyNumberFormat="1">
      <alignment horizontal="center" readingOrder="0"/>
    </xf>
    <xf borderId="33" fillId="0" fontId="7" numFmtId="169" xfId="0" applyAlignment="1" applyBorder="1" applyFont="1" applyNumberFormat="1">
      <alignment horizontal="center" readingOrder="0" shrinkToFit="0" wrapText="0"/>
    </xf>
    <xf borderId="33" fillId="0" fontId="7" numFmtId="0" xfId="0" applyAlignment="1" applyBorder="1" applyFont="1">
      <alignment horizontal="center" readingOrder="0" shrinkToFit="0" wrapText="0"/>
    </xf>
    <xf borderId="33" fillId="0" fontId="7" numFmtId="0" xfId="0" applyAlignment="1" applyBorder="1" applyFont="1">
      <alignment horizontal="center" readingOrder="0" shrinkToFit="0" wrapText="1"/>
    </xf>
    <xf borderId="35" fillId="0" fontId="7" numFmtId="0" xfId="0" applyAlignment="1" applyBorder="1" applyFont="1">
      <alignment horizontal="center" readingOrder="0" vertical="center"/>
    </xf>
    <xf borderId="33" fillId="0" fontId="7" numFmtId="164" xfId="0" applyAlignment="1" applyBorder="1" applyFont="1" applyNumberFormat="1">
      <alignment horizontal="center" readingOrder="0" shrinkToFit="0" vertical="center" wrapText="0"/>
    </xf>
    <xf borderId="35" fillId="9" fontId="7" numFmtId="0" xfId="0" applyAlignment="1" applyBorder="1" applyFont="1">
      <alignment horizontal="center" readingOrder="0" vertical="center"/>
    </xf>
    <xf borderId="60" fillId="0" fontId="7" numFmtId="164" xfId="0" applyAlignment="1" applyBorder="1" applyFont="1" applyNumberFormat="1">
      <alignment horizontal="center" readingOrder="0" shrinkToFit="0" wrapText="0"/>
    </xf>
    <xf borderId="35" fillId="0" fontId="7" numFmtId="0" xfId="0" applyAlignment="1" applyBorder="1" applyFont="1">
      <alignment horizontal="center"/>
    </xf>
    <xf borderId="32" fillId="12" fontId="37" numFmtId="0" xfId="0" applyAlignment="1" applyBorder="1" applyFont="1">
      <alignment horizontal="center"/>
    </xf>
    <xf borderId="32" fillId="18" fontId="37" numFmtId="0" xfId="0" applyAlignment="1" applyBorder="1" applyFont="1">
      <alignment horizontal="center"/>
    </xf>
    <xf borderId="32" fillId="20" fontId="37" numFmtId="0" xfId="0" applyAlignment="1" applyBorder="1" applyFont="1">
      <alignment horizontal="center"/>
    </xf>
    <xf borderId="35" fillId="12" fontId="37" numFmtId="0" xfId="0" applyAlignment="1" applyBorder="1" applyFont="1">
      <alignment horizontal="center"/>
    </xf>
    <xf borderId="35" fillId="12" fontId="37" numFmtId="2" xfId="0" applyAlignment="1" applyBorder="1" applyFont="1" applyNumberFormat="1">
      <alignment horizontal="center"/>
    </xf>
    <xf borderId="35" fillId="12" fontId="37" numFmtId="0" xfId="0" applyAlignment="1" applyBorder="1" applyFont="1">
      <alignment horizontal="center" shrinkToFit="0" vertical="center" wrapText="1"/>
    </xf>
    <xf borderId="35" fillId="18" fontId="37" numFmtId="0" xfId="0" applyAlignment="1" applyBorder="1" applyFont="1">
      <alignment horizontal="center"/>
    </xf>
    <xf borderId="35" fillId="18" fontId="37" numFmtId="173" xfId="0" applyAlignment="1" applyBorder="1" applyFont="1" applyNumberFormat="1">
      <alignment horizontal="center"/>
    </xf>
    <xf borderId="35" fillId="20" fontId="37" numFmtId="173" xfId="0" applyAlignment="1" applyBorder="1" applyFont="1" applyNumberFormat="1">
      <alignment horizontal="center"/>
    </xf>
    <xf borderId="35" fillId="20" fontId="37" numFmtId="0" xfId="0" applyAlignment="1" applyBorder="1" applyFont="1">
      <alignment horizontal="center" readingOrder="0" vertical="center"/>
    </xf>
    <xf borderId="35" fillId="0" fontId="7" numFmtId="0" xfId="0" applyBorder="1" applyFont="1"/>
    <xf borderId="0" fillId="0" fontId="7" numFmtId="0" xfId="0" applyAlignment="1" applyFont="1">
      <alignment vertical="bottom"/>
    </xf>
    <xf borderId="35" fillId="0" fontId="7" numFmtId="0" xfId="0" applyAlignment="1" applyBorder="1" applyFont="1">
      <alignment horizontal="center" vertical="bottom"/>
    </xf>
    <xf borderId="35" fillId="0" fontId="7" numFmtId="165" xfId="0" applyAlignment="1" applyBorder="1" applyFont="1" applyNumberFormat="1">
      <alignment horizontal="center" vertical="bottom"/>
    </xf>
    <xf borderId="35" fillId="14" fontId="7" numFmtId="165" xfId="0" applyAlignment="1" applyBorder="1" applyFont="1" applyNumberFormat="1">
      <alignment horizontal="center" vertical="bottom"/>
    </xf>
    <xf borderId="35" fillId="14" fontId="7" numFmtId="0" xfId="0" applyAlignment="1" applyBorder="1" applyFont="1">
      <alignment horizontal="center" vertical="bottom"/>
    </xf>
    <xf borderId="35" fillId="14" fontId="7" numFmtId="2" xfId="0" applyAlignment="1" applyBorder="1" applyFont="1" applyNumberFormat="1">
      <alignment horizontal="center" vertical="bottom"/>
    </xf>
    <xf borderId="35" fillId="14" fontId="7" numFmtId="171" xfId="0" applyAlignment="1" applyBorder="1" applyFont="1" applyNumberFormat="1">
      <alignment horizontal="center" vertical="bottom"/>
    </xf>
    <xf borderId="35" fillId="14" fontId="7" numFmtId="169" xfId="0" applyAlignment="1" applyBorder="1" applyFont="1" applyNumberFormat="1">
      <alignment horizontal="center" vertical="bottom"/>
    </xf>
    <xf borderId="35" fillId="0" fontId="7" numFmtId="0" xfId="0" applyAlignment="1" applyBorder="1" applyFont="1">
      <alignment horizontal="center" vertical="bottom"/>
    </xf>
    <xf borderId="35" fillId="0" fontId="7" numFmtId="174" xfId="0" applyAlignment="1" applyBorder="1" applyFont="1" applyNumberFormat="1">
      <alignment horizontal="center" vertical="bottom"/>
    </xf>
    <xf borderId="35" fillId="0" fontId="7" numFmtId="0" xfId="0" applyAlignment="1" applyBorder="1" applyFont="1">
      <alignment horizontal="center" shrinkToFit="0" vertical="bottom" wrapText="1"/>
    </xf>
    <xf borderId="35" fillId="0" fontId="7" numFmtId="171" xfId="0" applyAlignment="1" applyBorder="1" applyFont="1" applyNumberFormat="1">
      <alignment horizontal="center" vertical="bottom"/>
    </xf>
    <xf borderId="35" fillId="14" fontId="7" numFmtId="175" xfId="0" applyAlignment="1" applyBorder="1" applyFont="1" applyNumberFormat="1">
      <alignment horizontal="center" vertical="bottom"/>
    </xf>
    <xf borderId="35" fillId="0" fontId="7" numFmtId="0" xfId="0" applyAlignment="1" applyBorder="1" applyFont="1">
      <alignment horizontal="center" shrinkToFit="0" vertical="bottom" wrapText="1"/>
    </xf>
    <xf borderId="35" fillId="0" fontId="7" numFmtId="165" xfId="0" applyAlignment="1" applyBorder="1" applyFont="1" applyNumberFormat="1">
      <alignment horizontal="center" readingOrder="0" vertical="bottom"/>
    </xf>
    <xf borderId="35" fillId="0" fontId="7" numFmtId="0" xfId="0" applyAlignment="1" applyBorder="1" applyFont="1">
      <alignment horizontal="center" vertical="bottom"/>
    </xf>
    <xf borderId="35" fillId="0" fontId="1" numFmtId="0" xfId="0" applyAlignment="1" applyBorder="1" applyFont="1">
      <alignment horizontal="center" vertical="bottom"/>
    </xf>
    <xf borderId="35" fillId="0" fontId="7" numFmtId="0" xfId="0" applyAlignment="1" applyBorder="1" applyFont="1">
      <alignment vertical="bottom"/>
    </xf>
    <xf borderId="35" fillId="0" fontId="1" numFmtId="0" xfId="0" applyAlignment="1" applyBorder="1" applyFont="1">
      <alignment horizontal="center" vertical="bottom"/>
    </xf>
    <xf borderId="35" fillId="14" fontId="7" numFmtId="0" xfId="0" applyAlignment="1" applyBorder="1" applyFont="1">
      <alignment horizontal="center" vertical="bottom"/>
    </xf>
    <xf borderId="32" fillId="2" fontId="43" numFmtId="0" xfId="0" applyAlignment="1" applyBorder="1" applyFont="1">
      <alignment horizontal="center" shrinkToFit="0" wrapText="1"/>
    </xf>
    <xf borderId="54" fillId="20" fontId="37" numFmtId="0" xfId="0" applyAlignment="1" applyBorder="1" applyFont="1">
      <alignment horizontal="center" vertical="center"/>
    </xf>
    <xf borderId="35" fillId="17" fontId="37" numFmtId="0" xfId="0" applyAlignment="1" applyBorder="1" applyFont="1">
      <alignment horizontal="center" shrinkToFit="0" vertical="center" wrapText="1"/>
    </xf>
    <xf borderId="35" fillId="17" fontId="37" numFmtId="0" xfId="0" applyAlignment="1" applyBorder="1" applyFont="1">
      <alignment horizontal="center" vertical="center"/>
    </xf>
    <xf borderId="35" fillId="12" fontId="37" numFmtId="2" xfId="0" applyAlignment="1" applyBorder="1" applyFont="1" applyNumberFormat="1">
      <alignment horizontal="center" shrinkToFit="0" vertical="center" wrapText="1"/>
    </xf>
    <xf borderId="35" fillId="18" fontId="37" numFmtId="0" xfId="0" applyAlignment="1" applyBorder="1" applyFont="1">
      <alignment horizontal="center" shrinkToFit="0" vertical="center" wrapText="1"/>
    </xf>
    <xf borderId="35" fillId="18" fontId="37" numFmtId="173" xfId="0" applyAlignment="1" applyBorder="1" applyFont="1" applyNumberFormat="1">
      <alignment horizontal="center" shrinkToFit="0" vertical="center" wrapText="1"/>
    </xf>
    <xf borderId="35" fillId="20" fontId="37" numFmtId="0" xfId="0" applyAlignment="1" applyBorder="1" applyFont="1">
      <alignment horizontal="center" vertical="center"/>
    </xf>
    <xf borderId="35" fillId="0" fontId="7" numFmtId="0" xfId="0" applyAlignment="1" applyBorder="1" applyFont="1">
      <alignment horizontal="center"/>
    </xf>
    <xf borderId="35" fillId="0" fontId="7" numFmtId="165" xfId="0" applyAlignment="1" applyBorder="1" applyFont="1" applyNumberFormat="1">
      <alignment horizontal="right" vertical="bottom"/>
    </xf>
    <xf borderId="35" fillId="0" fontId="7" numFmtId="0" xfId="0" applyAlignment="1" applyBorder="1" applyFont="1">
      <alignment horizontal="right" vertical="bottom"/>
    </xf>
    <xf borderId="0" fillId="0" fontId="7" numFmtId="0" xfId="0" applyAlignment="1" applyFont="1">
      <alignment horizontal="right" vertical="bottom"/>
    </xf>
    <xf borderId="35" fillId="15" fontId="7" numFmtId="0" xfId="0" applyAlignment="1" applyBorder="1" applyFont="1">
      <alignment horizontal="right" vertical="bottom"/>
    </xf>
    <xf borderId="35" fillId="15" fontId="7" numFmtId="2" xfId="0" applyAlignment="1" applyBorder="1" applyFont="1" applyNumberFormat="1">
      <alignment horizontal="right" vertical="bottom"/>
    </xf>
    <xf borderId="35" fillId="15" fontId="7" numFmtId="165" xfId="0" applyAlignment="1" applyBorder="1" applyFont="1" applyNumberFormat="1">
      <alignment horizontal="right" vertical="bottom"/>
    </xf>
    <xf borderId="35" fillId="9" fontId="7" numFmtId="165" xfId="0" applyAlignment="1" applyBorder="1" applyFont="1" applyNumberFormat="1">
      <alignment horizontal="right" vertical="bottom"/>
    </xf>
    <xf borderId="35" fillId="0" fontId="41" numFmtId="0" xfId="0" applyAlignment="1" applyBorder="1" applyFont="1">
      <alignment horizontal="right" vertical="bottom"/>
    </xf>
    <xf borderId="35" fillId="0" fontId="1" numFmtId="0" xfId="0" applyAlignment="1" applyBorder="1" applyFont="1">
      <alignment horizontal="right" vertical="bottom"/>
    </xf>
    <xf borderId="35" fillId="0" fontId="1" numFmtId="165" xfId="0" applyAlignment="1" applyBorder="1" applyFont="1" applyNumberFormat="1">
      <alignment horizontal="right" vertical="bottom"/>
    </xf>
    <xf borderId="0" fillId="0" fontId="37" numFmtId="0" xfId="0" applyAlignment="1" applyFont="1">
      <alignment horizontal="center"/>
    </xf>
    <xf borderId="0" fillId="0" fontId="7" numFmtId="0" xfId="0" applyAlignment="1" applyFont="1">
      <alignment horizontal="center"/>
    </xf>
    <xf borderId="57" fillId="0" fontId="7" numFmtId="0" xfId="0" applyAlignment="1" applyBorder="1" applyFont="1">
      <alignment horizontal="center"/>
    </xf>
    <xf borderId="0" fillId="0" fontId="7" numFmtId="169" xfId="0" applyAlignment="1" applyFont="1" applyNumberFormat="1">
      <alignment horizontal="center"/>
    </xf>
    <xf borderId="35" fillId="0" fontId="7" numFmtId="0" xfId="0" applyAlignment="1" applyBorder="1" applyFont="1">
      <alignment horizontal="center" vertical="center"/>
    </xf>
    <xf borderId="35" fillId="0" fontId="7" numFmtId="0" xfId="0" applyAlignment="1" applyBorder="1" applyFont="1">
      <alignment horizontal="center" shrinkToFit="0" wrapText="1"/>
    </xf>
    <xf borderId="35" fillId="0" fontId="7" numFmtId="0" xfId="0" applyAlignment="1" applyBorder="1" applyFont="1">
      <alignment horizontal="left" shrinkToFit="0" wrapText="1"/>
    </xf>
    <xf borderId="35" fillId="21" fontId="7" numFmtId="0" xfId="0" applyBorder="1" applyFill="1" applyFont="1"/>
    <xf borderId="5" fillId="9" fontId="44" numFmtId="0" xfId="0" applyAlignment="1" applyBorder="1" applyFont="1">
      <alignment shrinkToFit="0" wrapText="1"/>
    </xf>
    <xf borderId="35" fillId="0" fontId="7" numFmtId="176" xfId="0" applyAlignment="1" applyBorder="1" applyFont="1" applyNumberFormat="1">
      <alignment horizontal="center"/>
    </xf>
    <xf borderId="35" fillId="0" fontId="7" numFmtId="171" xfId="0" applyAlignment="1" applyBorder="1" applyFont="1" applyNumberFormat="1">
      <alignment horizontal="center"/>
    </xf>
    <xf borderId="35" fillId="0" fontId="7" numFmtId="0" xfId="0" applyAlignment="1" applyBorder="1" applyFont="1">
      <alignment shrinkToFit="0" wrapText="1"/>
    </xf>
    <xf borderId="35" fillId="14" fontId="7" numFmtId="2" xfId="0" applyAlignment="1" applyBorder="1" applyFont="1" applyNumberFormat="1">
      <alignment shrinkToFit="0" wrapText="1"/>
    </xf>
    <xf borderId="35" fillId="0" fontId="7" numFmtId="169" xfId="0" applyAlignment="1" applyBorder="1" applyFont="1" applyNumberFormat="1">
      <alignment horizontal="center"/>
    </xf>
    <xf borderId="35" fillId="0" fontId="7" numFmtId="0" xfId="0" applyAlignment="1" applyBorder="1" applyFont="1">
      <alignment horizontal="left"/>
    </xf>
    <xf borderId="35" fillId="0" fontId="7" numFmtId="173" xfId="0" applyAlignment="1" applyBorder="1" applyFont="1" applyNumberFormat="1">
      <alignment horizontal="right"/>
    </xf>
    <xf borderId="35" fillId="0" fontId="7" numFmtId="171" xfId="0" applyBorder="1" applyFont="1" applyNumberFormat="1"/>
    <xf borderId="0" fillId="0" fontId="7" numFmtId="171" xfId="0" applyFont="1" applyNumberFormat="1"/>
    <xf borderId="35" fillId="0" fontId="7" numFmtId="177" xfId="0" applyAlignment="1" applyBorder="1" applyFont="1" applyNumberFormat="1">
      <alignment horizontal="right"/>
    </xf>
    <xf borderId="35" fillId="0" fontId="7" numFmtId="171" xfId="0" applyAlignment="1" applyBorder="1" applyFont="1" applyNumberFormat="1">
      <alignment horizontal="right" vertical="center"/>
    </xf>
    <xf borderId="35" fillId="0" fontId="7" numFmtId="177" xfId="0" applyAlignment="1" applyBorder="1" applyFont="1" applyNumberFormat="1">
      <alignment horizontal="center"/>
    </xf>
    <xf borderId="35" fillId="16" fontId="7" numFmtId="0" xfId="0" applyAlignment="1" applyBorder="1" applyFont="1">
      <alignment horizontal="center" shrinkToFit="0" wrapText="1"/>
    </xf>
    <xf borderId="35" fillId="0" fontId="7" numFmtId="0" xfId="0" applyAlignment="1" applyBorder="1" applyFont="1">
      <alignment horizontal="left" shrinkToFit="0" vertical="center" wrapText="1"/>
    </xf>
    <xf borderId="35" fillId="0" fontId="7" numFmtId="0" xfId="0" applyAlignment="1" applyBorder="1" applyFont="1">
      <alignment horizontal="center" shrinkToFit="0" vertical="center" wrapText="1"/>
    </xf>
    <xf borderId="35" fillId="0" fontId="7" numFmtId="164" xfId="0" applyAlignment="1" applyBorder="1" applyFont="1" applyNumberFormat="1">
      <alignment horizontal="center" vertical="center"/>
    </xf>
    <xf borderId="35" fillId="0" fontId="7" numFmtId="176" xfId="0" applyAlignment="1" applyBorder="1" applyFont="1" applyNumberFormat="1">
      <alignment horizontal="center" vertical="center"/>
    </xf>
    <xf borderId="35" fillId="0" fontId="7" numFmtId="171" xfId="0" applyAlignment="1" applyBorder="1" applyFont="1" applyNumberFormat="1">
      <alignment horizontal="center" vertical="center"/>
    </xf>
    <xf borderId="35" fillId="0" fontId="7" numFmtId="0" xfId="0" applyAlignment="1" applyBorder="1" applyFont="1">
      <alignment shrinkToFit="0" vertical="center" wrapText="1"/>
    </xf>
    <xf borderId="35" fillId="0" fontId="7" numFmtId="2" xfId="0" applyAlignment="1" applyBorder="1" applyFont="1" applyNumberFormat="1">
      <alignment shrinkToFit="0" vertical="center" wrapText="1"/>
    </xf>
    <xf borderId="35" fillId="0" fontId="7" numFmtId="169" xfId="0" applyAlignment="1" applyBorder="1" applyFont="1" applyNumberFormat="1">
      <alignment horizontal="center" vertical="center"/>
    </xf>
    <xf borderId="35" fillId="0" fontId="7" numFmtId="177" xfId="0" applyAlignment="1" applyBorder="1" applyFont="1" applyNumberFormat="1">
      <alignment horizontal="right" vertical="center"/>
    </xf>
    <xf borderId="35" fillId="0" fontId="7" numFmtId="171" xfId="0" applyAlignment="1" applyBorder="1" applyFont="1" applyNumberFormat="1">
      <alignment vertical="center"/>
    </xf>
    <xf borderId="35" fillId="22" fontId="7" numFmtId="0" xfId="0" applyBorder="1" applyFill="1" applyFont="1"/>
    <xf borderId="35" fillId="0" fontId="7" numFmtId="164" xfId="0" applyAlignment="1" applyBorder="1" applyFont="1" applyNumberFormat="1">
      <alignment horizontal="center"/>
    </xf>
    <xf borderId="35" fillId="0" fontId="7" numFmtId="0" xfId="0" applyAlignment="1" applyBorder="1" applyFont="1">
      <alignment horizontal="left" vertical="center"/>
    </xf>
    <xf borderId="35" fillId="16" fontId="7" numFmtId="0" xfId="0" applyAlignment="1" applyBorder="1" applyFont="1">
      <alignment horizontal="left" shrinkToFit="0" wrapText="1"/>
    </xf>
    <xf borderId="35" fillId="16" fontId="7" numFmtId="171" xfId="0" applyAlignment="1" applyBorder="1" applyFont="1" applyNumberFormat="1">
      <alignment horizontal="center"/>
    </xf>
    <xf borderId="35" fillId="16" fontId="7" numFmtId="169" xfId="0" applyAlignment="1" applyBorder="1" applyFont="1" applyNumberFormat="1">
      <alignment horizontal="center"/>
    </xf>
    <xf borderId="35" fillId="16" fontId="7" numFmtId="0" xfId="0" applyAlignment="1" applyBorder="1" applyFont="1">
      <alignment horizontal="left" vertical="center"/>
    </xf>
    <xf borderId="35" fillId="16" fontId="7" numFmtId="0" xfId="0" applyAlignment="1" applyBorder="1" applyFont="1">
      <alignment horizontal="center" vertical="center"/>
    </xf>
    <xf borderId="35" fillId="16" fontId="7" numFmtId="0" xfId="0" applyAlignment="1" applyBorder="1" applyFont="1">
      <alignment horizontal="center"/>
    </xf>
    <xf borderId="35" fillId="16" fontId="7" numFmtId="171" xfId="0" applyBorder="1" applyFont="1" applyNumberFormat="1"/>
    <xf borderId="35" fillId="0" fontId="7" numFmtId="177" xfId="0" applyAlignment="1" applyBorder="1" applyFont="1" applyNumberFormat="1">
      <alignment horizontal="center" vertical="center"/>
    </xf>
    <xf borderId="35" fillId="0" fontId="7" numFmtId="178" xfId="0" applyAlignment="1" applyBorder="1" applyFont="1" applyNumberFormat="1">
      <alignment horizontal="center"/>
    </xf>
    <xf borderId="35" fillId="0" fontId="8" numFmtId="0" xfId="0" applyAlignment="1" applyBorder="1" applyFont="1">
      <alignment horizontal="center" shrinkToFit="0" wrapText="1"/>
    </xf>
    <xf borderId="35" fillId="0" fontId="7" numFmtId="179" xfId="0" applyAlignment="1" applyBorder="1" applyFont="1" applyNumberFormat="1">
      <alignment horizontal="center"/>
    </xf>
    <xf borderId="35" fillId="16" fontId="7" numFmtId="0" xfId="0" applyBorder="1" applyFont="1"/>
    <xf borderId="35" fillId="16" fontId="7" numFmtId="0" xfId="0" applyAlignment="1" applyBorder="1" applyFont="1">
      <alignment horizontal="left"/>
    </xf>
    <xf borderId="35" fillId="16" fontId="7" numFmtId="178" xfId="0" applyAlignment="1" applyBorder="1" applyFont="1" applyNumberFormat="1">
      <alignment horizontal="center"/>
    </xf>
    <xf borderId="35" fillId="0" fontId="1" numFmtId="0" xfId="0" applyAlignment="1" applyBorder="1" applyFont="1">
      <alignment horizontal="center" shrinkToFit="0" wrapText="1"/>
    </xf>
    <xf borderId="35" fillId="9" fontId="44" numFmtId="0" xfId="0" applyAlignment="1" applyBorder="1" applyFont="1">
      <alignment horizontal="center"/>
    </xf>
    <xf borderId="35" fillId="0" fontId="1" numFmtId="0" xfId="0" applyAlignment="1" applyBorder="1" applyFont="1">
      <alignment horizontal="center"/>
    </xf>
    <xf borderId="35" fillId="16" fontId="44" numFmtId="0" xfId="0" applyAlignment="1" applyBorder="1" applyFont="1">
      <alignment horizontal="center"/>
    </xf>
    <xf borderId="35" fillId="16" fontId="7" numFmtId="164" xfId="0" applyAlignment="1" applyBorder="1" applyFont="1" applyNumberFormat="1">
      <alignment horizontal="center"/>
    </xf>
    <xf borderId="62" fillId="0" fontId="7" numFmtId="0" xfId="0" applyAlignment="1" applyBorder="1" applyFont="1">
      <alignment shrinkToFit="0" wrapText="1"/>
    </xf>
    <xf borderId="62" fillId="0" fontId="7" numFmtId="0" xfId="0" applyAlignment="1" applyBorder="1" applyFont="1">
      <alignment horizontal="center" shrinkToFit="0" wrapText="1"/>
    </xf>
    <xf borderId="57" fillId="0" fontId="7" numFmtId="164" xfId="0" applyAlignment="1" applyBorder="1" applyFont="1" applyNumberFormat="1">
      <alignment horizontal="center"/>
    </xf>
    <xf borderId="57" fillId="0" fontId="7" numFmtId="174" xfId="0" applyAlignment="1" applyBorder="1" applyFont="1" applyNumberFormat="1">
      <alignment horizontal="center"/>
    </xf>
    <xf borderId="57" fillId="0" fontId="7" numFmtId="169" xfId="0" applyAlignment="1" applyBorder="1" applyFont="1" applyNumberFormat="1">
      <alignment horizontal="center"/>
    </xf>
    <xf borderId="35" fillId="16" fontId="7" numFmtId="0" xfId="0" applyAlignment="1" applyBorder="1" applyFont="1">
      <alignment shrinkToFit="0" wrapText="1"/>
    </xf>
    <xf borderId="35" fillId="16" fontId="7" numFmtId="177" xfId="0" applyAlignment="1" applyBorder="1" applyFont="1" applyNumberFormat="1">
      <alignment horizontal="center"/>
    </xf>
    <xf borderId="35" fillId="16" fontId="7" numFmtId="176" xfId="0" applyAlignment="1" applyBorder="1" applyFont="1" applyNumberFormat="1">
      <alignment horizontal="center"/>
    </xf>
    <xf borderId="0" fillId="0" fontId="7" numFmtId="0" xfId="0" applyAlignment="1" applyFont="1">
      <alignment horizontal="center" shrinkToFit="0" wrapText="1"/>
    </xf>
    <xf borderId="0" fillId="0" fontId="7" numFmtId="0" xfId="0" applyAlignment="1" applyFont="1">
      <alignment shrinkToFit="0" wrapText="1"/>
    </xf>
    <xf borderId="0" fillId="0" fontId="7" numFmtId="0" xfId="0" applyAlignment="1" applyFont="1">
      <alignment horizontal="left"/>
    </xf>
    <xf borderId="0" fillId="0" fontId="7" numFmtId="0" xfId="0" applyAlignment="1" applyFont="1">
      <alignment horizontal="right"/>
    </xf>
    <xf borderId="35" fillId="2" fontId="45" numFmtId="0" xfId="0" applyAlignment="1" applyBorder="1" applyFont="1">
      <alignment horizontal="center" shrinkToFit="0" wrapText="1"/>
    </xf>
    <xf borderId="5" fillId="9" fontId="46" numFmtId="0" xfId="0" applyAlignment="1" applyBorder="1" applyFont="1">
      <alignment horizontal="center"/>
    </xf>
    <xf borderId="5" fillId="9" fontId="47" numFmtId="0" xfId="0" applyAlignment="1" applyBorder="1" applyFont="1">
      <alignment horizontal="center"/>
    </xf>
    <xf borderId="35" fillId="0" fontId="1" numFmtId="4" xfId="0" applyAlignment="1" applyBorder="1" applyFont="1" applyNumberFormat="1">
      <alignment horizontal="center" shrinkToFit="0" wrapText="1"/>
    </xf>
    <xf borderId="35" fillId="0" fontId="1" numFmtId="2" xfId="0" applyAlignment="1" applyBorder="1" applyFont="1" applyNumberFormat="1">
      <alignment horizontal="center"/>
    </xf>
    <xf borderId="0" fillId="0" fontId="1" numFmtId="180" xfId="0" applyFont="1" applyNumberFormat="1"/>
    <xf borderId="5" fillId="9" fontId="48" numFmtId="0" xfId="0" applyBorder="1" applyFont="1"/>
    <xf borderId="5" fillId="9" fontId="46" numFmtId="0" xfId="0" applyBorder="1" applyFont="1"/>
    <xf borderId="5" fillId="2" fontId="38" numFmtId="0" xfId="0" applyAlignment="1" applyBorder="1" applyFont="1">
      <alignment horizontal="center"/>
    </xf>
    <xf borderId="5" fillId="2" fontId="38" numFmtId="0" xfId="0" applyAlignment="1" applyBorder="1" applyFont="1">
      <alignment horizontal="center" shrinkToFit="0" wrapText="1"/>
    </xf>
    <xf borderId="5" fillId="23" fontId="49" numFmtId="0" xfId="0" applyAlignment="1" applyBorder="1" applyFill="1" applyFont="1">
      <alignment horizontal="center"/>
    </xf>
    <xf borderId="0" fillId="0" fontId="1" numFmtId="0" xfId="0" applyAlignment="1" applyFont="1">
      <alignment horizontal="center" vertical="center"/>
    </xf>
    <xf borderId="35" fillId="0" fontId="1" numFmtId="181" xfId="0" applyAlignment="1" applyBorder="1" applyFont="1" applyNumberFormat="1">
      <alignment horizontal="center"/>
    </xf>
    <xf borderId="5" fillId="23" fontId="50" numFmtId="0" xfId="0" applyAlignment="1" applyBorder="1" applyFont="1">
      <alignment horizontal="center"/>
    </xf>
    <xf borderId="0" fillId="0" fontId="51" numFmtId="0" xfId="0" applyAlignment="1" applyFont="1">
      <alignment horizontal="left"/>
    </xf>
    <xf borderId="5" fillId="24" fontId="47" numFmtId="0" xfId="0" applyAlignment="1" applyBorder="1" applyFill="1" applyFont="1">
      <alignment horizontal="left" vertical="top"/>
    </xf>
    <xf borderId="5" fillId="24" fontId="52" numFmtId="0" xfId="0" applyAlignment="1" applyBorder="1" applyFont="1">
      <alignment horizontal="left" vertical="top"/>
    </xf>
    <xf borderId="5" fillId="24" fontId="53" numFmtId="0" xfId="0" applyAlignment="1" applyBorder="1" applyFont="1">
      <alignment horizontal="center" vertical="top"/>
    </xf>
    <xf borderId="5" fillId="9" fontId="54" numFmtId="0" xfId="0" applyAlignment="1" applyBorder="1" applyFont="1">
      <alignment horizontal="left" vertical="top"/>
    </xf>
    <xf borderId="5" fillId="9" fontId="54" numFmtId="0" xfId="0" applyAlignment="1" applyBorder="1" applyFont="1">
      <alignment horizontal="center" vertical="top"/>
    </xf>
    <xf borderId="5" fillId="9" fontId="55" numFmtId="0" xfId="0" applyAlignment="1" applyBorder="1" applyFont="1">
      <alignment horizontal="center" vertical="top"/>
    </xf>
    <xf borderId="5" fillId="24" fontId="52" numFmtId="0" xfId="0" applyAlignment="1" applyBorder="1" applyFont="1">
      <alignment horizontal="center" vertical="top"/>
    </xf>
    <xf borderId="35" fillId="0" fontId="1" numFmtId="0" xfId="0" applyBorder="1" applyFont="1"/>
    <xf borderId="35" fillId="0" fontId="1" numFmtId="0" xfId="0" applyAlignment="1" applyBorder="1" applyFont="1">
      <alignment shrinkToFit="0" wrapText="1"/>
    </xf>
    <xf borderId="0" fillId="0" fontId="56" numFmtId="0" xfId="0" applyAlignment="1" applyFont="1">
      <alignment horizontal="left"/>
    </xf>
    <xf borderId="5" fillId="24" fontId="57" numFmtId="0" xfId="0" applyAlignment="1" applyBorder="1" applyFont="1">
      <alignment horizontal="left" vertical="top"/>
    </xf>
    <xf borderId="5" fillId="24" fontId="58" numFmtId="0" xfId="0" applyAlignment="1" applyBorder="1" applyFont="1">
      <alignment horizontal="left" vertical="top"/>
    </xf>
    <xf borderId="5" fillId="24" fontId="59" numFmtId="0" xfId="0" applyAlignment="1" applyBorder="1" applyFont="1">
      <alignment horizontal="center" vertical="top"/>
    </xf>
    <xf borderId="5" fillId="9" fontId="60" numFmtId="0" xfId="0" applyAlignment="1" applyBorder="1" applyFont="1">
      <alignment horizontal="left" vertical="top"/>
    </xf>
    <xf borderId="5" fillId="9" fontId="61" numFmtId="0" xfId="0" applyAlignment="1" applyBorder="1" applyFont="1">
      <alignment horizontal="center" vertical="top"/>
    </xf>
    <xf borderId="5" fillId="9" fontId="62" numFmtId="0" xfId="0" applyAlignment="1" applyBorder="1" applyFont="1">
      <alignment horizontal="center" vertical="top"/>
    </xf>
    <xf borderId="5" fillId="9" fontId="63" numFmtId="0" xfId="0" applyAlignment="1" applyBorder="1" applyFont="1">
      <alignment horizontal="center" vertical="top"/>
    </xf>
    <xf borderId="0" fillId="0" fontId="64" numFmtId="0" xfId="0" applyAlignment="1" applyFont="1">
      <alignment horizontal="left" vertical="top"/>
    </xf>
    <xf borderId="0" fillId="0" fontId="65" numFmtId="0" xfId="0" applyAlignment="1" applyFont="1">
      <alignment horizontal="left" vertical="top"/>
    </xf>
    <xf borderId="0" fillId="0" fontId="66" numFmtId="0" xfId="0" applyAlignment="1" applyFont="1">
      <alignment horizontal="left" vertical="top"/>
    </xf>
    <xf borderId="0" fillId="0" fontId="67" numFmtId="0" xfId="0" applyAlignment="1" applyFont="1">
      <alignment horizontal="left" vertical="top"/>
    </xf>
    <xf borderId="0" fillId="0" fontId="68" numFmtId="0" xfId="0" applyAlignment="1" applyFont="1">
      <alignment horizontal="left" vertical="top"/>
    </xf>
    <xf borderId="5" fillId="9" fontId="47" numFmtId="0" xfId="0" applyAlignment="1" applyBorder="1" applyFont="1">
      <alignment horizontal="center" vertical="top"/>
    </xf>
    <xf borderId="5" fillId="23" fontId="50" numFmtId="0" xfId="0" applyAlignment="1" applyBorder="1" applyFont="1">
      <alignment horizontal="center" vertical="top"/>
    </xf>
    <xf borderId="5" fillId="9" fontId="48" numFmtId="0" xfId="0" applyAlignment="1" applyBorder="1" applyFont="1">
      <alignment vertical="top"/>
    </xf>
    <xf borderId="5" fillId="9" fontId="47" numFmtId="0" xfId="0" applyBorder="1" applyFont="1"/>
    <xf borderId="5" fillId="9" fontId="53" numFmtId="0" xfId="0" applyAlignment="1" applyBorder="1" applyFont="1">
      <alignment horizontal="center"/>
    </xf>
    <xf borderId="5" fillId="9" fontId="52" numFmtId="0" xfId="0" applyAlignment="1" applyBorder="1" applyFont="1">
      <alignment horizontal="center"/>
    </xf>
    <xf borderId="5" fillId="9" fontId="69" numFmtId="0" xfId="0" applyAlignment="1" applyBorder="1" applyFont="1">
      <alignment horizontal="left"/>
    </xf>
    <xf borderId="5" fillId="9" fontId="70" numFmtId="0" xfId="0" applyAlignment="1" applyBorder="1" applyFont="1">
      <alignment horizontal="left"/>
    </xf>
    <xf borderId="5" fillId="9" fontId="70" numFmtId="0" xfId="0" applyAlignment="1" applyBorder="1" applyFont="1">
      <alignment horizontal="center"/>
    </xf>
    <xf borderId="5" fillId="9" fontId="69" numFmtId="0" xfId="0" applyAlignment="1" applyBorder="1" applyFont="1">
      <alignment horizontal="center"/>
    </xf>
    <xf borderId="5" fillId="9" fontId="69" numFmtId="0" xfId="0" applyBorder="1" applyFont="1"/>
    <xf borderId="5" fillId="9" fontId="70" numFmtId="0" xfId="0" applyAlignment="1" applyBorder="1" applyFont="1">
      <alignment horizontal="left" vertical="top"/>
    </xf>
    <xf borderId="5" fillId="9" fontId="70" numFmtId="0" xfId="0" applyAlignment="1" applyBorder="1" applyFont="1">
      <alignment horizontal="center" vertical="top"/>
    </xf>
    <xf borderId="5" fillId="9" fontId="69" numFmtId="0" xfId="0" applyAlignment="1" applyBorder="1" applyFont="1">
      <alignment horizontal="center" vertical="top"/>
    </xf>
    <xf borderId="5" fillId="9" fontId="71" numFmtId="0" xfId="0" applyAlignment="1" applyBorder="1" applyFont="1">
      <alignment horizontal="left"/>
    </xf>
    <xf borderId="5" fillId="9" fontId="72" numFmtId="0" xfId="0" applyAlignment="1" applyBorder="1" applyFont="1">
      <alignment horizontal="center" vertical="top"/>
    </xf>
    <xf borderId="5" fillId="9" fontId="72" numFmtId="0" xfId="0" applyAlignment="1" applyBorder="1" applyFont="1">
      <alignment horizontal="left" vertical="top"/>
    </xf>
    <xf borderId="5" fillId="9" fontId="72" numFmtId="0" xfId="0" applyAlignment="1" applyBorder="1" applyFont="1">
      <alignment horizontal="left"/>
    </xf>
    <xf borderId="5" fillId="9" fontId="71" numFmtId="0" xfId="0" applyAlignment="1" applyBorder="1" applyFont="1">
      <alignment horizontal="center" vertical="top"/>
    </xf>
    <xf borderId="5" fillId="9" fontId="73" numFmtId="0" xfId="0" applyAlignment="1" applyBorder="1" applyFont="1">
      <alignment horizontal="left"/>
    </xf>
    <xf borderId="5" fillId="9" fontId="47" numFmtId="0" xfId="0" applyAlignment="1" applyBorder="1" applyFont="1">
      <alignment horizontal="left"/>
    </xf>
    <xf borderId="5" fillId="24" fontId="74" numFmtId="0" xfId="0" applyAlignment="1" applyBorder="1" applyFont="1">
      <alignment horizontal="left" vertical="top"/>
    </xf>
    <xf borderId="5" fillId="24" fontId="74" numFmtId="0" xfId="0" applyAlignment="1" applyBorder="1" applyFont="1">
      <alignment horizontal="center" vertical="top"/>
    </xf>
    <xf borderId="5" fillId="24" fontId="75" numFmtId="0" xfId="0" applyAlignment="1" applyBorder="1" applyFont="1">
      <alignment horizontal="center" vertical="top"/>
    </xf>
    <xf borderId="5" fillId="24" fontId="69" numFmtId="0" xfId="0" applyAlignment="1" applyBorder="1" applyFont="1">
      <alignment horizontal="center" vertical="top"/>
    </xf>
    <xf borderId="5" fillId="9" fontId="71" numFmtId="0" xfId="0" applyAlignment="1" applyBorder="1" applyFont="1">
      <alignment horizontal="left" vertical="top"/>
    </xf>
    <xf borderId="5" fillId="9" fontId="75" numFmtId="0" xfId="0" applyAlignment="1" applyBorder="1" applyFont="1">
      <alignment horizontal="left" vertical="top"/>
    </xf>
    <xf borderId="5" fillId="24" fontId="75" numFmtId="0" xfId="0" applyAlignment="1" applyBorder="1" applyFont="1">
      <alignment horizontal="left" vertical="top"/>
    </xf>
    <xf borderId="5" fillId="9" fontId="75" numFmtId="0" xfId="0" applyAlignment="1" applyBorder="1" applyFont="1">
      <alignment horizontal="center" vertical="top"/>
    </xf>
    <xf borderId="5" fillId="9" fontId="76" numFmtId="0" xfId="0" applyAlignment="1" applyBorder="1" applyFont="1">
      <alignment vertical="top"/>
    </xf>
    <xf borderId="5" fillId="9" fontId="77" numFmtId="0" xfId="0" applyAlignment="1" applyBorder="1" applyFont="1">
      <alignment vertical="top"/>
    </xf>
    <xf borderId="5" fillId="9" fontId="78" numFmtId="0" xfId="0" applyAlignment="1" applyBorder="1" applyFont="1">
      <alignment vertical="top"/>
    </xf>
    <xf borderId="5" fillId="9" fontId="79" numFmtId="0" xfId="0" applyAlignment="1" applyBorder="1" applyFont="1">
      <alignment vertical="top"/>
    </xf>
    <xf borderId="5" fillId="9" fontId="80" numFmtId="0" xfId="0" applyAlignment="1" applyBorder="1" applyFont="1">
      <alignment vertical="top"/>
    </xf>
    <xf borderId="5" fillId="9" fontId="81" numFmtId="0" xfId="0" applyAlignment="1" applyBorder="1" applyFont="1">
      <alignment vertical="top"/>
    </xf>
    <xf borderId="5" fillId="23" fontId="82" numFmtId="0" xfId="0" applyAlignment="1" applyBorder="1" applyFont="1">
      <alignment vertical="top"/>
    </xf>
    <xf borderId="5" fillId="24" fontId="83" numFmtId="0" xfId="0" applyAlignment="1" applyBorder="1" applyFont="1">
      <alignment horizontal="left" vertical="top"/>
    </xf>
    <xf borderId="5" fillId="24" fontId="84" numFmtId="0" xfId="0" applyAlignment="1" applyBorder="1" applyFont="1">
      <alignment horizontal="center" vertical="top"/>
    </xf>
    <xf borderId="5" fillId="25" fontId="85" numFmtId="0" xfId="0" applyAlignment="1" applyBorder="1" applyFill="1" applyFont="1">
      <alignment horizontal="left" vertical="top"/>
    </xf>
    <xf borderId="5" fillId="25" fontId="86" numFmtId="0" xfId="0" applyAlignment="1" applyBorder="1" applyFont="1">
      <alignment horizontal="center" vertical="top"/>
    </xf>
    <xf borderId="5" fillId="9" fontId="87" numFmtId="0" xfId="0" applyAlignment="1" applyBorder="1" applyFont="1">
      <alignment horizontal="left" vertical="top"/>
    </xf>
    <xf borderId="5" fillId="9" fontId="88" numFmtId="0" xfId="0" applyAlignment="1" applyBorder="1" applyFont="1">
      <alignment horizontal="center" vertical="top"/>
    </xf>
    <xf borderId="5" fillId="25" fontId="89" numFmtId="4" xfId="0" applyAlignment="1" applyBorder="1" applyFont="1" applyNumberFormat="1">
      <alignment horizontal="center" vertical="top"/>
    </xf>
    <xf borderId="5" fillId="26" fontId="90" numFmtId="0" xfId="0" applyAlignment="1" applyBorder="1" applyFill="1" applyFont="1">
      <alignment horizontal="left" vertical="top"/>
    </xf>
    <xf borderId="5" fillId="26" fontId="91" numFmtId="0" xfId="0" applyAlignment="1" applyBorder="1" applyFont="1">
      <alignment horizontal="center" vertical="top"/>
    </xf>
    <xf borderId="5" fillId="26" fontId="92" numFmtId="0" xfId="0" applyAlignment="1" applyBorder="1" applyFont="1">
      <alignment horizontal="center" vertical="top"/>
    </xf>
    <xf borderId="5" fillId="25" fontId="93" numFmtId="0" xfId="0" applyAlignment="1" applyBorder="1" applyFont="1">
      <alignment horizontal="left" vertical="top"/>
    </xf>
    <xf borderId="5" fillId="25" fontId="94" numFmtId="0" xfId="0" applyAlignment="1" applyBorder="1" applyFont="1">
      <alignment horizontal="center" vertical="top"/>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lhe1-Produçã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7.xml"/><Relationship Id="rId22" Type="http://schemas.microsoft.com/office/2007/relationships/slicerCache" Target="slicerCaches/slicerCache1.xml"/><Relationship Id="rId10" Type="http://schemas.openxmlformats.org/officeDocument/2006/relationships/worksheet" Target="worksheets/sheet6.xml"/><Relationship Id="rId21" Type="http://schemas.openxmlformats.org/officeDocument/2006/relationships/pivotCacheDefinition" Target="pivotCache/pivotCacheDefinition3.xml"/><Relationship Id="rId13" Type="http://schemas.openxmlformats.org/officeDocument/2006/relationships/worksheet" Target="worksheets/sheet9.xml"/><Relationship Id="rId12" Type="http://schemas.openxmlformats.org/officeDocument/2006/relationships/worksheet" Target="worksheets/sheet8.xml"/><Relationship Id="rId23"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Custo de Produção</a:t>
            </a:r>
          </a:p>
        </c:rich>
      </c:tx>
      <c:overlay val="0"/>
    </c:title>
    <c:plotArea>
      <c:layout/>
      <c:barChart>
        <c:barDir val="col"/>
        <c:ser>
          <c:idx val="0"/>
          <c:order val="0"/>
          <c:tx>
            <c:strRef>
              <c:f>Dashboard!$P$4</c:f>
            </c:strRef>
          </c:tx>
          <c:spPr>
            <a:solidFill>
              <a:schemeClr val="accent1"/>
            </a:solidFill>
            <a:ln cmpd="sng">
              <a:solidFill>
                <a:srgbClr val="000000"/>
              </a:solidFill>
            </a:ln>
          </c:spPr>
          <c:dPt>
            <c:idx val="0"/>
            <c:spPr>
              <a:solidFill>
                <a:srgbClr val="784178"/>
              </a:solidFill>
              <a:ln cmpd="sng">
                <a:solidFill>
                  <a:srgbClr val="000000"/>
                </a:solidFill>
              </a:ln>
            </c:spPr>
          </c:dPt>
          <c:dPt>
            <c:idx val="1"/>
            <c:spPr>
              <a:solidFill>
                <a:srgbClr val="8CCDAF"/>
              </a:solidFill>
              <a:ln cmpd="sng">
                <a:solidFill>
                  <a:srgbClr val="000000"/>
                </a:solidFill>
              </a:ln>
            </c:spPr>
          </c:dPt>
          <c:dPt>
            <c:idx val="2"/>
            <c:spPr>
              <a:solidFill>
                <a:srgbClr val="00919B"/>
              </a:solidFill>
              <a:ln cmpd="sng">
                <a:solidFill>
                  <a:srgbClr val="000000"/>
                </a:solidFill>
              </a:ln>
            </c:spPr>
          </c:dPt>
          <c:dPt>
            <c:idx val="3"/>
            <c:spPr>
              <a:solidFill>
                <a:srgbClr val="373C5F"/>
              </a:solidFill>
              <a:ln cmpd="sng">
                <a:solidFill>
                  <a:srgbClr val="000000"/>
                </a:solidFill>
              </a:ln>
            </c:spPr>
          </c:dPt>
          <c:dPt>
            <c:idx val="5"/>
            <c:spPr>
              <a:solidFill>
                <a:srgbClr val="7D7D7D"/>
              </a:solidFill>
              <a:ln cmpd="sng">
                <a:solidFill>
                  <a:srgbClr val="000000"/>
                </a:solidFill>
              </a:ln>
            </c:spPr>
          </c:dPt>
          <c:dPt>
            <c:idx val="6"/>
            <c:spPr>
              <a:solidFill>
                <a:srgbClr val="649687"/>
              </a:solidFill>
              <a:ln cmpd="sng">
                <a:solidFill>
                  <a:srgbClr val="000000"/>
                </a:solidFill>
              </a:ln>
            </c:spPr>
          </c:dPt>
          <c:dPt>
            <c:idx val="7"/>
            <c:spPr>
              <a:solidFill>
                <a:srgbClr val="007864"/>
              </a:solidFill>
              <a:ln cmpd="sng">
                <a:solidFill>
                  <a:srgbClr val="000000"/>
                </a:solidFill>
              </a:ln>
            </c:spPr>
          </c:dPt>
          <c:cat>
            <c:strRef>
              <c:f>Dashboard!$O$5:$O$12</c:f>
            </c:strRef>
          </c:cat>
          <c:val>
            <c:numRef>
              <c:f>Dashboard!$P$5:$P$12</c:f>
              <c:numCache/>
            </c:numRef>
          </c:val>
        </c:ser>
        <c:axId val="1672126958"/>
        <c:axId val="1198955120"/>
      </c:barChart>
      <c:catAx>
        <c:axId val="1672126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Produto</a:t>
                </a:r>
              </a:p>
            </c:rich>
          </c:tx>
          <c:overlay val="0"/>
        </c:title>
        <c:numFmt formatCode="General" sourceLinked="1"/>
        <c:majorTickMark val="none"/>
        <c:minorTickMark val="none"/>
        <c:spPr/>
        <c:txPr>
          <a:bodyPr/>
          <a:lstStyle/>
          <a:p>
            <a:pPr lvl="0">
              <a:defRPr b="0">
                <a:solidFill>
                  <a:srgbClr val="000000"/>
                </a:solidFill>
                <a:latin typeface="+mn-lt"/>
              </a:defRPr>
            </a:pPr>
          </a:p>
        </c:txPr>
        <c:crossAx val="1198955120"/>
      </c:catAx>
      <c:valAx>
        <c:axId val="11989551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Custo de Produção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212695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Grafeno A</a:t>
            </a:r>
          </a:p>
        </c:rich>
      </c:tx>
      <c:overlay val="0"/>
    </c:title>
    <c:plotArea>
      <c:layout/>
      <c:pieChart>
        <c:varyColors val="1"/>
        <c:ser>
          <c:idx val="0"/>
          <c:order val="0"/>
          <c:tx>
            <c:strRef>
              <c:f>'Custo Final'!$C$20</c:f>
            </c:strRef>
          </c:tx>
          <c:dPt>
            <c:idx val="0"/>
            <c:spPr>
              <a:solidFill>
                <a:srgbClr val="44546A"/>
              </a:solidFill>
            </c:spPr>
          </c:dPt>
          <c:dPt>
            <c:idx val="1"/>
            <c:spPr>
              <a:solidFill>
                <a:srgbClr val="649687"/>
              </a:solidFill>
            </c:spPr>
          </c:dPt>
          <c:dPt>
            <c:idx val="2"/>
            <c:spPr>
              <a:solidFill>
                <a:srgbClr val="784178"/>
              </a:solidFill>
            </c:spPr>
          </c:dPt>
          <c:dPt>
            <c:idx val="3"/>
            <c:spPr>
              <a:solidFill>
                <a:srgbClr val="00919B"/>
              </a:solidFill>
            </c:spPr>
          </c:dPt>
          <c:dPt>
            <c:idx val="4"/>
            <c:spPr>
              <a:solidFill>
                <a:srgbClr val="555555"/>
              </a:solidFill>
            </c:spPr>
          </c:dPt>
          <c:dPt>
            <c:idx val="5"/>
            <c:spPr>
              <a:solidFill>
                <a:srgbClr val="373C5F"/>
              </a:solidFill>
            </c:spPr>
          </c:dPt>
          <c:dPt>
            <c:idx val="6"/>
            <c:spPr>
              <a:solidFill>
                <a:srgbClr val="7C8797"/>
              </a:solidFill>
            </c:spPr>
          </c:dPt>
          <c:dLbls>
            <c:showLegendKey val="0"/>
            <c:showVal val="0"/>
            <c:showCatName val="0"/>
            <c:showSerName val="0"/>
            <c:showPercent val="0"/>
            <c:showBubbleSize val="0"/>
            <c:showLeaderLines val="1"/>
          </c:dLbls>
          <c:cat>
            <c:strRef>
              <c:f>'Custo Final'!$B$21:$B$27</c:f>
            </c:strRef>
          </c:cat>
          <c:val>
            <c:numRef>
              <c:f>'Custo Final'!$C$21:$C$27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8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Grafeno B</a:t>
            </a:r>
          </a:p>
        </c:rich>
      </c:tx>
      <c:layout>
        <c:manualLayout>
          <c:xMode val="edge"/>
          <c:yMode val="edge"/>
          <c:x val="0.030865224625623962"/>
          <c:y val="0.052695417789757414"/>
        </c:manualLayout>
      </c:layout>
      <c:overlay val="0"/>
    </c:title>
    <c:plotArea>
      <c:layout/>
      <c:pieChart>
        <c:varyColors val="1"/>
        <c:ser>
          <c:idx val="0"/>
          <c:order val="0"/>
          <c:tx>
            <c:strRef>
              <c:f>'Custo Final'!$D$20</c:f>
            </c:strRef>
          </c:tx>
          <c:dPt>
            <c:idx val="0"/>
            <c:spPr>
              <a:solidFill>
                <a:srgbClr val="44546A"/>
              </a:solidFill>
            </c:spPr>
          </c:dPt>
          <c:dPt>
            <c:idx val="1"/>
            <c:spPr>
              <a:solidFill>
                <a:srgbClr val="649687"/>
              </a:solidFill>
            </c:spPr>
          </c:dPt>
          <c:dPt>
            <c:idx val="2"/>
            <c:spPr>
              <a:solidFill>
                <a:srgbClr val="784178"/>
              </a:solidFill>
            </c:spPr>
          </c:dPt>
          <c:dPt>
            <c:idx val="3"/>
            <c:spPr>
              <a:solidFill>
                <a:srgbClr val="00919B"/>
              </a:solidFill>
            </c:spPr>
          </c:dPt>
          <c:dPt>
            <c:idx val="4"/>
            <c:spPr>
              <a:solidFill>
                <a:srgbClr val="555555"/>
              </a:solidFill>
            </c:spPr>
          </c:dPt>
          <c:dPt>
            <c:idx val="5"/>
            <c:spPr>
              <a:solidFill>
                <a:srgbClr val="373C5F"/>
              </a:solidFill>
            </c:spPr>
          </c:dPt>
          <c:dPt>
            <c:idx val="6"/>
            <c:spPr>
              <a:solidFill>
                <a:srgbClr val="7C8797"/>
              </a:solidFill>
            </c:spPr>
          </c:dPt>
          <c:dLbls>
            <c:showLegendKey val="0"/>
            <c:showVal val="0"/>
            <c:showCatName val="0"/>
            <c:showSerName val="0"/>
            <c:showPercent val="0"/>
            <c:showBubbleSize val="0"/>
            <c:showLeaderLines val="1"/>
          </c:dLbls>
          <c:cat>
            <c:strRef>
              <c:f>'Custo Final'!$B$21:$B$27</c:f>
            </c:strRef>
          </c:cat>
          <c:val>
            <c:numRef>
              <c:f>'Custo Final'!$D$21:$D$27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8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Nanoplaca</a:t>
            </a:r>
          </a:p>
        </c:rich>
      </c:tx>
      <c:overlay val="0"/>
    </c:title>
    <c:plotArea>
      <c:layout/>
      <c:pieChart>
        <c:varyColors val="1"/>
        <c:ser>
          <c:idx val="0"/>
          <c:order val="0"/>
          <c:tx>
            <c:strRef>
              <c:f>'Custo Final'!$E$20</c:f>
            </c:strRef>
          </c:tx>
          <c:dPt>
            <c:idx val="0"/>
            <c:spPr>
              <a:solidFill>
                <a:srgbClr val="44546A"/>
              </a:solidFill>
            </c:spPr>
          </c:dPt>
          <c:dPt>
            <c:idx val="1"/>
            <c:spPr>
              <a:solidFill>
                <a:srgbClr val="649687"/>
              </a:solidFill>
            </c:spPr>
          </c:dPt>
          <c:dPt>
            <c:idx val="2"/>
            <c:spPr>
              <a:solidFill>
                <a:srgbClr val="784178"/>
              </a:solidFill>
            </c:spPr>
          </c:dPt>
          <c:dPt>
            <c:idx val="3"/>
            <c:spPr>
              <a:solidFill>
                <a:srgbClr val="00919B"/>
              </a:solidFill>
            </c:spPr>
          </c:dPt>
          <c:dPt>
            <c:idx val="4"/>
            <c:spPr>
              <a:solidFill>
                <a:srgbClr val="555555"/>
              </a:solidFill>
            </c:spPr>
          </c:dPt>
          <c:dPt>
            <c:idx val="5"/>
            <c:spPr>
              <a:solidFill>
                <a:srgbClr val="373C5F"/>
              </a:solidFill>
            </c:spPr>
          </c:dPt>
          <c:dPt>
            <c:idx val="6"/>
            <c:spPr>
              <a:solidFill>
                <a:srgbClr val="7C8797"/>
              </a:solidFill>
            </c:spPr>
          </c:dPt>
          <c:dLbls>
            <c:showLegendKey val="0"/>
            <c:showVal val="0"/>
            <c:showCatName val="0"/>
            <c:showSerName val="0"/>
            <c:showPercent val="0"/>
            <c:showBubbleSize val="0"/>
            <c:showLeaderLines val="1"/>
          </c:dLbls>
          <c:cat>
            <c:strRef>
              <c:f>'Custo Final'!$B$21:$B$27</c:f>
            </c:strRef>
          </c:cat>
          <c:val>
            <c:numRef>
              <c:f>'Custo Final'!$E$21:$E$27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8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1">
                <a:solidFill>
                  <a:srgbClr val="757575"/>
                </a:solidFill>
                <a:latin typeface="Arial"/>
              </a:defRPr>
            </a:pPr>
            <a:r>
              <a:rPr b="0" i="1">
                <a:solidFill>
                  <a:srgbClr val="757575"/>
                </a:solidFill>
                <a:latin typeface="Arial"/>
              </a:rPr>
              <a:t>Categorização de custos diretos R$/g</a:t>
            </a:r>
          </a:p>
        </c:rich>
      </c:tx>
      <c:overlay val="0"/>
    </c:title>
    <c:view3D>
      <c:rotX val="15"/>
      <c:rotY val="20"/>
      <c:depthPercent val="100"/>
      <c:rAngAx val="1"/>
    </c:view3D>
    <c:plotArea>
      <c:layout/>
      <c:bar3DChart>
        <c:barDir val="col"/>
        <c:grouping val="stacked"/>
        <c:ser>
          <c:idx val="0"/>
          <c:order val="0"/>
          <c:tx>
            <c:strRef>
              <c:f>'Gráficos'!$A$5</c:f>
            </c:strRef>
          </c:tx>
          <c:spPr>
            <a:solidFill>
              <a:srgbClr val="649687"/>
            </a:solidFill>
            <a:ln cmpd="sng">
              <a:solidFill>
                <a:srgbClr val="000000"/>
              </a:solidFill>
            </a:ln>
          </c:spPr>
          <c:cat>
            <c:strRef>
              <c:f>'Gráficos'!$B$4:$F$4</c:f>
            </c:strRef>
          </c:cat>
          <c:val>
            <c:numRef>
              <c:f>'Gráficos'!$B$5:$F$5</c:f>
              <c:numCache/>
            </c:numRef>
          </c:val>
        </c:ser>
        <c:ser>
          <c:idx val="1"/>
          <c:order val="1"/>
          <c:tx>
            <c:strRef>
              <c:f>'Gráficos'!$A$6</c:f>
            </c:strRef>
          </c:tx>
          <c:spPr>
            <a:solidFill>
              <a:srgbClr val="741B47"/>
            </a:solidFill>
            <a:ln cmpd="sng">
              <a:solidFill>
                <a:srgbClr val="000000"/>
              </a:solidFill>
            </a:ln>
          </c:spPr>
          <c:cat>
            <c:strRef>
              <c:f>'Gráficos'!$B$4:$F$4</c:f>
            </c:strRef>
          </c:cat>
          <c:val>
            <c:numRef>
              <c:f>'Gráficos'!$B$6:$F$6</c:f>
              <c:numCache/>
            </c:numRef>
          </c:val>
        </c:ser>
        <c:ser>
          <c:idx val="2"/>
          <c:order val="2"/>
          <c:tx>
            <c:strRef>
              <c:f>'Gráficos'!$A$7</c:f>
            </c:strRef>
          </c:tx>
          <c:spPr>
            <a:solidFill>
              <a:srgbClr val="666666"/>
            </a:solidFill>
            <a:ln cmpd="sng">
              <a:solidFill>
                <a:srgbClr val="000000"/>
              </a:solidFill>
            </a:ln>
          </c:spPr>
          <c:cat>
            <c:strRef>
              <c:f>'Gráficos'!$B$4:$F$4</c:f>
            </c:strRef>
          </c:cat>
          <c:val>
            <c:numRef>
              <c:f>'Gráficos'!$B$7:$F$7</c:f>
              <c:numCache/>
            </c:numRef>
          </c:val>
        </c:ser>
        <c:axId val="355013533"/>
        <c:axId val="1916209163"/>
      </c:bar3DChart>
      <c:catAx>
        <c:axId val="3550135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Frente de Trabalho</a:t>
                </a:r>
              </a:p>
            </c:rich>
          </c:tx>
          <c:overlay val="0"/>
        </c:title>
        <c:numFmt formatCode="General" sourceLinked="1"/>
        <c:majorTickMark val="none"/>
        <c:minorTickMark val="none"/>
        <c:spPr/>
        <c:txPr>
          <a:bodyPr/>
          <a:lstStyle/>
          <a:p>
            <a:pPr lvl="0">
              <a:defRPr b="0">
                <a:solidFill>
                  <a:srgbClr val="000000"/>
                </a:solidFill>
                <a:latin typeface="+mn-lt"/>
              </a:defRPr>
            </a:pPr>
          </a:p>
        </c:txPr>
        <c:crossAx val="1916209163"/>
      </c:catAx>
      <c:valAx>
        <c:axId val="19162091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5013533"/>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1">
                <a:solidFill>
                  <a:srgbClr val="757575"/>
                </a:solidFill>
                <a:latin typeface="+mn-lt"/>
              </a:defRPr>
            </a:pPr>
            <a:r>
              <a:rPr b="0" i="1">
                <a:solidFill>
                  <a:srgbClr val="757575"/>
                </a:solidFill>
                <a:latin typeface="+mn-lt"/>
              </a:rPr>
              <a:t>Custo R$/g</a:t>
            </a:r>
          </a:p>
        </c:rich>
      </c:tx>
      <c:overlay val="0"/>
    </c:title>
    <c:view3D>
      <c:rotX val="15"/>
      <c:rotY val="20"/>
      <c:depthPercent val="100"/>
      <c:rAngAx val="1"/>
    </c:view3D>
    <c:plotArea>
      <c:layout/>
      <c:bar3DChart>
        <c:barDir val="bar"/>
        <c:grouping val="stacked"/>
        <c:ser>
          <c:idx val="0"/>
          <c:order val="0"/>
          <c:tx>
            <c:strRef>
              <c:f>'Gráficos'!$J$5</c:f>
            </c:strRef>
          </c:tx>
          <c:spPr>
            <a:solidFill>
              <a:srgbClr val="784178"/>
            </a:solidFill>
            <a:ln cmpd="sng">
              <a:solidFill>
                <a:srgbClr val="000000"/>
              </a:solidFill>
            </a:ln>
          </c:spPr>
          <c:cat>
            <c:strRef>
              <c:f>'Gráficos'!$K$4:$M$4</c:f>
            </c:strRef>
          </c:cat>
          <c:val>
            <c:numRef>
              <c:f>'Gráficos'!$K$5:$M$5</c:f>
              <c:numCache/>
            </c:numRef>
          </c:val>
        </c:ser>
        <c:ser>
          <c:idx val="1"/>
          <c:order val="1"/>
          <c:tx>
            <c:strRef>
              <c:f>'Gráficos'!$J$6</c:f>
            </c:strRef>
          </c:tx>
          <c:spPr>
            <a:solidFill>
              <a:srgbClr val="373C5F"/>
            </a:solidFill>
            <a:ln cmpd="sng">
              <a:solidFill>
                <a:srgbClr val="000000"/>
              </a:solidFill>
            </a:ln>
          </c:spPr>
          <c:cat>
            <c:strRef>
              <c:f>'Gráficos'!$K$4:$M$4</c:f>
            </c:strRef>
          </c:cat>
          <c:val>
            <c:numRef>
              <c:f>'Gráficos'!$K$6:$M$6</c:f>
              <c:numCache/>
            </c:numRef>
          </c:val>
        </c:ser>
        <c:ser>
          <c:idx val="2"/>
          <c:order val="2"/>
          <c:tx>
            <c:strRef>
              <c:f>'Gráficos'!$J$7</c:f>
            </c:strRef>
          </c:tx>
          <c:spPr>
            <a:solidFill>
              <a:srgbClr val="00919B"/>
            </a:solidFill>
            <a:ln cmpd="sng">
              <a:solidFill>
                <a:srgbClr val="000000"/>
              </a:solidFill>
            </a:ln>
          </c:spPr>
          <c:cat>
            <c:strRef>
              <c:f>'Gráficos'!$K$4:$M$4</c:f>
            </c:strRef>
          </c:cat>
          <c:val>
            <c:numRef>
              <c:f>'Gráficos'!$K$7:$M$7</c:f>
              <c:numCache/>
            </c:numRef>
          </c:val>
        </c:ser>
        <c:ser>
          <c:idx val="3"/>
          <c:order val="3"/>
          <c:tx>
            <c:strRef>
              <c:f>'Gráficos'!$J$8</c:f>
            </c:strRef>
          </c:tx>
          <c:spPr>
            <a:solidFill>
              <a:srgbClr val="7D7D7D"/>
            </a:solidFill>
            <a:ln cmpd="sng">
              <a:solidFill>
                <a:srgbClr val="000000"/>
              </a:solidFill>
            </a:ln>
          </c:spPr>
          <c:cat>
            <c:strRef>
              <c:f>'Gráficos'!$K$4:$M$4</c:f>
            </c:strRef>
          </c:cat>
          <c:val>
            <c:numRef>
              <c:f>'Gráficos'!$K$8:$M$8</c:f>
              <c:numCache/>
            </c:numRef>
          </c:val>
        </c:ser>
        <c:ser>
          <c:idx val="4"/>
          <c:order val="4"/>
          <c:tx>
            <c:strRef>
              <c:f>'Gráficos'!$J$9</c:f>
            </c:strRef>
          </c:tx>
          <c:spPr>
            <a:solidFill>
              <a:srgbClr val="8CCDAF"/>
            </a:solidFill>
            <a:ln cmpd="sng">
              <a:solidFill>
                <a:srgbClr val="000000"/>
              </a:solidFill>
            </a:ln>
          </c:spPr>
          <c:cat>
            <c:strRef>
              <c:f>'Gráficos'!$K$4:$M$4</c:f>
            </c:strRef>
          </c:cat>
          <c:val>
            <c:numRef>
              <c:f>'Gráficos'!$K$9:$M$9</c:f>
              <c:numCache/>
            </c:numRef>
          </c:val>
        </c:ser>
        <c:ser>
          <c:idx val="5"/>
          <c:order val="5"/>
          <c:tx>
            <c:strRef>
              <c:f>'Gráficos'!$J$10</c:f>
            </c:strRef>
          </c:tx>
          <c:spPr>
            <a:solidFill>
              <a:srgbClr val="649687"/>
            </a:solidFill>
            <a:ln cmpd="sng">
              <a:solidFill>
                <a:srgbClr val="000000"/>
              </a:solidFill>
            </a:ln>
          </c:spPr>
          <c:dPt>
            <c:idx val="0"/>
            <c:spPr>
              <a:solidFill>
                <a:srgbClr val="649687"/>
              </a:solidFill>
              <a:ln cmpd="sng">
                <a:solidFill>
                  <a:srgbClr val="000000"/>
                </a:solidFill>
              </a:ln>
            </c:spPr>
          </c:dPt>
          <c:cat>
            <c:strRef>
              <c:f>'Gráficos'!$K$4:$M$4</c:f>
            </c:strRef>
          </c:cat>
          <c:val>
            <c:numRef>
              <c:f>'Gráficos'!$K$10:$M$10</c:f>
              <c:numCache/>
            </c:numRef>
          </c:val>
        </c:ser>
        <c:ser>
          <c:idx val="6"/>
          <c:order val="6"/>
          <c:tx>
            <c:strRef>
              <c:f>'Gráficos'!$J$11</c:f>
            </c:strRef>
          </c:tx>
          <c:spPr>
            <a:solidFill>
              <a:schemeClr val="accent1">
                <a:lumOff val="30000"/>
              </a:schemeClr>
            </a:solidFill>
            <a:ln cmpd="sng">
              <a:solidFill>
                <a:srgbClr val="000000"/>
              </a:solidFill>
            </a:ln>
          </c:spPr>
          <c:cat>
            <c:strRef>
              <c:f>'Gráficos'!$K$4:$M$4</c:f>
            </c:strRef>
          </c:cat>
          <c:val>
            <c:numRef>
              <c:f>'Gráficos'!$K$11:$M$11</c:f>
              <c:numCache/>
            </c:numRef>
          </c:val>
        </c:ser>
        <c:axId val="652825351"/>
        <c:axId val="206673613"/>
      </c:bar3DChart>
      <c:catAx>
        <c:axId val="6528253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673613"/>
      </c:catAx>
      <c:valAx>
        <c:axId val="2066736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2825351"/>
        <c:crosses val="max"/>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1">
                <a:solidFill>
                  <a:srgbClr val="757575"/>
                </a:solidFill>
                <a:latin typeface="+mn-lt"/>
              </a:defRPr>
            </a:pPr>
            <a:r>
              <a:rPr b="0" i="1">
                <a:solidFill>
                  <a:srgbClr val="757575"/>
                </a:solidFill>
                <a:latin typeface="+mn-lt"/>
              </a:rPr>
              <a:t> CUSTO ANUAL</a:t>
            </a:r>
          </a:p>
        </c:rich>
      </c:tx>
      <c:overlay val="0"/>
    </c:title>
    <c:view3D>
      <c:rotX val="50"/>
      <c:perspective val="0"/>
    </c:view3D>
    <c:plotArea>
      <c:layout/>
      <c:pie3DChart>
        <c:varyColors val="1"/>
        <c:ser>
          <c:idx val="0"/>
          <c:order val="0"/>
          <c:dPt>
            <c:idx val="0"/>
            <c:spPr>
              <a:solidFill>
                <a:srgbClr val="44546A"/>
              </a:solidFill>
            </c:spPr>
          </c:dPt>
          <c:dPt>
            <c:idx val="1"/>
            <c:spPr>
              <a:solidFill>
                <a:srgbClr val="649687"/>
              </a:solidFill>
            </c:spPr>
          </c:dPt>
          <c:dPt>
            <c:idx val="2"/>
            <c:spPr>
              <a:solidFill>
                <a:srgbClr val="784178"/>
              </a:solidFill>
            </c:spPr>
          </c:dPt>
          <c:dPt>
            <c:idx val="3"/>
            <c:spPr>
              <a:solidFill>
                <a:srgbClr val="00919B"/>
              </a:solidFill>
            </c:spPr>
          </c:dPt>
          <c:dPt>
            <c:idx val="4"/>
            <c:spPr>
              <a:solidFill>
                <a:srgbClr val="555555"/>
              </a:solidFill>
            </c:spPr>
          </c:dPt>
          <c:dPt>
            <c:idx val="5"/>
            <c:spPr>
              <a:solidFill>
                <a:srgbClr val="373C5F"/>
              </a:solidFill>
            </c:spPr>
          </c:dPt>
          <c:dPt>
            <c:idx val="6"/>
            <c:spPr>
              <a:solidFill>
                <a:srgbClr val="7C8797"/>
              </a:solidFill>
            </c:spPr>
          </c:dPt>
          <c:dLbls>
            <c:showLegendKey val="0"/>
            <c:showVal val="0"/>
            <c:showCatName val="0"/>
            <c:showSerName val="0"/>
            <c:showPercent val="0"/>
            <c:showBubbleSize val="0"/>
            <c:showLeaderLines val="1"/>
          </c:dLbls>
          <c:cat>
            <c:strRef>
              <c:f>'Gráficos'!$J$25:$J$31</c:f>
            </c:strRef>
          </c:cat>
          <c:val>
            <c:numRef>
              <c:f>'Gráficos'!$K$25:$K$31</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Custo US$/Kg</a:t>
            </a:r>
          </a:p>
        </c:rich>
      </c:tx>
      <c:overlay val="0"/>
    </c:title>
    <c:view3D>
      <c:rotX val="15"/>
      <c:rotY val="20"/>
      <c:depthPercent val="100"/>
      <c:rAngAx val="1"/>
    </c:view3D>
    <c:plotArea>
      <c:layout/>
      <c:bar3DChart>
        <c:barDir val="col"/>
        <c:grouping val="clustered"/>
        <c:ser>
          <c:idx val="0"/>
          <c:order val="0"/>
          <c:tx>
            <c:strRef>
              <c:f>'US$Kg'!$B$1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'US$Kg'!$A$2:$A$4</c:f>
            </c:strRef>
          </c:cat>
          <c:val>
            <c:numRef>
              <c:f>'US$Kg'!$B$2:$B$4</c:f>
              <c:numCache/>
            </c:numRef>
          </c:val>
        </c:ser>
        <c:axId val="1641346301"/>
        <c:axId val="1098005302"/>
      </c:bar3DChart>
      <c:catAx>
        <c:axId val="16413463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a:t>
                </a:r>
              </a:p>
            </c:rich>
          </c:tx>
          <c:overlay val="0"/>
        </c:title>
        <c:numFmt formatCode="General" sourceLinked="1"/>
        <c:majorTickMark val="none"/>
        <c:minorTickMark val="none"/>
        <c:spPr/>
        <c:txPr>
          <a:bodyPr/>
          <a:lstStyle/>
          <a:p>
            <a:pPr lvl="0">
              <a:defRPr b="0">
                <a:solidFill>
                  <a:srgbClr val="000000"/>
                </a:solidFill>
                <a:latin typeface="+mn-lt"/>
              </a:defRPr>
            </a:pPr>
          </a:p>
        </c:txPr>
        <c:crossAx val="1098005302"/>
      </c:catAx>
      <c:valAx>
        <c:axId val="10980053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134630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609600</xdr:colOff>
      <xdr:row>6</xdr:row>
      <xdr:rowOff>161925</xdr:rowOff>
    </xdr:from>
    <xdr:ext cx="7077075" cy="4371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66675</xdr:colOff>
      <xdr:row>28</xdr:row>
      <xdr:rowOff>171450</xdr:rowOff>
    </xdr:from>
    <xdr:ext cx="5334000" cy="33051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314325</xdr:colOff>
      <xdr:row>28</xdr:row>
      <xdr:rowOff>171450</xdr:rowOff>
    </xdr:from>
    <xdr:ext cx="5391150" cy="33051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76200</xdr:colOff>
      <xdr:row>48</xdr:row>
      <xdr:rowOff>142875</xdr:rowOff>
    </xdr:from>
    <xdr:ext cx="5334000" cy="33051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28575</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914400</xdr:colOff>
      <xdr:row>2</xdr:row>
      <xdr:rowOff>28575</xdr:rowOff>
    </xdr:from>
    <xdr:ext cx="5676900" cy="3533775"/>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895350</xdr:colOff>
      <xdr:row>21</xdr:row>
      <xdr:rowOff>95250</xdr:rowOff>
    </xdr:from>
    <xdr:ext cx="5715000" cy="3533775"/>
    <xdr:graphicFrame>
      <xdr:nvGraphicFramePr>
        <xdr:cNvPr id="7" name="Chart 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0</xdr:row>
      <xdr:rowOff>0</xdr:rowOff>
    </xdr:from>
    <xdr:ext cx="3257550" cy="2857500"/>
    <mc:AlternateContent>
      <mc:Choice Requires="sle15">
        <xdr:graphicFrame>
          <xdr:nvGraphicFramePr>
            <xdr:cNvPr id="1" name="Frente de Trabalho_1"/>
            <xdr:cNvGraphicFramePr/>
          </xdr:nvGraphicFramePr>
          <xdr:xfrm>
            <a:off x="0" y="0"/>
            <a:ext cx="0" cy="0"/>
          </xdr:xfrm>
          <a:graphic>
            <a:graphicData uri="http://schemas.microsoft.com/office/drawing/2010/slicer">
              <x3Unk:slicer name="Frente de Trabalh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914400</xdr:colOff>
      <xdr:row>0</xdr:row>
      <xdr:rowOff>0</xdr:rowOff>
    </xdr:from>
    <xdr:ext cx="2857500" cy="2857500"/>
    <mc:AlternateContent>
      <mc:Choice Requires="sle15">
        <xdr:graphicFrame>
          <xdr:nvGraphicFramePr>
            <xdr:cNvPr id="2" name="Custo_2"/>
            <xdr:cNvGraphicFramePr/>
          </xdr:nvGraphicFramePr>
          <xdr:xfrm>
            <a:off x="0" y="0"/>
            <a:ext cx="0" cy="0"/>
          </xdr:xfrm>
          <a:graphic>
            <a:graphicData uri="http://schemas.microsoft.com/office/drawing/2010/slicer">
              <x3Unk:slicer name="Custo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1</xdr:row>
      <xdr:rowOff>9525</xdr:rowOff>
    </xdr:from>
    <xdr:ext cx="5715000" cy="3533775"/>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3</xdr:row>
      <xdr:rowOff>219075</xdr:rowOff>
    </xdr:from>
    <xdr:ext cx="2171700" cy="5334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L15" sheet="Custo Final"/>
  </cacheSource>
  <cacheFields>
    <cacheField name="Frente de Trabalho" numFmtId="0">
      <sharedItems>
        <s v="Produção"/>
        <s v="SSMA"/>
        <s v="Caracterização"/>
      </sharedItems>
    </cacheField>
    <cacheField name="Módulo/Técnica" numFmtId="0">
      <sharedItems>
        <s v="Conversão"/>
        <s v="Primeira Separação"/>
        <s v="Segunda Separação"/>
        <s v="Secagem"/>
        <s v="Tratamento de Resíduos"/>
        <s v="Raman"/>
        <s v="TG"/>
        <s v="Gravimetria"/>
        <s v="DRX"/>
        <s v="AFM"/>
        <s v="MEV"/>
      </sharedItems>
    </cacheField>
    <cacheField name="Depreciação" numFmtId="164">
      <sharedItems containsSemiMixedTypes="0" containsString="0" containsNumber="1">
        <n v="33.4780102140411"/>
        <n v="13.559822260273975"/>
        <n v="85.88089726027398"/>
        <n v="6.193726027397259"/>
        <n v="53.06849315068493"/>
        <n v="223.84792808219174"/>
        <n v="214.15374575342466"/>
        <n v="2.7739726027397262"/>
        <n v="205.96090342465754"/>
        <n v="32.979452054794514"/>
        <n v="210.70205479452056"/>
      </sharedItems>
    </cacheField>
    <cacheField name="Manutenção" numFmtId="164">
      <sharedItems containsSemiMixedTypes="0" containsString="0" containsNumber="1">
        <n v="9.055975840257503"/>
        <n v="0.3868833745040796"/>
        <n v="0.547945205479452"/>
        <n v="0.0"/>
        <n v="5.47945205479452"/>
        <n v="9.012328767123288"/>
        <n v="72.96698630136987"/>
        <n v="1.0356164383561643"/>
        <n v="97.99735958904108"/>
        <n v="39.04109589041096"/>
      </sharedItems>
    </cacheField>
    <cacheField name="Energia" numFmtId="164">
      <sharedItems containsSemiMixedTypes="0" containsString="0" containsNumber="1">
        <n v="24.9971269324"/>
        <n v="11.005367513612502"/>
        <n v="8.252069787500002"/>
        <n v="102.88294800000001"/>
        <n v="10.699826592"/>
        <n v="12.005436922857005"/>
        <n v="23.259005261730003"/>
        <n v="12.345953760000002"/>
        <n v="69.471710637"/>
        <n v="1.2860368500000001"/>
        <n v="19.290552750000003"/>
      </sharedItems>
    </cacheField>
    <cacheField name="Total Equipamentos" numFmtId="164">
      <sharedItems containsSemiMixedTypes="0" containsString="0" containsNumber="1">
        <n v="67.5311129866986"/>
        <n v="24.952073148390557"/>
        <n v="94.68091225325344"/>
        <n v="109.07667402739727"/>
        <n v="69.24777179747946"/>
        <n v="244.86569377217202"/>
        <n v="310.37973731652454"/>
        <n v="16.155542801095894"/>
        <n v="373.4299736506986"/>
        <n v="34.265488904794516"/>
        <n v="269.0337034349315"/>
      </sharedItems>
    </cacheField>
    <cacheField name="Insumos / Consumíveis" numFmtId="164">
      <sharedItems containsSemiMixedTypes="0" containsString="0" containsNumber="1">
        <n v="129.70600000000002"/>
        <n v="112.18"/>
        <n v="22.43"/>
        <n v="8.57"/>
        <n v="384.50474874874874"/>
        <n v="2.5709999999999997"/>
        <n v="40.237500000000004"/>
        <n v="12.384900000000002"/>
        <n v="14.856000000000002"/>
        <n v="55.44279008273972"/>
        <n v="644.0624999999999"/>
      </sharedItems>
    </cacheField>
    <cacheField name="Total" numFmtId="164">
      <sharedItems containsSemiMixedTypes="0" containsString="0" containsNumber="1">
        <n v="197.2371129866986"/>
        <n v="137.13207314839056"/>
        <n v="117.11091225325345"/>
        <n v="117.64667402739727"/>
        <n v="453.7525205462282"/>
        <n v="247.43669377217202"/>
        <n v="350.61723731652455"/>
        <n v="28.540442801095896"/>
        <n v="388.2859736506986"/>
        <n v="89.70827898753424"/>
        <n v="913.0962034349313"/>
      </sharedItems>
    </cacheField>
    <cacheField name="R$/grama de grafeno A" numFmtId="164">
      <sharedItems containsSemiMixedTypes="0" containsString="0" containsNumber="1">
        <n v="0.019963270545212408"/>
        <n v="0.013879764488703499"/>
        <n v="0.20191536595388526"/>
        <n v="0.0"/>
        <n v="0.04592636847633889"/>
        <n v="0.025044199774511337"/>
        <n v="0.0354875746271786"/>
        <n v="0.002888708785536022"/>
        <n v="1.121353487344178"/>
        <n v="0.09241864407236147"/>
      </sharedItems>
    </cacheField>
    <cacheField name="R$/grama de grafeno B" numFmtId="164">
      <sharedItems containsSemiMixedTypes="0" containsString="0" containsNumber="1">
        <n v="0.019963270545212408"/>
        <n v="0.013879764488703499"/>
        <n v="0.20191536595388526"/>
        <n v="0.012004762655856864"/>
        <n v="0.04592636847633889"/>
        <n v="0.025044199774511337"/>
        <n v="0.0354875746271786"/>
        <n v="0.002888708785536022"/>
        <n v="0.03962101771945904"/>
        <n v="0.0"/>
        <n v="0.09241864407236147"/>
      </sharedItems>
    </cacheField>
    <cacheField name="R$/grama de Nanoplaca" numFmtId="164">
      <sharedItems containsSemiMixedTypes="0" containsString="0" containsNumber="1">
        <n v="0.019963270545212408"/>
        <n v="0.013879764488703499"/>
        <n v="0.0"/>
        <n v="0.012004762655856864"/>
        <n v="0.04592636847633889"/>
        <n v="0.025044199774511337"/>
        <n v="0.0354875746271786"/>
        <n v="0.002888708785536022"/>
        <n v="0.03962101771945904"/>
        <n v="0.09241864407236147"/>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0:E27" sheet="Custo Final"/>
  </cacheSource>
  <cacheFields>
    <cacheField name="Custo" numFmtId="0">
      <sharedItems>
        <s v="Equipe - Direta"/>
        <s v="Equipe - Indireta"/>
        <s v="Depreciação Predial"/>
        <s v="Depreciação/Equipamentos"/>
        <s v="Manutenção"/>
        <s v="Energia"/>
        <s v="Insumos e Consumíveis"/>
      </sharedItems>
    </cacheField>
    <cacheField name="R$/grama de grafeno A" numFmtId="165">
      <sharedItems containsSemiMixedTypes="0" containsString="0" containsNumber="1">
        <n v="0.11596157436603491"/>
        <n v="0.41886085904416215"/>
        <n v="0.1163385918376844"/>
        <n v="0.6363849209817826"/>
        <n v="0.01480893743139929"/>
        <n v="0.04180147380826954"/>
        <n v="0.8681522947614339"/>
      </sharedItems>
    </cacheField>
    <cacheField name="R$/grama de grafeno B" numFmtId="165">
      <sharedItems containsSemiMixedTypes="0" containsString="0" containsNumber="1">
        <n v="0.11596157436603491"/>
        <n v="0.41886085904416215"/>
        <n v="0.1163385918376844"/>
        <n v="0.2457902018735914"/>
        <n v="0.024808668001709604"/>
        <n v="0.043313223248269535"/>
        <n v="0.17523758397547284"/>
      </sharedItems>
    </cacheField>
    <cacheField name="R$/grama de Nanoplaca" numFmtId="165">
      <sharedItems containsSemiMixedTypes="0" containsString="0" containsNumber="1">
        <n v="0.039150734096514504"/>
        <n v="0.41886085904416215"/>
        <n v="0.1163385918376844"/>
        <n v="0.09771968935587762"/>
        <n v="0.023863934888813998"/>
        <n v="0.029085516718097115"/>
        <n v="0.1365651701823694"/>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32:E39" sheet="Custo Final"/>
  </cacheSource>
  <cacheFields>
    <cacheField name="CUSTO" numFmtId="0">
      <sharedItems>
        <s v="Equipe - Direta"/>
        <s v="Equipe - Indireta"/>
        <s v="Depreciação predial"/>
        <s v="Depreciação/Equipamentos"/>
        <s v="Manutenção"/>
        <s v="Energia"/>
        <s v="Insumos e Consumíveis"/>
      </sharedItems>
    </cacheField>
    <cacheField name="CUSTO/LOTE" numFmtId="165">
      <sharedItems containsSemiMixedTypes="0" containsString="0" containsNumber="1">
        <n v="1182.353125"/>
        <n v="4138.345287356322"/>
        <n v="1149.4252873563219"/>
        <n v="1082.5990056249998"/>
        <n v="235.52364346133692"/>
        <n v="295.4960350070996"/>
        <n v="1426.9454388314884"/>
      </sharedItems>
    </cacheField>
    <cacheField name="CUSTO/MÊS" numFmtId="165">
      <sharedItems containsSemiMixedTypes="0" containsString="0" containsNumber="1">
        <n v="51432.3609375"/>
        <n v="180018.02000000002"/>
        <n v="50000.0"/>
        <n v="47093.05674468749"/>
        <n v="10245.278490568156"/>
        <n v="12854.077522808831"/>
        <n v="62072.12658916975"/>
      </sharedItems>
    </cacheField>
    <cacheField name="CUSTO ANUAL" numFmtId="165">
      <sharedItems containsSemiMixedTypes="0" containsString="0" containsNumber="1">
        <n v="617188.33125"/>
        <n v="2160216.24"/>
        <n v="600000.0"/>
        <n v="565116.6809362499"/>
        <n v="122943.34188681789"/>
        <n v="154248.93027370598"/>
        <n v="744865.51907003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Gráficos" cacheId="0" dataCaption="" rowGrandTotals="0" compact="0" compactData="0">
  <location ref="A4:D7" firstHeaderRow="0" firstDataRow="2" firstDataCol="0"/>
  <pivotFields>
    <pivotField name="Frente de Trabalho" axis="axisRow" compact="0" outline="0" multipleItemSelectionAllowed="1" showAll="0" sortType="ascending">
      <items>
        <item x="2"/>
        <item x="0"/>
        <item x="1"/>
        <item t="default"/>
      </items>
    </pivotField>
    <pivotField name="Módulo/Técnica" compact="0" outline="0" multipleItemSelectionAllowed="1" showAll="0">
      <items>
        <item x="0"/>
        <item x="1"/>
        <item x="2"/>
        <item x="3"/>
        <item x="4"/>
        <item x="5"/>
        <item x="6"/>
        <item x="7"/>
        <item x="8"/>
        <item x="9"/>
        <item x="10"/>
        <item t="default"/>
      </items>
    </pivotField>
    <pivotField name="Depreciação" compact="0" numFmtId="164" outline="0" multipleItemSelectionAllowed="1" showAll="0">
      <items>
        <item x="0"/>
        <item x="1"/>
        <item x="2"/>
        <item x="3"/>
        <item x="4"/>
        <item x="5"/>
        <item x="6"/>
        <item x="7"/>
        <item x="8"/>
        <item x="9"/>
        <item x="10"/>
        <item t="default"/>
      </items>
    </pivotField>
    <pivotField name="Manutenção" compact="0" numFmtId="164" outline="0" multipleItemSelectionAllowed="1" showAll="0">
      <items>
        <item x="0"/>
        <item x="1"/>
        <item x="2"/>
        <item x="3"/>
        <item x="4"/>
        <item x="5"/>
        <item x="6"/>
        <item x="7"/>
        <item x="8"/>
        <item x="9"/>
        <item t="default"/>
      </items>
    </pivotField>
    <pivotField name="Energia" compact="0" numFmtId="164" outline="0" multipleItemSelectionAllowed="1" showAll="0">
      <items>
        <item x="0"/>
        <item x="1"/>
        <item x="2"/>
        <item x="3"/>
        <item x="4"/>
        <item x="5"/>
        <item x="6"/>
        <item x="7"/>
        <item x="8"/>
        <item x="9"/>
        <item x="10"/>
        <item t="default"/>
      </items>
    </pivotField>
    <pivotField name="Total Equipamentos" compact="0" numFmtId="164" outline="0" multipleItemSelectionAllowed="1" showAll="0">
      <items>
        <item x="0"/>
        <item x="1"/>
        <item x="2"/>
        <item x="3"/>
        <item x="4"/>
        <item x="5"/>
        <item x="6"/>
        <item x="7"/>
        <item x="8"/>
        <item x="9"/>
        <item x="10"/>
        <item t="default"/>
      </items>
    </pivotField>
    <pivotField name="Insumos / Consumíveis" compact="0" numFmtId="164" outline="0" multipleItemSelectionAllowed="1" showAll="0">
      <items>
        <item x="0"/>
        <item x="1"/>
        <item x="2"/>
        <item x="3"/>
        <item x="4"/>
        <item x="5"/>
        <item x="6"/>
        <item x="7"/>
        <item x="8"/>
        <item x="9"/>
        <item x="10"/>
        <item t="default"/>
      </items>
    </pivotField>
    <pivotField name="Total" compact="0" numFmtId="164" outline="0" multipleItemSelectionAllowed="1" showAll="0">
      <items>
        <item x="0"/>
        <item x="1"/>
        <item x="2"/>
        <item x="3"/>
        <item x="4"/>
        <item x="5"/>
        <item x="6"/>
        <item x="7"/>
        <item x="8"/>
        <item x="9"/>
        <item x="10"/>
        <item t="default"/>
      </items>
    </pivotField>
    <pivotField name="R$/grama de grafeno A" dataField="1" compact="0" numFmtId="164" outline="0" multipleItemSelectionAllowed="1" showAll="0">
      <items>
        <item x="0"/>
        <item x="1"/>
        <item x="2"/>
        <item x="3"/>
        <item x="4"/>
        <item x="5"/>
        <item x="6"/>
        <item x="7"/>
        <item x="8"/>
        <item x="9"/>
        <item t="default"/>
      </items>
    </pivotField>
    <pivotField name="R$/grama de grafeno B" dataField="1" compact="0" numFmtId="164" outline="0" multipleItemSelectionAllowed="1" showAll="0">
      <items>
        <item x="0"/>
        <item x="1"/>
        <item x="2"/>
        <item x="3"/>
        <item x="4"/>
        <item x="5"/>
        <item x="6"/>
        <item x="7"/>
        <item x="8"/>
        <item x="9"/>
        <item x="10"/>
        <item t="default"/>
      </items>
    </pivotField>
    <pivotField name="R$/grama de Nanoplaca" dataField="1" compact="0" numFmtId="164" outline="0" multipleItemSelectionAllowed="1" showAll="0">
      <items>
        <item x="0"/>
        <item x="1"/>
        <item x="2"/>
        <item x="3"/>
        <item x="4"/>
        <item x="5"/>
        <item x="6"/>
        <item x="7"/>
        <item x="8"/>
        <item x="9"/>
        <item t="default"/>
      </items>
    </pivotField>
  </pivotFields>
  <rowFields>
    <field x="0"/>
  </rowFields>
  <colFields>
    <field x="-2"/>
  </colFields>
  <dataFields>
    <dataField name="SUM of R$/grama de grafeno A" fld="8" baseField="0"/>
    <dataField name="SUM of R$/grama de grafeno B" fld="9" baseField="0"/>
    <dataField name="SUM of R$/grama de Nanoplaca" fld="10" baseField="0"/>
  </dataFields>
</pivotTableDefinition>
</file>

<file path=xl/pivotTables/pivotTable2.xml><?xml version="1.0" encoding="utf-8"?>
<pivotTableDefinition xmlns="http://schemas.openxmlformats.org/spreadsheetml/2006/main" name="Gráficos 2" cacheId="1" dataCaption="" rowGrandTotals="0" compact="0" compactData="0">
  <location ref="J4:M11" firstHeaderRow="0" firstDataRow="2" firstDataCol="0"/>
  <pivotFields>
    <pivotField name="Custo" axis="axisRow" compact="0" outline="0" multipleItemSelectionAllowed="1" showAll="0" sortType="ascending">
      <items>
        <item x="2"/>
        <item x="3"/>
        <item x="5"/>
        <item x="0"/>
        <item x="1"/>
        <item x="6"/>
        <item x="4"/>
        <item t="default"/>
      </items>
    </pivotField>
    <pivotField name="R$/grama de grafeno A" dataField="1" compact="0" numFmtId="165" outline="0" multipleItemSelectionAllowed="1" showAll="0">
      <items>
        <item x="0"/>
        <item x="1"/>
        <item x="2"/>
        <item x="3"/>
        <item x="4"/>
        <item x="5"/>
        <item x="6"/>
        <item t="default"/>
      </items>
    </pivotField>
    <pivotField name="R$/grama de grafeno B" dataField="1" compact="0" numFmtId="165" outline="0" multipleItemSelectionAllowed="1" showAll="0">
      <items>
        <item x="0"/>
        <item x="1"/>
        <item x="2"/>
        <item x="3"/>
        <item x="4"/>
        <item x="5"/>
        <item x="6"/>
        <item t="default"/>
      </items>
    </pivotField>
    <pivotField name="R$/grama de Nanoplaca" dataField="1" compact="0" numFmtId="165" outline="0" multipleItemSelectionAllowed="1" showAll="0">
      <items>
        <item x="0"/>
        <item x="1"/>
        <item x="2"/>
        <item x="3"/>
        <item x="4"/>
        <item x="5"/>
        <item x="6"/>
        <item t="default"/>
      </items>
    </pivotField>
  </pivotFields>
  <rowFields>
    <field x="0"/>
  </rowFields>
  <colFields>
    <field x="-2"/>
  </colFields>
  <dataFields>
    <dataField name="SUM of R$/grama de grafeno A" fld="1" baseField="0"/>
    <dataField name="SUM of R$/grama de grafeno B" fld="2" baseField="0"/>
    <dataField name="SUM of R$/grama de Nanoplaca" fld="3" baseField="0"/>
  </dataFields>
</pivotTableDefinition>
</file>

<file path=xl/pivotTables/pivotTable3.xml><?xml version="1.0" encoding="utf-8"?>
<pivotTableDefinition xmlns="http://schemas.openxmlformats.org/spreadsheetml/2006/main" name="Gráficos 3" cacheId="2" dataCaption="" rowGrandTotals="0" compact="0" compactData="0">
  <location ref="J24:K31" firstHeaderRow="0" firstDataRow="1" firstDataCol="0"/>
  <pivotFields>
    <pivotField name="CUSTO" axis="axisRow" compact="0" outline="0" multipleItemSelectionAllowed="1" showAll="0" sortType="descending">
      <items>
        <item x="4"/>
        <item x="6"/>
        <item x="1"/>
        <item x="0"/>
        <item x="5"/>
        <item x="3"/>
        <item x="2"/>
        <item t="default"/>
      </items>
    </pivotField>
    <pivotField name="CUSTO/LOTE" compact="0" numFmtId="165" outline="0" multipleItemSelectionAllowed="1" showAll="0">
      <items>
        <item x="0"/>
        <item x="1"/>
        <item x="2"/>
        <item x="3"/>
        <item x="4"/>
        <item x="5"/>
        <item x="6"/>
        <item t="default"/>
      </items>
    </pivotField>
    <pivotField name="CUSTO/MÊS" compact="0" numFmtId="165" outline="0" multipleItemSelectionAllowed="1" showAll="0">
      <items>
        <item x="0"/>
        <item x="1"/>
        <item x="2"/>
        <item x="3"/>
        <item x="4"/>
        <item x="5"/>
        <item x="6"/>
        <item t="default"/>
      </items>
    </pivotField>
    <pivotField name="CUSTO ANUAL" dataField="1" compact="0" numFmtId="165" outline="0" multipleItemSelectionAllowed="1" showAll="0">
      <items>
        <item x="0"/>
        <item x="1"/>
        <item x="2"/>
        <item x="3"/>
        <item x="4"/>
        <item x="5"/>
        <item x="6"/>
        <item t="default"/>
      </items>
    </pivotField>
  </pivotFields>
  <rowFields>
    <field x="0"/>
  </rowFields>
  <dataFields>
    <dataField name="SUM of CUSTO ANU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Frente de Trabalho">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usto">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Frente de Trabalho_1" cache="SlicerCache_Table_1_Col_1" caption="Frente de Trabalho" rowHeight="247650"/>
  <x14:slicer name="Custo_2" cache="SlicerCache_Table_2_Col_1" caption="Custo" rowHeight="247650"/>
</x14:slicers>
</file>

<file path=xl/tables/table1.xml><?xml version="1.0" encoding="utf-8"?>
<table xmlns="http://schemas.openxmlformats.org/spreadsheetml/2006/main" ref="B4:L15" displayName="Table_1" name="Table_1" id="1">
  <autoFilter ref="$B$4:$L$15"/>
  <tableColumns count="11">
    <tableColumn name="Frente de Trabalho" id="1"/>
    <tableColumn name="Módulo/Técnica" id="2"/>
    <tableColumn name="Depreciação" id="3"/>
    <tableColumn name="Manutenção" id="4"/>
    <tableColumn name="Energia" id="5"/>
    <tableColumn name="Total Equipamentos" id="6"/>
    <tableColumn name="Insumos / Consumíveis" id="7"/>
    <tableColumn name="Total" id="8"/>
    <tableColumn name="R$/grama de grafeno A" id="9"/>
    <tableColumn name="R$/grama de grafeno B" id="10"/>
    <tableColumn name="R$/grama de Nanoplaca" id="11"/>
  </tableColumns>
  <tableStyleInfo showColumnStripes="0" showFirstColumn="0" showLastColumn="0" showRowStripes="0"/>
</table>
</file>

<file path=xl/tables/table2.xml><?xml version="1.0" encoding="utf-8"?>
<table xmlns="http://schemas.openxmlformats.org/spreadsheetml/2006/main" ref="B20:E28" displayName="Table_2" name="Table_2" id="2">
  <autoFilter ref="$B$20:$E$28"/>
  <tableColumns count="4">
    <tableColumn name="Custo" id="1"/>
    <tableColumn name="R$/grama de grafeno A" id="2"/>
    <tableColumn name="R$/grama de grafeno B" id="3"/>
    <tableColumn name="R$/grama de Nanoplaca" id="4"/>
  </tableColumns>
  <tableStyleInfo showColumnStripes="0" showFirstColumn="0" showLastColumn="0" showRowStripes="0"/>
</table>
</file>

<file path=xl/tables/table3.xml><?xml version="1.0" encoding="utf-8"?>
<table xmlns="http://schemas.openxmlformats.org/spreadsheetml/2006/main" ref="A1:K5" displayName="Table_3" name="Table_3" id="3">
  <tableColumns count="11">
    <tableColumn name="Frente de Trabalho" id="1"/>
    <tableColumn name="Módulo/Técnica" id="2"/>
    <tableColumn name="Depreciação" id="3"/>
    <tableColumn name="Manutenção" id="4"/>
    <tableColumn name="Energia" id="5"/>
    <tableColumn name="Total Equipamentos" id="6"/>
    <tableColumn name="Insumos / Consumíveis" id="7"/>
    <tableColumn name="Total" id="8"/>
    <tableColumn name="R$/grama de grafeno A" id="9"/>
    <tableColumn name="R$/grama de grafeno B" id="10"/>
    <tableColumn name="R$/grama de Nanoplaca" id="11"/>
  </tableColumns>
  <tableStyleInfo name="Detalhe1-Produçã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546A"/>
      </a:accent1>
      <a:accent2>
        <a:srgbClr val="649687"/>
      </a:accent2>
      <a:accent3>
        <a:srgbClr val="784178"/>
      </a:accent3>
      <a:accent4>
        <a:srgbClr val="00919B"/>
      </a:accent4>
      <a:accent5>
        <a:srgbClr val="555555"/>
      </a:accent5>
      <a:accent6>
        <a:srgbClr val="373C5F"/>
      </a:accent6>
      <a:hlink>
        <a:srgbClr val="8CCDAF"/>
      </a:hlink>
      <a:folHlink>
        <a:srgbClr val="8CCDA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hyperlink" Target="http://qnt.mc/" TargetMode="External"/><Relationship Id="rId2" Type="http://schemas.openxmlformats.org/officeDocument/2006/relationships/hyperlink" Target="https://www.dias-uteis.com/quantos_dias_uteis_no_ano_2026_Feriados_nacionais.ht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hyperlink" Target="http://www.aneel.gov.br/" TargetMode="External"/><Relationship Id="rId2" Type="http://schemas.openxmlformats.org/officeDocument/2006/relationships/hyperlink" Target="http://www.aneel.gov.br/" TargetMode="External"/><Relationship Id="rId3"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hidden="1" min="1" max="2" width="14.43"/>
    <col customWidth="1" min="3" max="3" width="12.71"/>
    <col customWidth="1" min="4" max="4" width="26.57"/>
    <col customWidth="1" min="5" max="5" width="22.29"/>
    <col customWidth="1" min="6" max="6" width="22.14"/>
    <col customWidth="1" min="7" max="7" width="21.57"/>
    <col customWidth="1" min="8" max="8" width="22.29"/>
    <col customWidth="1" min="9" max="9" width="22.86"/>
    <col customWidth="1" min="10" max="11" width="25.29"/>
    <col customWidth="1" min="15" max="15" width="32.14"/>
    <col customWidth="1" min="16" max="16" width="21.0"/>
    <col customWidth="1" min="17" max="17" width="26.57"/>
    <col customWidth="1" min="18" max="18" width="25.43"/>
  </cols>
  <sheetData>
    <row r="1">
      <c r="C1" s="1"/>
      <c r="D1" s="2"/>
      <c r="E1" s="2"/>
      <c r="F1" s="2"/>
      <c r="G1" s="2"/>
      <c r="H1" s="2"/>
      <c r="I1" s="2"/>
      <c r="J1" s="2"/>
      <c r="K1" s="3"/>
      <c r="P1" s="3"/>
      <c r="Q1" s="3"/>
      <c r="R1" s="3"/>
    </row>
    <row r="2">
      <c r="C2" s="4" t="s">
        <v>0</v>
      </c>
      <c r="D2" s="5"/>
      <c r="E2" s="5"/>
      <c r="F2" s="5"/>
      <c r="G2" s="5"/>
      <c r="H2" s="5"/>
      <c r="I2" s="5"/>
      <c r="J2" s="6"/>
      <c r="K2" s="7"/>
      <c r="O2" s="7" t="s">
        <v>1</v>
      </c>
      <c r="P2" s="3" t="s">
        <v>2</v>
      </c>
      <c r="Q2" s="3" t="s">
        <v>3</v>
      </c>
      <c r="R2" s="3"/>
    </row>
    <row r="3">
      <c r="C3" s="8" t="s">
        <v>4</v>
      </c>
      <c r="D3" s="9" t="s">
        <v>1</v>
      </c>
      <c r="E3" s="9" t="s">
        <v>5</v>
      </c>
      <c r="F3" s="9" t="s">
        <v>6</v>
      </c>
      <c r="G3" s="9" t="s">
        <v>7</v>
      </c>
      <c r="H3" s="9" t="s">
        <v>8</v>
      </c>
      <c r="I3" s="9" t="s">
        <v>9</v>
      </c>
      <c r="J3" s="9" t="s">
        <v>10</v>
      </c>
      <c r="K3" s="10" t="s">
        <v>11</v>
      </c>
      <c r="L3" s="7" t="s">
        <v>12</v>
      </c>
      <c r="O3" s="7" t="s">
        <v>13</v>
      </c>
      <c r="P3" s="3" t="s">
        <v>14</v>
      </c>
      <c r="Q3" s="3" t="s">
        <v>15</v>
      </c>
      <c r="R3" s="3"/>
    </row>
    <row r="4">
      <c r="A4" s="7" t="s">
        <v>16</v>
      </c>
      <c r="B4" s="7">
        <v>1.0</v>
      </c>
      <c r="C4" s="11" t="str">
        <f t="shared" ref="C4:C102" si="1">CONCATENATE(A4,B4)</f>
        <v>Config.1</v>
      </c>
      <c r="D4" s="12" t="s">
        <v>13</v>
      </c>
      <c r="E4" s="12" t="s">
        <v>14</v>
      </c>
      <c r="F4" s="12" t="s">
        <v>17</v>
      </c>
      <c r="G4" s="12" t="s">
        <v>18</v>
      </c>
      <c r="H4" s="12" t="s">
        <v>18</v>
      </c>
      <c r="I4" s="12" t="s">
        <v>18</v>
      </c>
      <c r="J4" s="12" t="s">
        <v>18</v>
      </c>
      <c r="K4" s="13" t="s">
        <v>19</v>
      </c>
      <c r="L4" s="7" t="s">
        <v>20</v>
      </c>
      <c r="M4" s="7"/>
      <c r="N4" s="7"/>
      <c r="O4" s="7" t="s">
        <v>21</v>
      </c>
      <c r="P4" s="3" t="s">
        <v>17</v>
      </c>
      <c r="Q4" s="3" t="s">
        <v>22</v>
      </c>
      <c r="R4" s="3"/>
      <c r="S4" s="7"/>
      <c r="T4" s="7"/>
      <c r="U4" s="7"/>
      <c r="V4" s="7"/>
      <c r="W4" s="7"/>
      <c r="X4" s="7"/>
      <c r="Y4" s="7"/>
      <c r="Z4" s="7"/>
    </row>
    <row r="5">
      <c r="A5" s="7" t="s">
        <v>16</v>
      </c>
      <c r="B5" s="7">
        <v>2.0</v>
      </c>
      <c r="C5" s="1" t="str">
        <f t="shared" si="1"/>
        <v>Config.2</v>
      </c>
      <c r="D5" s="2" t="s">
        <v>13</v>
      </c>
      <c r="E5" s="2" t="s">
        <v>14</v>
      </c>
      <c r="F5" s="2" t="s">
        <v>17</v>
      </c>
      <c r="G5" s="2" t="s">
        <v>18</v>
      </c>
      <c r="H5" s="2" t="s">
        <v>18</v>
      </c>
      <c r="I5" s="2" t="s">
        <v>15</v>
      </c>
      <c r="J5" s="2" t="s">
        <v>18</v>
      </c>
      <c r="K5" s="3" t="s">
        <v>18</v>
      </c>
      <c r="L5" s="7"/>
      <c r="M5" s="7"/>
      <c r="N5" s="7"/>
      <c r="O5" s="7" t="s">
        <v>23</v>
      </c>
      <c r="P5" s="3" t="s">
        <v>24</v>
      </c>
      <c r="Q5" s="3" t="s">
        <v>25</v>
      </c>
      <c r="R5" s="3"/>
      <c r="S5" s="7"/>
      <c r="T5" s="7"/>
      <c r="U5" s="7"/>
      <c r="V5" s="7"/>
      <c r="W5" s="7"/>
      <c r="X5" s="7"/>
      <c r="Y5" s="7"/>
      <c r="Z5" s="7"/>
    </row>
    <row r="6">
      <c r="A6" s="7" t="s">
        <v>16</v>
      </c>
      <c r="B6" s="7">
        <v>3.0</v>
      </c>
      <c r="C6" s="1" t="str">
        <f t="shared" si="1"/>
        <v>Config.3</v>
      </c>
      <c r="D6" s="2" t="s">
        <v>13</v>
      </c>
      <c r="E6" s="2" t="s">
        <v>14</v>
      </c>
      <c r="F6" s="2" t="s">
        <v>17</v>
      </c>
      <c r="G6" s="2" t="s">
        <v>18</v>
      </c>
      <c r="H6" s="2" t="s">
        <v>18</v>
      </c>
      <c r="I6" s="2" t="s">
        <v>22</v>
      </c>
      <c r="J6" s="2" t="s">
        <v>18</v>
      </c>
      <c r="K6" s="3" t="s">
        <v>18</v>
      </c>
      <c r="L6" s="7" t="s">
        <v>20</v>
      </c>
      <c r="M6" s="7"/>
      <c r="N6" s="7"/>
      <c r="O6" s="7" t="s">
        <v>26</v>
      </c>
      <c r="P6" s="3" t="s">
        <v>27</v>
      </c>
      <c r="Q6" s="3" t="s">
        <v>18</v>
      </c>
      <c r="R6" s="3"/>
      <c r="S6" s="7"/>
      <c r="T6" s="7"/>
      <c r="U6" s="7"/>
      <c r="V6" s="7"/>
      <c r="W6" s="7"/>
      <c r="X6" s="7"/>
      <c r="Y6" s="7"/>
      <c r="Z6" s="7"/>
    </row>
    <row r="7">
      <c r="A7" s="7" t="s">
        <v>16</v>
      </c>
      <c r="B7" s="7">
        <v>4.0</v>
      </c>
      <c r="C7" s="1" t="str">
        <f t="shared" si="1"/>
        <v>Config.4</v>
      </c>
      <c r="D7" s="2" t="s">
        <v>13</v>
      </c>
      <c r="E7" s="2" t="s">
        <v>14</v>
      </c>
      <c r="F7" s="2" t="s">
        <v>17</v>
      </c>
      <c r="G7" s="2" t="s">
        <v>18</v>
      </c>
      <c r="H7" s="2" t="s">
        <v>18</v>
      </c>
      <c r="I7" s="2" t="s">
        <v>25</v>
      </c>
      <c r="J7" s="2" t="s">
        <v>15</v>
      </c>
      <c r="K7" s="3" t="s">
        <v>18</v>
      </c>
      <c r="L7" s="7" t="s">
        <v>20</v>
      </c>
      <c r="M7" s="7"/>
      <c r="N7" s="7"/>
      <c r="O7" s="7" t="s">
        <v>18</v>
      </c>
      <c r="P7" s="3" t="s">
        <v>28</v>
      </c>
      <c r="Q7" s="7"/>
      <c r="R7" s="3"/>
      <c r="S7" s="7"/>
      <c r="T7" s="7"/>
      <c r="U7" s="7"/>
      <c r="V7" s="7"/>
      <c r="W7" s="7"/>
      <c r="X7" s="7"/>
      <c r="Y7" s="7"/>
      <c r="Z7" s="7"/>
    </row>
    <row r="8">
      <c r="A8" s="7" t="s">
        <v>16</v>
      </c>
      <c r="B8" s="7">
        <v>5.0</v>
      </c>
      <c r="C8" s="1" t="str">
        <f t="shared" si="1"/>
        <v>Config.5</v>
      </c>
      <c r="D8" s="2" t="s">
        <v>13</v>
      </c>
      <c r="E8" s="2" t="s">
        <v>14</v>
      </c>
      <c r="F8" s="2" t="s">
        <v>17</v>
      </c>
      <c r="G8" s="2" t="s">
        <v>18</v>
      </c>
      <c r="H8" s="2" t="s">
        <v>18</v>
      </c>
      <c r="I8" s="2" t="s">
        <v>25</v>
      </c>
      <c r="J8" s="2" t="s">
        <v>22</v>
      </c>
      <c r="K8" s="3" t="s">
        <v>18</v>
      </c>
      <c r="L8" s="7" t="s">
        <v>20</v>
      </c>
      <c r="M8" s="7"/>
      <c r="N8" s="7"/>
      <c r="O8" s="7"/>
      <c r="P8" s="3" t="s">
        <v>29</v>
      </c>
      <c r="Q8" s="3"/>
      <c r="R8" s="3"/>
      <c r="S8" s="7"/>
      <c r="T8" s="7"/>
      <c r="U8" s="7"/>
      <c r="V8" s="7"/>
      <c r="W8" s="7"/>
      <c r="X8" s="7"/>
      <c r="Y8" s="7"/>
      <c r="Z8" s="7"/>
    </row>
    <row r="9">
      <c r="A9" s="7" t="s">
        <v>16</v>
      </c>
      <c r="B9" s="7">
        <v>6.0</v>
      </c>
      <c r="C9" s="1" t="str">
        <f t="shared" si="1"/>
        <v>Config.6</v>
      </c>
      <c r="D9" s="2" t="s">
        <v>13</v>
      </c>
      <c r="E9" s="2" t="s">
        <v>14</v>
      </c>
      <c r="F9" s="2" t="s">
        <v>17</v>
      </c>
      <c r="G9" s="2" t="s">
        <v>18</v>
      </c>
      <c r="H9" s="2" t="s">
        <v>18</v>
      </c>
      <c r="I9" s="2" t="s">
        <v>25</v>
      </c>
      <c r="J9" s="2" t="s">
        <v>18</v>
      </c>
      <c r="K9" s="3" t="s">
        <v>18</v>
      </c>
      <c r="L9" s="7"/>
      <c r="M9" s="7"/>
      <c r="N9" s="7"/>
      <c r="O9" s="7"/>
      <c r="P9" s="3" t="s">
        <v>18</v>
      </c>
      <c r="Q9" s="3"/>
      <c r="R9" s="3"/>
      <c r="S9" s="7"/>
      <c r="T9" s="7"/>
      <c r="U9" s="7"/>
      <c r="V9" s="7"/>
      <c r="W9" s="7"/>
      <c r="X9" s="7"/>
      <c r="Y9" s="7"/>
      <c r="Z9" s="7"/>
    </row>
    <row r="10">
      <c r="A10" s="7" t="s">
        <v>16</v>
      </c>
      <c r="B10" s="7">
        <v>7.0</v>
      </c>
      <c r="C10" s="11" t="str">
        <f t="shared" si="1"/>
        <v>Config.7</v>
      </c>
      <c r="D10" s="12" t="s">
        <v>13</v>
      </c>
      <c r="E10" s="12" t="s">
        <v>24</v>
      </c>
      <c r="F10" s="12" t="s">
        <v>24</v>
      </c>
      <c r="G10" s="14" t="s">
        <v>18</v>
      </c>
      <c r="H10" s="14" t="s">
        <v>18</v>
      </c>
      <c r="I10" s="14" t="s">
        <v>18</v>
      </c>
      <c r="J10" s="14" t="s">
        <v>18</v>
      </c>
      <c r="K10" s="13" t="s">
        <v>30</v>
      </c>
      <c r="L10" s="15"/>
      <c r="M10" s="15"/>
      <c r="N10" s="15"/>
      <c r="O10" s="15"/>
      <c r="P10" s="16"/>
      <c r="Q10" s="16"/>
      <c r="R10" s="16"/>
      <c r="S10" s="15"/>
      <c r="T10" s="15"/>
      <c r="U10" s="15"/>
      <c r="V10" s="15"/>
      <c r="W10" s="15"/>
      <c r="X10" s="15"/>
      <c r="Y10" s="15"/>
      <c r="Z10" s="15"/>
    </row>
    <row r="11">
      <c r="A11" s="7" t="s">
        <v>16</v>
      </c>
      <c r="B11" s="7">
        <v>8.0</v>
      </c>
      <c r="C11" s="11" t="str">
        <f t="shared" si="1"/>
        <v>Config.8</v>
      </c>
      <c r="D11" s="12" t="s">
        <v>13</v>
      </c>
      <c r="E11" s="12" t="s">
        <v>24</v>
      </c>
      <c r="F11" s="12" t="s">
        <v>24</v>
      </c>
      <c r="G11" s="12" t="s">
        <v>18</v>
      </c>
      <c r="H11" s="12" t="s">
        <v>18</v>
      </c>
      <c r="I11" s="12" t="s">
        <v>15</v>
      </c>
      <c r="J11" s="12" t="s">
        <v>18</v>
      </c>
      <c r="K11" s="13" t="s">
        <v>30</v>
      </c>
      <c r="L11" s="17"/>
      <c r="M11" s="17"/>
      <c r="N11" s="17"/>
      <c r="O11" s="17"/>
      <c r="P11" s="17"/>
      <c r="Q11" s="3"/>
      <c r="R11" s="3"/>
      <c r="S11" s="17"/>
      <c r="T11" s="17"/>
      <c r="U11" s="17"/>
      <c r="V11" s="17"/>
      <c r="W11" s="17"/>
      <c r="X11" s="17"/>
      <c r="Y11" s="17"/>
      <c r="Z11" s="17"/>
    </row>
    <row r="12">
      <c r="A12" s="7" t="s">
        <v>16</v>
      </c>
      <c r="B12" s="7">
        <v>9.0</v>
      </c>
      <c r="C12" s="11" t="str">
        <f t="shared" si="1"/>
        <v>Config.9</v>
      </c>
      <c r="D12" s="12" t="s">
        <v>13</v>
      </c>
      <c r="E12" s="12" t="s">
        <v>24</v>
      </c>
      <c r="F12" s="12" t="s">
        <v>24</v>
      </c>
      <c r="G12" s="12" t="s">
        <v>18</v>
      </c>
      <c r="H12" s="12" t="s">
        <v>18</v>
      </c>
      <c r="I12" s="12" t="s">
        <v>22</v>
      </c>
      <c r="J12" s="12" t="s">
        <v>18</v>
      </c>
      <c r="K12" s="13" t="s">
        <v>30</v>
      </c>
      <c r="L12" s="17"/>
      <c r="M12" s="17"/>
      <c r="N12" s="17"/>
      <c r="O12" s="17"/>
      <c r="P12" s="17"/>
      <c r="Q12" s="3"/>
      <c r="R12" s="3"/>
      <c r="S12" s="17"/>
      <c r="T12" s="17"/>
      <c r="U12" s="17"/>
      <c r="V12" s="17"/>
      <c r="W12" s="17"/>
      <c r="X12" s="17"/>
      <c r="Y12" s="17"/>
      <c r="Z12" s="17"/>
    </row>
    <row r="13">
      <c r="A13" s="7" t="s">
        <v>16</v>
      </c>
      <c r="B13" s="7">
        <v>10.0</v>
      </c>
      <c r="C13" s="1" t="str">
        <f t="shared" si="1"/>
        <v>Config.10</v>
      </c>
      <c r="D13" s="2" t="s">
        <v>13</v>
      </c>
      <c r="E13" s="2" t="s">
        <v>24</v>
      </c>
      <c r="F13" s="2" t="s">
        <v>24</v>
      </c>
      <c r="G13" s="2" t="s">
        <v>18</v>
      </c>
      <c r="H13" s="2" t="s">
        <v>18</v>
      </c>
      <c r="I13" s="2" t="s">
        <v>25</v>
      </c>
      <c r="J13" s="2" t="s">
        <v>15</v>
      </c>
      <c r="K13" s="3" t="s">
        <v>18</v>
      </c>
      <c r="L13" s="17"/>
      <c r="M13" s="17"/>
      <c r="N13" s="17"/>
      <c r="O13" s="17"/>
      <c r="P13" s="3"/>
      <c r="Q13" s="3"/>
      <c r="R13" s="3"/>
      <c r="S13" s="17"/>
      <c r="T13" s="17"/>
      <c r="U13" s="17"/>
      <c r="V13" s="17"/>
      <c r="W13" s="17"/>
      <c r="X13" s="17"/>
      <c r="Y13" s="17"/>
      <c r="Z13" s="17"/>
    </row>
    <row r="14">
      <c r="A14" s="7" t="s">
        <v>16</v>
      </c>
      <c r="B14" s="7">
        <v>11.0</v>
      </c>
      <c r="C14" s="1" t="str">
        <f t="shared" si="1"/>
        <v>Config.11</v>
      </c>
      <c r="D14" s="2" t="s">
        <v>13</v>
      </c>
      <c r="E14" s="2" t="s">
        <v>24</v>
      </c>
      <c r="F14" s="2" t="s">
        <v>24</v>
      </c>
      <c r="G14" s="2" t="s">
        <v>18</v>
      </c>
      <c r="H14" s="2" t="s">
        <v>18</v>
      </c>
      <c r="I14" s="2" t="s">
        <v>25</v>
      </c>
      <c r="J14" s="2" t="s">
        <v>22</v>
      </c>
      <c r="K14" s="3" t="s">
        <v>18</v>
      </c>
      <c r="L14" s="17"/>
      <c r="M14" s="17"/>
      <c r="N14" s="17"/>
      <c r="O14" s="17"/>
      <c r="P14" s="3"/>
      <c r="Q14" s="3"/>
      <c r="R14" s="3"/>
      <c r="S14" s="17"/>
      <c r="T14" s="17"/>
      <c r="U14" s="17"/>
      <c r="V14" s="17"/>
      <c r="W14" s="17"/>
      <c r="X14" s="17"/>
      <c r="Y14" s="17"/>
      <c r="Z14" s="17"/>
    </row>
    <row r="15">
      <c r="A15" s="7" t="s">
        <v>16</v>
      </c>
      <c r="B15" s="7">
        <v>12.0</v>
      </c>
      <c r="C15" s="1" t="str">
        <f t="shared" si="1"/>
        <v>Config.12</v>
      </c>
      <c r="D15" s="2" t="s">
        <v>13</v>
      </c>
      <c r="E15" s="2" t="s">
        <v>24</v>
      </c>
      <c r="F15" s="2" t="s">
        <v>24</v>
      </c>
      <c r="G15" s="2" t="s">
        <v>18</v>
      </c>
      <c r="H15" s="2" t="s">
        <v>18</v>
      </c>
      <c r="I15" s="2" t="s">
        <v>25</v>
      </c>
      <c r="J15" s="2" t="s">
        <v>18</v>
      </c>
      <c r="K15" s="3" t="s">
        <v>18</v>
      </c>
      <c r="L15" s="17"/>
      <c r="M15" s="17"/>
      <c r="N15" s="17"/>
      <c r="O15" s="17"/>
      <c r="P15" s="3"/>
      <c r="Q15" s="3"/>
      <c r="R15" s="3"/>
      <c r="S15" s="17"/>
      <c r="T15" s="17"/>
      <c r="U15" s="17"/>
      <c r="V15" s="17"/>
      <c r="W15" s="17"/>
      <c r="X15" s="17"/>
      <c r="Y15" s="17"/>
      <c r="Z15" s="17"/>
    </row>
    <row r="16">
      <c r="A16" s="7" t="s">
        <v>16</v>
      </c>
      <c r="B16" s="7">
        <v>13.0</v>
      </c>
      <c r="C16" s="11" t="str">
        <f t="shared" si="1"/>
        <v>Config.13</v>
      </c>
      <c r="D16" s="12" t="s">
        <v>13</v>
      </c>
      <c r="E16" s="12" t="s">
        <v>24</v>
      </c>
      <c r="F16" s="12" t="s">
        <v>17</v>
      </c>
      <c r="G16" s="12" t="s">
        <v>18</v>
      </c>
      <c r="H16" s="12" t="s">
        <v>18</v>
      </c>
      <c r="I16" s="12" t="s">
        <v>18</v>
      </c>
      <c r="J16" s="12" t="s">
        <v>18</v>
      </c>
      <c r="K16" s="13" t="s">
        <v>31</v>
      </c>
      <c r="L16" s="17"/>
      <c r="M16" s="17"/>
      <c r="N16" s="17"/>
      <c r="O16" s="17"/>
      <c r="P16" s="3"/>
      <c r="Q16" s="3"/>
      <c r="R16" s="3"/>
      <c r="S16" s="17"/>
      <c r="T16" s="17"/>
      <c r="U16" s="17"/>
      <c r="V16" s="17"/>
      <c r="W16" s="17"/>
      <c r="X16" s="17"/>
      <c r="Y16" s="17"/>
      <c r="Z16" s="17"/>
    </row>
    <row r="17">
      <c r="A17" s="7" t="s">
        <v>16</v>
      </c>
      <c r="B17" s="7">
        <v>14.0</v>
      </c>
      <c r="C17" s="1" t="str">
        <f t="shared" si="1"/>
        <v>Config.14</v>
      </c>
      <c r="D17" s="2" t="s">
        <v>13</v>
      </c>
      <c r="E17" s="2" t="s">
        <v>24</v>
      </c>
      <c r="F17" s="2" t="s">
        <v>17</v>
      </c>
      <c r="G17" s="2" t="s">
        <v>18</v>
      </c>
      <c r="H17" s="2" t="s">
        <v>18</v>
      </c>
      <c r="I17" s="2" t="s">
        <v>15</v>
      </c>
      <c r="J17" s="2" t="s">
        <v>18</v>
      </c>
      <c r="K17" s="3" t="s">
        <v>18</v>
      </c>
      <c r="L17" s="17"/>
      <c r="M17" s="17"/>
      <c r="N17" s="17"/>
      <c r="O17" s="17"/>
      <c r="P17" s="3"/>
      <c r="Q17" s="3"/>
      <c r="R17" s="3"/>
      <c r="S17" s="17"/>
      <c r="T17" s="17"/>
      <c r="U17" s="17"/>
      <c r="V17" s="17"/>
      <c r="W17" s="17"/>
      <c r="X17" s="17"/>
      <c r="Y17" s="17"/>
      <c r="Z17" s="17"/>
    </row>
    <row r="18">
      <c r="A18" s="7" t="s">
        <v>16</v>
      </c>
      <c r="B18" s="7">
        <v>15.0</v>
      </c>
      <c r="C18" s="1" t="str">
        <f t="shared" si="1"/>
        <v>Config.15</v>
      </c>
      <c r="D18" s="2" t="s">
        <v>13</v>
      </c>
      <c r="E18" s="2" t="s">
        <v>24</v>
      </c>
      <c r="F18" s="2" t="s">
        <v>17</v>
      </c>
      <c r="G18" s="2" t="s">
        <v>18</v>
      </c>
      <c r="H18" s="2" t="s">
        <v>18</v>
      </c>
      <c r="I18" s="2" t="s">
        <v>22</v>
      </c>
      <c r="J18" s="2" t="s">
        <v>18</v>
      </c>
      <c r="K18" s="3" t="s">
        <v>18</v>
      </c>
      <c r="L18" s="17"/>
      <c r="M18" s="17"/>
      <c r="N18" s="17"/>
      <c r="O18" s="17"/>
      <c r="P18" s="3"/>
      <c r="Q18" s="3"/>
      <c r="R18" s="3"/>
      <c r="S18" s="17"/>
      <c r="T18" s="17"/>
      <c r="U18" s="17"/>
      <c r="V18" s="17"/>
      <c r="W18" s="17"/>
      <c r="X18" s="17"/>
      <c r="Y18" s="17"/>
      <c r="Z18" s="17"/>
    </row>
    <row r="19">
      <c r="A19" s="7" t="s">
        <v>16</v>
      </c>
      <c r="B19" s="7">
        <v>16.0</v>
      </c>
      <c r="C19" s="1" t="str">
        <f t="shared" si="1"/>
        <v>Config.16</v>
      </c>
      <c r="D19" s="2" t="s">
        <v>13</v>
      </c>
      <c r="E19" s="2" t="s">
        <v>24</v>
      </c>
      <c r="F19" s="2" t="s">
        <v>17</v>
      </c>
      <c r="G19" s="2" t="s">
        <v>18</v>
      </c>
      <c r="H19" s="2" t="s">
        <v>18</v>
      </c>
      <c r="I19" s="2" t="s">
        <v>25</v>
      </c>
      <c r="J19" s="2" t="s">
        <v>15</v>
      </c>
      <c r="K19" s="3" t="s">
        <v>18</v>
      </c>
      <c r="L19" s="17"/>
      <c r="M19" s="17"/>
      <c r="N19" s="17"/>
      <c r="O19" s="17"/>
      <c r="P19" s="3"/>
      <c r="Q19" s="3"/>
      <c r="R19" s="3"/>
      <c r="S19" s="17"/>
      <c r="T19" s="17"/>
      <c r="U19" s="17"/>
      <c r="V19" s="17"/>
      <c r="W19" s="17"/>
      <c r="X19" s="17"/>
      <c r="Y19" s="17"/>
      <c r="Z19" s="17"/>
    </row>
    <row r="20">
      <c r="A20" s="7" t="s">
        <v>16</v>
      </c>
      <c r="B20" s="7">
        <v>17.0</v>
      </c>
      <c r="C20" s="1" t="str">
        <f t="shared" si="1"/>
        <v>Config.17</v>
      </c>
      <c r="D20" s="2" t="s">
        <v>13</v>
      </c>
      <c r="E20" s="2" t="s">
        <v>24</v>
      </c>
      <c r="F20" s="2" t="s">
        <v>17</v>
      </c>
      <c r="G20" s="2" t="s">
        <v>18</v>
      </c>
      <c r="H20" s="2" t="s">
        <v>18</v>
      </c>
      <c r="I20" s="2" t="s">
        <v>25</v>
      </c>
      <c r="J20" s="2" t="s">
        <v>22</v>
      </c>
      <c r="K20" s="3" t="s">
        <v>18</v>
      </c>
      <c r="L20" s="17"/>
      <c r="M20" s="17"/>
      <c r="N20" s="17"/>
      <c r="O20" s="17"/>
      <c r="P20" s="3"/>
      <c r="Q20" s="3"/>
      <c r="R20" s="3"/>
      <c r="S20" s="17"/>
      <c r="T20" s="17"/>
      <c r="U20" s="17"/>
      <c r="V20" s="17"/>
      <c r="W20" s="17"/>
      <c r="X20" s="17"/>
      <c r="Y20" s="17"/>
      <c r="Z20" s="17"/>
    </row>
    <row r="21" ht="15.75" customHeight="1">
      <c r="A21" s="7" t="s">
        <v>16</v>
      </c>
      <c r="B21" s="7">
        <v>18.0</v>
      </c>
      <c r="C21" s="1" t="str">
        <f t="shared" si="1"/>
        <v>Config.18</v>
      </c>
      <c r="D21" s="2" t="s">
        <v>13</v>
      </c>
      <c r="E21" s="2" t="s">
        <v>24</v>
      </c>
      <c r="F21" s="2" t="s">
        <v>17</v>
      </c>
      <c r="G21" s="2" t="s">
        <v>18</v>
      </c>
      <c r="H21" s="2" t="s">
        <v>18</v>
      </c>
      <c r="I21" s="2" t="s">
        <v>25</v>
      </c>
      <c r="J21" s="2" t="s">
        <v>18</v>
      </c>
      <c r="K21" s="3" t="s">
        <v>18</v>
      </c>
      <c r="L21" s="17"/>
      <c r="M21" s="17"/>
      <c r="N21" s="17"/>
      <c r="O21" s="17"/>
      <c r="P21" s="3"/>
      <c r="Q21" s="3"/>
      <c r="R21" s="3"/>
      <c r="S21" s="17"/>
      <c r="T21" s="17"/>
      <c r="U21" s="17"/>
      <c r="V21" s="17"/>
      <c r="W21" s="17"/>
      <c r="X21" s="17"/>
      <c r="Y21" s="17"/>
      <c r="Z21" s="17"/>
    </row>
    <row r="22" ht="15.75" customHeight="1">
      <c r="A22" s="7" t="s">
        <v>16</v>
      </c>
      <c r="B22" s="7">
        <v>19.0</v>
      </c>
      <c r="C22" s="1" t="str">
        <f t="shared" si="1"/>
        <v>Config.19</v>
      </c>
      <c r="D22" s="2" t="s">
        <v>13</v>
      </c>
      <c r="E22" s="2" t="s">
        <v>24</v>
      </c>
      <c r="F22" s="2" t="s">
        <v>24</v>
      </c>
      <c r="G22" s="2" t="s">
        <v>27</v>
      </c>
      <c r="H22" s="2" t="s">
        <v>18</v>
      </c>
      <c r="I22" s="2" t="s">
        <v>18</v>
      </c>
      <c r="J22" s="2" t="s">
        <v>18</v>
      </c>
      <c r="K22" s="3" t="s">
        <v>18</v>
      </c>
      <c r="L22" s="7"/>
      <c r="M22" s="7"/>
      <c r="N22" s="7"/>
      <c r="O22" s="7"/>
      <c r="P22" s="3"/>
      <c r="Q22" s="3"/>
      <c r="R22" s="3"/>
      <c r="S22" s="7"/>
      <c r="T22" s="7"/>
      <c r="U22" s="7"/>
      <c r="V22" s="7"/>
      <c r="W22" s="7"/>
      <c r="X22" s="7"/>
      <c r="Y22" s="7"/>
      <c r="Z22" s="7"/>
    </row>
    <row r="23" ht="15.75" customHeight="1">
      <c r="A23" s="7" t="s">
        <v>16</v>
      </c>
      <c r="B23" s="7">
        <v>20.0</v>
      </c>
      <c r="C23" s="18" t="str">
        <f t="shared" si="1"/>
        <v>Config.20</v>
      </c>
      <c r="D23" s="19" t="s">
        <v>13</v>
      </c>
      <c r="E23" s="19" t="s">
        <v>24</v>
      </c>
      <c r="F23" s="19" t="s">
        <v>24</v>
      </c>
      <c r="G23" s="19" t="s">
        <v>27</v>
      </c>
      <c r="H23" s="19" t="s">
        <v>18</v>
      </c>
      <c r="I23" s="19" t="s">
        <v>15</v>
      </c>
      <c r="J23" s="19" t="s">
        <v>18</v>
      </c>
      <c r="K23" s="3" t="s">
        <v>18</v>
      </c>
      <c r="L23" s="20"/>
      <c r="M23" s="20"/>
      <c r="N23" s="20"/>
      <c r="O23" s="20"/>
      <c r="P23" s="21"/>
      <c r="Q23" s="21"/>
      <c r="R23" s="21"/>
      <c r="S23" s="20"/>
      <c r="T23" s="20"/>
      <c r="U23" s="20"/>
      <c r="V23" s="20"/>
      <c r="W23" s="20"/>
      <c r="X23" s="20"/>
      <c r="Y23" s="20"/>
      <c r="Z23" s="20"/>
    </row>
    <row r="24" ht="15.75" customHeight="1">
      <c r="A24" s="7" t="s">
        <v>16</v>
      </c>
      <c r="B24" s="7">
        <v>21.0</v>
      </c>
      <c r="C24" s="18" t="str">
        <f t="shared" si="1"/>
        <v>Config.21</v>
      </c>
      <c r="D24" s="19" t="s">
        <v>13</v>
      </c>
      <c r="E24" s="19" t="s">
        <v>24</v>
      </c>
      <c r="F24" s="19" t="s">
        <v>24</v>
      </c>
      <c r="G24" s="19" t="s">
        <v>27</v>
      </c>
      <c r="H24" s="19" t="s">
        <v>18</v>
      </c>
      <c r="I24" s="19" t="s">
        <v>22</v>
      </c>
      <c r="J24" s="19" t="s">
        <v>18</v>
      </c>
      <c r="K24" s="3" t="s">
        <v>18</v>
      </c>
      <c r="L24" s="20"/>
      <c r="M24" s="20"/>
      <c r="N24" s="20"/>
      <c r="O24" s="20"/>
      <c r="P24" s="21"/>
      <c r="Q24" s="21"/>
      <c r="R24" s="21"/>
      <c r="S24" s="20"/>
      <c r="T24" s="20"/>
      <c r="U24" s="20"/>
      <c r="V24" s="20"/>
      <c r="W24" s="20"/>
      <c r="X24" s="20"/>
      <c r="Y24" s="20"/>
      <c r="Z24" s="20"/>
    </row>
    <row r="25" ht="15.75" customHeight="1">
      <c r="A25" s="7" t="s">
        <v>16</v>
      </c>
      <c r="B25" s="7">
        <v>22.0</v>
      </c>
      <c r="C25" s="18" t="str">
        <f t="shared" si="1"/>
        <v>Config.22</v>
      </c>
      <c r="D25" s="19" t="s">
        <v>13</v>
      </c>
      <c r="E25" s="19" t="s">
        <v>24</v>
      </c>
      <c r="F25" s="19" t="s">
        <v>24</v>
      </c>
      <c r="G25" s="19" t="s">
        <v>27</v>
      </c>
      <c r="H25" s="19" t="s">
        <v>18</v>
      </c>
      <c r="I25" s="19" t="s">
        <v>25</v>
      </c>
      <c r="J25" s="19" t="s">
        <v>15</v>
      </c>
      <c r="K25" s="3" t="s">
        <v>18</v>
      </c>
      <c r="L25" s="20"/>
      <c r="M25" s="20"/>
      <c r="N25" s="20"/>
      <c r="O25" s="20"/>
      <c r="P25" s="21"/>
      <c r="Q25" s="21"/>
      <c r="R25" s="21"/>
      <c r="S25" s="20"/>
      <c r="T25" s="20"/>
      <c r="U25" s="20"/>
      <c r="V25" s="20"/>
      <c r="W25" s="20"/>
      <c r="X25" s="20"/>
      <c r="Y25" s="20"/>
      <c r="Z25" s="20"/>
    </row>
    <row r="26" ht="15.75" customHeight="1">
      <c r="A26" s="7" t="s">
        <v>16</v>
      </c>
      <c r="B26" s="7">
        <v>23.0</v>
      </c>
      <c r="C26" s="18" t="str">
        <f t="shared" si="1"/>
        <v>Config.23</v>
      </c>
      <c r="D26" s="19" t="s">
        <v>13</v>
      </c>
      <c r="E26" s="19" t="s">
        <v>24</v>
      </c>
      <c r="F26" s="19" t="s">
        <v>24</v>
      </c>
      <c r="G26" s="19" t="s">
        <v>27</v>
      </c>
      <c r="H26" s="19" t="s">
        <v>18</v>
      </c>
      <c r="I26" s="19" t="s">
        <v>25</v>
      </c>
      <c r="J26" s="19" t="s">
        <v>22</v>
      </c>
      <c r="K26" s="3" t="s">
        <v>18</v>
      </c>
      <c r="L26" s="20"/>
      <c r="M26" s="20"/>
      <c r="N26" s="20"/>
      <c r="O26" s="20"/>
      <c r="P26" s="21"/>
      <c r="Q26" s="21"/>
      <c r="R26" s="21"/>
      <c r="S26" s="20"/>
      <c r="T26" s="20"/>
      <c r="U26" s="20"/>
      <c r="V26" s="20"/>
      <c r="W26" s="20"/>
      <c r="X26" s="20"/>
      <c r="Y26" s="20"/>
      <c r="Z26" s="20"/>
    </row>
    <row r="27" ht="15.75" customHeight="1">
      <c r="A27" s="7" t="s">
        <v>16</v>
      </c>
      <c r="B27" s="7">
        <v>24.0</v>
      </c>
      <c r="C27" s="1" t="str">
        <f t="shared" si="1"/>
        <v>Config.24</v>
      </c>
      <c r="D27" s="2" t="s">
        <v>13</v>
      </c>
      <c r="E27" s="2" t="s">
        <v>24</v>
      </c>
      <c r="F27" s="2" t="s">
        <v>24</v>
      </c>
      <c r="G27" s="2" t="s">
        <v>27</v>
      </c>
      <c r="H27" s="2" t="s">
        <v>18</v>
      </c>
      <c r="I27" s="2" t="s">
        <v>25</v>
      </c>
      <c r="J27" s="2" t="s">
        <v>18</v>
      </c>
      <c r="K27" s="3" t="s">
        <v>18</v>
      </c>
      <c r="L27" s="17"/>
      <c r="M27" s="17"/>
      <c r="N27" s="17"/>
      <c r="O27" s="17"/>
      <c r="P27" s="3"/>
      <c r="Q27" s="3"/>
      <c r="R27" s="3"/>
      <c r="S27" s="17"/>
      <c r="T27" s="17"/>
      <c r="U27" s="17"/>
      <c r="V27" s="17"/>
      <c r="W27" s="17"/>
      <c r="X27" s="17"/>
      <c r="Y27" s="17"/>
      <c r="Z27" s="17"/>
    </row>
    <row r="28" ht="15.75" customHeight="1">
      <c r="A28" s="7" t="s">
        <v>16</v>
      </c>
      <c r="B28" s="7">
        <v>25.0</v>
      </c>
      <c r="C28" s="1" t="str">
        <f t="shared" si="1"/>
        <v>Config.25</v>
      </c>
      <c r="D28" s="2" t="s">
        <v>13</v>
      </c>
      <c r="E28" s="2" t="s">
        <v>24</v>
      </c>
      <c r="F28" s="2" t="s">
        <v>17</v>
      </c>
      <c r="G28" s="2" t="s">
        <v>27</v>
      </c>
      <c r="H28" s="2" t="s">
        <v>18</v>
      </c>
      <c r="I28" s="2" t="s">
        <v>18</v>
      </c>
      <c r="J28" s="2" t="s">
        <v>18</v>
      </c>
      <c r="K28" s="3" t="s">
        <v>18</v>
      </c>
      <c r="L28" s="17"/>
      <c r="M28" s="17"/>
      <c r="N28" s="17"/>
      <c r="O28" s="17"/>
      <c r="P28" s="3"/>
      <c r="Q28" s="3"/>
      <c r="R28" s="3"/>
      <c r="S28" s="17"/>
      <c r="T28" s="17"/>
      <c r="U28" s="17"/>
      <c r="V28" s="17"/>
      <c r="W28" s="17"/>
      <c r="X28" s="17"/>
      <c r="Y28" s="17"/>
      <c r="Z28" s="17"/>
    </row>
    <row r="29" ht="15.75" customHeight="1">
      <c r="A29" s="7" t="s">
        <v>16</v>
      </c>
      <c r="B29" s="7">
        <v>26.0</v>
      </c>
      <c r="C29" s="18" t="str">
        <f t="shared" si="1"/>
        <v>Config.26</v>
      </c>
      <c r="D29" s="19" t="s">
        <v>13</v>
      </c>
      <c r="E29" s="19" t="s">
        <v>24</v>
      </c>
      <c r="F29" s="19" t="s">
        <v>17</v>
      </c>
      <c r="G29" s="19" t="s">
        <v>27</v>
      </c>
      <c r="H29" s="19" t="s">
        <v>18</v>
      </c>
      <c r="I29" s="19" t="s">
        <v>15</v>
      </c>
      <c r="J29" s="19" t="s">
        <v>18</v>
      </c>
      <c r="K29" s="3" t="s">
        <v>18</v>
      </c>
      <c r="L29" s="17"/>
      <c r="M29" s="17"/>
      <c r="N29" s="17"/>
      <c r="O29" s="17"/>
      <c r="P29" s="3"/>
      <c r="Q29" s="3"/>
      <c r="R29" s="3"/>
      <c r="S29" s="17"/>
      <c r="T29" s="17"/>
      <c r="U29" s="17"/>
      <c r="V29" s="17"/>
      <c r="W29" s="17"/>
      <c r="X29" s="17"/>
      <c r="Y29" s="17"/>
      <c r="Z29" s="17"/>
    </row>
    <row r="30" ht="15.75" customHeight="1">
      <c r="A30" s="7" t="s">
        <v>16</v>
      </c>
      <c r="B30" s="7">
        <v>27.0</v>
      </c>
      <c r="C30" s="18" t="str">
        <f t="shared" si="1"/>
        <v>Config.27</v>
      </c>
      <c r="D30" s="19" t="s">
        <v>13</v>
      </c>
      <c r="E30" s="19" t="s">
        <v>24</v>
      </c>
      <c r="F30" s="19" t="s">
        <v>17</v>
      </c>
      <c r="G30" s="19" t="s">
        <v>27</v>
      </c>
      <c r="H30" s="19" t="s">
        <v>18</v>
      </c>
      <c r="I30" s="19" t="s">
        <v>22</v>
      </c>
      <c r="J30" s="19" t="s">
        <v>18</v>
      </c>
      <c r="K30" s="3" t="s">
        <v>18</v>
      </c>
      <c r="L30" s="17"/>
      <c r="M30" s="17"/>
      <c r="N30" s="17"/>
      <c r="O30" s="17"/>
      <c r="P30" s="3"/>
      <c r="Q30" s="3"/>
      <c r="R30" s="3"/>
      <c r="S30" s="17"/>
      <c r="T30" s="17"/>
      <c r="U30" s="17"/>
      <c r="V30" s="17"/>
      <c r="W30" s="17"/>
      <c r="X30" s="17"/>
      <c r="Y30" s="17"/>
      <c r="Z30" s="17"/>
    </row>
    <row r="31" ht="15.75" customHeight="1">
      <c r="A31" s="7" t="s">
        <v>16</v>
      </c>
      <c r="B31" s="7">
        <v>28.0</v>
      </c>
      <c r="C31" s="18" t="str">
        <f t="shared" si="1"/>
        <v>Config.28</v>
      </c>
      <c r="D31" s="19" t="s">
        <v>13</v>
      </c>
      <c r="E31" s="19" t="s">
        <v>24</v>
      </c>
      <c r="F31" s="19" t="s">
        <v>17</v>
      </c>
      <c r="G31" s="19" t="s">
        <v>27</v>
      </c>
      <c r="H31" s="19" t="s">
        <v>18</v>
      </c>
      <c r="I31" s="19" t="s">
        <v>25</v>
      </c>
      <c r="J31" s="19" t="s">
        <v>15</v>
      </c>
      <c r="K31" s="3" t="s">
        <v>18</v>
      </c>
      <c r="L31" s="17"/>
      <c r="M31" s="17"/>
      <c r="N31" s="17"/>
      <c r="O31" s="17"/>
      <c r="P31" s="3"/>
      <c r="Q31" s="3"/>
      <c r="R31" s="3"/>
      <c r="S31" s="17"/>
      <c r="T31" s="17"/>
      <c r="U31" s="17"/>
      <c r="V31" s="17"/>
      <c r="W31" s="17"/>
      <c r="X31" s="17"/>
      <c r="Y31" s="17"/>
      <c r="Z31" s="17"/>
    </row>
    <row r="32" ht="15.75" customHeight="1">
      <c r="A32" s="7" t="s">
        <v>16</v>
      </c>
      <c r="B32" s="7">
        <v>29.0</v>
      </c>
      <c r="C32" s="18" t="str">
        <f t="shared" si="1"/>
        <v>Config.29</v>
      </c>
      <c r="D32" s="19" t="s">
        <v>13</v>
      </c>
      <c r="E32" s="19" t="s">
        <v>24</v>
      </c>
      <c r="F32" s="19" t="s">
        <v>17</v>
      </c>
      <c r="G32" s="19" t="s">
        <v>27</v>
      </c>
      <c r="H32" s="19" t="s">
        <v>18</v>
      </c>
      <c r="I32" s="19" t="s">
        <v>25</v>
      </c>
      <c r="J32" s="19" t="s">
        <v>22</v>
      </c>
      <c r="K32" s="3" t="s">
        <v>18</v>
      </c>
      <c r="L32" s="17"/>
      <c r="M32" s="17"/>
      <c r="N32" s="17"/>
      <c r="O32" s="17"/>
      <c r="P32" s="3"/>
      <c r="Q32" s="3"/>
      <c r="R32" s="3"/>
      <c r="S32" s="17"/>
      <c r="T32" s="17"/>
      <c r="U32" s="17"/>
      <c r="V32" s="17"/>
      <c r="W32" s="17"/>
      <c r="X32" s="17"/>
      <c r="Y32" s="17"/>
      <c r="Z32" s="17"/>
    </row>
    <row r="33" ht="15.75" customHeight="1">
      <c r="A33" s="7" t="s">
        <v>16</v>
      </c>
      <c r="B33" s="7">
        <v>30.0</v>
      </c>
      <c r="C33" s="1" t="str">
        <f t="shared" si="1"/>
        <v>Config.30</v>
      </c>
      <c r="D33" s="2" t="s">
        <v>13</v>
      </c>
      <c r="E33" s="2" t="s">
        <v>24</v>
      </c>
      <c r="F33" s="2" t="s">
        <v>17</v>
      </c>
      <c r="G33" s="2" t="s">
        <v>27</v>
      </c>
      <c r="H33" s="2" t="s">
        <v>18</v>
      </c>
      <c r="I33" s="2" t="s">
        <v>25</v>
      </c>
      <c r="J33" s="2" t="s">
        <v>18</v>
      </c>
      <c r="K33" s="3" t="s">
        <v>18</v>
      </c>
      <c r="L33" s="17"/>
      <c r="M33" s="17"/>
      <c r="N33" s="17"/>
      <c r="O33" s="17"/>
      <c r="P33" s="3"/>
      <c r="Q33" s="3"/>
      <c r="R33" s="3"/>
      <c r="S33" s="17"/>
      <c r="T33" s="17"/>
      <c r="U33" s="17"/>
      <c r="V33" s="17"/>
      <c r="W33" s="17"/>
      <c r="X33" s="17"/>
      <c r="Y33" s="17"/>
      <c r="Z33" s="17"/>
    </row>
    <row r="34" ht="15.75" customHeight="1">
      <c r="A34" s="7" t="s">
        <v>16</v>
      </c>
      <c r="B34" s="7">
        <v>31.0</v>
      </c>
      <c r="C34" s="1" t="str">
        <f t="shared" si="1"/>
        <v>Config.31</v>
      </c>
      <c r="D34" s="2" t="s">
        <v>13</v>
      </c>
      <c r="E34" s="2" t="s">
        <v>24</v>
      </c>
      <c r="F34" s="2" t="s">
        <v>29</v>
      </c>
      <c r="G34" s="2" t="s">
        <v>18</v>
      </c>
      <c r="H34" s="2" t="s">
        <v>18</v>
      </c>
      <c r="I34" s="2" t="s">
        <v>18</v>
      </c>
      <c r="J34" s="2" t="s">
        <v>18</v>
      </c>
      <c r="K34" s="3" t="s">
        <v>18</v>
      </c>
      <c r="L34" s="17"/>
      <c r="M34" s="17"/>
      <c r="N34" s="17"/>
      <c r="O34" s="17"/>
      <c r="P34" s="3"/>
      <c r="Q34" s="3"/>
      <c r="R34" s="3"/>
      <c r="S34" s="17"/>
      <c r="T34" s="17"/>
      <c r="U34" s="17"/>
      <c r="V34" s="17"/>
      <c r="W34" s="17"/>
      <c r="X34" s="17"/>
      <c r="Y34" s="17"/>
      <c r="Z34" s="17"/>
    </row>
    <row r="35" ht="15.75" customHeight="1">
      <c r="A35" s="7" t="s">
        <v>16</v>
      </c>
      <c r="B35" s="7">
        <v>32.0</v>
      </c>
      <c r="C35" s="1" t="str">
        <f t="shared" si="1"/>
        <v>Config.32</v>
      </c>
      <c r="D35" s="2" t="s">
        <v>13</v>
      </c>
      <c r="E35" s="2" t="s">
        <v>24</v>
      </c>
      <c r="F35" s="2" t="s">
        <v>29</v>
      </c>
      <c r="G35" s="2" t="s">
        <v>18</v>
      </c>
      <c r="H35" s="2" t="s">
        <v>18</v>
      </c>
      <c r="I35" s="2" t="s">
        <v>15</v>
      </c>
      <c r="J35" s="2" t="s">
        <v>18</v>
      </c>
      <c r="K35" s="3" t="s">
        <v>18</v>
      </c>
      <c r="L35" s="17"/>
      <c r="M35" s="17"/>
      <c r="N35" s="17"/>
      <c r="O35" s="17"/>
      <c r="P35" s="3"/>
      <c r="Q35" s="3"/>
      <c r="R35" s="3"/>
      <c r="S35" s="17"/>
      <c r="T35" s="17"/>
      <c r="U35" s="17"/>
      <c r="V35" s="17"/>
      <c r="W35" s="17"/>
      <c r="X35" s="17"/>
      <c r="Y35" s="17"/>
      <c r="Z35" s="17"/>
    </row>
    <row r="36" ht="15.75" customHeight="1">
      <c r="A36" s="7" t="s">
        <v>16</v>
      </c>
      <c r="B36" s="7">
        <v>33.0</v>
      </c>
      <c r="C36" s="1" t="str">
        <f t="shared" si="1"/>
        <v>Config.33</v>
      </c>
      <c r="D36" s="2" t="s">
        <v>13</v>
      </c>
      <c r="E36" s="2" t="s">
        <v>24</v>
      </c>
      <c r="F36" s="2" t="s">
        <v>29</v>
      </c>
      <c r="G36" s="2" t="s">
        <v>18</v>
      </c>
      <c r="H36" s="2" t="s">
        <v>18</v>
      </c>
      <c r="I36" s="2" t="s">
        <v>22</v>
      </c>
      <c r="J36" s="2" t="s">
        <v>18</v>
      </c>
      <c r="K36" s="3" t="s">
        <v>18</v>
      </c>
      <c r="L36" s="17"/>
      <c r="M36" s="17"/>
      <c r="N36" s="17"/>
      <c r="O36" s="17"/>
      <c r="P36" s="3"/>
      <c r="Q36" s="3"/>
      <c r="R36" s="3"/>
      <c r="S36" s="17"/>
      <c r="T36" s="17"/>
      <c r="U36" s="17"/>
      <c r="V36" s="17"/>
      <c r="W36" s="17"/>
      <c r="X36" s="17"/>
      <c r="Y36" s="17"/>
      <c r="Z36" s="17"/>
    </row>
    <row r="37" ht="15.75" customHeight="1">
      <c r="A37" s="7" t="s">
        <v>16</v>
      </c>
      <c r="B37" s="7">
        <v>34.0</v>
      </c>
      <c r="C37" s="1" t="str">
        <f t="shared" si="1"/>
        <v>Config.34</v>
      </c>
      <c r="D37" s="2" t="s">
        <v>13</v>
      </c>
      <c r="E37" s="2" t="s">
        <v>24</v>
      </c>
      <c r="F37" s="2" t="s">
        <v>29</v>
      </c>
      <c r="G37" s="2" t="s">
        <v>18</v>
      </c>
      <c r="H37" s="2" t="s">
        <v>18</v>
      </c>
      <c r="I37" s="2" t="s">
        <v>25</v>
      </c>
      <c r="J37" s="2" t="s">
        <v>15</v>
      </c>
      <c r="K37" s="3" t="s">
        <v>18</v>
      </c>
      <c r="L37" s="17"/>
      <c r="M37" s="17"/>
      <c r="N37" s="17"/>
      <c r="O37" s="17"/>
      <c r="P37" s="3"/>
      <c r="Q37" s="3"/>
      <c r="R37" s="3"/>
      <c r="S37" s="17"/>
      <c r="T37" s="17"/>
      <c r="U37" s="17"/>
      <c r="V37" s="17"/>
      <c r="W37" s="17"/>
      <c r="X37" s="17"/>
      <c r="Y37" s="17"/>
      <c r="Z37" s="17"/>
    </row>
    <row r="38" ht="15.75" customHeight="1">
      <c r="A38" s="7" t="s">
        <v>16</v>
      </c>
      <c r="B38" s="7">
        <v>35.0</v>
      </c>
      <c r="C38" s="1" t="str">
        <f t="shared" si="1"/>
        <v>Config.35</v>
      </c>
      <c r="D38" s="2" t="s">
        <v>13</v>
      </c>
      <c r="E38" s="2" t="s">
        <v>24</v>
      </c>
      <c r="F38" s="2" t="s">
        <v>29</v>
      </c>
      <c r="G38" s="2" t="s">
        <v>18</v>
      </c>
      <c r="H38" s="2" t="s">
        <v>18</v>
      </c>
      <c r="I38" s="2" t="s">
        <v>25</v>
      </c>
      <c r="J38" s="2" t="s">
        <v>22</v>
      </c>
      <c r="K38" s="3" t="s">
        <v>18</v>
      </c>
      <c r="L38" s="17"/>
      <c r="M38" s="17"/>
      <c r="N38" s="17"/>
      <c r="O38" s="17"/>
      <c r="P38" s="3"/>
      <c r="Q38" s="3"/>
      <c r="R38" s="3"/>
      <c r="S38" s="17"/>
      <c r="T38" s="17"/>
      <c r="U38" s="17"/>
      <c r="V38" s="17"/>
      <c r="W38" s="17"/>
      <c r="X38" s="17"/>
      <c r="Y38" s="17"/>
      <c r="Z38" s="17"/>
    </row>
    <row r="39" ht="15.75" customHeight="1">
      <c r="A39" s="7" t="s">
        <v>16</v>
      </c>
      <c r="B39" s="7">
        <v>36.0</v>
      </c>
      <c r="C39" s="1" t="str">
        <f t="shared" si="1"/>
        <v>Config.36</v>
      </c>
      <c r="D39" s="2" t="s">
        <v>13</v>
      </c>
      <c r="E39" s="2" t="s">
        <v>24</v>
      </c>
      <c r="F39" s="2" t="s">
        <v>29</v>
      </c>
      <c r="G39" s="2" t="s">
        <v>18</v>
      </c>
      <c r="H39" s="2" t="s">
        <v>18</v>
      </c>
      <c r="I39" s="2" t="s">
        <v>25</v>
      </c>
      <c r="J39" s="2" t="s">
        <v>18</v>
      </c>
      <c r="K39" s="3" t="s">
        <v>18</v>
      </c>
      <c r="L39" s="17"/>
      <c r="M39" s="17"/>
      <c r="N39" s="17"/>
      <c r="O39" s="17"/>
      <c r="P39" s="3"/>
      <c r="Q39" s="3"/>
      <c r="R39" s="3"/>
      <c r="S39" s="17"/>
      <c r="T39" s="17"/>
      <c r="U39" s="17"/>
      <c r="V39" s="17"/>
      <c r="W39" s="17"/>
      <c r="X39" s="17"/>
      <c r="Y39" s="17"/>
      <c r="Z39" s="17"/>
    </row>
    <row r="40" ht="15.75" customHeight="1">
      <c r="A40" s="7" t="s">
        <v>16</v>
      </c>
      <c r="B40" s="7">
        <v>37.0</v>
      </c>
      <c r="C40" s="1" t="str">
        <f t="shared" si="1"/>
        <v>Config.37</v>
      </c>
      <c r="D40" s="2" t="s">
        <v>13</v>
      </c>
      <c r="E40" s="2" t="s">
        <v>29</v>
      </c>
      <c r="F40" s="2" t="s">
        <v>18</v>
      </c>
      <c r="G40" s="2" t="s">
        <v>18</v>
      </c>
      <c r="H40" s="2" t="s">
        <v>18</v>
      </c>
      <c r="I40" s="2" t="s">
        <v>18</v>
      </c>
      <c r="J40" s="2"/>
      <c r="K40" s="3" t="s">
        <v>18</v>
      </c>
      <c r="L40" s="17"/>
      <c r="M40" s="17"/>
      <c r="N40" s="17"/>
      <c r="O40" s="17"/>
      <c r="P40" s="3"/>
      <c r="Q40" s="3"/>
      <c r="R40" s="3"/>
      <c r="S40" s="17"/>
      <c r="T40" s="17"/>
      <c r="U40" s="17"/>
      <c r="V40" s="17"/>
      <c r="W40" s="17"/>
      <c r="X40" s="17"/>
      <c r="Y40" s="17"/>
      <c r="Z40" s="17"/>
    </row>
    <row r="41" ht="15.75" customHeight="1">
      <c r="A41" s="7" t="s">
        <v>16</v>
      </c>
      <c r="B41" s="7">
        <v>38.0</v>
      </c>
      <c r="C41" s="1" t="str">
        <f t="shared" si="1"/>
        <v>Config.38</v>
      </c>
      <c r="D41" s="2" t="s">
        <v>13</v>
      </c>
      <c r="E41" s="2" t="s">
        <v>29</v>
      </c>
      <c r="F41" s="2" t="s">
        <v>18</v>
      </c>
      <c r="G41" s="2" t="s">
        <v>18</v>
      </c>
      <c r="H41" s="2" t="s">
        <v>18</v>
      </c>
      <c r="I41" s="2" t="s">
        <v>15</v>
      </c>
      <c r="J41" s="2" t="s">
        <v>18</v>
      </c>
      <c r="K41" s="3" t="s">
        <v>18</v>
      </c>
      <c r="L41" s="17"/>
      <c r="M41" s="17"/>
      <c r="N41" s="17"/>
      <c r="O41" s="17"/>
      <c r="P41" s="3"/>
      <c r="Q41" s="3"/>
      <c r="R41" s="3"/>
      <c r="S41" s="17"/>
      <c r="T41" s="17"/>
      <c r="U41" s="17"/>
      <c r="V41" s="17"/>
      <c r="W41" s="17"/>
      <c r="X41" s="17"/>
      <c r="Y41" s="17"/>
      <c r="Z41" s="17"/>
    </row>
    <row r="42" ht="15.75" customHeight="1">
      <c r="A42" s="7" t="s">
        <v>16</v>
      </c>
      <c r="B42" s="7">
        <v>39.0</v>
      </c>
      <c r="C42" s="1" t="str">
        <f t="shared" si="1"/>
        <v>Config.39</v>
      </c>
      <c r="D42" s="2" t="s">
        <v>13</v>
      </c>
      <c r="E42" s="2" t="s">
        <v>29</v>
      </c>
      <c r="F42" s="2" t="s">
        <v>18</v>
      </c>
      <c r="G42" s="2" t="s">
        <v>18</v>
      </c>
      <c r="H42" s="2" t="s">
        <v>18</v>
      </c>
      <c r="I42" s="2" t="s">
        <v>22</v>
      </c>
      <c r="J42" s="2" t="s">
        <v>18</v>
      </c>
      <c r="K42" s="3" t="s">
        <v>18</v>
      </c>
      <c r="L42" s="17"/>
      <c r="M42" s="17"/>
      <c r="N42" s="17"/>
      <c r="O42" s="17"/>
      <c r="P42" s="3"/>
      <c r="Q42" s="3"/>
      <c r="R42" s="3"/>
      <c r="S42" s="17"/>
      <c r="T42" s="17"/>
      <c r="U42" s="17"/>
      <c r="V42" s="17"/>
      <c r="W42" s="17"/>
      <c r="X42" s="17"/>
      <c r="Y42" s="17"/>
      <c r="Z42" s="17"/>
    </row>
    <row r="43" ht="15.75" customHeight="1">
      <c r="A43" s="7" t="s">
        <v>16</v>
      </c>
      <c r="B43" s="7">
        <v>40.0</v>
      </c>
      <c r="C43" s="1" t="str">
        <f t="shared" si="1"/>
        <v>Config.40</v>
      </c>
      <c r="D43" s="2" t="s">
        <v>13</v>
      </c>
      <c r="E43" s="2" t="s">
        <v>29</v>
      </c>
      <c r="F43" s="2" t="s">
        <v>18</v>
      </c>
      <c r="G43" s="2" t="s">
        <v>18</v>
      </c>
      <c r="H43" s="2" t="s">
        <v>18</v>
      </c>
      <c r="I43" s="2" t="s">
        <v>25</v>
      </c>
      <c r="J43" s="2" t="s">
        <v>15</v>
      </c>
      <c r="K43" s="3" t="s">
        <v>18</v>
      </c>
      <c r="L43" s="17"/>
      <c r="M43" s="17"/>
      <c r="N43" s="17"/>
      <c r="O43" s="17"/>
      <c r="P43" s="3"/>
      <c r="Q43" s="3"/>
      <c r="R43" s="3"/>
      <c r="S43" s="17"/>
      <c r="T43" s="17"/>
      <c r="U43" s="17"/>
      <c r="V43" s="17"/>
      <c r="W43" s="17"/>
      <c r="X43" s="17"/>
      <c r="Y43" s="17"/>
      <c r="Z43" s="17"/>
    </row>
    <row r="44" ht="15.75" customHeight="1">
      <c r="A44" s="7" t="s">
        <v>16</v>
      </c>
      <c r="B44" s="7">
        <v>41.0</v>
      </c>
      <c r="C44" s="1" t="str">
        <f t="shared" si="1"/>
        <v>Config.41</v>
      </c>
      <c r="D44" s="2" t="s">
        <v>13</v>
      </c>
      <c r="E44" s="2" t="s">
        <v>29</v>
      </c>
      <c r="F44" s="2" t="s">
        <v>18</v>
      </c>
      <c r="G44" s="2" t="s">
        <v>18</v>
      </c>
      <c r="H44" s="2" t="s">
        <v>18</v>
      </c>
      <c r="I44" s="2" t="s">
        <v>25</v>
      </c>
      <c r="J44" s="2" t="s">
        <v>22</v>
      </c>
      <c r="K44" s="3" t="s">
        <v>18</v>
      </c>
      <c r="L44" s="17"/>
      <c r="M44" s="17"/>
      <c r="N44" s="17"/>
      <c r="O44" s="17"/>
      <c r="P44" s="3"/>
      <c r="Q44" s="3"/>
      <c r="R44" s="3"/>
      <c r="S44" s="17"/>
      <c r="T44" s="17"/>
      <c r="U44" s="17"/>
      <c r="V44" s="17"/>
      <c r="W44" s="17"/>
      <c r="X44" s="17"/>
      <c r="Y44" s="17"/>
      <c r="Z44" s="17"/>
    </row>
    <row r="45" ht="15.75" customHeight="1">
      <c r="A45" s="7" t="s">
        <v>16</v>
      </c>
      <c r="B45" s="7">
        <v>42.0</v>
      </c>
      <c r="C45" s="1" t="str">
        <f t="shared" si="1"/>
        <v>Config.42</v>
      </c>
      <c r="D45" s="2" t="s">
        <v>13</v>
      </c>
      <c r="E45" s="2" t="s">
        <v>29</v>
      </c>
      <c r="F45" s="2" t="s">
        <v>18</v>
      </c>
      <c r="G45" s="2" t="s">
        <v>18</v>
      </c>
      <c r="H45" s="2" t="s">
        <v>18</v>
      </c>
      <c r="I45" s="2" t="s">
        <v>25</v>
      </c>
      <c r="J45" s="2" t="s">
        <v>18</v>
      </c>
      <c r="K45" s="3" t="s">
        <v>18</v>
      </c>
      <c r="L45" s="17"/>
      <c r="M45" s="17"/>
      <c r="N45" s="17"/>
      <c r="O45" s="17"/>
      <c r="P45" s="3"/>
      <c r="Q45" s="3"/>
      <c r="R45" s="3"/>
      <c r="S45" s="17"/>
      <c r="T45" s="17"/>
      <c r="U45" s="17"/>
      <c r="V45" s="17"/>
      <c r="W45" s="17"/>
      <c r="X45" s="17"/>
      <c r="Y45" s="17"/>
      <c r="Z45" s="17"/>
    </row>
    <row r="46" ht="15.75" customHeight="1">
      <c r="A46" s="7" t="s">
        <v>16</v>
      </c>
      <c r="B46" s="7">
        <v>43.0</v>
      </c>
      <c r="C46" s="1" t="str">
        <f t="shared" si="1"/>
        <v>Config.43</v>
      </c>
      <c r="D46" s="2" t="s">
        <v>21</v>
      </c>
      <c r="E46" s="2" t="s">
        <v>14</v>
      </c>
      <c r="F46" s="2" t="s">
        <v>17</v>
      </c>
      <c r="G46" s="2" t="s">
        <v>18</v>
      </c>
      <c r="H46" s="2" t="s">
        <v>18</v>
      </c>
      <c r="I46" s="2" t="s">
        <v>18</v>
      </c>
      <c r="J46" s="2" t="s">
        <v>18</v>
      </c>
      <c r="K46" s="3" t="s">
        <v>18</v>
      </c>
      <c r="L46" s="7"/>
      <c r="M46" s="7"/>
      <c r="N46" s="7"/>
      <c r="O46" s="7"/>
      <c r="P46" s="3"/>
      <c r="Q46" s="3"/>
      <c r="R46" s="3"/>
      <c r="S46" s="7"/>
      <c r="T46" s="7"/>
      <c r="U46" s="7"/>
      <c r="V46" s="7"/>
      <c r="W46" s="7"/>
      <c r="X46" s="7"/>
      <c r="Y46" s="7"/>
      <c r="Z46" s="7"/>
    </row>
    <row r="47" ht="15.75" customHeight="1">
      <c r="A47" s="7" t="s">
        <v>16</v>
      </c>
      <c r="B47" s="7">
        <v>44.0</v>
      </c>
      <c r="C47" s="1" t="str">
        <f t="shared" si="1"/>
        <v>Config.44</v>
      </c>
      <c r="D47" s="2" t="s">
        <v>21</v>
      </c>
      <c r="E47" s="2" t="s">
        <v>14</v>
      </c>
      <c r="F47" s="2" t="s">
        <v>17</v>
      </c>
      <c r="G47" s="2" t="s">
        <v>18</v>
      </c>
      <c r="H47" s="2" t="s">
        <v>18</v>
      </c>
      <c r="I47" s="2" t="s">
        <v>15</v>
      </c>
      <c r="J47" s="2" t="s">
        <v>18</v>
      </c>
      <c r="K47" s="3" t="s">
        <v>18</v>
      </c>
      <c r="L47" s="7"/>
      <c r="M47" s="7"/>
      <c r="N47" s="7"/>
      <c r="O47" s="7"/>
      <c r="P47" s="3"/>
      <c r="Q47" s="3"/>
      <c r="R47" s="3"/>
      <c r="S47" s="7"/>
      <c r="T47" s="7"/>
      <c r="U47" s="7"/>
      <c r="V47" s="7"/>
      <c r="W47" s="7"/>
      <c r="X47" s="7"/>
      <c r="Y47" s="7"/>
      <c r="Z47" s="7"/>
    </row>
    <row r="48" ht="15.75" customHeight="1">
      <c r="A48" s="7" t="s">
        <v>16</v>
      </c>
      <c r="B48" s="7">
        <v>45.0</v>
      </c>
      <c r="C48" s="1" t="str">
        <f t="shared" si="1"/>
        <v>Config.45</v>
      </c>
      <c r="D48" s="2" t="s">
        <v>21</v>
      </c>
      <c r="E48" s="2" t="s">
        <v>14</v>
      </c>
      <c r="F48" s="2" t="s">
        <v>17</v>
      </c>
      <c r="G48" s="2" t="s">
        <v>18</v>
      </c>
      <c r="H48" s="2" t="s">
        <v>18</v>
      </c>
      <c r="I48" s="2" t="s">
        <v>22</v>
      </c>
      <c r="J48" s="2" t="s">
        <v>18</v>
      </c>
      <c r="K48" s="3" t="s">
        <v>18</v>
      </c>
      <c r="L48" s="7"/>
      <c r="M48" s="7"/>
      <c r="N48" s="7"/>
      <c r="O48" s="7"/>
      <c r="P48" s="3"/>
      <c r="Q48" s="3"/>
      <c r="R48" s="3"/>
      <c r="S48" s="7"/>
      <c r="T48" s="7"/>
      <c r="U48" s="7"/>
      <c r="V48" s="7"/>
      <c r="W48" s="7"/>
      <c r="X48" s="7"/>
      <c r="Y48" s="7"/>
      <c r="Z48" s="7"/>
    </row>
    <row r="49" ht="15.75" customHeight="1">
      <c r="A49" s="7" t="s">
        <v>16</v>
      </c>
      <c r="B49" s="7">
        <v>46.0</v>
      </c>
      <c r="C49" s="1" t="str">
        <f t="shared" si="1"/>
        <v>Config.46</v>
      </c>
      <c r="D49" s="2" t="s">
        <v>21</v>
      </c>
      <c r="E49" s="2" t="s">
        <v>14</v>
      </c>
      <c r="F49" s="2" t="s">
        <v>17</v>
      </c>
      <c r="G49" s="2" t="s">
        <v>18</v>
      </c>
      <c r="H49" s="2" t="s">
        <v>18</v>
      </c>
      <c r="I49" s="2" t="s">
        <v>25</v>
      </c>
      <c r="J49" s="2" t="s">
        <v>15</v>
      </c>
      <c r="K49" s="3" t="s">
        <v>18</v>
      </c>
      <c r="L49" s="7"/>
      <c r="M49" s="7"/>
      <c r="N49" s="7"/>
      <c r="O49" s="7"/>
      <c r="P49" s="3"/>
      <c r="Q49" s="3"/>
      <c r="R49" s="3"/>
      <c r="S49" s="7"/>
      <c r="T49" s="7"/>
      <c r="U49" s="7"/>
      <c r="V49" s="7"/>
      <c r="W49" s="7"/>
      <c r="X49" s="7"/>
      <c r="Y49" s="7"/>
      <c r="Z49" s="7"/>
    </row>
    <row r="50" ht="15.75" customHeight="1">
      <c r="A50" s="7" t="s">
        <v>16</v>
      </c>
      <c r="B50" s="7">
        <v>47.0</v>
      </c>
      <c r="C50" s="1" t="str">
        <f t="shared" si="1"/>
        <v>Config.47</v>
      </c>
      <c r="D50" s="2" t="s">
        <v>21</v>
      </c>
      <c r="E50" s="2" t="s">
        <v>14</v>
      </c>
      <c r="F50" s="2" t="s">
        <v>17</v>
      </c>
      <c r="G50" s="2" t="s">
        <v>18</v>
      </c>
      <c r="H50" s="2" t="s">
        <v>18</v>
      </c>
      <c r="I50" s="2" t="s">
        <v>25</v>
      </c>
      <c r="J50" s="2" t="s">
        <v>22</v>
      </c>
      <c r="K50" s="3" t="s">
        <v>18</v>
      </c>
      <c r="L50" s="7"/>
      <c r="M50" s="7"/>
      <c r="N50" s="7"/>
      <c r="O50" s="7"/>
      <c r="P50" s="3"/>
      <c r="Q50" s="3"/>
      <c r="R50" s="3"/>
      <c r="S50" s="7"/>
      <c r="T50" s="7"/>
      <c r="U50" s="7"/>
      <c r="V50" s="7"/>
      <c r="W50" s="7"/>
      <c r="X50" s="7"/>
      <c r="Y50" s="7"/>
      <c r="Z50" s="7"/>
    </row>
    <row r="51" ht="15.75" customHeight="1">
      <c r="A51" s="7" t="s">
        <v>16</v>
      </c>
      <c r="B51" s="7">
        <v>48.0</v>
      </c>
      <c r="C51" s="1" t="str">
        <f t="shared" si="1"/>
        <v>Config.48</v>
      </c>
      <c r="D51" s="2" t="s">
        <v>21</v>
      </c>
      <c r="E51" s="2" t="s">
        <v>14</v>
      </c>
      <c r="F51" s="2" t="s">
        <v>17</v>
      </c>
      <c r="G51" s="2" t="s">
        <v>18</v>
      </c>
      <c r="H51" s="2" t="s">
        <v>18</v>
      </c>
      <c r="I51" s="2" t="s">
        <v>25</v>
      </c>
      <c r="J51" s="2" t="s">
        <v>18</v>
      </c>
      <c r="K51" s="3" t="s">
        <v>18</v>
      </c>
      <c r="L51" s="7" t="s">
        <v>20</v>
      </c>
      <c r="M51" s="7"/>
      <c r="N51" s="7"/>
      <c r="O51" s="7"/>
      <c r="P51" s="3"/>
      <c r="Q51" s="3"/>
      <c r="R51" s="3"/>
      <c r="S51" s="7"/>
      <c r="T51" s="7"/>
      <c r="U51" s="7"/>
      <c r="V51" s="7"/>
      <c r="W51" s="7"/>
      <c r="X51" s="7"/>
      <c r="Y51" s="7"/>
      <c r="Z51" s="7"/>
    </row>
    <row r="52" ht="15.75" customHeight="1">
      <c r="A52" s="7" t="s">
        <v>16</v>
      </c>
      <c r="B52" s="7">
        <v>49.0</v>
      </c>
      <c r="C52" s="1" t="str">
        <f t="shared" si="1"/>
        <v>Config.49</v>
      </c>
      <c r="D52" s="2" t="s">
        <v>21</v>
      </c>
      <c r="E52" s="2" t="s">
        <v>24</v>
      </c>
      <c r="F52" s="2" t="s">
        <v>24</v>
      </c>
      <c r="G52" s="22" t="s">
        <v>18</v>
      </c>
      <c r="H52" s="22" t="s">
        <v>18</v>
      </c>
      <c r="I52" s="22" t="s">
        <v>18</v>
      </c>
      <c r="J52" s="22" t="s">
        <v>18</v>
      </c>
      <c r="K52" s="3" t="s">
        <v>18</v>
      </c>
      <c r="L52" s="7" t="s">
        <v>20</v>
      </c>
      <c r="M52" s="17"/>
      <c r="N52" s="17"/>
      <c r="O52" s="17"/>
      <c r="P52" s="3"/>
      <c r="Q52" s="3"/>
      <c r="R52" s="3"/>
      <c r="S52" s="17"/>
      <c r="T52" s="17"/>
      <c r="U52" s="17"/>
      <c r="V52" s="17"/>
      <c r="W52" s="17"/>
      <c r="X52" s="17"/>
      <c r="Y52" s="17"/>
      <c r="Z52" s="17"/>
    </row>
    <row r="53" ht="15.75" customHeight="1">
      <c r="A53" s="7" t="s">
        <v>16</v>
      </c>
      <c r="B53" s="7">
        <v>50.0</v>
      </c>
      <c r="C53" s="1" t="str">
        <f t="shared" si="1"/>
        <v>Config.50</v>
      </c>
      <c r="D53" s="2" t="s">
        <v>21</v>
      </c>
      <c r="E53" s="2" t="s">
        <v>24</v>
      </c>
      <c r="F53" s="2" t="s">
        <v>24</v>
      </c>
      <c r="G53" s="2" t="s">
        <v>18</v>
      </c>
      <c r="H53" s="2" t="s">
        <v>18</v>
      </c>
      <c r="I53" s="2" t="s">
        <v>15</v>
      </c>
      <c r="J53" s="2" t="s">
        <v>18</v>
      </c>
      <c r="K53" s="3" t="s">
        <v>18</v>
      </c>
      <c r="L53" s="7" t="s">
        <v>20</v>
      </c>
      <c r="M53" s="17"/>
      <c r="N53" s="17"/>
      <c r="O53" s="17"/>
      <c r="P53" s="3"/>
      <c r="Q53" s="3"/>
      <c r="R53" s="3"/>
      <c r="S53" s="17"/>
      <c r="T53" s="17"/>
      <c r="U53" s="17"/>
      <c r="V53" s="17"/>
      <c r="W53" s="17"/>
      <c r="X53" s="17"/>
      <c r="Y53" s="17"/>
      <c r="Z53" s="17"/>
    </row>
    <row r="54" ht="15.75" customHeight="1">
      <c r="A54" s="7" t="s">
        <v>16</v>
      </c>
      <c r="B54" s="7">
        <v>51.0</v>
      </c>
      <c r="C54" s="1" t="str">
        <f t="shared" si="1"/>
        <v>Config.51</v>
      </c>
      <c r="D54" s="2" t="s">
        <v>21</v>
      </c>
      <c r="E54" s="2" t="s">
        <v>24</v>
      </c>
      <c r="F54" s="2" t="s">
        <v>24</v>
      </c>
      <c r="G54" s="2" t="s">
        <v>18</v>
      </c>
      <c r="H54" s="2" t="s">
        <v>18</v>
      </c>
      <c r="I54" s="2" t="s">
        <v>22</v>
      </c>
      <c r="J54" s="2" t="s">
        <v>18</v>
      </c>
      <c r="K54" s="3" t="s">
        <v>18</v>
      </c>
      <c r="L54" s="7" t="s">
        <v>20</v>
      </c>
      <c r="M54" s="17"/>
      <c r="N54" s="17"/>
      <c r="O54" s="17"/>
      <c r="P54" s="3"/>
      <c r="Q54" s="3"/>
      <c r="R54" s="3"/>
      <c r="S54" s="17"/>
      <c r="T54" s="17"/>
      <c r="U54" s="17"/>
      <c r="V54" s="17"/>
      <c r="W54" s="17"/>
      <c r="X54" s="17"/>
      <c r="Y54" s="17"/>
      <c r="Z54" s="17"/>
    </row>
    <row r="55" ht="15.75" customHeight="1">
      <c r="A55" s="7" t="s">
        <v>16</v>
      </c>
      <c r="B55" s="7">
        <v>52.0</v>
      </c>
      <c r="C55" s="1" t="str">
        <f t="shared" si="1"/>
        <v>Config.52</v>
      </c>
      <c r="D55" s="2" t="s">
        <v>21</v>
      </c>
      <c r="E55" s="2" t="s">
        <v>24</v>
      </c>
      <c r="F55" s="2" t="s">
        <v>24</v>
      </c>
      <c r="G55" s="2" t="s">
        <v>18</v>
      </c>
      <c r="H55" s="2" t="s">
        <v>18</v>
      </c>
      <c r="I55" s="2" t="s">
        <v>25</v>
      </c>
      <c r="J55" s="2" t="s">
        <v>15</v>
      </c>
      <c r="K55" s="3" t="s">
        <v>18</v>
      </c>
      <c r="L55" s="17"/>
      <c r="M55" s="17"/>
      <c r="N55" s="17"/>
      <c r="O55" s="17"/>
      <c r="P55" s="3"/>
      <c r="Q55" s="3"/>
      <c r="R55" s="3"/>
      <c r="S55" s="17"/>
      <c r="T55" s="17"/>
      <c r="U55" s="17"/>
      <c r="V55" s="17"/>
      <c r="W55" s="17"/>
      <c r="X55" s="17"/>
      <c r="Y55" s="17"/>
      <c r="Z55" s="17"/>
    </row>
    <row r="56" ht="15.75" customHeight="1">
      <c r="A56" s="7" t="s">
        <v>16</v>
      </c>
      <c r="B56" s="7">
        <v>53.0</v>
      </c>
      <c r="C56" s="1" t="str">
        <f t="shared" si="1"/>
        <v>Config.53</v>
      </c>
      <c r="D56" s="2" t="s">
        <v>21</v>
      </c>
      <c r="E56" s="2" t="s">
        <v>24</v>
      </c>
      <c r="F56" s="2" t="s">
        <v>24</v>
      </c>
      <c r="G56" s="2" t="s">
        <v>18</v>
      </c>
      <c r="H56" s="2" t="s">
        <v>18</v>
      </c>
      <c r="I56" s="2" t="s">
        <v>25</v>
      </c>
      <c r="J56" s="2" t="s">
        <v>22</v>
      </c>
      <c r="K56" s="3" t="s">
        <v>18</v>
      </c>
      <c r="L56" s="17"/>
      <c r="M56" s="17"/>
      <c r="N56" s="17"/>
      <c r="O56" s="17"/>
      <c r="P56" s="3"/>
      <c r="Q56" s="3"/>
      <c r="R56" s="3"/>
      <c r="S56" s="17"/>
      <c r="T56" s="17"/>
      <c r="U56" s="17"/>
      <c r="V56" s="17"/>
      <c r="W56" s="17"/>
      <c r="X56" s="17"/>
      <c r="Y56" s="17"/>
      <c r="Z56" s="17"/>
    </row>
    <row r="57" ht="15.75" customHeight="1">
      <c r="A57" s="7" t="s">
        <v>16</v>
      </c>
      <c r="B57" s="7">
        <v>54.0</v>
      </c>
      <c r="C57" s="1" t="str">
        <f t="shared" si="1"/>
        <v>Config.54</v>
      </c>
      <c r="D57" s="2" t="s">
        <v>21</v>
      </c>
      <c r="E57" s="2" t="s">
        <v>24</v>
      </c>
      <c r="F57" s="2" t="s">
        <v>24</v>
      </c>
      <c r="G57" s="2" t="s">
        <v>18</v>
      </c>
      <c r="H57" s="2" t="s">
        <v>18</v>
      </c>
      <c r="I57" s="2" t="s">
        <v>25</v>
      </c>
      <c r="J57" s="2" t="s">
        <v>18</v>
      </c>
      <c r="K57" s="3" t="s">
        <v>18</v>
      </c>
      <c r="L57" s="17"/>
      <c r="M57" s="17"/>
      <c r="N57" s="17"/>
      <c r="O57" s="17"/>
      <c r="P57" s="3"/>
      <c r="Q57" s="3"/>
      <c r="R57" s="3"/>
      <c r="S57" s="17"/>
      <c r="T57" s="17"/>
      <c r="U57" s="17"/>
      <c r="V57" s="17"/>
      <c r="W57" s="17"/>
      <c r="X57" s="17"/>
      <c r="Y57" s="17"/>
      <c r="Z57" s="17"/>
    </row>
    <row r="58" ht="15.75" customHeight="1">
      <c r="A58" s="7" t="s">
        <v>16</v>
      </c>
      <c r="B58" s="7">
        <v>55.0</v>
      </c>
      <c r="C58" s="1" t="str">
        <f t="shared" si="1"/>
        <v>Config.55</v>
      </c>
      <c r="D58" s="2" t="s">
        <v>21</v>
      </c>
      <c r="E58" s="2" t="s">
        <v>24</v>
      </c>
      <c r="F58" s="2" t="s">
        <v>17</v>
      </c>
      <c r="G58" s="2" t="s">
        <v>18</v>
      </c>
      <c r="H58" s="2" t="s">
        <v>18</v>
      </c>
      <c r="I58" s="2" t="s">
        <v>18</v>
      </c>
      <c r="J58" s="2" t="s">
        <v>18</v>
      </c>
      <c r="K58" s="3" t="s">
        <v>18</v>
      </c>
      <c r="L58" s="17"/>
      <c r="M58" s="17"/>
      <c r="N58" s="17"/>
      <c r="O58" s="17"/>
      <c r="P58" s="3"/>
      <c r="Q58" s="3"/>
      <c r="R58" s="3"/>
      <c r="S58" s="17"/>
      <c r="T58" s="17"/>
      <c r="U58" s="17"/>
      <c r="V58" s="17"/>
      <c r="W58" s="17"/>
      <c r="X58" s="17"/>
      <c r="Y58" s="17"/>
      <c r="Z58" s="17"/>
    </row>
    <row r="59" ht="15.75" customHeight="1">
      <c r="A59" s="7" t="s">
        <v>16</v>
      </c>
      <c r="B59" s="7">
        <v>56.0</v>
      </c>
      <c r="C59" s="1" t="str">
        <f t="shared" si="1"/>
        <v>Config.56</v>
      </c>
      <c r="D59" s="2" t="s">
        <v>21</v>
      </c>
      <c r="E59" s="2" t="s">
        <v>24</v>
      </c>
      <c r="F59" s="2" t="s">
        <v>17</v>
      </c>
      <c r="G59" s="2" t="s">
        <v>18</v>
      </c>
      <c r="H59" s="2" t="s">
        <v>18</v>
      </c>
      <c r="I59" s="2" t="s">
        <v>15</v>
      </c>
      <c r="J59" s="2" t="s">
        <v>18</v>
      </c>
      <c r="K59" s="3" t="s">
        <v>18</v>
      </c>
      <c r="L59" s="17"/>
      <c r="M59" s="17"/>
      <c r="N59" s="17"/>
      <c r="O59" s="17"/>
      <c r="P59" s="3"/>
      <c r="Q59" s="3"/>
      <c r="R59" s="3"/>
      <c r="S59" s="17"/>
      <c r="T59" s="17"/>
      <c r="U59" s="17"/>
      <c r="V59" s="17"/>
      <c r="W59" s="17"/>
      <c r="X59" s="17"/>
      <c r="Y59" s="17"/>
      <c r="Z59" s="17"/>
    </row>
    <row r="60" ht="15.75" customHeight="1">
      <c r="A60" s="7" t="s">
        <v>16</v>
      </c>
      <c r="B60" s="7">
        <v>57.0</v>
      </c>
      <c r="C60" s="1" t="str">
        <f t="shared" si="1"/>
        <v>Config.57</v>
      </c>
      <c r="D60" s="2" t="s">
        <v>21</v>
      </c>
      <c r="E60" s="2" t="s">
        <v>24</v>
      </c>
      <c r="F60" s="2" t="s">
        <v>17</v>
      </c>
      <c r="G60" s="2" t="s">
        <v>18</v>
      </c>
      <c r="H60" s="2" t="s">
        <v>18</v>
      </c>
      <c r="I60" s="2" t="s">
        <v>22</v>
      </c>
      <c r="J60" s="2" t="s">
        <v>18</v>
      </c>
      <c r="K60" s="3" t="s">
        <v>18</v>
      </c>
      <c r="L60" s="17"/>
      <c r="M60" s="17"/>
      <c r="N60" s="17"/>
      <c r="O60" s="17"/>
      <c r="P60" s="3"/>
      <c r="Q60" s="3"/>
      <c r="R60" s="3"/>
      <c r="S60" s="17"/>
      <c r="T60" s="17"/>
      <c r="U60" s="17"/>
      <c r="V60" s="17"/>
      <c r="W60" s="17"/>
      <c r="X60" s="17"/>
      <c r="Y60" s="17"/>
      <c r="Z60" s="17"/>
    </row>
    <row r="61" ht="15.75" customHeight="1">
      <c r="A61" s="7" t="s">
        <v>16</v>
      </c>
      <c r="B61" s="7">
        <v>58.0</v>
      </c>
      <c r="C61" s="1" t="str">
        <f t="shared" si="1"/>
        <v>Config.58</v>
      </c>
      <c r="D61" s="2" t="s">
        <v>21</v>
      </c>
      <c r="E61" s="2" t="s">
        <v>24</v>
      </c>
      <c r="F61" s="2" t="s">
        <v>17</v>
      </c>
      <c r="G61" s="2" t="s">
        <v>18</v>
      </c>
      <c r="H61" s="2" t="s">
        <v>18</v>
      </c>
      <c r="I61" s="2" t="s">
        <v>25</v>
      </c>
      <c r="J61" s="2" t="s">
        <v>15</v>
      </c>
      <c r="K61" s="3" t="s">
        <v>18</v>
      </c>
      <c r="L61" s="17"/>
      <c r="M61" s="17"/>
      <c r="N61" s="17"/>
      <c r="O61" s="17"/>
      <c r="P61" s="3"/>
      <c r="Q61" s="3"/>
      <c r="R61" s="3"/>
      <c r="S61" s="17"/>
      <c r="T61" s="17"/>
      <c r="U61" s="17"/>
      <c r="V61" s="17"/>
      <c r="W61" s="17"/>
      <c r="X61" s="17"/>
      <c r="Y61" s="17"/>
      <c r="Z61" s="17"/>
    </row>
    <row r="62" ht="15.75" customHeight="1">
      <c r="A62" s="7" t="s">
        <v>16</v>
      </c>
      <c r="B62" s="7">
        <v>59.0</v>
      </c>
      <c r="C62" s="1" t="str">
        <f t="shared" si="1"/>
        <v>Config.59</v>
      </c>
      <c r="D62" s="2" t="s">
        <v>21</v>
      </c>
      <c r="E62" s="2" t="s">
        <v>24</v>
      </c>
      <c r="F62" s="2" t="s">
        <v>17</v>
      </c>
      <c r="G62" s="2" t="s">
        <v>18</v>
      </c>
      <c r="H62" s="2" t="s">
        <v>18</v>
      </c>
      <c r="I62" s="2" t="s">
        <v>25</v>
      </c>
      <c r="J62" s="2" t="s">
        <v>22</v>
      </c>
      <c r="K62" s="3" t="s">
        <v>18</v>
      </c>
      <c r="L62" s="17"/>
      <c r="M62" s="17"/>
      <c r="N62" s="17"/>
      <c r="O62" s="17"/>
      <c r="P62" s="3"/>
      <c r="Q62" s="3"/>
      <c r="R62" s="3"/>
      <c r="S62" s="17"/>
      <c r="T62" s="17"/>
      <c r="U62" s="17"/>
      <c r="V62" s="17"/>
      <c r="W62" s="17"/>
      <c r="X62" s="17"/>
      <c r="Y62" s="17"/>
      <c r="Z62" s="17"/>
    </row>
    <row r="63" ht="15.75" customHeight="1">
      <c r="A63" s="7" t="s">
        <v>16</v>
      </c>
      <c r="B63" s="7">
        <v>60.0</v>
      </c>
      <c r="C63" s="1" t="str">
        <f t="shared" si="1"/>
        <v>Config.60</v>
      </c>
      <c r="D63" s="2" t="s">
        <v>21</v>
      </c>
      <c r="E63" s="2" t="s">
        <v>24</v>
      </c>
      <c r="F63" s="2" t="s">
        <v>17</v>
      </c>
      <c r="G63" s="2" t="s">
        <v>18</v>
      </c>
      <c r="H63" s="2" t="s">
        <v>18</v>
      </c>
      <c r="I63" s="2" t="s">
        <v>25</v>
      </c>
      <c r="J63" s="2" t="s">
        <v>18</v>
      </c>
      <c r="K63" s="3" t="s">
        <v>18</v>
      </c>
      <c r="L63" s="17"/>
      <c r="M63" s="17"/>
      <c r="N63" s="17"/>
      <c r="O63" s="17"/>
      <c r="P63" s="3"/>
      <c r="Q63" s="3"/>
      <c r="R63" s="3"/>
      <c r="S63" s="17"/>
      <c r="T63" s="17"/>
      <c r="U63" s="17"/>
      <c r="V63" s="17"/>
      <c r="W63" s="17"/>
      <c r="X63" s="17"/>
      <c r="Y63" s="17"/>
      <c r="Z63" s="17"/>
    </row>
    <row r="64" ht="15.75" customHeight="1">
      <c r="A64" s="7" t="s">
        <v>16</v>
      </c>
      <c r="B64" s="7">
        <v>61.0</v>
      </c>
      <c r="C64" s="1" t="str">
        <f t="shared" si="1"/>
        <v>Config.61</v>
      </c>
      <c r="D64" s="2" t="s">
        <v>21</v>
      </c>
      <c r="E64" s="2" t="s">
        <v>24</v>
      </c>
      <c r="F64" s="2" t="s">
        <v>24</v>
      </c>
      <c r="G64" s="2" t="s">
        <v>27</v>
      </c>
      <c r="H64" s="2" t="s">
        <v>18</v>
      </c>
      <c r="I64" s="2" t="s">
        <v>18</v>
      </c>
      <c r="J64" s="2" t="s">
        <v>18</v>
      </c>
      <c r="K64" s="3" t="s">
        <v>18</v>
      </c>
      <c r="L64" s="17"/>
      <c r="M64" s="17"/>
      <c r="N64" s="17"/>
      <c r="O64" s="17"/>
      <c r="P64" s="3"/>
      <c r="Q64" s="3"/>
      <c r="R64" s="3"/>
      <c r="S64" s="17"/>
      <c r="T64" s="17"/>
      <c r="U64" s="17"/>
      <c r="V64" s="17"/>
      <c r="W64" s="17"/>
      <c r="X64" s="17"/>
      <c r="Y64" s="17"/>
      <c r="Z64" s="17"/>
    </row>
    <row r="65" ht="15.75" customHeight="1">
      <c r="A65" s="7" t="s">
        <v>16</v>
      </c>
      <c r="B65" s="7">
        <v>62.0</v>
      </c>
      <c r="C65" s="18" t="str">
        <f t="shared" si="1"/>
        <v>Config.62</v>
      </c>
      <c r="D65" s="19" t="s">
        <v>21</v>
      </c>
      <c r="E65" s="19" t="s">
        <v>24</v>
      </c>
      <c r="F65" s="19" t="s">
        <v>24</v>
      </c>
      <c r="G65" s="19" t="s">
        <v>27</v>
      </c>
      <c r="H65" s="19" t="s">
        <v>18</v>
      </c>
      <c r="I65" s="19" t="s">
        <v>15</v>
      </c>
      <c r="J65" s="19" t="s">
        <v>18</v>
      </c>
      <c r="K65" s="3" t="s">
        <v>18</v>
      </c>
      <c r="L65" s="17"/>
      <c r="M65" s="17"/>
      <c r="N65" s="17"/>
      <c r="O65" s="17"/>
      <c r="P65" s="3"/>
      <c r="Q65" s="3"/>
      <c r="R65" s="3"/>
      <c r="S65" s="17"/>
      <c r="T65" s="17"/>
      <c r="U65" s="17"/>
      <c r="V65" s="17"/>
      <c r="W65" s="17"/>
      <c r="X65" s="17"/>
      <c r="Y65" s="17"/>
      <c r="Z65" s="17"/>
    </row>
    <row r="66" ht="15.75" customHeight="1">
      <c r="A66" s="7" t="s">
        <v>16</v>
      </c>
      <c r="B66" s="7">
        <v>63.0</v>
      </c>
      <c r="C66" s="18" t="str">
        <f t="shared" si="1"/>
        <v>Config.63</v>
      </c>
      <c r="D66" s="19" t="s">
        <v>21</v>
      </c>
      <c r="E66" s="19" t="s">
        <v>24</v>
      </c>
      <c r="F66" s="19" t="s">
        <v>24</v>
      </c>
      <c r="G66" s="19" t="s">
        <v>27</v>
      </c>
      <c r="H66" s="19" t="s">
        <v>18</v>
      </c>
      <c r="I66" s="19" t="s">
        <v>22</v>
      </c>
      <c r="J66" s="19" t="s">
        <v>18</v>
      </c>
      <c r="K66" s="3" t="s">
        <v>18</v>
      </c>
      <c r="L66" s="17"/>
      <c r="M66" s="17"/>
      <c r="N66" s="17"/>
      <c r="O66" s="17"/>
      <c r="P66" s="3"/>
      <c r="Q66" s="3"/>
      <c r="R66" s="3"/>
      <c r="S66" s="17"/>
      <c r="T66" s="17"/>
      <c r="U66" s="17"/>
      <c r="V66" s="17"/>
      <c r="W66" s="17"/>
      <c r="X66" s="17"/>
      <c r="Y66" s="17"/>
      <c r="Z66" s="17"/>
    </row>
    <row r="67" ht="15.75" customHeight="1">
      <c r="A67" s="7" t="s">
        <v>16</v>
      </c>
      <c r="B67" s="7">
        <v>64.0</v>
      </c>
      <c r="C67" s="18" t="str">
        <f t="shared" si="1"/>
        <v>Config.64</v>
      </c>
      <c r="D67" s="19" t="s">
        <v>21</v>
      </c>
      <c r="E67" s="19" t="s">
        <v>24</v>
      </c>
      <c r="F67" s="19" t="s">
        <v>24</v>
      </c>
      <c r="G67" s="19" t="s">
        <v>27</v>
      </c>
      <c r="H67" s="19" t="s">
        <v>18</v>
      </c>
      <c r="I67" s="19" t="s">
        <v>25</v>
      </c>
      <c r="J67" s="19" t="s">
        <v>15</v>
      </c>
      <c r="K67" s="3" t="s">
        <v>18</v>
      </c>
      <c r="L67" s="17"/>
      <c r="M67" s="17"/>
      <c r="N67" s="17"/>
      <c r="O67" s="17"/>
      <c r="P67" s="3"/>
      <c r="Q67" s="3"/>
      <c r="R67" s="3"/>
      <c r="S67" s="17"/>
      <c r="T67" s="17"/>
      <c r="U67" s="17"/>
      <c r="V67" s="17"/>
      <c r="W67" s="17"/>
      <c r="X67" s="17"/>
      <c r="Y67" s="17"/>
      <c r="Z67" s="17"/>
    </row>
    <row r="68" ht="15.75" customHeight="1">
      <c r="A68" s="7" t="s">
        <v>16</v>
      </c>
      <c r="B68" s="7">
        <v>65.0</v>
      </c>
      <c r="C68" s="18" t="str">
        <f t="shared" si="1"/>
        <v>Config.65</v>
      </c>
      <c r="D68" s="19" t="s">
        <v>21</v>
      </c>
      <c r="E68" s="19" t="s">
        <v>24</v>
      </c>
      <c r="F68" s="19" t="s">
        <v>24</v>
      </c>
      <c r="G68" s="19" t="s">
        <v>27</v>
      </c>
      <c r="H68" s="19" t="s">
        <v>18</v>
      </c>
      <c r="I68" s="19" t="s">
        <v>25</v>
      </c>
      <c r="J68" s="19" t="s">
        <v>22</v>
      </c>
      <c r="K68" s="3" t="s">
        <v>18</v>
      </c>
      <c r="L68" s="17"/>
      <c r="M68" s="17"/>
      <c r="N68" s="17"/>
      <c r="O68" s="17"/>
      <c r="P68" s="3"/>
      <c r="Q68" s="3"/>
      <c r="R68" s="3"/>
      <c r="S68" s="17"/>
      <c r="T68" s="17"/>
      <c r="U68" s="17"/>
      <c r="V68" s="17"/>
      <c r="W68" s="17"/>
      <c r="X68" s="17"/>
      <c r="Y68" s="17"/>
      <c r="Z68" s="17"/>
    </row>
    <row r="69" ht="15.75" customHeight="1">
      <c r="A69" s="7" t="s">
        <v>16</v>
      </c>
      <c r="B69" s="7">
        <v>66.0</v>
      </c>
      <c r="C69" s="1" t="str">
        <f t="shared" si="1"/>
        <v>Config.66</v>
      </c>
      <c r="D69" s="2" t="s">
        <v>21</v>
      </c>
      <c r="E69" s="2" t="s">
        <v>24</v>
      </c>
      <c r="F69" s="2" t="s">
        <v>24</v>
      </c>
      <c r="G69" s="2" t="s">
        <v>27</v>
      </c>
      <c r="H69" s="2" t="s">
        <v>18</v>
      </c>
      <c r="I69" s="2" t="s">
        <v>25</v>
      </c>
      <c r="J69" s="2" t="s">
        <v>18</v>
      </c>
      <c r="K69" s="3" t="s">
        <v>18</v>
      </c>
      <c r="L69" s="17"/>
      <c r="M69" s="17"/>
      <c r="N69" s="17"/>
      <c r="O69" s="17"/>
      <c r="P69" s="3"/>
      <c r="Q69" s="3"/>
      <c r="R69" s="3"/>
      <c r="S69" s="17"/>
      <c r="T69" s="17"/>
      <c r="U69" s="17"/>
      <c r="V69" s="17"/>
      <c r="W69" s="17"/>
      <c r="X69" s="17"/>
      <c r="Y69" s="17"/>
      <c r="Z69" s="17"/>
    </row>
    <row r="70" ht="15.75" customHeight="1">
      <c r="A70" s="7" t="s">
        <v>16</v>
      </c>
      <c r="B70" s="7">
        <v>67.0</v>
      </c>
      <c r="C70" s="1" t="str">
        <f t="shared" si="1"/>
        <v>Config.67</v>
      </c>
      <c r="D70" s="2" t="s">
        <v>21</v>
      </c>
      <c r="E70" s="2" t="s">
        <v>24</v>
      </c>
      <c r="F70" s="2" t="s">
        <v>17</v>
      </c>
      <c r="G70" s="2" t="s">
        <v>27</v>
      </c>
      <c r="H70" s="2" t="s">
        <v>18</v>
      </c>
      <c r="I70" s="2" t="s">
        <v>18</v>
      </c>
      <c r="J70" s="2" t="s">
        <v>18</v>
      </c>
      <c r="K70" s="3" t="s">
        <v>18</v>
      </c>
      <c r="L70" s="17"/>
      <c r="M70" s="17"/>
      <c r="N70" s="17"/>
      <c r="O70" s="17"/>
      <c r="P70" s="3"/>
      <c r="Q70" s="3"/>
      <c r="R70" s="3"/>
      <c r="S70" s="17"/>
      <c r="T70" s="17"/>
      <c r="U70" s="17"/>
      <c r="V70" s="17"/>
      <c r="W70" s="17"/>
      <c r="X70" s="17"/>
      <c r="Y70" s="17"/>
      <c r="Z70" s="17"/>
    </row>
    <row r="71" ht="15.75" customHeight="1">
      <c r="A71" s="7" t="s">
        <v>16</v>
      </c>
      <c r="B71" s="7">
        <v>68.0</v>
      </c>
      <c r="C71" s="18" t="str">
        <f t="shared" si="1"/>
        <v>Config.68</v>
      </c>
      <c r="D71" s="19" t="s">
        <v>21</v>
      </c>
      <c r="E71" s="19" t="s">
        <v>24</v>
      </c>
      <c r="F71" s="19" t="s">
        <v>17</v>
      </c>
      <c r="G71" s="19" t="s">
        <v>27</v>
      </c>
      <c r="H71" s="19" t="s">
        <v>18</v>
      </c>
      <c r="I71" s="19" t="s">
        <v>15</v>
      </c>
      <c r="J71" s="19" t="s">
        <v>18</v>
      </c>
      <c r="K71" s="3" t="s">
        <v>18</v>
      </c>
      <c r="L71" s="17"/>
      <c r="M71" s="17"/>
      <c r="N71" s="17"/>
      <c r="O71" s="17"/>
      <c r="P71" s="3"/>
      <c r="Q71" s="3"/>
      <c r="R71" s="3"/>
      <c r="S71" s="17"/>
      <c r="T71" s="17"/>
      <c r="U71" s="17"/>
      <c r="V71" s="17"/>
      <c r="W71" s="17"/>
      <c r="X71" s="17"/>
      <c r="Y71" s="17"/>
      <c r="Z71" s="17"/>
    </row>
    <row r="72" ht="15.75" customHeight="1">
      <c r="A72" s="7" t="s">
        <v>16</v>
      </c>
      <c r="B72" s="7">
        <v>69.0</v>
      </c>
      <c r="C72" s="18" t="str">
        <f t="shared" si="1"/>
        <v>Config.69</v>
      </c>
      <c r="D72" s="19" t="s">
        <v>21</v>
      </c>
      <c r="E72" s="19" t="s">
        <v>24</v>
      </c>
      <c r="F72" s="19" t="s">
        <v>17</v>
      </c>
      <c r="G72" s="19" t="s">
        <v>27</v>
      </c>
      <c r="H72" s="19" t="s">
        <v>18</v>
      </c>
      <c r="I72" s="19" t="s">
        <v>22</v>
      </c>
      <c r="J72" s="19" t="s">
        <v>18</v>
      </c>
      <c r="K72" s="3" t="s">
        <v>18</v>
      </c>
      <c r="L72" s="17"/>
      <c r="M72" s="17"/>
      <c r="N72" s="17"/>
      <c r="O72" s="17"/>
      <c r="P72" s="3"/>
      <c r="Q72" s="3"/>
      <c r="R72" s="3"/>
      <c r="S72" s="17"/>
      <c r="T72" s="17"/>
      <c r="U72" s="17"/>
      <c r="V72" s="17"/>
      <c r="W72" s="17"/>
      <c r="X72" s="17"/>
      <c r="Y72" s="17"/>
      <c r="Z72" s="17"/>
    </row>
    <row r="73" ht="15.75" customHeight="1">
      <c r="A73" s="7" t="s">
        <v>16</v>
      </c>
      <c r="B73" s="7">
        <v>70.0</v>
      </c>
      <c r="C73" s="18" t="str">
        <f t="shared" si="1"/>
        <v>Config.70</v>
      </c>
      <c r="D73" s="19" t="s">
        <v>21</v>
      </c>
      <c r="E73" s="19" t="s">
        <v>24</v>
      </c>
      <c r="F73" s="19" t="s">
        <v>17</v>
      </c>
      <c r="G73" s="19" t="s">
        <v>27</v>
      </c>
      <c r="H73" s="19" t="s">
        <v>18</v>
      </c>
      <c r="I73" s="19" t="s">
        <v>25</v>
      </c>
      <c r="J73" s="19" t="s">
        <v>15</v>
      </c>
      <c r="K73" s="3" t="s">
        <v>18</v>
      </c>
      <c r="L73" s="17"/>
      <c r="M73" s="17"/>
      <c r="N73" s="17"/>
      <c r="O73" s="17"/>
      <c r="P73" s="3"/>
      <c r="Q73" s="3"/>
      <c r="R73" s="3"/>
      <c r="S73" s="17"/>
      <c r="T73" s="17"/>
      <c r="U73" s="17"/>
      <c r="V73" s="17"/>
      <c r="W73" s="17"/>
      <c r="X73" s="17"/>
      <c r="Y73" s="17"/>
      <c r="Z73" s="17"/>
    </row>
    <row r="74" ht="15.75" customHeight="1">
      <c r="A74" s="7" t="s">
        <v>16</v>
      </c>
      <c r="B74" s="7">
        <v>71.0</v>
      </c>
      <c r="C74" s="18" t="str">
        <f t="shared" si="1"/>
        <v>Config.71</v>
      </c>
      <c r="D74" s="19" t="s">
        <v>21</v>
      </c>
      <c r="E74" s="19" t="s">
        <v>24</v>
      </c>
      <c r="F74" s="19" t="s">
        <v>17</v>
      </c>
      <c r="G74" s="19" t="s">
        <v>27</v>
      </c>
      <c r="H74" s="19" t="s">
        <v>18</v>
      </c>
      <c r="I74" s="19" t="s">
        <v>25</v>
      </c>
      <c r="J74" s="19" t="s">
        <v>22</v>
      </c>
      <c r="K74" s="3" t="s">
        <v>18</v>
      </c>
      <c r="L74" s="17"/>
      <c r="M74" s="17"/>
      <c r="N74" s="17"/>
      <c r="O74" s="17"/>
      <c r="P74" s="3"/>
      <c r="Q74" s="3"/>
      <c r="R74" s="3"/>
      <c r="S74" s="17"/>
      <c r="T74" s="17"/>
      <c r="U74" s="17"/>
      <c r="V74" s="17"/>
      <c r="W74" s="17"/>
      <c r="X74" s="17"/>
      <c r="Y74" s="17"/>
      <c r="Z74" s="17"/>
    </row>
    <row r="75" ht="15.75" customHeight="1">
      <c r="A75" s="7" t="s">
        <v>16</v>
      </c>
      <c r="B75" s="7">
        <v>72.0</v>
      </c>
      <c r="C75" s="1" t="str">
        <f t="shared" si="1"/>
        <v>Config.72</v>
      </c>
      <c r="D75" s="2" t="s">
        <v>21</v>
      </c>
      <c r="E75" s="2" t="s">
        <v>24</v>
      </c>
      <c r="F75" s="2" t="s">
        <v>17</v>
      </c>
      <c r="G75" s="2" t="s">
        <v>27</v>
      </c>
      <c r="H75" s="2" t="s">
        <v>18</v>
      </c>
      <c r="I75" s="2" t="s">
        <v>25</v>
      </c>
      <c r="J75" s="2" t="s">
        <v>18</v>
      </c>
      <c r="K75" s="3" t="s">
        <v>18</v>
      </c>
      <c r="P75" s="3"/>
      <c r="Q75" s="3"/>
      <c r="R75" s="3"/>
    </row>
    <row r="76" ht="15.75" customHeight="1">
      <c r="A76" s="7" t="s">
        <v>16</v>
      </c>
      <c r="B76" s="7">
        <v>73.0</v>
      </c>
      <c r="C76" s="1" t="str">
        <f t="shared" si="1"/>
        <v>Config.73</v>
      </c>
      <c r="D76" s="2" t="s">
        <v>21</v>
      </c>
      <c r="E76" s="2" t="s">
        <v>24</v>
      </c>
      <c r="F76" s="2" t="s">
        <v>29</v>
      </c>
      <c r="G76" s="2" t="s">
        <v>18</v>
      </c>
      <c r="H76" s="2" t="s">
        <v>18</v>
      </c>
      <c r="I76" s="2" t="s">
        <v>18</v>
      </c>
      <c r="J76" s="2" t="s">
        <v>18</v>
      </c>
      <c r="K76" s="3" t="s">
        <v>18</v>
      </c>
      <c r="P76" s="3"/>
      <c r="Q76" s="3"/>
      <c r="R76" s="3"/>
    </row>
    <row r="77" ht="15.75" customHeight="1">
      <c r="A77" s="7" t="s">
        <v>16</v>
      </c>
      <c r="B77" s="7">
        <v>74.0</v>
      </c>
      <c r="C77" s="1" t="str">
        <f t="shared" si="1"/>
        <v>Config.74</v>
      </c>
      <c r="D77" s="2" t="s">
        <v>21</v>
      </c>
      <c r="E77" s="2" t="s">
        <v>24</v>
      </c>
      <c r="F77" s="2" t="s">
        <v>29</v>
      </c>
      <c r="G77" s="2" t="s">
        <v>18</v>
      </c>
      <c r="H77" s="2" t="s">
        <v>18</v>
      </c>
      <c r="I77" s="2" t="s">
        <v>15</v>
      </c>
      <c r="J77" s="2" t="s">
        <v>18</v>
      </c>
      <c r="K77" s="3" t="s">
        <v>18</v>
      </c>
      <c r="P77" s="3"/>
      <c r="Q77" s="3"/>
      <c r="R77" s="3"/>
    </row>
    <row r="78" ht="15.75" customHeight="1">
      <c r="A78" s="7" t="s">
        <v>16</v>
      </c>
      <c r="B78" s="7">
        <v>75.0</v>
      </c>
      <c r="C78" s="1" t="str">
        <f t="shared" si="1"/>
        <v>Config.75</v>
      </c>
      <c r="D78" s="2" t="s">
        <v>21</v>
      </c>
      <c r="E78" s="2" t="s">
        <v>24</v>
      </c>
      <c r="F78" s="2" t="s">
        <v>29</v>
      </c>
      <c r="G78" s="2" t="s">
        <v>18</v>
      </c>
      <c r="H78" s="2" t="s">
        <v>18</v>
      </c>
      <c r="I78" s="2" t="s">
        <v>22</v>
      </c>
      <c r="J78" s="2" t="s">
        <v>18</v>
      </c>
      <c r="K78" s="3" t="s">
        <v>18</v>
      </c>
      <c r="P78" s="3"/>
      <c r="Q78" s="3"/>
      <c r="R78" s="3"/>
    </row>
    <row r="79" ht="15.75" customHeight="1">
      <c r="A79" s="7" t="s">
        <v>16</v>
      </c>
      <c r="B79" s="7">
        <v>76.0</v>
      </c>
      <c r="C79" s="1" t="str">
        <f t="shared" si="1"/>
        <v>Config.76</v>
      </c>
      <c r="D79" s="2" t="s">
        <v>21</v>
      </c>
      <c r="E79" s="2" t="s">
        <v>24</v>
      </c>
      <c r="F79" s="2" t="s">
        <v>29</v>
      </c>
      <c r="G79" s="2" t="s">
        <v>18</v>
      </c>
      <c r="H79" s="2" t="s">
        <v>18</v>
      </c>
      <c r="I79" s="2" t="s">
        <v>25</v>
      </c>
      <c r="J79" s="2" t="s">
        <v>15</v>
      </c>
      <c r="K79" s="3" t="s">
        <v>18</v>
      </c>
      <c r="P79" s="3"/>
      <c r="Q79" s="3"/>
      <c r="R79" s="3"/>
    </row>
    <row r="80" ht="15.75" customHeight="1">
      <c r="A80" s="7" t="s">
        <v>16</v>
      </c>
      <c r="B80" s="7">
        <v>77.0</v>
      </c>
      <c r="C80" s="1" t="str">
        <f t="shared" si="1"/>
        <v>Config.77</v>
      </c>
      <c r="D80" s="2" t="s">
        <v>21</v>
      </c>
      <c r="E80" s="2" t="s">
        <v>24</v>
      </c>
      <c r="F80" s="2" t="s">
        <v>29</v>
      </c>
      <c r="G80" s="2" t="s">
        <v>18</v>
      </c>
      <c r="H80" s="2" t="s">
        <v>18</v>
      </c>
      <c r="I80" s="2" t="s">
        <v>25</v>
      </c>
      <c r="J80" s="2" t="s">
        <v>22</v>
      </c>
      <c r="K80" s="3" t="s">
        <v>18</v>
      </c>
      <c r="P80" s="3"/>
      <c r="Q80" s="3"/>
      <c r="R80" s="3"/>
    </row>
    <row r="81" ht="15.75" customHeight="1">
      <c r="A81" s="7" t="s">
        <v>16</v>
      </c>
      <c r="B81" s="7">
        <v>78.0</v>
      </c>
      <c r="C81" s="1" t="str">
        <f t="shared" si="1"/>
        <v>Config.78</v>
      </c>
      <c r="D81" s="2" t="s">
        <v>21</v>
      </c>
      <c r="E81" s="2" t="s">
        <v>24</v>
      </c>
      <c r="F81" s="2" t="s">
        <v>29</v>
      </c>
      <c r="G81" s="2" t="s">
        <v>18</v>
      </c>
      <c r="H81" s="2" t="s">
        <v>18</v>
      </c>
      <c r="I81" s="2" t="s">
        <v>25</v>
      </c>
      <c r="J81" s="2" t="s">
        <v>18</v>
      </c>
      <c r="K81" s="3" t="s">
        <v>18</v>
      </c>
      <c r="P81" s="3"/>
      <c r="Q81" s="3"/>
      <c r="R81" s="3"/>
    </row>
    <row r="82" ht="15.75" customHeight="1">
      <c r="A82" s="7" t="s">
        <v>16</v>
      </c>
      <c r="B82" s="7">
        <v>79.0</v>
      </c>
      <c r="C82" s="1" t="str">
        <f t="shared" si="1"/>
        <v>Config.79</v>
      </c>
      <c r="D82" s="2" t="s">
        <v>21</v>
      </c>
      <c r="E82" s="2" t="s">
        <v>29</v>
      </c>
      <c r="F82" s="2" t="s">
        <v>18</v>
      </c>
      <c r="G82" s="2" t="s">
        <v>18</v>
      </c>
      <c r="H82" s="2" t="s">
        <v>18</v>
      </c>
      <c r="I82" s="2" t="s">
        <v>18</v>
      </c>
      <c r="J82" s="2"/>
      <c r="K82" s="3" t="s">
        <v>18</v>
      </c>
      <c r="P82" s="3"/>
      <c r="Q82" s="3"/>
      <c r="R82" s="3"/>
    </row>
    <row r="83" ht="15.75" customHeight="1">
      <c r="A83" s="7" t="s">
        <v>16</v>
      </c>
      <c r="B83" s="7">
        <v>80.0</v>
      </c>
      <c r="C83" s="1" t="str">
        <f t="shared" si="1"/>
        <v>Config.80</v>
      </c>
      <c r="D83" s="2" t="s">
        <v>21</v>
      </c>
      <c r="E83" s="2" t="s">
        <v>29</v>
      </c>
      <c r="F83" s="2" t="s">
        <v>18</v>
      </c>
      <c r="G83" s="2" t="s">
        <v>18</v>
      </c>
      <c r="H83" s="2" t="s">
        <v>18</v>
      </c>
      <c r="I83" s="2" t="s">
        <v>15</v>
      </c>
      <c r="J83" s="2" t="s">
        <v>18</v>
      </c>
      <c r="K83" s="3" t="s">
        <v>18</v>
      </c>
      <c r="P83" s="3"/>
      <c r="Q83" s="3"/>
      <c r="R83" s="3"/>
    </row>
    <row r="84" ht="15.75" customHeight="1">
      <c r="A84" s="7" t="s">
        <v>16</v>
      </c>
      <c r="B84" s="7">
        <v>81.0</v>
      </c>
      <c r="C84" s="1" t="str">
        <f t="shared" si="1"/>
        <v>Config.81</v>
      </c>
      <c r="D84" s="2" t="s">
        <v>21</v>
      </c>
      <c r="E84" s="2" t="s">
        <v>29</v>
      </c>
      <c r="F84" s="2" t="s">
        <v>18</v>
      </c>
      <c r="G84" s="2" t="s">
        <v>18</v>
      </c>
      <c r="H84" s="2" t="s">
        <v>18</v>
      </c>
      <c r="I84" s="2" t="s">
        <v>22</v>
      </c>
      <c r="J84" s="2" t="s">
        <v>18</v>
      </c>
      <c r="K84" s="3" t="s">
        <v>18</v>
      </c>
      <c r="P84" s="3"/>
      <c r="Q84" s="3"/>
      <c r="R84" s="3"/>
    </row>
    <row r="85" ht="15.75" customHeight="1">
      <c r="A85" s="7" t="s">
        <v>16</v>
      </c>
      <c r="B85" s="7">
        <v>82.0</v>
      </c>
      <c r="C85" s="1" t="str">
        <f t="shared" si="1"/>
        <v>Config.82</v>
      </c>
      <c r="D85" s="2" t="s">
        <v>21</v>
      </c>
      <c r="E85" s="2" t="s">
        <v>29</v>
      </c>
      <c r="F85" s="2" t="s">
        <v>18</v>
      </c>
      <c r="G85" s="2" t="s">
        <v>18</v>
      </c>
      <c r="H85" s="2" t="s">
        <v>18</v>
      </c>
      <c r="I85" s="2" t="s">
        <v>25</v>
      </c>
      <c r="J85" s="2" t="s">
        <v>15</v>
      </c>
      <c r="K85" s="3" t="s">
        <v>18</v>
      </c>
      <c r="P85" s="3"/>
      <c r="Q85" s="3"/>
      <c r="R85" s="3"/>
    </row>
    <row r="86" ht="15.75" customHeight="1">
      <c r="A86" s="7" t="s">
        <v>16</v>
      </c>
      <c r="B86" s="7">
        <v>83.0</v>
      </c>
      <c r="C86" s="1" t="str">
        <f t="shared" si="1"/>
        <v>Config.83</v>
      </c>
      <c r="D86" s="2" t="s">
        <v>21</v>
      </c>
      <c r="E86" s="2" t="s">
        <v>29</v>
      </c>
      <c r="F86" s="2" t="s">
        <v>18</v>
      </c>
      <c r="G86" s="2" t="s">
        <v>18</v>
      </c>
      <c r="H86" s="2" t="s">
        <v>18</v>
      </c>
      <c r="I86" s="2" t="s">
        <v>25</v>
      </c>
      <c r="J86" s="2" t="s">
        <v>22</v>
      </c>
      <c r="K86" s="3" t="s">
        <v>18</v>
      </c>
      <c r="P86" s="3"/>
      <c r="Q86" s="3"/>
      <c r="R86" s="3"/>
    </row>
    <row r="87" ht="15.75" customHeight="1">
      <c r="A87" s="7" t="s">
        <v>16</v>
      </c>
      <c r="B87" s="7">
        <v>84.0</v>
      </c>
      <c r="C87" s="1" t="str">
        <f t="shared" si="1"/>
        <v>Config.84</v>
      </c>
      <c r="D87" s="2" t="s">
        <v>21</v>
      </c>
      <c r="E87" s="2" t="s">
        <v>29</v>
      </c>
      <c r="F87" s="2" t="s">
        <v>18</v>
      </c>
      <c r="G87" s="2" t="s">
        <v>18</v>
      </c>
      <c r="H87" s="2" t="s">
        <v>18</v>
      </c>
      <c r="I87" s="2" t="s">
        <v>25</v>
      </c>
      <c r="J87" s="2" t="s">
        <v>18</v>
      </c>
      <c r="K87" s="3" t="s">
        <v>18</v>
      </c>
      <c r="P87" s="3"/>
      <c r="Q87" s="3"/>
      <c r="R87" s="3"/>
    </row>
    <row r="88" ht="15.75" customHeight="1">
      <c r="A88" s="7" t="s">
        <v>16</v>
      </c>
      <c r="B88" s="7">
        <v>85.0</v>
      </c>
      <c r="C88" s="1" t="str">
        <f t="shared" si="1"/>
        <v>Config.85</v>
      </c>
      <c r="D88" s="2"/>
      <c r="E88" s="2"/>
      <c r="F88" s="2"/>
      <c r="G88" s="2"/>
      <c r="H88" s="2"/>
      <c r="I88" s="2"/>
      <c r="J88" s="2"/>
      <c r="K88" s="3"/>
      <c r="P88" s="3"/>
      <c r="Q88" s="3"/>
      <c r="R88" s="3"/>
    </row>
    <row r="89" ht="15.75" customHeight="1">
      <c r="A89" s="7" t="s">
        <v>16</v>
      </c>
      <c r="B89" s="7">
        <v>86.0</v>
      </c>
      <c r="C89" s="1" t="str">
        <f t="shared" si="1"/>
        <v>Config.86</v>
      </c>
      <c r="D89" s="2"/>
      <c r="E89" s="2"/>
      <c r="F89" s="2"/>
      <c r="G89" s="2"/>
      <c r="H89" s="2"/>
      <c r="I89" s="2"/>
      <c r="J89" s="2"/>
      <c r="K89" s="3"/>
      <c r="P89" s="3"/>
      <c r="Q89" s="3"/>
      <c r="R89" s="3"/>
    </row>
    <row r="90" ht="15.75" customHeight="1">
      <c r="A90" s="7" t="s">
        <v>16</v>
      </c>
      <c r="B90" s="7">
        <v>87.0</v>
      </c>
      <c r="C90" s="1" t="str">
        <f t="shared" si="1"/>
        <v>Config.87</v>
      </c>
      <c r="D90" s="2"/>
      <c r="E90" s="2"/>
      <c r="F90" s="2"/>
      <c r="G90" s="2"/>
      <c r="H90" s="2"/>
      <c r="I90" s="2"/>
      <c r="J90" s="2"/>
      <c r="K90" s="3"/>
      <c r="P90" s="3"/>
      <c r="Q90" s="3"/>
      <c r="R90" s="3"/>
    </row>
    <row r="91" ht="15.75" customHeight="1">
      <c r="A91" s="7" t="s">
        <v>16</v>
      </c>
      <c r="B91" s="7">
        <v>88.0</v>
      </c>
      <c r="C91" s="1" t="str">
        <f t="shared" si="1"/>
        <v>Config.88</v>
      </c>
      <c r="D91" s="22"/>
      <c r="E91" s="22"/>
      <c r="F91" s="22"/>
      <c r="G91" s="22"/>
      <c r="H91" s="22"/>
      <c r="I91" s="22"/>
      <c r="J91" s="22"/>
      <c r="K91" s="16"/>
      <c r="P91" s="3"/>
      <c r="Q91" s="3"/>
      <c r="R91" s="3"/>
    </row>
    <row r="92" ht="15.75" customHeight="1">
      <c r="A92" s="7" t="s">
        <v>16</v>
      </c>
      <c r="B92" s="7">
        <v>89.0</v>
      </c>
      <c r="C92" s="1" t="str">
        <f t="shared" si="1"/>
        <v>Config.89</v>
      </c>
      <c r="D92" s="22"/>
      <c r="E92" s="22"/>
      <c r="F92" s="22"/>
      <c r="G92" s="22"/>
      <c r="H92" s="22"/>
      <c r="I92" s="22"/>
      <c r="J92" s="22"/>
      <c r="K92" s="16"/>
      <c r="P92" s="3"/>
      <c r="Q92" s="3"/>
      <c r="R92" s="3"/>
    </row>
    <row r="93" ht="15.75" customHeight="1">
      <c r="A93" s="7" t="s">
        <v>16</v>
      </c>
      <c r="B93" s="7">
        <v>90.0</v>
      </c>
      <c r="C93" s="1" t="str">
        <f t="shared" si="1"/>
        <v>Config.90</v>
      </c>
      <c r="D93" s="22"/>
      <c r="E93" s="22"/>
      <c r="F93" s="22"/>
      <c r="G93" s="22"/>
      <c r="H93" s="22"/>
      <c r="I93" s="22"/>
      <c r="J93" s="22"/>
      <c r="K93" s="16"/>
      <c r="P93" s="3"/>
      <c r="Q93" s="3"/>
      <c r="R93" s="3"/>
    </row>
    <row r="94" ht="15.75" customHeight="1">
      <c r="A94" s="7" t="s">
        <v>16</v>
      </c>
      <c r="B94" s="7">
        <v>91.0</v>
      </c>
      <c r="C94" s="1" t="str">
        <f t="shared" si="1"/>
        <v>Config.91</v>
      </c>
      <c r="D94" s="22"/>
      <c r="E94" s="22"/>
      <c r="F94" s="22"/>
      <c r="G94" s="22"/>
      <c r="H94" s="22"/>
      <c r="I94" s="22"/>
      <c r="J94" s="22"/>
      <c r="K94" s="16"/>
      <c r="P94" s="3"/>
      <c r="Q94" s="3"/>
      <c r="R94" s="3"/>
    </row>
    <row r="95" ht="15.75" customHeight="1">
      <c r="A95" s="7" t="s">
        <v>16</v>
      </c>
      <c r="B95" s="7">
        <v>92.0</v>
      </c>
      <c r="C95" s="1" t="str">
        <f t="shared" si="1"/>
        <v>Config.92</v>
      </c>
      <c r="D95" s="22"/>
      <c r="E95" s="22"/>
      <c r="F95" s="22"/>
      <c r="G95" s="22"/>
      <c r="H95" s="22"/>
      <c r="I95" s="22"/>
      <c r="J95" s="22"/>
      <c r="K95" s="16"/>
      <c r="P95" s="3"/>
      <c r="Q95" s="3"/>
      <c r="R95" s="3"/>
    </row>
    <row r="96" ht="15.75" customHeight="1">
      <c r="A96" s="7" t="s">
        <v>16</v>
      </c>
      <c r="B96" s="7">
        <v>93.0</v>
      </c>
      <c r="C96" s="1" t="str">
        <f t="shared" si="1"/>
        <v>Config.93</v>
      </c>
      <c r="D96" s="22"/>
      <c r="E96" s="22"/>
      <c r="F96" s="22"/>
      <c r="G96" s="22"/>
      <c r="H96" s="22"/>
      <c r="I96" s="22"/>
      <c r="J96" s="22"/>
      <c r="K96" s="16"/>
      <c r="P96" s="3"/>
      <c r="Q96" s="3"/>
      <c r="R96" s="3"/>
    </row>
    <row r="97" ht="15.75" customHeight="1">
      <c r="A97" s="7" t="s">
        <v>16</v>
      </c>
      <c r="B97" s="7">
        <v>94.0</v>
      </c>
      <c r="C97" s="1" t="str">
        <f t="shared" si="1"/>
        <v>Config.94</v>
      </c>
      <c r="D97" s="2"/>
      <c r="E97" s="2"/>
      <c r="F97" s="2"/>
      <c r="G97" s="2"/>
      <c r="H97" s="2"/>
      <c r="I97" s="2"/>
      <c r="J97" s="2"/>
      <c r="K97" s="3"/>
      <c r="P97" s="3"/>
      <c r="Q97" s="3"/>
      <c r="R97" s="3"/>
    </row>
    <row r="98" ht="15.75" customHeight="1">
      <c r="A98" s="7" t="s">
        <v>16</v>
      </c>
      <c r="B98" s="7">
        <v>95.0</v>
      </c>
      <c r="C98" s="1" t="str">
        <f t="shared" si="1"/>
        <v>Config.95</v>
      </c>
      <c r="D98" s="2"/>
      <c r="E98" s="2"/>
      <c r="F98" s="2"/>
      <c r="G98" s="2"/>
      <c r="H98" s="2"/>
      <c r="I98" s="2"/>
      <c r="J98" s="2"/>
      <c r="K98" s="3"/>
      <c r="P98" s="3"/>
      <c r="Q98" s="3"/>
      <c r="R98" s="3"/>
    </row>
    <row r="99" ht="15.75" customHeight="1">
      <c r="A99" s="7" t="s">
        <v>16</v>
      </c>
      <c r="B99" s="7">
        <v>96.0</v>
      </c>
      <c r="C99" s="1" t="str">
        <f t="shared" si="1"/>
        <v>Config.96</v>
      </c>
      <c r="D99" s="2"/>
      <c r="E99" s="2"/>
      <c r="F99" s="2"/>
      <c r="G99" s="2"/>
      <c r="H99" s="2"/>
      <c r="I99" s="2"/>
      <c r="J99" s="2"/>
      <c r="K99" s="3"/>
      <c r="P99" s="3"/>
      <c r="Q99" s="3"/>
      <c r="R99" s="3"/>
    </row>
    <row r="100" ht="15.75" customHeight="1">
      <c r="A100" s="7" t="s">
        <v>16</v>
      </c>
      <c r="B100" s="7">
        <v>97.0</v>
      </c>
      <c r="C100" s="1" t="str">
        <f t="shared" si="1"/>
        <v>Config.97</v>
      </c>
      <c r="D100" s="2"/>
      <c r="E100" s="2"/>
      <c r="F100" s="2"/>
      <c r="G100" s="2"/>
      <c r="H100" s="2"/>
      <c r="I100" s="2"/>
      <c r="J100" s="2"/>
      <c r="K100" s="3"/>
      <c r="P100" s="3"/>
      <c r="Q100" s="3"/>
      <c r="R100" s="3"/>
    </row>
    <row r="101" ht="15.75" customHeight="1">
      <c r="A101" s="7" t="s">
        <v>16</v>
      </c>
      <c r="B101" s="7">
        <v>98.0</v>
      </c>
      <c r="C101" s="1" t="str">
        <f t="shared" si="1"/>
        <v>Config.98</v>
      </c>
      <c r="D101" s="2"/>
      <c r="E101" s="2"/>
      <c r="F101" s="2"/>
      <c r="G101" s="2"/>
      <c r="H101" s="2"/>
      <c r="I101" s="2"/>
      <c r="J101" s="2"/>
      <c r="K101" s="3"/>
      <c r="P101" s="3"/>
      <c r="Q101" s="3"/>
      <c r="R101" s="3"/>
    </row>
    <row r="102" ht="15.75" customHeight="1">
      <c r="A102" s="7" t="s">
        <v>16</v>
      </c>
      <c r="B102" s="7">
        <v>99.0</v>
      </c>
      <c r="C102" s="1" t="str">
        <f t="shared" si="1"/>
        <v>Config.99</v>
      </c>
      <c r="D102" s="2"/>
      <c r="E102" s="2"/>
      <c r="F102" s="2"/>
      <c r="G102" s="2"/>
      <c r="H102" s="2"/>
      <c r="I102" s="2"/>
      <c r="J102" s="2"/>
      <c r="K102" s="3"/>
      <c r="P102" s="3"/>
      <c r="Q102" s="3"/>
      <c r="R102" s="3"/>
    </row>
    <row r="103" ht="15.75" customHeight="1">
      <c r="A103" s="7" t="s">
        <v>16</v>
      </c>
      <c r="B103" s="7">
        <v>100.0</v>
      </c>
      <c r="C103" s="1"/>
      <c r="D103" s="2"/>
      <c r="E103" s="2"/>
      <c r="F103" s="2"/>
      <c r="G103" s="2"/>
      <c r="H103" s="2"/>
      <c r="I103" s="2"/>
      <c r="J103" s="2"/>
      <c r="K103" s="3"/>
      <c r="P103" s="3"/>
      <c r="Q103" s="3"/>
      <c r="R103" s="3"/>
    </row>
    <row r="104" ht="15.75" customHeight="1">
      <c r="A104" s="7" t="s">
        <v>16</v>
      </c>
      <c r="B104" s="7">
        <v>101.0</v>
      </c>
      <c r="C104" s="1"/>
      <c r="D104" s="2"/>
      <c r="E104" s="2"/>
      <c r="F104" s="2"/>
      <c r="G104" s="2"/>
      <c r="H104" s="2"/>
      <c r="I104" s="2"/>
      <c r="J104" s="2"/>
      <c r="K104" s="3"/>
      <c r="P104" s="3"/>
      <c r="Q104" s="3"/>
      <c r="R104" s="3"/>
    </row>
    <row r="105" ht="15.75" customHeight="1">
      <c r="A105" s="7" t="s">
        <v>16</v>
      </c>
      <c r="B105" s="7">
        <v>102.0</v>
      </c>
      <c r="C105" s="1"/>
      <c r="D105" s="2"/>
      <c r="E105" s="2"/>
      <c r="F105" s="2"/>
      <c r="G105" s="2"/>
      <c r="H105" s="2"/>
      <c r="I105" s="2"/>
      <c r="J105" s="2"/>
      <c r="K105" s="3"/>
      <c r="P105" s="3"/>
      <c r="Q105" s="3"/>
      <c r="R105" s="3"/>
    </row>
    <row r="106" ht="15.75" customHeight="1">
      <c r="A106" s="7" t="s">
        <v>16</v>
      </c>
      <c r="B106" s="7">
        <v>103.0</v>
      </c>
      <c r="C106" s="1"/>
      <c r="D106" s="2"/>
      <c r="E106" s="2"/>
      <c r="F106" s="2"/>
      <c r="G106" s="2"/>
      <c r="H106" s="2"/>
      <c r="I106" s="2"/>
      <c r="J106" s="2"/>
      <c r="K106" s="3"/>
      <c r="P106" s="3"/>
      <c r="Q106" s="3"/>
      <c r="R106" s="3"/>
    </row>
    <row r="107" ht="15.75" customHeight="1">
      <c r="A107" s="7" t="s">
        <v>16</v>
      </c>
      <c r="B107" s="7">
        <v>104.0</v>
      </c>
      <c r="C107" s="1"/>
      <c r="D107" s="2"/>
      <c r="E107" s="2"/>
      <c r="F107" s="2"/>
      <c r="G107" s="2"/>
      <c r="H107" s="2"/>
      <c r="I107" s="2"/>
      <c r="J107" s="2"/>
      <c r="K107" s="3"/>
      <c r="P107" s="3"/>
      <c r="Q107" s="3"/>
      <c r="R107" s="3"/>
    </row>
    <row r="108" ht="15.75" customHeight="1">
      <c r="A108" s="7" t="s">
        <v>16</v>
      </c>
      <c r="B108" s="7">
        <v>105.0</v>
      </c>
      <c r="C108" s="1"/>
      <c r="D108" s="2"/>
      <c r="E108" s="2"/>
      <c r="F108" s="2"/>
      <c r="G108" s="2"/>
      <c r="H108" s="2"/>
      <c r="I108" s="2"/>
      <c r="J108" s="2"/>
      <c r="K108" s="3"/>
      <c r="P108" s="3"/>
      <c r="Q108" s="3"/>
      <c r="R108" s="3"/>
    </row>
    <row r="109" ht="15.75" customHeight="1">
      <c r="A109" s="7" t="s">
        <v>16</v>
      </c>
      <c r="B109" s="7">
        <v>106.0</v>
      </c>
      <c r="C109" s="1"/>
      <c r="D109" s="2"/>
      <c r="E109" s="2"/>
      <c r="F109" s="2"/>
      <c r="G109" s="2"/>
      <c r="H109" s="2"/>
      <c r="I109" s="2"/>
      <c r="J109" s="2"/>
      <c r="K109" s="3"/>
      <c r="P109" s="3"/>
      <c r="Q109" s="3"/>
      <c r="R109" s="3"/>
    </row>
    <row r="110" ht="15.75" customHeight="1">
      <c r="A110" s="7" t="s">
        <v>16</v>
      </c>
      <c r="B110" s="7">
        <v>107.0</v>
      </c>
      <c r="C110" s="1"/>
      <c r="D110" s="2"/>
      <c r="E110" s="2"/>
      <c r="F110" s="2"/>
      <c r="G110" s="2"/>
      <c r="H110" s="2"/>
      <c r="I110" s="2"/>
      <c r="J110" s="2"/>
      <c r="K110" s="3"/>
      <c r="P110" s="3"/>
      <c r="Q110" s="3"/>
      <c r="R110" s="3"/>
    </row>
    <row r="111" ht="15.75" customHeight="1">
      <c r="A111" s="7" t="s">
        <v>16</v>
      </c>
      <c r="B111" s="7">
        <v>108.0</v>
      </c>
      <c r="C111" s="1"/>
      <c r="D111" s="2"/>
      <c r="E111" s="2"/>
      <c r="F111" s="2"/>
      <c r="G111" s="2"/>
      <c r="H111" s="2"/>
      <c r="I111" s="2"/>
      <c r="J111" s="2"/>
      <c r="K111" s="3"/>
      <c r="P111" s="3"/>
      <c r="Q111" s="3"/>
      <c r="R111" s="3"/>
    </row>
    <row r="112" ht="15.75" customHeight="1">
      <c r="A112" s="7" t="s">
        <v>16</v>
      </c>
      <c r="B112" s="7">
        <v>109.0</v>
      </c>
      <c r="C112" s="1"/>
      <c r="D112" s="2"/>
      <c r="E112" s="2"/>
      <c r="F112" s="2"/>
      <c r="G112" s="2"/>
      <c r="H112" s="2"/>
      <c r="I112" s="2"/>
      <c r="J112" s="2"/>
      <c r="K112" s="3"/>
      <c r="P112" s="3"/>
      <c r="Q112" s="3"/>
      <c r="R112" s="3"/>
    </row>
    <row r="113" ht="15.75" customHeight="1">
      <c r="A113" s="7" t="s">
        <v>16</v>
      </c>
      <c r="B113" s="7">
        <v>110.0</v>
      </c>
      <c r="C113" s="1"/>
      <c r="D113" s="2"/>
      <c r="E113" s="2"/>
      <c r="F113" s="2"/>
      <c r="G113" s="2"/>
      <c r="H113" s="2"/>
      <c r="I113" s="2"/>
      <c r="J113" s="2"/>
      <c r="K113" s="3"/>
      <c r="P113" s="3"/>
      <c r="Q113" s="3"/>
      <c r="R113" s="3"/>
    </row>
    <row r="114" ht="15.75" customHeight="1">
      <c r="A114" s="7" t="s">
        <v>16</v>
      </c>
      <c r="B114" s="7">
        <v>111.0</v>
      </c>
      <c r="C114" s="1"/>
      <c r="D114" s="2"/>
      <c r="E114" s="2"/>
      <c r="F114" s="2"/>
      <c r="G114" s="2"/>
      <c r="H114" s="2"/>
      <c r="I114" s="2"/>
      <c r="J114" s="2"/>
      <c r="K114" s="3"/>
      <c r="P114" s="3"/>
      <c r="Q114" s="3"/>
      <c r="R114" s="3"/>
    </row>
    <row r="115" ht="15.75" customHeight="1">
      <c r="A115" s="7" t="s">
        <v>16</v>
      </c>
      <c r="B115" s="7">
        <v>112.0</v>
      </c>
      <c r="C115" s="1"/>
      <c r="D115" s="2"/>
      <c r="E115" s="2"/>
      <c r="F115" s="2"/>
      <c r="G115" s="2"/>
      <c r="H115" s="2"/>
      <c r="I115" s="2"/>
      <c r="J115" s="2"/>
      <c r="K115" s="3"/>
      <c r="P115" s="3"/>
      <c r="Q115" s="3"/>
      <c r="R115" s="3"/>
    </row>
    <row r="116" ht="15.75" customHeight="1">
      <c r="A116" s="7" t="s">
        <v>16</v>
      </c>
      <c r="B116" s="7">
        <v>113.0</v>
      </c>
      <c r="C116" s="1"/>
      <c r="D116" s="2"/>
      <c r="E116" s="2"/>
      <c r="F116" s="2"/>
      <c r="G116" s="2"/>
      <c r="H116" s="2"/>
      <c r="I116" s="2"/>
      <c r="J116" s="2"/>
      <c r="K116" s="3"/>
      <c r="P116" s="3"/>
      <c r="Q116" s="3"/>
      <c r="R116" s="3"/>
    </row>
    <row r="117" ht="15.75" customHeight="1">
      <c r="A117" s="7" t="s">
        <v>16</v>
      </c>
      <c r="B117" s="7">
        <v>114.0</v>
      </c>
      <c r="C117" s="1"/>
      <c r="D117" s="2"/>
      <c r="E117" s="2"/>
      <c r="F117" s="2"/>
      <c r="G117" s="2"/>
      <c r="H117" s="2"/>
      <c r="I117" s="2"/>
      <c r="J117" s="2"/>
      <c r="K117" s="3"/>
      <c r="P117" s="3"/>
      <c r="Q117" s="3"/>
      <c r="R117" s="3"/>
    </row>
    <row r="118" ht="15.75" customHeight="1">
      <c r="A118" s="7" t="s">
        <v>16</v>
      </c>
      <c r="B118" s="7">
        <v>115.0</v>
      </c>
      <c r="C118" s="1"/>
      <c r="D118" s="2"/>
      <c r="E118" s="2"/>
      <c r="F118" s="2"/>
      <c r="G118" s="2"/>
      <c r="H118" s="2"/>
      <c r="I118" s="2"/>
      <c r="J118" s="2"/>
      <c r="K118" s="3"/>
      <c r="P118" s="3"/>
      <c r="Q118" s="3"/>
      <c r="R118" s="3"/>
    </row>
    <row r="119" ht="15.75" customHeight="1">
      <c r="A119" s="7" t="s">
        <v>16</v>
      </c>
      <c r="B119" s="7">
        <v>116.0</v>
      </c>
      <c r="C119" s="1"/>
      <c r="D119" s="2"/>
      <c r="E119" s="2"/>
      <c r="F119" s="2"/>
      <c r="G119" s="2"/>
      <c r="H119" s="2"/>
      <c r="I119" s="2"/>
      <c r="J119" s="2"/>
      <c r="K119" s="3"/>
      <c r="P119" s="3"/>
      <c r="Q119" s="3"/>
      <c r="R119" s="3"/>
    </row>
    <row r="120" ht="15.75" customHeight="1">
      <c r="A120" s="7" t="s">
        <v>16</v>
      </c>
      <c r="B120" s="7">
        <v>117.0</v>
      </c>
      <c r="C120" s="1"/>
      <c r="D120" s="2"/>
      <c r="E120" s="2"/>
      <c r="F120" s="2"/>
      <c r="G120" s="2"/>
      <c r="H120" s="2"/>
      <c r="I120" s="2"/>
      <c r="J120" s="2"/>
      <c r="K120" s="3"/>
      <c r="P120" s="3"/>
      <c r="Q120" s="3"/>
      <c r="R120" s="3"/>
    </row>
    <row r="121" ht="15.75" customHeight="1">
      <c r="A121" s="7" t="s">
        <v>16</v>
      </c>
      <c r="B121" s="7">
        <v>118.0</v>
      </c>
      <c r="C121" s="1"/>
      <c r="D121" s="2"/>
      <c r="E121" s="2"/>
      <c r="F121" s="2"/>
      <c r="G121" s="2"/>
      <c r="H121" s="2"/>
      <c r="I121" s="2"/>
      <c r="J121" s="2"/>
      <c r="K121" s="3"/>
      <c r="P121" s="3"/>
      <c r="Q121" s="3"/>
      <c r="R121" s="3"/>
    </row>
    <row r="122" ht="15.75" customHeight="1">
      <c r="A122" s="7" t="s">
        <v>16</v>
      </c>
      <c r="B122" s="7">
        <v>119.0</v>
      </c>
      <c r="C122" s="1"/>
      <c r="D122" s="2"/>
      <c r="E122" s="2"/>
      <c r="F122" s="2"/>
      <c r="G122" s="2"/>
      <c r="H122" s="2"/>
      <c r="I122" s="2"/>
      <c r="J122" s="2"/>
      <c r="K122" s="3"/>
      <c r="P122" s="3"/>
      <c r="Q122" s="3"/>
      <c r="R122" s="3"/>
    </row>
    <row r="123" ht="15.75" customHeight="1">
      <c r="A123" s="7" t="s">
        <v>16</v>
      </c>
      <c r="B123" s="7">
        <v>120.0</v>
      </c>
      <c r="C123" s="1"/>
      <c r="D123" s="2"/>
      <c r="E123" s="2"/>
      <c r="F123" s="2"/>
      <c r="G123" s="2"/>
      <c r="H123" s="2"/>
      <c r="I123" s="2"/>
      <c r="J123" s="2"/>
      <c r="K123" s="3"/>
      <c r="P123" s="3"/>
      <c r="Q123" s="3"/>
      <c r="R123" s="3"/>
    </row>
    <row r="124" ht="15.75" customHeight="1">
      <c r="A124" s="7" t="s">
        <v>16</v>
      </c>
      <c r="B124" s="7">
        <v>121.0</v>
      </c>
      <c r="C124" s="1"/>
      <c r="D124" s="2"/>
      <c r="E124" s="2"/>
      <c r="F124" s="2"/>
      <c r="G124" s="2"/>
      <c r="H124" s="2"/>
      <c r="I124" s="2"/>
      <c r="J124" s="2"/>
      <c r="K124" s="3"/>
      <c r="P124" s="3"/>
      <c r="Q124" s="3"/>
      <c r="R124" s="3"/>
    </row>
    <row r="125" ht="15.75" customHeight="1">
      <c r="A125" s="7" t="s">
        <v>16</v>
      </c>
      <c r="B125" s="7">
        <v>122.0</v>
      </c>
      <c r="C125" s="1"/>
      <c r="D125" s="2"/>
      <c r="E125" s="2"/>
      <c r="F125" s="2"/>
      <c r="G125" s="2"/>
      <c r="H125" s="2"/>
      <c r="I125" s="2"/>
      <c r="J125" s="2"/>
      <c r="K125" s="3"/>
      <c r="P125" s="3"/>
      <c r="Q125" s="3"/>
      <c r="R125" s="3"/>
    </row>
    <row r="126" ht="15.75" customHeight="1">
      <c r="A126" s="7" t="s">
        <v>16</v>
      </c>
      <c r="B126" s="7">
        <v>123.0</v>
      </c>
      <c r="C126" s="1"/>
      <c r="D126" s="2"/>
      <c r="E126" s="2"/>
      <c r="F126" s="2"/>
      <c r="G126" s="2"/>
      <c r="H126" s="2"/>
      <c r="I126" s="2"/>
      <c r="J126" s="2"/>
      <c r="K126" s="3"/>
      <c r="P126" s="3"/>
      <c r="Q126" s="3"/>
      <c r="R126" s="3"/>
    </row>
    <row r="127" ht="15.75" customHeight="1">
      <c r="A127" s="7" t="s">
        <v>16</v>
      </c>
      <c r="B127" s="7">
        <v>124.0</v>
      </c>
      <c r="C127" s="1"/>
      <c r="D127" s="2"/>
      <c r="E127" s="2"/>
      <c r="F127" s="2"/>
      <c r="G127" s="2"/>
      <c r="H127" s="2"/>
      <c r="I127" s="2"/>
      <c r="J127" s="2"/>
      <c r="K127" s="3"/>
      <c r="P127" s="3"/>
      <c r="Q127" s="3"/>
      <c r="R127" s="3"/>
    </row>
    <row r="128" ht="15.75" customHeight="1">
      <c r="A128" s="7" t="s">
        <v>16</v>
      </c>
      <c r="B128" s="7">
        <v>125.0</v>
      </c>
      <c r="C128" s="1"/>
      <c r="D128" s="2"/>
      <c r="E128" s="2"/>
      <c r="F128" s="2"/>
      <c r="G128" s="2"/>
      <c r="H128" s="2"/>
      <c r="I128" s="2"/>
      <c r="J128" s="2"/>
      <c r="K128" s="3"/>
      <c r="P128" s="3"/>
      <c r="Q128" s="3"/>
      <c r="R128" s="3"/>
    </row>
    <row r="129" ht="15.75" customHeight="1">
      <c r="A129" s="7" t="s">
        <v>16</v>
      </c>
      <c r="B129" s="7">
        <v>126.0</v>
      </c>
      <c r="C129" s="1"/>
      <c r="D129" s="2"/>
      <c r="E129" s="2"/>
      <c r="F129" s="2"/>
      <c r="G129" s="2"/>
      <c r="H129" s="2"/>
      <c r="I129" s="2"/>
      <c r="J129" s="2"/>
      <c r="K129" s="3"/>
      <c r="P129" s="3"/>
      <c r="Q129" s="3"/>
      <c r="R129" s="3"/>
    </row>
    <row r="130" ht="15.75" customHeight="1">
      <c r="A130" s="7" t="s">
        <v>16</v>
      </c>
      <c r="B130" s="7">
        <v>127.0</v>
      </c>
      <c r="C130" s="1"/>
      <c r="D130" s="2"/>
      <c r="E130" s="2"/>
      <c r="F130" s="2"/>
      <c r="G130" s="2"/>
      <c r="H130" s="2"/>
      <c r="I130" s="2"/>
      <c r="J130" s="2"/>
      <c r="K130" s="3"/>
      <c r="P130" s="3"/>
      <c r="Q130" s="3"/>
      <c r="R130" s="3"/>
    </row>
    <row r="131" ht="15.75" customHeight="1">
      <c r="A131" s="7" t="s">
        <v>16</v>
      </c>
      <c r="B131" s="7">
        <v>128.0</v>
      </c>
      <c r="C131" s="1"/>
      <c r="D131" s="2"/>
      <c r="E131" s="2"/>
      <c r="F131" s="2"/>
      <c r="G131" s="2"/>
      <c r="H131" s="2"/>
      <c r="I131" s="2"/>
      <c r="J131" s="2"/>
      <c r="K131" s="3"/>
      <c r="P131" s="3"/>
      <c r="Q131" s="3"/>
      <c r="R131" s="3"/>
    </row>
    <row r="132" ht="15.75" customHeight="1">
      <c r="A132" s="7" t="s">
        <v>16</v>
      </c>
      <c r="B132" s="7">
        <v>129.0</v>
      </c>
      <c r="C132" s="1"/>
      <c r="D132" s="2"/>
      <c r="E132" s="2"/>
      <c r="F132" s="2"/>
      <c r="G132" s="2"/>
      <c r="H132" s="2"/>
      <c r="I132" s="2"/>
      <c r="J132" s="2"/>
      <c r="K132" s="3"/>
      <c r="P132" s="3"/>
      <c r="Q132" s="3"/>
      <c r="R132" s="3"/>
    </row>
    <row r="133" ht="15.75" customHeight="1">
      <c r="A133" s="7" t="s">
        <v>16</v>
      </c>
      <c r="B133" s="7">
        <v>130.0</v>
      </c>
      <c r="C133" s="1"/>
      <c r="D133" s="2"/>
      <c r="E133" s="2"/>
      <c r="F133" s="2"/>
      <c r="G133" s="2"/>
      <c r="H133" s="2"/>
      <c r="I133" s="2"/>
      <c r="J133" s="2"/>
      <c r="K133" s="3"/>
      <c r="P133" s="3"/>
      <c r="Q133" s="3"/>
      <c r="R133" s="3"/>
    </row>
    <row r="134" ht="15.75" customHeight="1">
      <c r="A134" s="7" t="s">
        <v>16</v>
      </c>
      <c r="B134" s="7">
        <v>131.0</v>
      </c>
      <c r="C134" s="1"/>
      <c r="D134" s="2"/>
      <c r="E134" s="2"/>
      <c r="F134" s="2"/>
      <c r="G134" s="2"/>
      <c r="H134" s="2"/>
      <c r="I134" s="2"/>
      <c r="J134" s="2"/>
      <c r="K134" s="3"/>
      <c r="P134" s="3"/>
      <c r="Q134" s="3"/>
      <c r="R134" s="3"/>
    </row>
    <row r="135" ht="15.75" customHeight="1">
      <c r="A135" s="7" t="s">
        <v>16</v>
      </c>
      <c r="B135" s="7">
        <v>132.0</v>
      </c>
      <c r="C135" s="1"/>
      <c r="D135" s="2"/>
      <c r="E135" s="2"/>
      <c r="F135" s="2"/>
      <c r="G135" s="2"/>
      <c r="H135" s="2"/>
      <c r="I135" s="2"/>
      <c r="J135" s="2"/>
      <c r="K135" s="3"/>
      <c r="P135" s="3"/>
      <c r="Q135" s="3"/>
      <c r="R135" s="3"/>
    </row>
    <row r="136" ht="15.75" customHeight="1">
      <c r="A136" s="7" t="s">
        <v>16</v>
      </c>
      <c r="B136" s="7">
        <v>133.0</v>
      </c>
      <c r="C136" s="1"/>
      <c r="D136" s="2"/>
      <c r="E136" s="2"/>
      <c r="F136" s="2"/>
      <c r="G136" s="2"/>
      <c r="H136" s="2"/>
      <c r="I136" s="2"/>
      <c r="J136" s="2"/>
      <c r="K136" s="3"/>
      <c r="P136" s="3"/>
      <c r="Q136" s="3"/>
      <c r="R136" s="3"/>
    </row>
    <row r="137" ht="15.75" customHeight="1">
      <c r="A137" s="7" t="s">
        <v>16</v>
      </c>
      <c r="B137" s="7">
        <v>134.0</v>
      </c>
      <c r="C137" s="1"/>
      <c r="D137" s="2"/>
      <c r="E137" s="2"/>
      <c r="F137" s="2"/>
      <c r="G137" s="2"/>
      <c r="H137" s="2"/>
      <c r="I137" s="2"/>
      <c r="J137" s="2"/>
      <c r="K137" s="3"/>
      <c r="P137" s="3"/>
      <c r="Q137" s="3"/>
      <c r="R137" s="3"/>
    </row>
    <row r="138" ht="15.75" customHeight="1">
      <c r="A138" s="7" t="s">
        <v>16</v>
      </c>
      <c r="B138" s="7">
        <v>135.0</v>
      </c>
      <c r="C138" s="1"/>
      <c r="D138" s="2"/>
      <c r="E138" s="2"/>
      <c r="F138" s="2"/>
      <c r="G138" s="2"/>
      <c r="H138" s="2"/>
      <c r="I138" s="2"/>
      <c r="J138" s="2"/>
      <c r="K138" s="3"/>
      <c r="P138" s="3"/>
      <c r="Q138" s="3"/>
      <c r="R138" s="3"/>
    </row>
    <row r="139" ht="15.75" customHeight="1">
      <c r="A139" s="7" t="s">
        <v>16</v>
      </c>
      <c r="B139" s="7">
        <v>136.0</v>
      </c>
      <c r="C139" s="1"/>
      <c r="D139" s="2"/>
      <c r="E139" s="2"/>
      <c r="F139" s="2"/>
      <c r="G139" s="2"/>
      <c r="H139" s="2"/>
      <c r="I139" s="2"/>
      <c r="J139" s="2"/>
      <c r="K139" s="3"/>
      <c r="P139" s="3"/>
      <c r="Q139" s="3"/>
      <c r="R139" s="3"/>
    </row>
    <row r="140" ht="15.75" customHeight="1">
      <c r="A140" s="7" t="s">
        <v>16</v>
      </c>
      <c r="B140" s="7">
        <v>137.0</v>
      </c>
      <c r="C140" s="1"/>
      <c r="D140" s="2"/>
      <c r="E140" s="2"/>
      <c r="F140" s="2"/>
      <c r="G140" s="2"/>
      <c r="H140" s="2"/>
      <c r="I140" s="2"/>
      <c r="J140" s="2"/>
      <c r="K140" s="3"/>
      <c r="P140" s="3"/>
      <c r="Q140" s="3"/>
      <c r="R140" s="3"/>
    </row>
    <row r="141" ht="15.75" customHeight="1">
      <c r="A141" s="7" t="s">
        <v>16</v>
      </c>
      <c r="B141" s="7">
        <v>138.0</v>
      </c>
      <c r="C141" s="1"/>
      <c r="D141" s="2"/>
      <c r="E141" s="2"/>
      <c r="F141" s="2"/>
      <c r="G141" s="2"/>
      <c r="H141" s="2"/>
      <c r="I141" s="2"/>
      <c r="J141" s="2"/>
      <c r="K141" s="3"/>
      <c r="P141" s="3"/>
      <c r="Q141" s="3"/>
      <c r="R141" s="3"/>
    </row>
    <row r="142" ht="15.75" customHeight="1">
      <c r="A142" s="7" t="s">
        <v>16</v>
      </c>
      <c r="B142" s="7">
        <v>139.0</v>
      </c>
      <c r="C142" s="1"/>
      <c r="D142" s="2"/>
      <c r="E142" s="2"/>
      <c r="F142" s="2"/>
      <c r="G142" s="2"/>
      <c r="H142" s="2"/>
      <c r="I142" s="2"/>
      <c r="J142" s="2"/>
      <c r="K142" s="3"/>
      <c r="P142" s="3"/>
      <c r="Q142" s="3"/>
      <c r="R142" s="3"/>
    </row>
    <row r="143" ht="15.75" customHeight="1">
      <c r="A143" s="7" t="s">
        <v>16</v>
      </c>
      <c r="B143" s="7">
        <v>140.0</v>
      </c>
      <c r="C143" s="1"/>
      <c r="D143" s="2"/>
      <c r="E143" s="2"/>
      <c r="F143" s="2"/>
      <c r="G143" s="2"/>
      <c r="H143" s="2"/>
      <c r="I143" s="2"/>
      <c r="J143" s="2"/>
      <c r="K143" s="3"/>
      <c r="P143" s="3"/>
      <c r="Q143" s="3"/>
      <c r="R143" s="3"/>
    </row>
    <row r="144" ht="15.75" customHeight="1">
      <c r="A144" s="7" t="s">
        <v>16</v>
      </c>
      <c r="B144" s="7">
        <v>141.0</v>
      </c>
      <c r="C144" s="1"/>
      <c r="D144" s="2"/>
      <c r="E144" s="2"/>
      <c r="F144" s="2"/>
      <c r="G144" s="2"/>
      <c r="H144" s="2"/>
      <c r="I144" s="2"/>
      <c r="J144" s="2"/>
      <c r="K144" s="3"/>
      <c r="P144" s="3"/>
      <c r="Q144" s="3"/>
      <c r="R144" s="3"/>
    </row>
    <row r="145" ht="15.75" customHeight="1">
      <c r="A145" s="7" t="s">
        <v>16</v>
      </c>
      <c r="B145" s="7">
        <v>142.0</v>
      </c>
      <c r="C145" s="1"/>
      <c r="D145" s="2"/>
      <c r="E145" s="2"/>
      <c r="F145" s="2"/>
      <c r="G145" s="2"/>
      <c r="H145" s="2"/>
      <c r="I145" s="2"/>
      <c r="J145" s="2"/>
      <c r="K145" s="3"/>
      <c r="P145" s="3"/>
      <c r="Q145" s="3"/>
      <c r="R145" s="3"/>
    </row>
    <row r="146" ht="15.75" customHeight="1">
      <c r="A146" s="7" t="s">
        <v>16</v>
      </c>
      <c r="B146" s="7">
        <v>143.0</v>
      </c>
      <c r="C146" s="1"/>
      <c r="D146" s="2"/>
      <c r="E146" s="2"/>
      <c r="F146" s="2"/>
      <c r="G146" s="2"/>
      <c r="H146" s="2"/>
      <c r="I146" s="2"/>
      <c r="J146" s="2"/>
      <c r="K146" s="3"/>
      <c r="P146" s="3"/>
      <c r="Q146" s="3"/>
      <c r="R146" s="3"/>
    </row>
    <row r="147" ht="15.75" customHeight="1">
      <c r="A147" s="7" t="s">
        <v>16</v>
      </c>
      <c r="B147" s="7">
        <v>144.0</v>
      </c>
      <c r="C147" s="1"/>
      <c r="D147" s="2"/>
      <c r="E147" s="2"/>
      <c r="F147" s="2"/>
      <c r="G147" s="2"/>
      <c r="H147" s="2"/>
      <c r="I147" s="2"/>
      <c r="J147" s="2"/>
      <c r="K147" s="3"/>
      <c r="P147" s="3"/>
      <c r="Q147" s="3"/>
      <c r="R147" s="3"/>
    </row>
    <row r="148" ht="15.75" customHeight="1">
      <c r="A148" s="7" t="s">
        <v>16</v>
      </c>
      <c r="B148" s="7">
        <v>145.0</v>
      </c>
      <c r="C148" s="1"/>
      <c r="D148" s="2"/>
      <c r="E148" s="2"/>
      <c r="F148" s="2"/>
      <c r="G148" s="2"/>
      <c r="H148" s="2"/>
      <c r="I148" s="2"/>
      <c r="J148" s="2"/>
      <c r="K148" s="3"/>
      <c r="P148" s="3"/>
      <c r="Q148" s="3"/>
      <c r="R148" s="3"/>
    </row>
    <row r="149" ht="15.75" customHeight="1">
      <c r="A149" s="7" t="s">
        <v>16</v>
      </c>
      <c r="B149" s="7">
        <v>146.0</v>
      </c>
      <c r="C149" s="1"/>
      <c r="D149" s="2"/>
      <c r="E149" s="2"/>
      <c r="F149" s="2"/>
      <c r="G149" s="2"/>
      <c r="H149" s="2"/>
      <c r="I149" s="2"/>
      <c r="J149" s="2"/>
      <c r="K149" s="3"/>
      <c r="P149" s="3"/>
      <c r="Q149" s="3"/>
      <c r="R149" s="3"/>
    </row>
    <row r="150" ht="15.75" customHeight="1">
      <c r="A150" s="7" t="s">
        <v>16</v>
      </c>
      <c r="B150" s="7">
        <v>147.0</v>
      </c>
      <c r="C150" s="1"/>
      <c r="D150" s="2"/>
      <c r="E150" s="2"/>
      <c r="F150" s="2"/>
      <c r="G150" s="2"/>
      <c r="H150" s="2"/>
      <c r="I150" s="2"/>
      <c r="J150" s="2"/>
      <c r="K150" s="3"/>
      <c r="P150" s="3"/>
      <c r="Q150" s="3"/>
      <c r="R150" s="3"/>
    </row>
    <row r="151" ht="15.75" customHeight="1">
      <c r="A151" s="7" t="s">
        <v>16</v>
      </c>
      <c r="B151" s="7">
        <v>148.0</v>
      </c>
      <c r="C151" s="1"/>
      <c r="D151" s="2"/>
      <c r="E151" s="2"/>
      <c r="F151" s="2"/>
      <c r="G151" s="2"/>
      <c r="H151" s="2"/>
      <c r="I151" s="2"/>
      <c r="J151" s="2"/>
      <c r="K151" s="3"/>
      <c r="P151" s="3"/>
      <c r="Q151" s="3"/>
      <c r="R151" s="3"/>
    </row>
    <row r="152" ht="15.75" customHeight="1">
      <c r="A152" s="7" t="s">
        <v>16</v>
      </c>
      <c r="B152" s="7">
        <v>149.0</v>
      </c>
      <c r="C152" s="1"/>
      <c r="D152" s="2"/>
      <c r="E152" s="2"/>
      <c r="F152" s="2"/>
      <c r="G152" s="2"/>
      <c r="H152" s="2"/>
      <c r="I152" s="2"/>
      <c r="J152" s="2"/>
      <c r="K152" s="3"/>
      <c r="P152" s="3"/>
      <c r="Q152" s="3"/>
      <c r="R152" s="3"/>
    </row>
    <row r="153" ht="15.75" customHeight="1">
      <c r="A153" s="7" t="s">
        <v>16</v>
      </c>
      <c r="B153" s="7">
        <v>150.0</v>
      </c>
      <c r="C153" s="1"/>
      <c r="D153" s="2"/>
      <c r="E153" s="2"/>
      <c r="F153" s="2"/>
      <c r="G153" s="2"/>
      <c r="H153" s="2"/>
      <c r="I153" s="2"/>
      <c r="J153" s="2"/>
      <c r="K153" s="3"/>
      <c r="P153" s="3"/>
      <c r="Q153" s="3"/>
      <c r="R153" s="3"/>
    </row>
    <row r="154" ht="15.75" customHeight="1">
      <c r="A154" s="7" t="s">
        <v>16</v>
      </c>
      <c r="B154" s="7">
        <v>151.0</v>
      </c>
      <c r="C154" s="1"/>
      <c r="D154" s="2"/>
      <c r="E154" s="2"/>
      <c r="F154" s="2"/>
      <c r="G154" s="2"/>
      <c r="H154" s="2"/>
      <c r="I154" s="2"/>
      <c r="J154" s="2"/>
      <c r="K154" s="3"/>
      <c r="P154" s="3"/>
      <c r="Q154" s="3"/>
      <c r="R154" s="3"/>
    </row>
    <row r="155" ht="15.75" customHeight="1">
      <c r="A155" s="7" t="s">
        <v>16</v>
      </c>
      <c r="B155" s="7">
        <v>152.0</v>
      </c>
      <c r="C155" s="1"/>
      <c r="D155" s="2"/>
      <c r="E155" s="2"/>
      <c r="F155" s="2"/>
      <c r="G155" s="2"/>
      <c r="H155" s="2"/>
      <c r="I155" s="2"/>
      <c r="J155" s="2"/>
      <c r="K155" s="3"/>
      <c r="P155" s="3"/>
      <c r="Q155" s="3"/>
      <c r="R155" s="3"/>
    </row>
    <row r="156" ht="15.75" customHeight="1">
      <c r="A156" s="7" t="s">
        <v>16</v>
      </c>
      <c r="B156" s="7">
        <v>153.0</v>
      </c>
      <c r="C156" s="1"/>
      <c r="D156" s="2"/>
      <c r="E156" s="2"/>
      <c r="F156" s="2"/>
      <c r="G156" s="2"/>
      <c r="H156" s="2"/>
      <c r="I156" s="2"/>
      <c r="J156" s="2"/>
      <c r="K156" s="3"/>
      <c r="P156" s="3"/>
      <c r="Q156" s="3"/>
      <c r="R156" s="3"/>
    </row>
    <row r="157" ht="15.75" customHeight="1">
      <c r="A157" s="7" t="s">
        <v>16</v>
      </c>
      <c r="B157" s="7">
        <v>154.0</v>
      </c>
      <c r="C157" s="1"/>
      <c r="D157" s="2"/>
      <c r="E157" s="2"/>
      <c r="F157" s="2"/>
      <c r="G157" s="2"/>
      <c r="H157" s="2"/>
      <c r="I157" s="2"/>
      <c r="J157" s="2"/>
      <c r="K157" s="3"/>
      <c r="P157" s="3"/>
      <c r="Q157" s="3"/>
      <c r="R157" s="3"/>
    </row>
    <row r="158" ht="15.75" customHeight="1">
      <c r="A158" s="7" t="s">
        <v>16</v>
      </c>
      <c r="B158" s="7">
        <v>155.0</v>
      </c>
      <c r="C158" s="1"/>
      <c r="D158" s="2"/>
      <c r="E158" s="2"/>
      <c r="F158" s="2"/>
      <c r="G158" s="2"/>
      <c r="H158" s="2"/>
      <c r="I158" s="2"/>
      <c r="J158" s="2"/>
      <c r="K158" s="3"/>
      <c r="P158" s="3"/>
      <c r="Q158" s="3"/>
      <c r="R158" s="3"/>
    </row>
    <row r="159" ht="15.75" customHeight="1">
      <c r="A159" s="7" t="s">
        <v>16</v>
      </c>
      <c r="B159" s="7">
        <v>156.0</v>
      </c>
      <c r="C159" s="1"/>
      <c r="D159" s="2"/>
      <c r="E159" s="2"/>
      <c r="F159" s="2"/>
      <c r="G159" s="2"/>
      <c r="H159" s="2"/>
      <c r="I159" s="2"/>
      <c r="J159" s="2"/>
      <c r="K159" s="3"/>
      <c r="P159" s="3"/>
      <c r="Q159" s="3"/>
      <c r="R159" s="3"/>
    </row>
    <row r="160" ht="15.75" customHeight="1">
      <c r="A160" s="7" t="s">
        <v>16</v>
      </c>
      <c r="B160" s="7">
        <v>157.0</v>
      </c>
      <c r="C160" s="1"/>
      <c r="D160" s="2"/>
      <c r="E160" s="2"/>
      <c r="F160" s="2"/>
      <c r="G160" s="2"/>
      <c r="H160" s="2"/>
      <c r="I160" s="2"/>
      <c r="J160" s="2"/>
      <c r="K160" s="3"/>
      <c r="P160" s="3"/>
      <c r="Q160" s="3"/>
      <c r="R160" s="3"/>
    </row>
    <row r="161" ht="15.75" customHeight="1">
      <c r="A161" s="7" t="s">
        <v>16</v>
      </c>
      <c r="B161" s="7">
        <v>158.0</v>
      </c>
      <c r="C161" s="1"/>
      <c r="D161" s="2"/>
      <c r="E161" s="2"/>
      <c r="F161" s="2"/>
      <c r="G161" s="2"/>
      <c r="H161" s="2"/>
      <c r="I161" s="2"/>
      <c r="J161" s="2"/>
      <c r="K161" s="3"/>
      <c r="P161" s="3"/>
      <c r="Q161" s="3"/>
      <c r="R161" s="3"/>
    </row>
    <row r="162" ht="15.75" customHeight="1">
      <c r="A162" s="7" t="s">
        <v>16</v>
      </c>
      <c r="B162" s="7">
        <v>159.0</v>
      </c>
      <c r="C162" s="1"/>
      <c r="D162" s="2"/>
      <c r="E162" s="2"/>
      <c r="F162" s="2"/>
      <c r="G162" s="2"/>
      <c r="H162" s="2"/>
      <c r="I162" s="2"/>
      <c r="J162" s="2"/>
      <c r="K162" s="3"/>
      <c r="P162" s="3"/>
      <c r="Q162" s="3"/>
      <c r="R162" s="3"/>
    </row>
    <row r="163" ht="15.75" customHeight="1">
      <c r="A163" s="7" t="s">
        <v>16</v>
      </c>
      <c r="B163" s="7">
        <v>160.0</v>
      </c>
      <c r="C163" s="1"/>
      <c r="D163" s="2"/>
      <c r="E163" s="2"/>
      <c r="F163" s="2"/>
      <c r="G163" s="2"/>
      <c r="H163" s="2"/>
      <c r="I163" s="2"/>
      <c r="J163" s="2"/>
      <c r="K163" s="3"/>
      <c r="P163" s="3"/>
      <c r="Q163" s="3"/>
      <c r="R163" s="3"/>
    </row>
    <row r="164" ht="15.75" customHeight="1">
      <c r="A164" s="7" t="s">
        <v>16</v>
      </c>
      <c r="B164" s="7">
        <v>161.0</v>
      </c>
      <c r="C164" s="1"/>
      <c r="D164" s="2"/>
      <c r="E164" s="2"/>
      <c r="F164" s="2"/>
      <c r="G164" s="2"/>
      <c r="H164" s="2"/>
      <c r="I164" s="2"/>
      <c r="J164" s="2"/>
      <c r="K164" s="3"/>
      <c r="P164" s="3"/>
      <c r="Q164" s="3"/>
      <c r="R164" s="3"/>
    </row>
    <row r="165" ht="15.75" customHeight="1">
      <c r="A165" s="7" t="s">
        <v>16</v>
      </c>
      <c r="B165" s="7">
        <v>162.0</v>
      </c>
      <c r="C165" s="1"/>
      <c r="D165" s="2"/>
      <c r="E165" s="2"/>
      <c r="F165" s="2"/>
      <c r="G165" s="2"/>
      <c r="H165" s="2"/>
      <c r="I165" s="2"/>
      <c r="J165" s="2"/>
      <c r="K165" s="3"/>
      <c r="P165" s="3"/>
      <c r="Q165" s="3"/>
      <c r="R165" s="3"/>
    </row>
    <row r="166" ht="15.75" customHeight="1">
      <c r="A166" s="7" t="s">
        <v>16</v>
      </c>
      <c r="B166" s="7">
        <v>163.0</v>
      </c>
      <c r="C166" s="1"/>
      <c r="D166" s="2"/>
      <c r="E166" s="2"/>
      <c r="F166" s="2"/>
      <c r="G166" s="2"/>
      <c r="H166" s="2"/>
      <c r="I166" s="2"/>
      <c r="J166" s="2"/>
      <c r="K166" s="3"/>
      <c r="P166" s="3"/>
      <c r="Q166" s="3"/>
      <c r="R166" s="3"/>
    </row>
    <row r="167" ht="15.75" customHeight="1">
      <c r="A167" s="7" t="s">
        <v>16</v>
      </c>
      <c r="B167" s="7">
        <v>164.0</v>
      </c>
      <c r="C167" s="1"/>
      <c r="D167" s="2"/>
      <c r="E167" s="2"/>
      <c r="F167" s="2"/>
      <c r="G167" s="2"/>
      <c r="H167" s="2"/>
      <c r="I167" s="2"/>
      <c r="J167" s="2"/>
      <c r="K167" s="3"/>
      <c r="P167" s="3"/>
      <c r="Q167" s="3"/>
      <c r="R167" s="3"/>
    </row>
    <row r="168" ht="15.75" customHeight="1">
      <c r="A168" s="7" t="s">
        <v>16</v>
      </c>
      <c r="B168" s="7">
        <v>165.0</v>
      </c>
      <c r="C168" s="1"/>
      <c r="D168" s="2"/>
      <c r="E168" s="2"/>
      <c r="F168" s="2"/>
      <c r="G168" s="2"/>
      <c r="H168" s="2"/>
      <c r="I168" s="2"/>
      <c r="J168" s="2"/>
      <c r="K168" s="3"/>
      <c r="P168" s="3"/>
      <c r="Q168" s="3"/>
      <c r="R168" s="3"/>
    </row>
    <row r="169" ht="15.75" customHeight="1">
      <c r="A169" s="7" t="s">
        <v>16</v>
      </c>
      <c r="B169" s="7">
        <v>166.0</v>
      </c>
      <c r="C169" s="1"/>
      <c r="D169" s="2"/>
      <c r="E169" s="2"/>
      <c r="F169" s="2"/>
      <c r="G169" s="2"/>
      <c r="H169" s="2"/>
      <c r="I169" s="2"/>
      <c r="J169" s="2"/>
      <c r="K169" s="3"/>
      <c r="P169" s="3"/>
      <c r="Q169" s="3"/>
      <c r="R169" s="3"/>
    </row>
    <row r="170" ht="15.75" customHeight="1">
      <c r="A170" s="7" t="s">
        <v>16</v>
      </c>
      <c r="B170" s="7">
        <v>167.0</v>
      </c>
      <c r="C170" s="1"/>
      <c r="D170" s="2"/>
      <c r="E170" s="2"/>
      <c r="F170" s="2"/>
      <c r="G170" s="2"/>
      <c r="H170" s="2"/>
      <c r="I170" s="2"/>
      <c r="J170" s="2"/>
      <c r="K170" s="3"/>
      <c r="P170" s="3"/>
      <c r="Q170" s="3"/>
      <c r="R170" s="3"/>
    </row>
    <row r="171" ht="15.75" customHeight="1">
      <c r="A171" s="7" t="s">
        <v>16</v>
      </c>
      <c r="B171" s="7">
        <v>168.0</v>
      </c>
      <c r="C171" s="1"/>
      <c r="D171" s="2"/>
      <c r="E171" s="2"/>
      <c r="F171" s="2"/>
      <c r="G171" s="2"/>
      <c r="H171" s="2"/>
      <c r="I171" s="2"/>
      <c r="J171" s="2"/>
      <c r="K171" s="3"/>
      <c r="P171" s="3"/>
      <c r="Q171" s="3"/>
      <c r="R171" s="3"/>
    </row>
    <row r="172" ht="15.75" customHeight="1">
      <c r="A172" s="7" t="s">
        <v>16</v>
      </c>
      <c r="B172" s="7">
        <v>169.0</v>
      </c>
      <c r="C172" s="1"/>
      <c r="D172" s="2"/>
      <c r="E172" s="2"/>
      <c r="F172" s="2"/>
      <c r="G172" s="2"/>
      <c r="H172" s="2"/>
      <c r="I172" s="2"/>
      <c r="J172" s="2"/>
      <c r="K172" s="3"/>
      <c r="P172" s="3"/>
      <c r="Q172" s="3"/>
      <c r="R172" s="3"/>
    </row>
    <row r="173" ht="15.75" customHeight="1">
      <c r="A173" s="7" t="s">
        <v>16</v>
      </c>
      <c r="B173" s="7">
        <v>170.0</v>
      </c>
      <c r="C173" s="1"/>
      <c r="D173" s="2"/>
      <c r="E173" s="2"/>
      <c r="F173" s="2"/>
      <c r="G173" s="2"/>
      <c r="H173" s="2"/>
      <c r="I173" s="2"/>
      <c r="J173" s="2"/>
      <c r="K173" s="3"/>
      <c r="P173" s="3"/>
      <c r="Q173" s="3"/>
      <c r="R173" s="3"/>
    </row>
    <row r="174" ht="15.75" customHeight="1">
      <c r="A174" s="7" t="s">
        <v>16</v>
      </c>
      <c r="B174" s="7">
        <v>171.0</v>
      </c>
      <c r="C174" s="1"/>
      <c r="D174" s="2"/>
      <c r="E174" s="2"/>
      <c r="F174" s="2"/>
      <c r="G174" s="2"/>
      <c r="H174" s="2"/>
      <c r="I174" s="2"/>
      <c r="J174" s="2"/>
      <c r="K174" s="3"/>
      <c r="P174" s="3"/>
      <c r="Q174" s="3"/>
      <c r="R174" s="3"/>
    </row>
    <row r="175" ht="15.75" customHeight="1">
      <c r="A175" s="7" t="s">
        <v>16</v>
      </c>
      <c r="B175" s="7">
        <v>172.0</v>
      </c>
      <c r="C175" s="1"/>
      <c r="D175" s="2"/>
      <c r="E175" s="2"/>
      <c r="F175" s="2"/>
      <c r="G175" s="2"/>
      <c r="H175" s="2"/>
      <c r="I175" s="2"/>
      <c r="J175" s="2"/>
      <c r="K175" s="3"/>
      <c r="P175" s="3"/>
      <c r="Q175" s="3"/>
      <c r="R175" s="3"/>
    </row>
    <row r="176" ht="15.75" customHeight="1">
      <c r="A176" s="7" t="s">
        <v>16</v>
      </c>
      <c r="B176" s="7">
        <v>173.0</v>
      </c>
      <c r="C176" s="1"/>
      <c r="D176" s="2"/>
      <c r="E176" s="2"/>
      <c r="F176" s="2"/>
      <c r="G176" s="2"/>
      <c r="H176" s="2"/>
      <c r="I176" s="2"/>
      <c r="J176" s="2"/>
      <c r="K176" s="3"/>
      <c r="P176" s="3"/>
      <c r="Q176" s="3"/>
      <c r="R176" s="3"/>
    </row>
    <row r="177" ht="15.75" customHeight="1">
      <c r="A177" s="7" t="s">
        <v>16</v>
      </c>
      <c r="B177" s="7">
        <v>174.0</v>
      </c>
      <c r="C177" s="1"/>
      <c r="D177" s="2"/>
      <c r="E177" s="2"/>
      <c r="F177" s="2"/>
      <c r="G177" s="2"/>
      <c r="H177" s="2"/>
      <c r="I177" s="2"/>
      <c r="J177" s="2"/>
      <c r="K177" s="3"/>
      <c r="P177" s="3"/>
      <c r="Q177" s="3"/>
      <c r="R177" s="3"/>
    </row>
    <row r="178" ht="15.75" customHeight="1">
      <c r="A178" s="7" t="s">
        <v>16</v>
      </c>
      <c r="B178" s="7">
        <v>175.0</v>
      </c>
      <c r="C178" s="1"/>
      <c r="D178" s="2"/>
      <c r="E178" s="2"/>
      <c r="F178" s="2"/>
      <c r="G178" s="2"/>
      <c r="H178" s="2"/>
      <c r="I178" s="2"/>
      <c r="J178" s="2"/>
      <c r="K178" s="3"/>
      <c r="P178" s="3"/>
      <c r="Q178" s="3"/>
      <c r="R178" s="3"/>
    </row>
    <row r="179" ht="15.75" customHeight="1">
      <c r="A179" s="7" t="s">
        <v>16</v>
      </c>
      <c r="B179" s="7">
        <v>176.0</v>
      </c>
      <c r="C179" s="1"/>
      <c r="D179" s="2"/>
      <c r="E179" s="2"/>
      <c r="F179" s="2"/>
      <c r="G179" s="2"/>
      <c r="H179" s="2"/>
      <c r="I179" s="2"/>
      <c r="J179" s="2"/>
      <c r="K179" s="3"/>
      <c r="P179" s="3"/>
      <c r="Q179" s="3"/>
      <c r="R179" s="3"/>
    </row>
    <row r="180" ht="15.75" customHeight="1">
      <c r="A180" s="7" t="s">
        <v>16</v>
      </c>
      <c r="B180" s="7">
        <v>177.0</v>
      </c>
      <c r="C180" s="1"/>
      <c r="D180" s="2"/>
      <c r="E180" s="2"/>
      <c r="F180" s="2"/>
      <c r="G180" s="2"/>
      <c r="H180" s="2"/>
      <c r="I180" s="2"/>
      <c r="J180" s="2"/>
      <c r="K180" s="3"/>
      <c r="P180" s="3"/>
      <c r="Q180" s="3"/>
      <c r="R180" s="3"/>
    </row>
    <row r="181" ht="15.75" customHeight="1">
      <c r="A181" s="7" t="s">
        <v>16</v>
      </c>
      <c r="B181" s="7">
        <v>178.0</v>
      </c>
      <c r="C181" s="1"/>
      <c r="D181" s="2"/>
      <c r="E181" s="2"/>
      <c r="F181" s="2"/>
      <c r="G181" s="2"/>
      <c r="H181" s="2"/>
      <c r="I181" s="2"/>
      <c r="J181" s="2"/>
      <c r="K181" s="3"/>
      <c r="P181" s="3"/>
      <c r="Q181" s="3"/>
      <c r="R181" s="3"/>
    </row>
    <row r="182" ht="15.75" customHeight="1">
      <c r="A182" s="7" t="s">
        <v>16</v>
      </c>
      <c r="B182" s="7">
        <v>179.0</v>
      </c>
      <c r="C182" s="1"/>
      <c r="D182" s="2"/>
      <c r="E182" s="2"/>
      <c r="F182" s="2"/>
      <c r="G182" s="2"/>
      <c r="H182" s="2"/>
      <c r="I182" s="2"/>
      <c r="J182" s="2"/>
      <c r="K182" s="3"/>
      <c r="P182" s="3"/>
      <c r="Q182" s="3"/>
      <c r="R182" s="3"/>
    </row>
    <row r="183" ht="15.75" customHeight="1">
      <c r="A183" s="7" t="s">
        <v>16</v>
      </c>
      <c r="B183" s="7">
        <v>180.0</v>
      </c>
      <c r="C183" s="1"/>
      <c r="D183" s="2"/>
      <c r="E183" s="2"/>
      <c r="F183" s="2"/>
      <c r="G183" s="2"/>
      <c r="H183" s="2"/>
      <c r="I183" s="2"/>
      <c r="J183" s="2"/>
      <c r="K183" s="3"/>
      <c r="P183" s="3"/>
      <c r="Q183" s="3"/>
      <c r="R183" s="3"/>
    </row>
    <row r="184" ht="15.75" customHeight="1">
      <c r="A184" s="7" t="s">
        <v>16</v>
      </c>
      <c r="B184" s="7">
        <v>181.0</v>
      </c>
      <c r="C184" s="1"/>
      <c r="D184" s="2"/>
      <c r="E184" s="2"/>
      <c r="F184" s="2"/>
      <c r="G184" s="2"/>
      <c r="H184" s="2"/>
      <c r="I184" s="2"/>
      <c r="J184" s="2"/>
      <c r="K184" s="3"/>
      <c r="P184" s="3"/>
      <c r="Q184" s="3"/>
      <c r="R184" s="3"/>
    </row>
    <row r="185" ht="15.75" customHeight="1">
      <c r="A185" s="7" t="s">
        <v>16</v>
      </c>
      <c r="B185" s="7">
        <v>182.0</v>
      </c>
      <c r="C185" s="1"/>
      <c r="D185" s="2"/>
      <c r="E185" s="2"/>
      <c r="F185" s="2"/>
      <c r="G185" s="2"/>
      <c r="H185" s="2"/>
      <c r="I185" s="2"/>
      <c r="J185" s="2"/>
      <c r="K185" s="3"/>
      <c r="P185" s="3"/>
      <c r="Q185" s="3"/>
      <c r="R185" s="3"/>
    </row>
    <row r="186" ht="15.75" customHeight="1">
      <c r="A186" s="7" t="s">
        <v>16</v>
      </c>
      <c r="B186" s="7">
        <v>183.0</v>
      </c>
      <c r="C186" s="1"/>
      <c r="D186" s="2"/>
      <c r="E186" s="2"/>
      <c r="F186" s="2"/>
      <c r="G186" s="2"/>
      <c r="H186" s="2"/>
      <c r="I186" s="2"/>
      <c r="J186" s="2"/>
      <c r="K186" s="3"/>
      <c r="P186" s="3"/>
      <c r="Q186" s="3"/>
      <c r="R186" s="3"/>
    </row>
    <row r="187" ht="15.75" customHeight="1">
      <c r="A187" s="7" t="s">
        <v>16</v>
      </c>
      <c r="B187" s="7">
        <v>184.0</v>
      </c>
      <c r="C187" s="1"/>
      <c r="D187" s="2"/>
      <c r="E187" s="2"/>
      <c r="F187" s="2"/>
      <c r="G187" s="2"/>
      <c r="H187" s="2"/>
      <c r="I187" s="2"/>
      <c r="J187" s="2"/>
      <c r="K187" s="3"/>
      <c r="P187" s="3"/>
      <c r="Q187" s="3"/>
      <c r="R187" s="3"/>
    </row>
    <row r="188" ht="15.75" customHeight="1">
      <c r="A188" s="7" t="s">
        <v>16</v>
      </c>
      <c r="B188" s="7">
        <v>185.0</v>
      </c>
      <c r="C188" s="1"/>
      <c r="D188" s="2"/>
      <c r="E188" s="2"/>
      <c r="F188" s="2"/>
      <c r="G188" s="2"/>
      <c r="H188" s="2"/>
      <c r="I188" s="2"/>
      <c r="J188" s="2"/>
      <c r="K188" s="3"/>
      <c r="P188" s="3"/>
      <c r="Q188" s="3"/>
      <c r="R188" s="3"/>
    </row>
    <row r="189" ht="15.75" customHeight="1">
      <c r="A189" s="7" t="s">
        <v>16</v>
      </c>
      <c r="B189" s="7">
        <v>186.0</v>
      </c>
      <c r="C189" s="1"/>
      <c r="D189" s="2"/>
      <c r="E189" s="2"/>
      <c r="F189" s="2"/>
      <c r="G189" s="2"/>
      <c r="H189" s="2"/>
      <c r="I189" s="2"/>
      <c r="J189" s="2"/>
      <c r="K189" s="3"/>
      <c r="P189" s="3"/>
      <c r="Q189" s="3"/>
      <c r="R189" s="3"/>
    </row>
    <row r="190" ht="15.75" customHeight="1">
      <c r="A190" s="7" t="s">
        <v>16</v>
      </c>
      <c r="B190" s="7">
        <v>187.0</v>
      </c>
      <c r="C190" s="1"/>
      <c r="D190" s="2"/>
      <c r="E190" s="2"/>
      <c r="F190" s="2"/>
      <c r="G190" s="2"/>
      <c r="H190" s="2"/>
      <c r="I190" s="2"/>
      <c r="J190" s="2"/>
      <c r="K190" s="3"/>
      <c r="P190" s="3"/>
      <c r="Q190" s="3"/>
      <c r="R190" s="3"/>
    </row>
    <row r="191" ht="15.75" customHeight="1">
      <c r="A191" s="7" t="s">
        <v>16</v>
      </c>
      <c r="B191" s="7">
        <v>188.0</v>
      </c>
      <c r="C191" s="1"/>
      <c r="D191" s="2"/>
      <c r="E191" s="2"/>
      <c r="F191" s="2"/>
      <c r="G191" s="2"/>
      <c r="H191" s="2"/>
      <c r="I191" s="2"/>
      <c r="J191" s="2"/>
      <c r="K191" s="3"/>
      <c r="P191" s="3"/>
      <c r="Q191" s="3"/>
      <c r="R191" s="3"/>
    </row>
    <row r="192" ht="15.75" customHeight="1">
      <c r="A192" s="7" t="s">
        <v>16</v>
      </c>
      <c r="B192" s="7">
        <v>189.0</v>
      </c>
      <c r="C192" s="1"/>
      <c r="D192" s="2"/>
      <c r="E192" s="2"/>
      <c r="F192" s="2"/>
      <c r="G192" s="2"/>
      <c r="H192" s="2"/>
      <c r="I192" s="2"/>
      <c r="J192" s="2"/>
      <c r="K192" s="3"/>
      <c r="P192" s="3"/>
      <c r="Q192" s="3"/>
      <c r="R192" s="3"/>
    </row>
    <row r="193" ht="15.75" customHeight="1">
      <c r="A193" s="7" t="s">
        <v>16</v>
      </c>
      <c r="B193" s="7">
        <v>190.0</v>
      </c>
      <c r="C193" s="1"/>
      <c r="D193" s="2"/>
      <c r="E193" s="2"/>
      <c r="F193" s="2"/>
      <c r="G193" s="2"/>
      <c r="H193" s="2"/>
      <c r="I193" s="2"/>
      <c r="J193" s="2"/>
      <c r="K193" s="3"/>
      <c r="P193" s="3"/>
      <c r="Q193" s="3"/>
      <c r="R193" s="3"/>
    </row>
    <row r="194" ht="15.75" customHeight="1">
      <c r="A194" s="7" t="s">
        <v>16</v>
      </c>
      <c r="B194" s="7">
        <v>191.0</v>
      </c>
      <c r="C194" s="1"/>
      <c r="D194" s="2"/>
      <c r="E194" s="2"/>
      <c r="F194" s="2"/>
      <c r="G194" s="2"/>
      <c r="H194" s="2"/>
      <c r="I194" s="2"/>
      <c r="J194" s="2"/>
      <c r="K194" s="3"/>
      <c r="P194" s="3"/>
      <c r="Q194" s="3"/>
      <c r="R194" s="3"/>
    </row>
    <row r="195" ht="15.75" customHeight="1">
      <c r="A195" s="7" t="s">
        <v>16</v>
      </c>
      <c r="B195" s="7">
        <v>192.0</v>
      </c>
      <c r="C195" s="1"/>
      <c r="D195" s="2"/>
      <c r="E195" s="2"/>
      <c r="F195" s="2"/>
      <c r="G195" s="2"/>
      <c r="H195" s="2"/>
      <c r="I195" s="2"/>
      <c r="J195" s="2"/>
      <c r="K195" s="3"/>
      <c r="P195" s="3"/>
      <c r="Q195" s="3"/>
      <c r="R195" s="3"/>
    </row>
    <row r="196" ht="15.75" customHeight="1">
      <c r="A196" s="7" t="s">
        <v>16</v>
      </c>
      <c r="B196" s="7">
        <v>193.0</v>
      </c>
      <c r="C196" s="1"/>
      <c r="D196" s="2"/>
      <c r="E196" s="2"/>
      <c r="F196" s="2"/>
      <c r="G196" s="2"/>
      <c r="H196" s="2"/>
      <c r="I196" s="2"/>
      <c r="J196" s="2"/>
      <c r="K196" s="3"/>
      <c r="P196" s="3"/>
      <c r="Q196" s="3"/>
      <c r="R196" s="3"/>
    </row>
    <row r="197" ht="15.75" customHeight="1">
      <c r="A197" s="7" t="s">
        <v>16</v>
      </c>
      <c r="B197" s="7">
        <v>194.0</v>
      </c>
      <c r="C197" s="1"/>
      <c r="D197" s="2"/>
      <c r="E197" s="2"/>
      <c r="F197" s="2"/>
      <c r="G197" s="2"/>
      <c r="H197" s="2"/>
      <c r="I197" s="2"/>
      <c r="J197" s="2"/>
      <c r="K197" s="3"/>
      <c r="P197" s="3"/>
      <c r="Q197" s="3"/>
      <c r="R197" s="3"/>
    </row>
    <row r="198" ht="15.75" customHeight="1">
      <c r="A198" s="7" t="s">
        <v>16</v>
      </c>
      <c r="B198" s="7">
        <v>195.0</v>
      </c>
      <c r="C198" s="1"/>
      <c r="D198" s="2"/>
      <c r="E198" s="2"/>
      <c r="F198" s="2"/>
      <c r="G198" s="2"/>
      <c r="H198" s="2"/>
      <c r="I198" s="2"/>
      <c r="J198" s="2"/>
      <c r="K198" s="3"/>
      <c r="P198" s="3"/>
      <c r="Q198" s="3"/>
      <c r="R198" s="3"/>
    </row>
    <row r="199" ht="15.75" customHeight="1">
      <c r="A199" s="7" t="s">
        <v>16</v>
      </c>
      <c r="B199" s="7">
        <v>196.0</v>
      </c>
      <c r="C199" s="1"/>
      <c r="D199" s="2"/>
      <c r="E199" s="2"/>
      <c r="F199" s="2"/>
      <c r="G199" s="2"/>
      <c r="H199" s="2"/>
      <c r="I199" s="2"/>
      <c r="J199" s="2"/>
      <c r="K199" s="3"/>
      <c r="P199" s="3"/>
      <c r="Q199" s="3"/>
      <c r="R199" s="3"/>
    </row>
    <row r="200" ht="15.75" customHeight="1">
      <c r="A200" s="7" t="s">
        <v>16</v>
      </c>
      <c r="B200" s="7">
        <v>197.0</v>
      </c>
      <c r="C200" s="1"/>
      <c r="D200" s="2"/>
      <c r="E200" s="2"/>
      <c r="F200" s="2"/>
      <c r="G200" s="2"/>
      <c r="H200" s="2"/>
      <c r="I200" s="2"/>
      <c r="J200" s="2"/>
      <c r="K200" s="3"/>
      <c r="P200" s="3"/>
      <c r="Q200" s="3"/>
      <c r="R200" s="3"/>
    </row>
    <row r="201" ht="15.75" customHeight="1">
      <c r="A201" s="7" t="s">
        <v>16</v>
      </c>
      <c r="B201" s="7">
        <v>198.0</v>
      </c>
      <c r="C201" s="1"/>
      <c r="D201" s="2"/>
      <c r="E201" s="2"/>
      <c r="F201" s="2"/>
      <c r="G201" s="2"/>
      <c r="H201" s="2"/>
      <c r="I201" s="2"/>
      <c r="J201" s="2"/>
      <c r="K201" s="3"/>
      <c r="P201" s="3"/>
      <c r="Q201" s="3"/>
      <c r="R201" s="3"/>
    </row>
    <row r="202" ht="15.75" customHeight="1">
      <c r="A202" s="7" t="s">
        <v>16</v>
      </c>
      <c r="B202" s="7">
        <v>199.0</v>
      </c>
      <c r="C202" s="1"/>
      <c r="D202" s="2"/>
      <c r="E202" s="2"/>
      <c r="F202" s="2"/>
      <c r="G202" s="2"/>
      <c r="H202" s="2"/>
      <c r="I202" s="2"/>
      <c r="J202" s="2"/>
      <c r="K202" s="3"/>
      <c r="P202" s="3"/>
      <c r="Q202" s="3"/>
      <c r="R202" s="3"/>
    </row>
    <row r="203" ht="15.75" customHeight="1">
      <c r="A203" s="7" t="s">
        <v>16</v>
      </c>
      <c r="B203" s="7">
        <v>200.0</v>
      </c>
      <c r="C203" s="1"/>
      <c r="D203" s="2"/>
      <c r="E203" s="2"/>
      <c r="F203" s="2"/>
      <c r="G203" s="2"/>
      <c r="H203" s="2"/>
      <c r="I203" s="2"/>
      <c r="J203" s="2"/>
      <c r="K203" s="3"/>
      <c r="P203" s="3"/>
      <c r="Q203" s="3"/>
      <c r="R203" s="3"/>
    </row>
    <row r="204" ht="15.75" customHeight="1">
      <c r="A204" s="7" t="s">
        <v>16</v>
      </c>
      <c r="B204" s="7">
        <v>201.0</v>
      </c>
      <c r="C204" s="1"/>
      <c r="D204" s="2"/>
      <c r="E204" s="2"/>
      <c r="F204" s="2"/>
      <c r="G204" s="2"/>
      <c r="H204" s="2"/>
      <c r="I204" s="2"/>
      <c r="J204" s="2"/>
      <c r="K204" s="3"/>
      <c r="P204" s="3"/>
      <c r="Q204" s="3"/>
      <c r="R204" s="3"/>
    </row>
    <row r="205" ht="15.75" customHeight="1">
      <c r="A205" s="7" t="s">
        <v>16</v>
      </c>
      <c r="B205" s="7">
        <v>202.0</v>
      </c>
      <c r="C205" s="1"/>
      <c r="D205" s="2"/>
      <c r="E205" s="2"/>
      <c r="F205" s="2"/>
      <c r="G205" s="2"/>
      <c r="H205" s="2"/>
      <c r="I205" s="2"/>
      <c r="J205" s="2"/>
      <c r="K205" s="3"/>
      <c r="P205" s="3"/>
      <c r="Q205" s="3"/>
      <c r="R205" s="3"/>
    </row>
    <row r="206" ht="15.75" customHeight="1">
      <c r="A206" s="7" t="s">
        <v>16</v>
      </c>
      <c r="B206" s="7">
        <v>203.0</v>
      </c>
      <c r="C206" s="1"/>
      <c r="D206" s="2"/>
      <c r="E206" s="2"/>
      <c r="F206" s="2"/>
      <c r="G206" s="2"/>
      <c r="H206" s="2"/>
      <c r="I206" s="2"/>
      <c r="J206" s="2"/>
      <c r="K206" s="3"/>
      <c r="P206" s="3"/>
      <c r="Q206" s="3"/>
      <c r="R206" s="3"/>
    </row>
    <row r="207" ht="15.75" customHeight="1">
      <c r="A207" s="7" t="s">
        <v>16</v>
      </c>
      <c r="B207" s="7">
        <v>204.0</v>
      </c>
      <c r="C207" s="1"/>
      <c r="D207" s="2"/>
      <c r="E207" s="2"/>
      <c r="F207" s="2"/>
      <c r="G207" s="2"/>
      <c r="H207" s="2"/>
      <c r="I207" s="2"/>
      <c r="J207" s="2"/>
      <c r="K207" s="3"/>
      <c r="P207" s="3"/>
      <c r="Q207" s="3"/>
      <c r="R207" s="3"/>
    </row>
    <row r="208" ht="15.75" customHeight="1">
      <c r="A208" s="7" t="s">
        <v>16</v>
      </c>
      <c r="B208" s="7">
        <v>205.0</v>
      </c>
      <c r="C208" s="1"/>
      <c r="D208" s="2"/>
      <c r="E208" s="2"/>
      <c r="F208" s="2"/>
      <c r="G208" s="2"/>
      <c r="H208" s="2"/>
      <c r="I208" s="2"/>
      <c r="J208" s="2"/>
      <c r="K208" s="3"/>
      <c r="P208" s="3"/>
      <c r="Q208" s="3"/>
      <c r="R208" s="3"/>
    </row>
    <row r="209" ht="15.75" customHeight="1">
      <c r="A209" s="7" t="s">
        <v>16</v>
      </c>
      <c r="B209" s="7">
        <v>206.0</v>
      </c>
      <c r="C209" s="1"/>
      <c r="D209" s="2"/>
      <c r="E209" s="2"/>
      <c r="F209" s="2"/>
      <c r="G209" s="2"/>
      <c r="H209" s="2"/>
      <c r="I209" s="2"/>
      <c r="J209" s="2"/>
      <c r="K209" s="3"/>
      <c r="P209" s="3"/>
      <c r="Q209" s="3"/>
      <c r="R209" s="3"/>
    </row>
    <row r="210" ht="15.75" customHeight="1">
      <c r="A210" s="7" t="s">
        <v>16</v>
      </c>
      <c r="B210" s="7">
        <v>207.0</v>
      </c>
      <c r="C210" s="1"/>
      <c r="D210" s="2"/>
      <c r="E210" s="2"/>
      <c r="F210" s="2"/>
      <c r="G210" s="2"/>
      <c r="H210" s="2"/>
      <c r="I210" s="2"/>
      <c r="J210" s="2"/>
      <c r="K210" s="3"/>
      <c r="P210" s="3"/>
      <c r="Q210" s="3"/>
      <c r="R210" s="3"/>
    </row>
    <row r="211" ht="15.75" customHeight="1">
      <c r="A211" s="7" t="s">
        <v>16</v>
      </c>
      <c r="B211" s="7">
        <v>208.0</v>
      </c>
      <c r="C211" s="1"/>
      <c r="D211" s="2"/>
      <c r="E211" s="2"/>
      <c r="F211" s="2"/>
      <c r="G211" s="2"/>
      <c r="H211" s="2"/>
      <c r="I211" s="2"/>
      <c r="J211" s="2"/>
      <c r="K211" s="3"/>
      <c r="P211" s="3"/>
      <c r="Q211" s="3"/>
      <c r="R211" s="3"/>
    </row>
    <row r="212" ht="15.75" customHeight="1">
      <c r="A212" s="7" t="s">
        <v>16</v>
      </c>
      <c r="B212" s="7">
        <v>209.0</v>
      </c>
      <c r="C212" s="1"/>
      <c r="D212" s="2"/>
      <c r="E212" s="2"/>
      <c r="F212" s="2"/>
      <c r="G212" s="2"/>
      <c r="H212" s="2"/>
      <c r="I212" s="2"/>
      <c r="J212" s="2"/>
      <c r="K212" s="3"/>
      <c r="P212" s="3"/>
      <c r="Q212" s="3"/>
      <c r="R212" s="3"/>
    </row>
    <row r="213" ht="15.75" customHeight="1">
      <c r="A213" s="7" t="s">
        <v>16</v>
      </c>
      <c r="B213" s="7">
        <v>210.0</v>
      </c>
      <c r="C213" s="1"/>
      <c r="D213" s="2"/>
      <c r="E213" s="2"/>
      <c r="F213" s="2"/>
      <c r="G213" s="2"/>
      <c r="H213" s="2"/>
      <c r="I213" s="2"/>
      <c r="J213" s="2"/>
      <c r="K213" s="3"/>
      <c r="P213" s="3"/>
      <c r="Q213" s="3"/>
      <c r="R213" s="3"/>
    </row>
    <row r="214" ht="15.75" customHeight="1">
      <c r="A214" s="7" t="s">
        <v>16</v>
      </c>
      <c r="B214" s="7">
        <v>211.0</v>
      </c>
      <c r="C214" s="1"/>
      <c r="D214" s="2"/>
      <c r="E214" s="2"/>
      <c r="F214" s="2"/>
      <c r="G214" s="2"/>
      <c r="H214" s="2"/>
      <c r="I214" s="2"/>
      <c r="J214" s="2"/>
      <c r="K214" s="3"/>
      <c r="P214" s="3"/>
      <c r="Q214" s="3"/>
      <c r="R214" s="3"/>
    </row>
    <row r="215" ht="15.75" customHeight="1">
      <c r="A215" s="7" t="s">
        <v>16</v>
      </c>
      <c r="B215" s="7">
        <v>212.0</v>
      </c>
      <c r="C215" s="1"/>
      <c r="D215" s="2"/>
      <c r="E215" s="2"/>
      <c r="F215" s="2"/>
      <c r="G215" s="2"/>
      <c r="H215" s="2"/>
      <c r="I215" s="2"/>
      <c r="J215" s="2"/>
      <c r="K215" s="3"/>
      <c r="P215" s="3"/>
      <c r="Q215" s="3"/>
      <c r="R215" s="3"/>
    </row>
    <row r="216" ht="15.75" customHeight="1">
      <c r="A216" s="7" t="s">
        <v>16</v>
      </c>
      <c r="B216" s="7">
        <v>213.0</v>
      </c>
      <c r="C216" s="1"/>
      <c r="D216" s="2"/>
      <c r="E216" s="2"/>
      <c r="F216" s="2"/>
      <c r="G216" s="2"/>
      <c r="H216" s="2"/>
      <c r="I216" s="2"/>
      <c r="J216" s="2"/>
      <c r="K216" s="3"/>
      <c r="P216" s="3"/>
      <c r="Q216" s="3"/>
      <c r="R216" s="3"/>
    </row>
    <row r="217" ht="15.75" customHeight="1">
      <c r="A217" s="7" t="s">
        <v>16</v>
      </c>
      <c r="B217" s="7">
        <v>214.0</v>
      </c>
      <c r="C217" s="1"/>
      <c r="D217" s="2"/>
      <c r="E217" s="2"/>
      <c r="F217" s="2"/>
      <c r="G217" s="2"/>
      <c r="H217" s="2"/>
      <c r="I217" s="2"/>
      <c r="J217" s="2"/>
      <c r="K217" s="3"/>
      <c r="P217" s="3"/>
      <c r="Q217" s="3"/>
      <c r="R217" s="3"/>
    </row>
    <row r="218" ht="15.75" customHeight="1">
      <c r="A218" s="7" t="s">
        <v>16</v>
      </c>
      <c r="B218" s="7">
        <v>215.0</v>
      </c>
      <c r="C218" s="1"/>
      <c r="D218" s="2"/>
      <c r="E218" s="2"/>
      <c r="F218" s="2"/>
      <c r="G218" s="2"/>
      <c r="H218" s="2"/>
      <c r="I218" s="2"/>
      <c r="J218" s="2"/>
      <c r="K218" s="3"/>
      <c r="P218" s="3"/>
      <c r="Q218" s="3"/>
      <c r="R218" s="3"/>
    </row>
    <row r="219" ht="15.75" customHeight="1">
      <c r="A219" s="7" t="s">
        <v>16</v>
      </c>
      <c r="B219" s="7">
        <v>216.0</v>
      </c>
      <c r="C219" s="1"/>
      <c r="D219" s="2"/>
      <c r="E219" s="2"/>
      <c r="F219" s="2"/>
      <c r="G219" s="2"/>
      <c r="H219" s="2"/>
      <c r="I219" s="2"/>
      <c r="J219" s="2"/>
      <c r="K219" s="3"/>
      <c r="P219" s="3"/>
      <c r="Q219" s="3"/>
      <c r="R219" s="3"/>
    </row>
    <row r="220" ht="15.75" customHeight="1">
      <c r="A220" s="7" t="s">
        <v>16</v>
      </c>
      <c r="B220" s="7">
        <v>217.0</v>
      </c>
      <c r="C220" s="1"/>
      <c r="D220" s="2"/>
      <c r="E220" s="2"/>
      <c r="F220" s="2"/>
      <c r="G220" s="2"/>
      <c r="H220" s="2"/>
      <c r="I220" s="2"/>
      <c r="J220" s="2"/>
      <c r="K220" s="3"/>
      <c r="P220" s="3"/>
      <c r="Q220" s="3"/>
      <c r="R220" s="3"/>
    </row>
    <row r="221" ht="15.75" customHeight="1">
      <c r="A221" s="7" t="s">
        <v>16</v>
      </c>
      <c r="B221" s="7">
        <v>218.0</v>
      </c>
      <c r="C221" s="1"/>
      <c r="D221" s="2"/>
      <c r="E221" s="2"/>
      <c r="F221" s="2"/>
      <c r="G221" s="2"/>
      <c r="H221" s="2"/>
      <c r="I221" s="2"/>
      <c r="J221" s="2"/>
      <c r="K221" s="3"/>
      <c r="P221" s="3"/>
      <c r="Q221" s="3"/>
      <c r="R221" s="3"/>
    </row>
    <row r="222" ht="15.75" customHeight="1">
      <c r="A222" s="7" t="s">
        <v>16</v>
      </c>
      <c r="B222" s="7">
        <v>219.0</v>
      </c>
      <c r="C222" s="1"/>
      <c r="D222" s="2"/>
      <c r="E222" s="2"/>
      <c r="F222" s="2"/>
      <c r="G222" s="2"/>
      <c r="H222" s="2"/>
      <c r="I222" s="2"/>
      <c r="J222" s="2"/>
      <c r="K222" s="3"/>
      <c r="P222" s="3"/>
      <c r="Q222" s="3"/>
      <c r="R222" s="3"/>
    </row>
    <row r="223" ht="15.75" customHeight="1">
      <c r="A223" s="7" t="s">
        <v>16</v>
      </c>
      <c r="B223" s="7">
        <v>220.0</v>
      </c>
      <c r="C223" s="1"/>
      <c r="D223" s="2"/>
      <c r="E223" s="2"/>
      <c r="F223" s="2"/>
      <c r="G223" s="2"/>
      <c r="H223" s="2"/>
      <c r="I223" s="2"/>
      <c r="J223" s="2"/>
      <c r="K223" s="3"/>
      <c r="P223" s="3"/>
      <c r="Q223" s="3"/>
      <c r="R223" s="3"/>
    </row>
    <row r="224" ht="15.75" customHeight="1">
      <c r="A224" s="7" t="s">
        <v>16</v>
      </c>
      <c r="B224" s="7">
        <v>221.0</v>
      </c>
      <c r="C224" s="1"/>
      <c r="D224" s="2"/>
      <c r="E224" s="2"/>
      <c r="F224" s="2"/>
      <c r="G224" s="2"/>
      <c r="H224" s="2"/>
      <c r="I224" s="2"/>
      <c r="J224" s="2"/>
      <c r="K224" s="3"/>
      <c r="P224" s="3"/>
      <c r="Q224" s="3"/>
      <c r="R224" s="3"/>
    </row>
    <row r="225" ht="15.75" customHeight="1">
      <c r="A225" s="7" t="s">
        <v>16</v>
      </c>
      <c r="B225" s="7">
        <v>222.0</v>
      </c>
      <c r="C225" s="1"/>
      <c r="D225" s="2"/>
      <c r="E225" s="2"/>
      <c r="F225" s="2"/>
      <c r="G225" s="2"/>
      <c r="H225" s="2"/>
      <c r="I225" s="2"/>
      <c r="J225" s="2"/>
      <c r="K225" s="3"/>
      <c r="P225" s="3"/>
      <c r="Q225" s="3"/>
      <c r="R225" s="3"/>
    </row>
    <row r="226" ht="15.75" customHeight="1">
      <c r="A226" s="7" t="s">
        <v>16</v>
      </c>
      <c r="B226" s="7">
        <v>223.0</v>
      </c>
      <c r="C226" s="1"/>
      <c r="D226" s="2"/>
      <c r="E226" s="2"/>
      <c r="F226" s="2"/>
      <c r="G226" s="2"/>
      <c r="H226" s="2"/>
      <c r="I226" s="2"/>
      <c r="J226" s="2"/>
      <c r="K226" s="3"/>
      <c r="P226" s="3"/>
      <c r="Q226" s="3"/>
      <c r="R226" s="3"/>
    </row>
    <row r="227" ht="15.75" customHeight="1">
      <c r="A227" s="7" t="s">
        <v>16</v>
      </c>
      <c r="B227" s="7">
        <v>224.0</v>
      </c>
      <c r="C227" s="1"/>
      <c r="D227" s="2"/>
      <c r="E227" s="2"/>
      <c r="F227" s="2"/>
      <c r="G227" s="2"/>
      <c r="H227" s="2"/>
      <c r="I227" s="2"/>
      <c r="J227" s="2"/>
      <c r="K227" s="3"/>
      <c r="P227" s="3"/>
      <c r="Q227" s="3"/>
      <c r="R227" s="3"/>
    </row>
    <row r="228" ht="15.75" customHeight="1">
      <c r="A228" s="7" t="s">
        <v>16</v>
      </c>
      <c r="B228" s="7">
        <v>225.0</v>
      </c>
      <c r="C228" s="1"/>
      <c r="D228" s="2"/>
      <c r="E228" s="2"/>
      <c r="F228" s="2"/>
      <c r="G228" s="2"/>
      <c r="H228" s="2"/>
      <c r="I228" s="2"/>
      <c r="J228" s="2"/>
      <c r="K228" s="3"/>
      <c r="P228" s="3"/>
      <c r="Q228" s="3"/>
      <c r="R228" s="3"/>
    </row>
    <row r="229" ht="15.75" customHeight="1">
      <c r="A229" s="7" t="s">
        <v>16</v>
      </c>
      <c r="B229" s="7">
        <v>226.0</v>
      </c>
      <c r="C229" s="1"/>
      <c r="D229" s="2"/>
      <c r="E229" s="2"/>
      <c r="F229" s="2"/>
      <c r="G229" s="2"/>
      <c r="H229" s="2"/>
      <c r="I229" s="2"/>
      <c r="J229" s="2"/>
      <c r="K229" s="3"/>
      <c r="P229" s="3"/>
      <c r="Q229" s="3"/>
      <c r="R229" s="3"/>
    </row>
    <row r="230" ht="15.75" customHeight="1">
      <c r="A230" s="7" t="s">
        <v>16</v>
      </c>
      <c r="B230" s="7">
        <v>227.0</v>
      </c>
      <c r="C230" s="1"/>
      <c r="D230" s="2"/>
      <c r="E230" s="2"/>
      <c r="F230" s="2"/>
      <c r="G230" s="2"/>
      <c r="H230" s="2"/>
      <c r="I230" s="2"/>
      <c r="J230" s="2"/>
      <c r="K230" s="3"/>
      <c r="P230" s="3"/>
      <c r="Q230" s="3"/>
      <c r="R230" s="3"/>
    </row>
    <row r="231" ht="15.75" customHeight="1">
      <c r="A231" s="7" t="s">
        <v>16</v>
      </c>
      <c r="B231" s="7">
        <v>228.0</v>
      </c>
      <c r="C231" s="1"/>
      <c r="D231" s="2"/>
      <c r="E231" s="2"/>
      <c r="F231" s="2"/>
      <c r="G231" s="2"/>
      <c r="H231" s="2"/>
      <c r="I231" s="2"/>
      <c r="J231" s="2"/>
      <c r="K231" s="3"/>
      <c r="P231" s="3"/>
      <c r="Q231" s="3"/>
      <c r="R231" s="3"/>
    </row>
    <row r="232" ht="15.75" customHeight="1">
      <c r="A232" s="7" t="s">
        <v>16</v>
      </c>
      <c r="B232" s="7">
        <v>229.0</v>
      </c>
      <c r="C232" s="1"/>
      <c r="D232" s="2"/>
      <c r="E232" s="2"/>
      <c r="F232" s="2"/>
      <c r="G232" s="2"/>
      <c r="H232" s="2"/>
      <c r="I232" s="2"/>
      <c r="J232" s="2"/>
      <c r="K232" s="3"/>
      <c r="P232" s="3"/>
      <c r="Q232" s="3"/>
      <c r="R232" s="3"/>
    </row>
    <row r="233" ht="15.75" customHeight="1">
      <c r="A233" s="7" t="s">
        <v>16</v>
      </c>
      <c r="B233" s="7">
        <v>230.0</v>
      </c>
      <c r="C233" s="1"/>
      <c r="D233" s="2"/>
      <c r="E233" s="2"/>
      <c r="F233" s="2"/>
      <c r="G233" s="2"/>
      <c r="H233" s="2"/>
      <c r="I233" s="2"/>
      <c r="J233" s="2"/>
      <c r="K233" s="3"/>
      <c r="P233" s="3"/>
      <c r="Q233" s="3"/>
      <c r="R233" s="3"/>
    </row>
    <row r="234" ht="15.75" customHeight="1">
      <c r="A234" s="7" t="s">
        <v>16</v>
      </c>
      <c r="B234" s="7">
        <v>231.0</v>
      </c>
      <c r="C234" s="1"/>
      <c r="D234" s="2"/>
      <c r="E234" s="2"/>
      <c r="F234" s="2"/>
      <c r="G234" s="2"/>
      <c r="H234" s="2"/>
      <c r="I234" s="2"/>
      <c r="J234" s="2"/>
      <c r="K234" s="3"/>
      <c r="P234" s="3"/>
      <c r="Q234" s="3"/>
      <c r="R234" s="3"/>
    </row>
    <row r="235" ht="15.75" customHeight="1">
      <c r="A235" s="7" t="s">
        <v>16</v>
      </c>
      <c r="B235" s="7">
        <v>232.0</v>
      </c>
      <c r="C235" s="1"/>
      <c r="D235" s="2"/>
      <c r="E235" s="2"/>
      <c r="F235" s="2"/>
      <c r="G235" s="2"/>
      <c r="H235" s="2"/>
      <c r="I235" s="2"/>
      <c r="J235" s="2"/>
      <c r="K235" s="3"/>
      <c r="P235" s="3"/>
      <c r="Q235" s="3"/>
      <c r="R235" s="3"/>
    </row>
    <row r="236" ht="15.75" customHeight="1">
      <c r="A236" s="7" t="s">
        <v>16</v>
      </c>
      <c r="B236" s="7">
        <v>233.0</v>
      </c>
      <c r="C236" s="1"/>
      <c r="D236" s="2"/>
      <c r="E236" s="2"/>
      <c r="F236" s="2"/>
      <c r="G236" s="2"/>
      <c r="H236" s="2"/>
      <c r="I236" s="2"/>
      <c r="J236" s="2"/>
      <c r="K236" s="3"/>
      <c r="P236" s="3"/>
      <c r="Q236" s="3"/>
      <c r="R236" s="3"/>
    </row>
    <row r="237" ht="15.75" customHeight="1">
      <c r="A237" s="7" t="s">
        <v>16</v>
      </c>
      <c r="B237" s="7">
        <v>234.0</v>
      </c>
      <c r="C237" s="1"/>
      <c r="D237" s="2"/>
      <c r="E237" s="2"/>
      <c r="F237" s="2"/>
      <c r="G237" s="2"/>
      <c r="H237" s="2"/>
      <c r="I237" s="2"/>
      <c r="J237" s="2"/>
      <c r="K237" s="3"/>
      <c r="P237" s="3"/>
      <c r="Q237" s="3"/>
      <c r="R237" s="3"/>
    </row>
    <row r="238" ht="15.75" customHeight="1">
      <c r="A238" s="7" t="s">
        <v>16</v>
      </c>
      <c r="B238" s="7">
        <v>235.0</v>
      </c>
      <c r="C238" s="1"/>
      <c r="D238" s="2"/>
      <c r="E238" s="2"/>
      <c r="F238" s="2"/>
      <c r="G238" s="2"/>
      <c r="H238" s="2"/>
      <c r="I238" s="2"/>
      <c r="J238" s="2"/>
      <c r="K238" s="3"/>
      <c r="P238" s="3"/>
      <c r="Q238" s="3"/>
      <c r="R238" s="3"/>
    </row>
    <row r="239" ht="15.75" customHeight="1">
      <c r="A239" s="7" t="s">
        <v>16</v>
      </c>
      <c r="B239" s="7">
        <v>236.0</v>
      </c>
      <c r="C239" s="1"/>
      <c r="D239" s="2"/>
      <c r="E239" s="2"/>
      <c r="F239" s="2"/>
      <c r="G239" s="2"/>
      <c r="H239" s="2"/>
      <c r="I239" s="2"/>
      <c r="J239" s="2"/>
      <c r="K239" s="3"/>
      <c r="P239" s="3"/>
      <c r="Q239" s="3"/>
      <c r="R239" s="3"/>
    </row>
    <row r="240" ht="15.75" customHeight="1">
      <c r="A240" s="7" t="s">
        <v>16</v>
      </c>
      <c r="B240" s="7">
        <v>237.0</v>
      </c>
      <c r="C240" s="1"/>
      <c r="D240" s="2"/>
      <c r="E240" s="2"/>
      <c r="F240" s="2"/>
      <c r="G240" s="2"/>
      <c r="H240" s="2"/>
      <c r="I240" s="2"/>
      <c r="J240" s="2"/>
      <c r="K240" s="3"/>
      <c r="P240" s="3"/>
      <c r="Q240" s="3"/>
      <c r="R240" s="3"/>
    </row>
    <row r="241" ht="15.75" customHeight="1">
      <c r="A241" s="7" t="s">
        <v>16</v>
      </c>
      <c r="B241" s="7">
        <v>238.0</v>
      </c>
      <c r="C241" s="1"/>
      <c r="D241" s="2"/>
      <c r="E241" s="2"/>
      <c r="F241" s="2"/>
      <c r="G241" s="2"/>
      <c r="H241" s="2"/>
      <c r="I241" s="2"/>
      <c r="J241" s="2"/>
      <c r="K241" s="3"/>
      <c r="P241" s="3"/>
      <c r="Q241" s="3"/>
      <c r="R241" s="3"/>
    </row>
    <row r="242" ht="15.75" customHeight="1">
      <c r="A242" s="7" t="s">
        <v>16</v>
      </c>
      <c r="B242" s="7">
        <v>239.0</v>
      </c>
      <c r="C242" s="1"/>
      <c r="D242" s="2"/>
      <c r="E242" s="2"/>
      <c r="F242" s="2"/>
      <c r="G242" s="2"/>
      <c r="H242" s="2"/>
      <c r="I242" s="2"/>
      <c r="J242" s="2"/>
      <c r="K242" s="3"/>
      <c r="P242" s="3"/>
      <c r="Q242" s="3"/>
      <c r="R242" s="3"/>
    </row>
    <row r="243" ht="15.75" customHeight="1">
      <c r="A243" s="7" t="s">
        <v>16</v>
      </c>
      <c r="B243" s="7">
        <v>240.0</v>
      </c>
      <c r="C243" s="1"/>
      <c r="D243" s="2"/>
      <c r="E243" s="2"/>
      <c r="F243" s="2"/>
      <c r="G243" s="2"/>
      <c r="H243" s="2"/>
      <c r="I243" s="2"/>
      <c r="J243" s="2"/>
      <c r="K243" s="3"/>
      <c r="P243" s="3"/>
      <c r="Q243" s="3"/>
      <c r="R243" s="3"/>
    </row>
    <row r="244" ht="15.75" customHeight="1">
      <c r="A244" s="7" t="s">
        <v>16</v>
      </c>
      <c r="B244" s="7">
        <v>241.0</v>
      </c>
      <c r="C244" s="1"/>
      <c r="D244" s="2"/>
      <c r="E244" s="2"/>
      <c r="F244" s="2"/>
      <c r="G244" s="2"/>
      <c r="H244" s="2"/>
      <c r="I244" s="2"/>
      <c r="J244" s="2"/>
      <c r="K244" s="3"/>
      <c r="P244" s="3"/>
      <c r="Q244" s="3"/>
      <c r="R244" s="3"/>
    </row>
    <row r="245" ht="15.75" customHeight="1">
      <c r="A245" s="7" t="s">
        <v>16</v>
      </c>
      <c r="B245" s="7">
        <v>242.0</v>
      </c>
      <c r="C245" s="1"/>
      <c r="D245" s="2"/>
      <c r="E245" s="2"/>
      <c r="F245" s="2"/>
      <c r="G245" s="2"/>
      <c r="H245" s="2"/>
      <c r="I245" s="2"/>
      <c r="J245" s="2"/>
      <c r="K245" s="3"/>
      <c r="P245" s="3"/>
      <c r="Q245" s="3"/>
      <c r="R245" s="3"/>
    </row>
    <row r="246" ht="15.75" customHeight="1">
      <c r="A246" s="7" t="s">
        <v>16</v>
      </c>
      <c r="B246" s="7">
        <v>243.0</v>
      </c>
      <c r="C246" s="1"/>
      <c r="D246" s="2"/>
      <c r="E246" s="2"/>
      <c r="F246" s="2"/>
      <c r="G246" s="2"/>
      <c r="H246" s="2"/>
      <c r="I246" s="2"/>
      <c r="J246" s="2"/>
      <c r="K246" s="3"/>
      <c r="P246" s="3"/>
      <c r="Q246" s="3"/>
      <c r="R246" s="3"/>
    </row>
    <row r="247" ht="15.75" customHeight="1">
      <c r="A247" s="7" t="s">
        <v>16</v>
      </c>
      <c r="B247" s="7">
        <v>244.0</v>
      </c>
      <c r="C247" s="1"/>
      <c r="D247" s="2"/>
      <c r="E247" s="2"/>
      <c r="F247" s="2"/>
      <c r="G247" s="2"/>
      <c r="H247" s="2"/>
      <c r="I247" s="2"/>
      <c r="J247" s="2"/>
      <c r="K247" s="3"/>
      <c r="P247" s="3"/>
      <c r="Q247" s="3"/>
      <c r="R247" s="3"/>
    </row>
    <row r="248" ht="15.75" customHeight="1">
      <c r="A248" s="7" t="s">
        <v>16</v>
      </c>
      <c r="B248" s="7">
        <v>245.0</v>
      </c>
      <c r="C248" s="1"/>
      <c r="D248" s="2"/>
      <c r="E248" s="2"/>
      <c r="F248" s="2"/>
      <c r="G248" s="2"/>
      <c r="H248" s="2"/>
      <c r="I248" s="2"/>
      <c r="J248" s="2"/>
      <c r="K248" s="3"/>
      <c r="P248" s="3"/>
      <c r="Q248" s="3"/>
      <c r="R248" s="3"/>
    </row>
    <row r="249" ht="15.75" customHeight="1">
      <c r="A249" s="7" t="s">
        <v>16</v>
      </c>
      <c r="B249" s="7">
        <v>246.0</v>
      </c>
      <c r="C249" s="1"/>
      <c r="D249" s="2"/>
      <c r="E249" s="2"/>
      <c r="F249" s="2"/>
      <c r="G249" s="2"/>
      <c r="H249" s="2"/>
      <c r="I249" s="2"/>
      <c r="J249" s="2"/>
      <c r="K249" s="3"/>
      <c r="P249" s="3"/>
      <c r="Q249" s="3"/>
      <c r="R249" s="3"/>
    </row>
    <row r="250" ht="15.75" customHeight="1">
      <c r="A250" s="7" t="s">
        <v>16</v>
      </c>
      <c r="B250" s="7">
        <v>247.0</v>
      </c>
      <c r="C250" s="1"/>
      <c r="D250" s="2"/>
      <c r="E250" s="2"/>
      <c r="F250" s="2"/>
      <c r="G250" s="2"/>
      <c r="H250" s="2"/>
      <c r="I250" s="2"/>
      <c r="J250" s="2"/>
      <c r="K250" s="3"/>
      <c r="P250" s="3"/>
      <c r="Q250" s="3"/>
      <c r="R250" s="3"/>
    </row>
    <row r="251" ht="15.75" customHeight="1">
      <c r="A251" s="7" t="s">
        <v>16</v>
      </c>
      <c r="B251" s="7">
        <v>248.0</v>
      </c>
      <c r="C251" s="1"/>
      <c r="D251" s="2"/>
      <c r="E251" s="2"/>
      <c r="F251" s="2"/>
      <c r="G251" s="2"/>
      <c r="H251" s="2"/>
      <c r="I251" s="2"/>
      <c r="J251" s="2"/>
      <c r="K251" s="3"/>
      <c r="P251" s="3"/>
      <c r="Q251" s="3"/>
      <c r="R251" s="3"/>
    </row>
    <row r="252" ht="15.75" customHeight="1">
      <c r="A252" s="7" t="s">
        <v>16</v>
      </c>
      <c r="B252" s="7">
        <v>249.0</v>
      </c>
      <c r="C252" s="1"/>
      <c r="D252" s="2"/>
      <c r="E252" s="2"/>
      <c r="F252" s="2"/>
      <c r="G252" s="2"/>
      <c r="H252" s="2"/>
      <c r="I252" s="2"/>
      <c r="J252" s="2"/>
      <c r="K252" s="3"/>
      <c r="P252" s="3"/>
      <c r="Q252" s="3"/>
      <c r="R252" s="3"/>
    </row>
    <row r="253" ht="15.75" customHeight="1">
      <c r="A253" s="7" t="s">
        <v>16</v>
      </c>
      <c r="B253" s="7">
        <v>250.0</v>
      </c>
      <c r="C253" s="1"/>
      <c r="D253" s="2"/>
      <c r="E253" s="2"/>
      <c r="F253" s="2"/>
      <c r="G253" s="2"/>
      <c r="H253" s="2"/>
      <c r="I253" s="2"/>
      <c r="J253" s="2"/>
      <c r="K253" s="3"/>
      <c r="P253" s="3"/>
      <c r="Q253" s="3"/>
      <c r="R253" s="3"/>
    </row>
    <row r="254" ht="15.75" customHeight="1">
      <c r="A254" s="7" t="s">
        <v>16</v>
      </c>
      <c r="B254" s="7">
        <v>251.0</v>
      </c>
      <c r="C254" s="1"/>
      <c r="D254" s="2"/>
      <c r="E254" s="2"/>
      <c r="F254" s="2"/>
      <c r="G254" s="2"/>
      <c r="H254" s="2"/>
      <c r="I254" s="2"/>
      <c r="J254" s="2"/>
      <c r="K254" s="3"/>
      <c r="P254" s="3"/>
      <c r="Q254" s="3"/>
      <c r="R254" s="3"/>
    </row>
    <row r="255" ht="15.75" customHeight="1">
      <c r="A255" s="7" t="s">
        <v>16</v>
      </c>
      <c r="B255" s="7">
        <v>252.0</v>
      </c>
      <c r="C255" s="1"/>
      <c r="D255" s="2"/>
      <c r="E255" s="2"/>
      <c r="F255" s="2"/>
      <c r="G255" s="2"/>
      <c r="H255" s="2"/>
      <c r="I255" s="2"/>
      <c r="J255" s="2"/>
      <c r="K255" s="3"/>
      <c r="P255" s="3"/>
      <c r="Q255" s="3"/>
      <c r="R255" s="3"/>
    </row>
    <row r="256" ht="15.75" customHeight="1">
      <c r="A256" s="7" t="s">
        <v>16</v>
      </c>
      <c r="B256" s="7">
        <v>253.0</v>
      </c>
      <c r="C256" s="1"/>
      <c r="D256" s="2"/>
      <c r="E256" s="2"/>
      <c r="F256" s="2"/>
      <c r="G256" s="2"/>
      <c r="H256" s="2"/>
      <c r="I256" s="2"/>
      <c r="J256" s="2"/>
      <c r="K256" s="3"/>
      <c r="P256" s="3"/>
      <c r="Q256" s="3"/>
      <c r="R256" s="3"/>
    </row>
    <row r="257" ht="15.75" customHeight="1">
      <c r="A257" s="7" t="s">
        <v>16</v>
      </c>
      <c r="B257" s="7">
        <v>254.0</v>
      </c>
      <c r="C257" s="1"/>
      <c r="D257" s="2"/>
      <c r="E257" s="2"/>
      <c r="F257" s="2"/>
      <c r="G257" s="2"/>
      <c r="H257" s="2"/>
      <c r="I257" s="2"/>
      <c r="J257" s="2"/>
      <c r="K257" s="3"/>
      <c r="P257" s="3"/>
      <c r="Q257" s="3"/>
      <c r="R257" s="3"/>
    </row>
    <row r="258" ht="15.75" customHeight="1">
      <c r="A258" s="7" t="s">
        <v>16</v>
      </c>
      <c r="B258" s="7">
        <v>255.0</v>
      </c>
      <c r="C258" s="1"/>
      <c r="D258" s="2"/>
      <c r="E258" s="2"/>
      <c r="F258" s="2"/>
      <c r="G258" s="2"/>
      <c r="H258" s="2"/>
      <c r="I258" s="2"/>
      <c r="J258" s="2"/>
      <c r="K258" s="3"/>
      <c r="P258" s="3"/>
      <c r="Q258" s="3"/>
      <c r="R258" s="3"/>
    </row>
    <row r="259" ht="15.75" customHeight="1">
      <c r="A259" s="7" t="s">
        <v>16</v>
      </c>
      <c r="B259" s="7">
        <v>256.0</v>
      </c>
      <c r="C259" s="1"/>
      <c r="D259" s="2"/>
      <c r="E259" s="2"/>
      <c r="F259" s="2"/>
      <c r="G259" s="2"/>
      <c r="H259" s="2"/>
      <c r="I259" s="2"/>
      <c r="J259" s="2"/>
      <c r="K259" s="3"/>
      <c r="P259" s="3"/>
      <c r="Q259" s="3"/>
      <c r="R259" s="3"/>
    </row>
    <row r="260" ht="15.75" customHeight="1">
      <c r="A260" s="7" t="s">
        <v>16</v>
      </c>
      <c r="B260" s="7">
        <v>257.0</v>
      </c>
      <c r="C260" s="1"/>
      <c r="D260" s="2"/>
      <c r="E260" s="2"/>
      <c r="F260" s="2"/>
      <c r="G260" s="2"/>
      <c r="H260" s="2"/>
      <c r="I260" s="2"/>
      <c r="J260" s="2"/>
      <c r="K260" s="3"/>
      <c r="P260" s="3"/>
      <c r="Q260" s="3"/>
      <c r="R260" s="3"/>
    </row>
    <row r="261" ht="15.75" customHeight="1">
      <c r="A261" s="7" t="s">
        <v>16</v>
      </c>
      <c r="B261" s="7">
        <v>258.0</v>
      </c>
      <c r="C261" s="1"/>
      <c r="D261" s="2"/>
      <c r="E261" s="2"/>
      <c r="F261" s="2"/>
      <c r="G261" s="2"/>
      <c r="H261" s="2"/>
      <c r="I261" s="2"/>
      <c r="J261" s="2"/>
      <c r="K261" s="3"/>
      <c r="P261" s="3"/>
      <c r="Q261" s="3"/>
      <c r="R261" s="3"/>
    </row>
    <row r="262" ht="15.75" customHeight="1">
      <c r="A262" s="7" t="s">
        <v>16</v>
      </c>
      <c r="B262" s="7">
        <v>259.0</v>
      </c>
      <c r="C262" s="1"/>
      <c r="D262" s="2"/>
      <c r="E262" s="2"/>
      <c r="F262" s="2"/>
      <c r="G262" s="2"/>
      <c r="H262" s="2"/>
      <c r="I262" s="2"/>
      <c r="J262" s="2"/>
      <c r="K262" s="3"/>
      <c r="P262" s="3"/>
      <c r="Q262" s="3"/>
      <c r="R262" s="3"/>
    </row>
    <row r="263" ht="15.75" customHeight="1">
      <c r="A263" s="7" t="s">
        <v>16</v>
      </c>
      <c r="B263" s="7">
        <v>260.0</v>
      </c>
      <c r="C263" s="1"/>
      <c r="D263" s="2"/>
      <c r="E263" s="2"/>
      <c r="F263" s="2"/>
      <c r="G263" s="2"/>
      <c r="H263" s="2"/>
      <c r="I263" s="2"/>
      <c r="J263" s="2"/>
      <c r="K263" s="3"/>
      <c r="P263" s="3"/>
      <c r="Q263" s="3"/>
      <c r="R263" s="3"/>
    </row>
    <row r="264" ht="15.75" customHeight="1">
      <c r="A264" s="7" t="s">
        <v>16</v>
      </c>
      <c r="B264" s="7">
        <v>261.0</v>
      </c>
      <c r="C264" s="1"/>
      <c r="D264" s="2"/>
      <c r="E264" s="2"/>
      <c r="F264" s="2"/>
      <c r="G264" s="2"/>
      <c r="H264" s="2"/>
      <c r="I264" s="2"/>
      <c r="J264" s="2"/>
      <c r="K264" s="3"/>
      <c r="P264" s="3"/>
      <c r="Q264" s="3"/>
      <c r="R264" s="3"/>
    </row>
    <row r="265" ht="15.75" customHeight="1">
      <c r="A265" s="7" t="s">
        <v>16</v>
      </c>
      <c r="B265" s="7">
        <v>262.0</v>
      </c>
      <c r="C265" s="1"/>
      <c r="D265" s="2"/>
      <c r="E265" s="2"/>
      <c r="F265" s="2"/>
      <c r="G265" s="2"/>
      <c r="H265" s="2"/>
      <c r="I265" s="2"/>
      <c r="J265" s="2"/>
      <c r="K265" s="3"/>
      <c r="P265" s="3"/>
      <c r="Q265" s="3"/>
      <c r="R265" s="3"/>
    </row>
    <row r="266" ht="15.75" customHeight="1">
      <c r="A266" s="7" t="s">
        <v>16</v>
      </c>
      <c r="B266" s="7">
        <v>263.0</v>
      </c>
      <c r="C266" s="1"/>
      <c r="D266" s="2"/>
      <c r="E266" s="2"/>
      <c r="F266" s="2"/>
      <c r="G266" s="2"/>
      <c r="H266" s="2"/>
      <c r="I266" s="2"/>
      <c r="J266" s="2"/>
      <c r="K266" s="3"/>
      <c r="P266" s="3"/>
      <c r="Q266" s="3"/>
      <c r="R266" s="3"/>
    </row>
    <row r="267" ht="15.75" customHeight="1">
      <c r="A267" s="7" t="s">
        <v>16</v>
      </c>
      <c r="B267" s="7">
        <v>264.0</v>
      </c>
      <c r="C267" s="1"/>
      <c r="D267" s="2"/>
      <c r="E267" s="2"/>
      <c r="F267" s="2"/>
      <c r="G267" s="2"/>
      <c r="H267" s="2"/>
      <c r="I267" s="2"/>
      <c r="J267" s="2"/>
      <c r="K267" s="3"/>
      <c r="P267" s="3"/>
      <c r="Q267" s="3"/>
      <c r="R267" s="3"/>
    </row>
    <row r="268" ht="15.75" customHeight="1">
      <c r="A268" s="7" t="s">
        <v>16</v>
      </c>
      <c r="B268" s="7">
        <v>265.0</v>
      </c>
      <c r="C268" s="1"/>
      <c r="D268" s="2"/>
      <c r="E268" s="2"/>
      <c r="F268" s="2"/>
      <c r="G268" s="2"/>
      <c r="H268" s="2"/>
      <c r="I268" s="2"/>
      <c r="J268" s="2"/>
      <c r="K268" s="3"/>
      <c r="P268" s="3"/>
      <c r="Q268" s="3"/>
      <c r="R268" s="3"/>
    </row>
    <row r="269" ht="15.75" customHeight="1">
      <c r="A269" s="7" t="s">
        <v>16</v>
      </c>
      <c r="B269" s="7">
        <v>266.0</v>
      </c>
      <c r="C269" s="1"/>
      <c r="D269" s="2"/>
      <c r="E269" s="2"/>
      <c r="F269" s="2"/>
      <c r="G269" s="2"/>
      <c r="H269" s="2"/>
      <c r="I269" s="2"/>
      <c r="J269" s="2"/>
      <c r="K269" s="3"/>
      <c r="P269" s="3"/>
      <c r="Q269" s="3"/>
      <c r="R269" s="3"/>
    </row>
    <row r="270" ht="15.75" customHeight="1">
      <c r="A270" s="7" t="s">
        <v>16</v>
      </c>
      <c r="B270" s="7">
        <v>267.0</v>
      </c>
      <c r="C270" s="1"/>
      <c r="D270" s="2"/>
      <c r="E270" s="2"/>
      <c r="F270" s="2"/>
      <c r="G270" s="2"/>
      <c r="H270" s="2"/>
      <c r="I270" s="2"/>
      <c r="J270" s="2"/>
      <c r="K270" s="3"/>
      <c r="P270" s="3"/>
      <c r="Q270" s="3"/>
      <c r="R270" s="3"/>
    </row>
    <row r="271" ht="15.75" customHeight="1">
      <c r="A271" s="7" t="s">
        <v>16</v>
      </c>
      <c r="B271" s="7">
        <v>268.0</v>
      </c>
      <c r="C271" s="1"/>
      <c r="D271" s="2"/>
      <c r="E271" s="2"/>
      <c r="F271" s="2"/>
      <c r="G271" s="2"/>
      <c r="H271" s="2"/>
      <c r="I271" s="2"/>
      <c r="J271" s="2"/>
      <c r="K271" s="3"/>
      <c r="P271" s="3"/>
      <c r="Q271" s="3"/>
      <c r="R271" s="3"/>
    </row>
    <row r="272" ht="15.75" customHeight="1">
      <c r="A272" s="7" t="s">
        <v>16</v>
      </c>
      <c r="B272" s="7">
        <v>269.0</v>
      </c>
      <c r="C272" s="1"/>
      <c r="D272" s="2"/>
      <c r="E272" s="2"/>
      <c r="F272" s="2"/>
      <c r="G272" s="2"/>
      <c r="H272" s="2"/>
      <c r="I272" s="2"/>
      <c r="J272" s="2"/>
      <c r="K272" s="3"/>
      <c r="P272" s="3"/>
      <c r="Q272" s="3"/>
      <c r="R272" s="3"/>
    </row>
    <row r="273" ht="15.75" customHeight="1">
      <c r="A273" s="7" t="s">
        <v>16</v>
      </c>
      <c r="B273" s="7">
        <v>270.0</v>
      </c>
      <c r="C273" s="1"/>
      <c r="D273" s="2"/>
      <c r="E273" s="2"/>
      <c r="F273" s="2"/>
      <c r="G273" s="2"/>
      <c r="H273" s="2"/>
      <c r="I273" s="2"/>
      <c r="J273" s="2"/>
      <c r="K273" s="3"/>
      <c r="P273" s="3"/>
      <c r="Q273" s="3"/>
      <c r="R273" s="3"/>
    </row>
    <row r="274" ht="15.75" customHeight="1">
      <c r="A274" s="7" t="s">
        <v>16</v>
      </c>
      <c r="B274" s="7">
        <v>271.0</v>
      </c>
      <c r="C274" s="1"/>
      <c r="D274" s="2"/>
      <c r="E274" s="2"/>
      <c r="F274" s="2"/>
      <c r="G274" s="2"/>
      <c r="H274" s="2"/>
      <c r="I274" s="2"/>
      <c r="J274" s="2"/>
      <c r="K274" s="3"/>
      <c r="P274" s="3"/>
      <c r="Q274" s="3"/>
      <c r="R274" s="3"/>
    </row>
    <row r="275" ht="15.75" customHeight="1">
      <c r="A275" s="7" t="s">
        <v>16</v>
      </c>
      <c r="B275" s="7">
        <v>272.0</v>
      </c>
      <c r="C275" s="1"/>
      <c r="D275" s="2"/>
      <c r="E275" s="2"/>
      <c r="F275" s="2"/>
      <c r="G275" s="2"/>
      <c r="H275" s="2"/>
      <c r="I275" s="2"/>
      <c r="J275" s="2"/>
      <c r="K275" s="3"/>
      <c r="P275" s="3"/>
      <c r="Q275" s="3"/>
      <c r="R275" s="3"/>
    </row>
    <row r="276" ht="15.75" customHeight="1">
      <c r="A276" s="7" t="s">
        <v>16</v>
      </c>
      <c r="B276" s="7">
        <v>273.0</v>
      </c>
      <c r="C276" s="1"/>
      <c r="D276" s="2"/>
      <c r="E276" s="2"/>
      <c r="F276" s="2"/>
      <c r="G276" s="2"/>
      <c r="H276" s="2"/>
      <c r="I276" s="2"/>
      <c r="J276" s="2"/>
      <c r="K276" s="3"/>
      <c r="P276" s="3"/>
      <c r="Q276" s="3"/>
      <c r="R276" s="3"/>
    </row>
    <row r="277" ht="15.75" customHeight="1">
      <c r="A277" s="7" t="s">
        <v>16</v>
      </c>
      <c r="B277" s="7">
        <v>274.0</v>
      </c>
      <c r="C277" s="1"/>
      <c r="D277" s="2"/>
      <c r="E277" s="2"/>
      <c r="F277" s="2"/>
      <c r="G277" s="2"/>
      <c r="H277" s="2"/>
      <c r="I277" s="2"/>
      <c r="J277" s="2"/>
      <c r="K277" s="3"/>
      <c r="P277" s="3"/>
      <c r="Q277" s="3"/>
      <c r="R277" s="3"/>
    </row>
    <row r="278" ht="15.75" customHeight="1">
      <c r="A278" s="7" t="s">
        <v>16</v>
      </c>
      <c r="B278" s="7">
        <v>275.0</v>
      </c>
      <c r="C278" s="1"/>
      <c r="D278" s="2"/>
      <c r="E278" s="2"/>
      <c r="F278" s="2"/>
      <c r="G278" s="2"/>
      <c r="H278" s="2"/>
      <c r="I278" s="2"/>
      <c r="J278" s="2"/>
      <c r="K278" s="3"/>
      <c r="P278" s="3"/>
      <c r="Q278" s="3"/>
      <c r="R278" s="3"/>
    </row>
    <row r="279" ht="15.75" customHeight="1">
      <c r="A279" s="7" t="s">
        <v>16</v>
      </c>
      <c r="B279" s="7">
        <v>276.0</v>
      </c>
      <c r="C279" s="1"/>
      <c r="D279" s="2"/>
      <c r="E279" s="2"/>
      <c r="F279" s="2"/>
      <c r="G279" s="2"/>
      <c r="H279" s="2"/>
      <c r="I279" s="2"/>
      <c r="J279" s="2"/>
      <c r="K279" s="3"/>
      <c r="P279" s="3"/>
      <c r="Q279" s="3"/>
      <c r="R279" s="3"/>
    </row>
    <row r="280" ht="15.75" customHeight="1">
      <c r="A280" s="7" t="s">
        <v>16</v>
      </c>
      <c r="B280" s="7">
        <v>277.0</v>
      </c>
      <c r="C280" s="1"/>
      <c r="D280" s="2"/>
      <c r="E280" s="2"/>
      <c r="F280" s="2"/>
      <c r="G280" s="2"/>
      <c r="H280" s="2"/>
      <c r="I280" s="2"/>
      <c r="J280" s="2"/>
      <c r="K280" s="3"/>
      <c r="P280" s="3"/>
      <c r="Q280" s="3"/>
      <c r="R280" s="3"/>
    </row>
    <row r="281" ht="15.75" customHeight="1">
      <c r="A281" s="7" t="s">
        <v>16</v>
      </c>
      <c r="B281" s="7">
        <v>278.0</v>
      </c>
      <c r="C281" s="1"/>
      <c r="D281" s="2"/>
      <c r="E281" s="2"/>
      <c r="F281" s="2"/>
      <c r="G281" s="2"/>
      <c r="H281" s="2"/>
      <c r="I281" s="2"/>
      <c r="J281" s="2"/>
      <c r="K281" s="3"/>
      <c r="P281" s="3"/>
      <c r="Q281" s="3"/>
      <c r="R281" s="3"/>
    </row>
    <row r="282" ht="15.75" customHeight="1">
      <c r="A282" s="7" t="s">
        <v>16</v>
      </c>
      <c r="B282" s="7">
        <v>279.0</v>
      </c>
      <c r="C282" s="1"/>
      <c r="D282" s="2"/>
      <c r="E282" s="2"/>
      <c r="F282" s="2"/>
      <c r="G282" s="2"/>
      <c r="H282" s="2"/>
      <c r="I282" s="2"/>
      <c r="J282" s="2"/>
      <c r="K282" s="3"/>
      <c r="P282" s="3"/>
      <c r="Q282" s="3"/>
      <c r="R282" s="3"/>
    </row>
    <row r="283" ht="15.75" customHeight="1">
      <c r="A283" s="7" t="s">
        <v>16</v>
      </c>
      <c r="B283" s="7">
        <v>280.0</v>
      </c>
      <c r="C283" s="1"/>
      <c r="D283" s="2"/>
      <c r="E283" s="2"/>
      <c r="F283" s="2"/>
      <c r="G283" s="2"/>
      <c r="H283" s="2"/>
      <c r="I283" s="2"/>
      <c r="J283" s="2"/>
      <c r="K283" s="3"/>
      <c r="P283" s="3"/>
      <c r="Q283" s="3"/>
      <c r="R283" s="3"/>
    </row>
    <row r="284" ht="15.75" customHeight="1">
      <c r="A284" s="7" t="s">
        <v>16</v>
      </c>
      <c r="B284" s="7">
        <v>281.0</v>
      </c>
      <c r="C284" s="1"/>
      <c r="D284" s="2"/>
      <c r="E284" s="2"/>
      <c r="F284" s="2"/>
      <c r="G284" s="2"/>
      <c r="H284" s="2"/>
      <c r="I284" s="2"/>
      <c r="J284" s="2"/>
      <c r="K284" s="3"/>
      <c r="P284" s="3"/>
      <c r="Q284" s="3"/>
      <c r="R284" s="3"/>
    </row>
    <row r="285" ht="15.75" customHeight="1">
      <c r="A285" s="7" t="s">
        <v>16</v>
      </c>
      <c r="B285" s="7">
        <v>282.0</v>
      </c>
      <c r="C285" s="1"/>
      <c r="D285" s="2"/>
      <c r="E285" s="2"/>
      <c r="F285" s="2"/>
      <c r="G285" s="2"/>
      <c r="H285" s="2"/>
      <c r="I285" s="2"/>
      <c r="J285" s="2"/>
      <c r="K285" s="3"/>
      <c r="P285" s="3"/>
      <c r="Q285" s="3"/>
      <c r="R285" s="3"/>
    </row>
    <row r="286" ht="15.75" customHeight="1">
      <c r="A286" s="7" t="s">
        <v>16</v>
      </c>
      <c r="B286" s="7">
        <v>283.0</v>
      </c>
      <c r="C286" s="1"/>
      <c r="D286" s="2"/>
      <c r="E286" s="2"/>
      <c r="F286" s="2"/>
      <c r="G286" s="2"/>
      <c r="H286" s="2"/>
      <c r="I286" s="2"/>
      <c r="J286" s="2"/>
      <c r="K286" s="3"/>
      <c r="P286" s="3"/>
      <c r="Q286" s="3"/>
      <c r="R286" s="3"/>
    </row>
    <row r="287" ht="15.75" customHeight="1">
      <c r="A287" s="7" t="s">
        <v>16</v>
      </c>
      <c r="B287" s="7">
        <v>284.0</v>
      </c>
      <c r="C287" s="1"/>
      <c r="D287" s="2"/>
      <c r="E287" s="2"/>
      <c r="F287" s="2"/>
      <c r="G287" s="2"/>
      <c r="H287" s="2"/>
      <c r="I287" s="2"/>
      <c r="J287" s="2"/>
      <c r="K287" s="3"/>
      <c r="P287" s="3"/>
      <c r="Q287" s="3"/>
      <c r="R287" s="3"/>
    </row>
    <row r="288" ht="15.75" customHeight="1">
      <c r="A288" s="7" t="s">
        <v>16</v>
      </c>
      <c r="B288" s="7">
        <v>285.0</v>
      </c>
      <c r="C288" s="1"/>
      <c r="D288" s="2"/>
      <c r="E288" s="2"/>
      <c r="F288" s="2"/>
      <c r="G288" s="2"/>
      <c r="H288" s="2"/>
      <c r="I288" s="2"/>
      <c r="J288" s="2"/>
      <c r="K288" s="3"/>
      <c r="P288" s="3"/>
      <c r="Q288" s="3"/>
      <c r="R288" s="3"/>
    </row>
    <row r="289" ht="15.75" customHeight="1">
      <c r="A289" s="7" t="s">
        <v>16</v>
      </c>
      <c r="B289" s="7">
        <v>286.0</v>
      </c>
      <c r="C289" s="1"/>
      <c r="D289" s="2"/>
      <c r="E289" s="2"/>
      <c r="F289" s="2"/>
      <c r="G289" s="2"/>
      <c r="H289" s="2"/>
      <c r="I289" s="2"/>
      <c r="J289" s="2"/>
      <c r="K289" s="3"/>
      <c r="P289" s="3"/>
      <c r="Q289" s="3"/>
      <c r="R289" s="3"/>
    </row>
    <row r="290" ht="15.75" customHeight="1">
      <c r="A290" s="7" t="s">
        <v>16</v>
      </c>
      <c r="B290" s="7">
        <v>287.0</v>
      </c>
      <c r="C290" s="1"/>
      <c r="D290" s="2"/>
      <c r="E290" s="2"/>
      <c r="F290" s="2"/>
      <c r="G290" s="2"/>
      <c r="H290" s="2"/>
      <c r="I290" s="2"/>
      <c r="J290" s="2"/>
      <c r="K290" s="3"/>
      <c r="P290" s="3"/>
      <c r="Q290" s="3"/>
      <c r="R290" s="3"/>
    </row>
    <row r="291" ht="15.75" customHeight="1">
      <c r="A291" s="7" t="s">
        <v>16</v>
      </c>
      <c r="B291" s="7">
        <v>288.0</v>
      </c>
      <c r="C291" s="1"/>
      <c r="D291" s="2"/>
      <c r="E291" s="2"/>
      <c r="F291" s="2"/>
      <c r="G291" s="2"/>
      <c r="H291" s="2"/>
      <c r="I291" s="2"/>
      <c r="J291" s="2"/>
      <c r="K291" s="3"/>
      <c r="P291" s="3"/>
      <c r="Q291" s="3"/>
      <c r="R291" s="3"/>
    </row>
    <row r="292" ht="15.75" customHeight="1">
      <c r="A292" s="7" t="s">
        <v>16</v>
      </c>
      <c r="B292" s="7">
        <v>289.0</v>
      </c>
      <c r="C292" s="1"/>
      <c r="D292" s="2"/>
      <c r="E292" s="2"/>
      <c r="F292" s="2"/>
      <c r="G292" s="2"/>
      <c r="H292" s="2"/>
      <c r="I292" s="2"/>
      <c r="J292" s="2"/>
      <c r="K292" s="3"/>
      <c r="P292" s="3"/>
      <c r="Q292" s="3"/>
      <c r="R292" s="3"/>
    </row>
    <row r="293" ht="15.75" customHeight="1">
      <c r="A293" s="7" t="s">
        <v>16</v>
      </c>
      <c r="B293" s="7">
        <v>290.0</v>
      </c>
      <c r="C293" s="1"/>
      <c r="D293" s="2"/>
      <c r="E293" s="2"/>
      <c r="F293" s="2"/>
      <c r="G293" s="2"/>
      <c r="H293" s="2"/>
      <c r="I293" s="2"/>
      <c r="J293" s="2"/>
      <c r="K293" s="3"/>
      <c r="P293" s="3"/>
      <c r="Q293" s="3"/>
      <c r="R293" s="3"/>
    </row>
    <row r="294" ht="15.75" customHeight="1">
      <c r="A294" s="7" t="s">
        <v>16</v>
      </c>
      <c r="B294" s="7">
        <v>291.0</v>
      </c>
      <c r="C294" s="1"/>
      <c r="D294" s="2"/>
      <c r="E294" s="2"/>
      <c r="F294" s="2"/>
      <c r="G294" s="2"/>
      <c r="H294" s="2"/>
      <c r="I294" s="2"/>
      <c r="J294" s="2"/>
      <c r="K294" s="3"/>
      <c r="P294" s="3"/>
      <c r="Q294" s="3"/>
      <c r="R294" s="3"/>
    </row>
    <row r="295" ht="15.75" customHeight="1">
      <c r="A295" s="7" t="s">
        <v>16</v>
      </c>
      <c r="B295" s="7">
        <v>292.0</v>
      </c>
      <c r="C295" s="1"/>
      <c r="D295" s="2"/>
      <c r="E295" s="2"/>
      <c r="F295" s="2"/>
      <c r="G295" s="2"/>
      <c r="H295" s="2"/>
      <c r="I295" s="2"/>
      <c r="J295" s="2"/>
      <c r="K295" s="3"/>
      <c r="P295" s="3"/>
      <c r="Q295" s="3"/>
      <c r="R295" s="3"/>
    </row>
    <row r="296" ht="15.75" customHeight="1">
      <c r="A296" s="7" t="s">
        <v>16</v>
      </c>
      <c r="B296" s="7">
        <v>293.0</v>
      </c>
      <c r="C296" s="1"/>
      <c r="D296" s="2"/>
      <c r="E296" s="2"/>
      <c r="F296" s="2"/>
      <c r="G296" s="2"/>
      <c r="H296" s="2"/>
      <c r="I296" s="2"/>
      <c r="J296" s="2"/>
      <c r="K296" s="3"/>
      <c r="P296" s="3"/>
      <c r="Q296" s="3"/>
      <c r="R296" s="3"/>
    </row>
    <row r="297" ht="15.75" customHeight="1">
      <c r="A297" s="7" t="s">
        <v>16</v>
      </c>
      <c r="B297" s="7">
        <v>294.0</v>
      </c>
      <c r="C297" s="1"/>
      <c r="D297" s="2"/>
      <c r="E297" s="2"/>
      <c r="F297" s="2"/>
      <c r="G297" s="2"/>
      <c r="H297" s="2"/>
      <c r="I297" s="2"/>
      <c r="J297" s="2"/>
      <c r="K297" s="3"/>
      <c r="P297" s="3"/>
      <c r="Q297" s="3"/>
      <c r="R297" s="3"/>
    </row>
    <row r="298" ht="15.75" customHeight="1">
      <c r="A298" s="7" t="s">
        <v>16</v>
      </c>
      <c r="B298" s="7">
        <v>295.0</v>
      </c>
      <c r="C298" s="1"/>
      <c r="D298" s="2"/>
      <c r="E298" s="2"/>
      <c r="F298" s="2"/>
      <c r="G298" s="2"/>
      <c r="H298" s="2"/>
      <c r="I298" s="2"/>
      <c r="J298" s="2"/>
      <c r="K298" s="3"/>
      <c r="P298" s="3"/>
      <c r="Q298" s="3"/>
      <c r="R298" s="3"/>
    </row>
    <row r="299" ht="15.75" customHeight="1">
      <c r="A299" s="7" t="s">
        <v>16</v>
      </c>
      <c r="B299" s="7">
        <v>296.0</v>
      </c>
      <c r="C299" s="1"/>
      <c r="D299" s="2"/>
      <c r="E299" s="2"/>
      <c r="F299" s="2"/>
      <c r="G299" s="2"/>
      <c r="H299" s="2"/>
      <c r="I299" s="2"/>
      <c r="J299" s="2"/>
      <c r="K299" s="3"/>
      <c r="P299" s="3"/>
      <c r="Q299" s="3"/>
      <c r="R299" s="3"/>
    </row>
    <row r="300" ht="15.75" customHeight="1">
      <c r="A300" s="7" t="s">
        <v>16</v>
      </c>
      <c r="B300" s="7">
        <v>297.0</v>
      </c>
      <c r="C300" s="1"/>
      <c r="D300" s="2"/>
      <c r="E300" s="2"/>
      <c r="F300" s="2"/>
      <c r="G300" s="2"/>
      <c r="H300" s="2"/>
      <c r="I300" s="2"/>
      <c r="J300" s="2"/>
      <c r="K300" s="3"/>
      <c r="P300" s="3"/>
      <c r="Q300" s="3"/>
      <c r="R300" s="3"/>
    </row>
    <row r="301" ht="15.75" customHeight="1">
      <c r="A301" s="7" t="s">
        <v>16</v>
      </c>
      <c r="B301" s="7">
        <v>298.0</v>
      </c>
      <c r="C301" s="1"/>
      <c r="D301" s="2"/>
      <c r="E301" s="2"/>
      <c r="F301" s="2"/>
      <c r="G301" s="2"/>
      <c r="H301" s="2"/>
      <c r="I301" s="2"/>
      <c r="J301" s="2"/>
      <c r="K301" s="3"/>
      <c r="P301" s="3"/>
      <c r="Q301" s="3"/>
      <c r="R301" s="3"/>
    </row>
    <row r="302" ht="15.75" customHeight="1">
      <c r="A302" s="7" t="s">
        <v>16</v>
      </c>
      <c r="B302" s="7">
        <v>299.0</v>
      </c>
      <c r="C302" s="1"/>
      <c r="D302" s="2"/>
      <c r="E302" s="2"/>
      <c r="F302" s="2"/>
      <c r="G302" s="2"/>
      <c r="H302" s="2"/>
      <c r="I302" s="2"/>
      <c r="J302" s="2"/>
      <c r="K302" s="3"/>
      <c r="P302" s="3"/>
      <c r="Q302" s="3"/>
      <c r="R302" s="3"/>
    </row>
    <row r="303" ht="15.75" customHeight="1">
      <c r="A303" s="7" t="s">
        <v>16</v>
      </c>
      <c r="B303" s="7">
        <v>300.0</v>
      </c>
      <c r="C303" s="1"/>
      <c r="D303" s="2"/>
      <c r="E303" s="2"/>
      <c r="F303" s="2"/>
      <c r="G303" s="2"/>
      <c r="H303" s="2"/>
      <c r="I303" s="2"/>
      <c r="J303" s="2"/>
      <c r="K303" s="3"/>
      <c r="P303" s="3"/>
      <c r="Q303" s="3"/>
      <c r="R303" s="3"/>
    </row>
    <row r="304" ht="15.75" customHeight="1">
      <c r="A304" s="7" t="s">
        <v>16</v>
      </c>
      <c r="B304" s="7">
        <v>301.0</v>
      </c>
      <c r="C304" s="1"/>
      <c r="D304" s="2"/>
      <c r="E304" s="2"/>
      <c r="F304" s="2"/>
      <c r="G304" s="2"/>
      <c r="H304" s="2"/>
      <c r="I304" s="2"/>
      <c r="J304" s="2"/>
      <c r="K304" s="3"/>
      <c r="P304" s="3"/>
      <c r="Q304" s="3"/>
      <c r="R304" s="3"/>
    </row>
    <row r="305" ht="15.75" customHeight="1">
      <c r="A305" s="7" t="s">
        <v>16</v>
      </c>
      <c r="B305" s="7">
        <v>302.0</v>
      </c>
      <c r="C305" s="1"/>
      <c r="D305" s="2"/>
      <c r="E305" s="2"/>
      <c r="F305" s="2"/>
      <c r="G305" s="2"/>
      <c r="H305" s="2"/>
      <c r="I305" s="2"/>
      <c r="J305" s="2"/>
      <c r="K305" s="3"/>
      <c r="P305" s="3"/>
      <c r="Q305" s="3"/>
      <c r="R305" s="3"/>
    </row>
    <row r="306" ht="15.75" customHeight="1">
      <c r="A306" s="7" t="s">
        <v>16</v>
      </c>
      <c r="B306" s="7">
        <v>303.0</v>
      </c>
      <c r="C306" s="1"/>
      <c r="D306" s="2"/>
      <c r="E306" s="2"/>
      <c r="F306" s="2"/>
      <c r="G306" s="2"/>
      <c r="H306" s="2"/>
      <c r="I306" s="2"/>
      <c r="J306" s="2"/>
      <c r="K306" s="3"/>
      <c r="P306" s="3"/>
      <c r="Q306" s="3"/>
      <c r="R306" s="3"/>
    </row>
    <row r="307" ht="15.75" customHeight="1">
      <c r="A307" s="7" t="s">
        <v>16</v>
      </c>
      <c r="B307" s="7">
        <v>304.0</v>
      </c>
      <c r="C307" s="1"/>
      <c r="D307" s="2"/>
      <c r="E307" s="2"/>
      <c r="F307" s="2"/>
      <c r="G307" s="2"/>
      <c r="H307" s="2"/>
      <c r="I307" s="2"/>
      <c r="J307" s="2"/>
      <c r="K307" s="3"/>
      <c r="P307" s="3"/>
      <c r="Q307" s="3"/>
      <c r="R307" s="3"/>
    </row>
    <row r="308" ht="15.75" customHeight="1">
      <c r="A308" s="7" t="s">
        <v>16</v>
      </c>
      <c r="B308" s="7">
        <v>305.0</v>
      </c>
      <c r="C308" s="1"/>
      <c r="D308" s="2"/>
      <c r="E308" s="2"/>
      <c r="F308" s="2"/>
      <c r="G308" s="2"/>
      <c r="H308" s="2"/>
      <c r="I308" s="2"/>
      <c r="J308" s="2"/>
      <c r="K308" s="3"/>
      <c r="P308" s="3"/>
      <c r="Q308" s="3"/>
      <c r="R308" s="3"/>
    </row>
    <row r="309" ht="15.75" customHeight="1">
      <c r="A309" s="7" t="s">
        <v>16</v>
      </c>
      <c r="B309" s="7">
        <v>306.0</v>
      </c>
      <c r="C309" s="1"/>
      <c r="D309" s="2"/>
      <c r="E309" s="2"/>
      <c r="F309" s="2"/>
      <c r="G309" s="2"/>
      <c r="H309" s="2"/>
      <c r="I309" s="2"/>
      <c r="J309" s="2"/>
      <c r="K309" s="3"/>
      <c r="P309" s="3"/>
      <c r="Q309" s="3"/>
      <c r="R309" s="3"/>
    </row>
    <row r="310" ht="15.75" customHeight="1">
      <c r="A310" s="7" t="s">
        <v>16</v>
      </c>
      <c r="B310" s="7">
        <v>307.0</v>
      </c>
      <c r="C310" s="1"/>
      <c r="D310" s="2"/>
      <c r="E310" s="2"/>
      <c r="F310" s="2"/>
      <c r="G310" s="2"/>
      <c r="H310" s="2"/>
      <c r="I310" s="2"/>
      <c r="J310" s="2"/>
      <c r="K310" s="3"/>
      <c r="P310" s="3"/>
      <c r="Q310" s="3"/>
      <c r="R310" s="3"/>
    </row>
    <row r="311" ht="15.75" customHeight="1">
      <c r="A311" s="7" t="s">
        <v>16</v>
      </c>
      <c r="B311" s="7">
        <v>308.0</v>
      </c>
      <c r="C311" s="1"/>
      <c r="D311" s="2"/>
      <c r="E311" s="2"/>
      <c r="F311" s="2"/>
      <c r="G311" s="2"/>
      <c r="H311" s="2"/>
      <c r="I311" s="2"/>
      <c r="J311" s="2"/>
      <c r="K311" s="3"/>
      <c r="P311" s="3"/>
      <c r="Q311" s="3"/>
      <c r="R311" s="3"/>
    </row>
    <row r="312" ht="15.75" customHeight="1">
      <c r="A312" s="7" t="s">
        <v>16</v>
      </c>
      <c r="B312" s="7">
        <v>309.0</v>
      </c>
      <c r="C312" s="1"/>
      <c r="D312" s="2"/>
      <c r="E312" s="2"/>
      <c r="F312" s="2"/>
      <c r="G312" s="2"/>
      <c r="H312" s="2"/>
      <c r="I312" s="2"/>
      <c r="J312" s="2"/>
      <c r="K312" s="3"/>
      <c r="P312" s="3"/>
      <c r="Q312" s="3"/>
      <c r="R312" s="3"/>
    </row>
    <row r="313" ht="15.75" customHeight="1">
      <c r="A313" s="7" t="s">
        <v>16</v>
      </c>
      <c r="B313" s="7">
        <v>310.0</v>
      </c>
      <c r="C313" s="1"/>
      <c r="D313" s="2"/>
      <c r="E313" s="2"/>
      <c r="F313" s="2"/>
      <c r="G313" s="2"/>
      <c r="H313" s="2"/>
      <c r="I313" s="2"/>
      <c r="J313" s="2"/>
      <c r="K313" s="3"/>
      <c r="P313" s="3"/>
      <c r="Q313" s="3"/>
      <c r="R313" s="3"/>
    </row>
    <row r="314" ht="15.75" customHeight="1">
      <c r="A314" s="7" t="s">
        <v>16</v>
      </c>
      <c r="B314" s="7">
        <v>311.0</v>
      </c>
      <c r="C314" s="1"/>
      <c r="D314" s="2"/>
      <c r="E314" s="2"/>
      <c r="F314" s="2"/>
      <c r="G314" s="2"/>
      <c r="H314" s="2"/>
      <c r="I314" s="2"/>
      <c r="J314" s="2"/>
      <c r="K314" s="3"/>
      <c r="P314" s="3"/>
      <c r="Q314" s="3"/>
      <c r="R314" s="3"/>
    </row>
    <row r="315" ht="15.75" customHeight="1">
      <c r="A315" s="7" t="s">
        <v>16</v>
      </c>
      <c r="B315" s="7">
        <v>312.0</v>
      </c>
      <c r="C315" s="1"/>
      <c r="D315" s="2"/>
      <c r="E315" s="2"/>
      <c r="F315" s="2"/>
      <c r="G315" s="2"/>
      <c r="H315" s="2"/>
      <c r="I315" s="2"/>
      <c r="J315" s="2"/>
      <c r="K315" s="3"/>
      <c r="P315" s="3"/>
      <c r="Q315" s="3"/>
      <c r="R315" s="3"/>
    </row>
    <row r="316" ht="15.75" customHeight="1">
      <c r="A316" s="7" t="s">
        <v>16</v>
      </c>
      <c r="B316" s="7">
        <v>313.0</v>
      </c>
      <c r="C316" s="1"/>
      <c r="D316" s="2"/>
      <c r="E316" s="2"/>
      <c r="F316" s="2"/>
      <c r="G316" s="2"/>
      <c r="H316" s="2"/>
      <c r="I316" s="2"/>
      <c r="J316" s="2"/>
      <c r="K316" s="3"/>
      <c r="P316" s="3"/>
      <c r="Q316" s="3"/>
      <c r="R316" s="3"/>
    </row>
    <row r="317" ht="15.75" customHeight="1">
      <c r="A317" s="7" t="s">
        <v>16</v>
      </c>
      <c r="B317" s="7">
        <v>314.0</v>
      </c>
      <c r="C317" s="1"/>
      <c r="D317" s="2"/>
      <c r="E317" s="2"/>
      <c r="F317" s="2"/>
      <c r="G317" s="2"/>
      <c r="H317" s="2"/>
      <c r="I317" s="2"/>
      <c r="J317" s="2"/>
      <c r="K317" s="3"/>
      <c r="P317" s="3"/>
      <c r="Q317" s="3"/>
      <c r="R317" s="3"/>
    </row>
    <row r="318" ht="15.75" customHeight="1">
      <c r="A318" s="7" t="s">
        <v>16</v>
      </c>
      <c r="B318" s="7">
        <v>315.0</v>
      </c>
      <c r="C318" s="1"/>
      <c r="D318" s="2"/>
      <c r="E318" s="2"/>
      <c r="F318" s="2"/>
      <c r="G318" s="2"/>
      <c r="H318" s="2"/>
      <c r="I318" s="2"/>
      <c r="J318" s="2"/>
      <c r="K318" s="3"/>
      <c r="P318" s="3"/>
      <c r="Q318" s="3"/>
      <c r="R318" s="3"/>
    </row>
    <row r="319" ht="15.75" customHeight="1">
      <c r="A319" s="7" t="s">
        <v>16</v>
      </c>
      <c r="B319" s="7">
        <v>316.0</v>
      </c>
      <c r="C319" s="1"/>
      <c r="D319" s="2"/>
      <c r="E319" s="2"/>
      <c r="F319" s="2"/>
      <c r="G319" s="2"/>
      <c r="H319" s="2"/>
      <c r="I319" s="2"/>
      <c r="J319" s="2"/>
      <c r="K319" s="3"/>
      <c r="P319" s="3"/>
      <c r="Q319" s="3"/>
      <c r="R319" s="3"/>
    </row>
    <row r="320" ht="15.75" customHeight="1">
      <c r="A320" s="7" t="s">
        <v>16</v>
      </c>
      <c r="B320" s="7">
        <v>317.0</v>
      </c>
      <c r="C320" s="1"/>
      <c r="D320" s="2"/>
      <c r="E320" s="2"/>
      <c r="F320" s="2"/>
      <c r="G320" s="2"/>
      <c r="H320" s="2"/>
      <c r="I320" s="2"/>
      <c r="J320" s="2"/>
      <c r="K320" s="3"/>
      <c r="P320" s="3"/>
      <c r="Q320" s="3"/>
      <c r="R320" s="3"/>
    </row>
    <row r="321" ht="15.75" customHeight="1">
      <c r="A321" s="7" t="s">
        <v>16</v>
      </c>
      <c r="B321" s="7">
        <v>318.0</v>
      </c>
      <c r="C321" s="1"/>
      <c r="D321" s="2"/>
      <c r="E321" s="2"/>
      <c r="F321" s="2"/>
      <c r="G321" s="2"/>
      <c r="H321" s="2"/>
      <c r="I321" s="2"/>
      <c r="J321" s="2"/>
      <c r="K321" s="3"/>
      <c r="P321" s="3"/>
      <c r="Q321" s="3"/>
      <c r="R321" s="3"/>
    </row>
    <row r="322" ht="15.75" customHeight="1">
      <c r="A322" s="7" t="s">
        <v>16</v>
      </c>
      <c r="B322" s="7">
        <v>319.0</v>
      </c>
      <c r="C322" s="1"/>
      <c r="D322" s="2"/>
      <c r="E322" s="2"/>
      <c r="F322" s="2"/>
      <c r="G322" s="2"/>
      <c r="H322" s="2"/>
      <c r="I322" s="2"/>
      <c r="J322" s="2"/>
      <c r="K322" s="3"/>
      <c r="P322" s="3"/>
      <c r="Q322" s="3"/>
      <c r="R322" s="3"/>
    </row>
    <row r="323" ht="15.75" customHeight="1">
      <c r="A323" s="7" t="s">
        <v>16</v>
      </c>
      <c r="B323" s="7">
        <v>320.0</v>
      </c>
      <c r="C323" s="1"/>
      <c r="D323" s="2"/>
      <c r="E323" s="2"/>
      <c r="F323" s="2"/>
      <c r="G323" s="2"/>
      <c r="H323" s="2"/>
      <c r="I323" s="2"/>
      <c r="J323" s="2"/>
      <c r="K323" s="3"/>
      <c r="P323" s="3"/>
      <c r="Q323" s="3"/>
      <c r="R323" s="3"/>
    </row>
    <row r="324" ht="15.75" customHeight="1">
      <c r="A324" s="7" t="s">
        <v>16</v>
      </c>
      <c r="B324" s="7">
        <v>321.0</v>
      </c>
      <c r="C324" s="1"/>
      <c r="D324" s="2"/>
      <c r="E324" s="2"/>
      <c r="F324" s="2"/>
      <c r="G324" s="2"/>
      <c r="H324" s="2"/>
      <c r="I324" s="2"/>
      <c r="J324" s="2"/>
      <c r="K324" s="3"/>
      <c r="P324" s="3"/>
      <c r="Q324" s="3"/>
      <c r="R324" s="3"/>
    </row>
    <row r="325" ht="15.75" customHeight="1">
      <c r="A325" s="7" t="s">
        <v>16</v>
      </c>
      <c r="B325" s="7">
        <v>322.0</v>
      </c>
      <c r="C325" s="1"/>
      <c r="D325" s="2"/>
      <c r="E325" s="2"/>
      <c r="F325" s="2"/>
      <c r="G325" s="2"/>
      <c r="H325" s="2"/>
      <c r="I325" s="2"/>
      <c r="J325" s="2"/>
      <c r="K325" s="3"/>
      <c r="P325" s="3"/>
      <c r="Q325" s="3"/>
      <c r="R325" s="3"/>
    </row>
    <row r="326" ht="15.75" customHeight="1">
      <c r="A326" s="7" t="s">
        <v>16</v>
      </c>
      <c r="B326" s="7">
        <v>323.0</v>
      </c>
      <c r="C326" s="1"/>
      <c r="D326" s="2"/>
      <c r="E326" s="2"/>
      <c r="F326" s="2"/>
      <c r="G326" s="2"/>
      <c r="H326" s="2"/>
      <c r="I326" s="2"/>
      <c r="J326" s="2"/>
      <c r="K326" s="3"/>
      <c r="P326" s="3"/>
      <c r="Q326" s="3"/>
      <c r="R326" s="3"/>
    </row>
    <row r="327" ht="15.75" customHeight="1">
      <c r="A327" s="7" t="s">
        <v>16</v>
      </c>
      <c r="B327" s="7">
        <v>324.0</v>
      </c>
      <c r="C327" s="1"/>
      <c r="D327" s="2"/>
      <c r="E327" s="2"/>
      <c r="F327" s="2"/>
      <c r="G327" s="2"/>
      <c r="H327" s="2"/>
      <c r="I327" s="2"/>
      <c r="J327" s="2"/>
      <c r="K327" s="3"/>
      <c r="P327" s="3"/>
      <c r="Q327" s="3"/>
      <c r="R327" s="3"/>
    </row>
    <row r="328" ht="15.75" customHeight="1">
      <c r="A328" s="7" t="s">
        <v>16</v>
      </c>
      <c r="B328" s="7">
        <v>325.0</v>
      </c>
      <c r="C328" s="1"/>
      <c r="D328" s="2"/>
      <c r="E328" s="2"/>
      <c r="F328" s="2"/>
      <c r="G328" s="2"/>
      <c r="H328" s="2"/>
      <c r="I328" s="2"/>
      <c r="J328" s="2"/>
      <c r="K328" s="3"/>
      <c r="P328" s="3"/>
      <c r="Q328" s="3"/>
      <c r="R328" s="3"/>
    </row>
    <row r="329" ht="15.75" customHeight="1">
      <c r="A329" s="7" t="s">
        <v>16</v>
      </c>
      <c r="B329" s="7">
        <v>326.0</v>
      </c>
      <c r="C329" s="1"/>
      <c r="D329" s="2"/>
      <c r="E329" s="2"/>
      <c r="F329" s="2"/>
      <c r="G329" s="2"/>
      <c r="H329" s="2"/>
      <c r="I329" s="2"/>
      <c r="J329" s="2"/>
      <c r="K329" s="3"/>
      <c r="P329" s="3"/>
      <c r="Q329" s="3"/>
      <c r="R329" s="3"/>
    </row>
    <row r="330" ht="15.75" customHeight="1">
      <c r="A330" s="7" t="s">
        <v>16</v>
      </c>
      <c r="B330" s="7">
        <v>327.0</v>
      </c>
      <c r="C330" s="1"/>
      <c r="D330" s="2"/>
      <c r="E330" s="2"/>
      <c r="F330" s="2"/>
      <c r="G330" s="2"/>
      <c r="H330" s="2"/>
      <c r="I330" s="2"/>
      <c r="J330" s="2"/>
      <c r="K330" s="3"/>
      <c r="P330" s="3"/>
      <c r="Q330" s="3"/>
      <c r="R330" s="3"/>
    </row>
    <row r="331" ht="15.75" customHeight="1">
      <c r="A331" s="7" t="s">
        <v>16</v>
      </c>
      <c r="B331" s="7">
        <v>328.0</v>
      </c>
      <c r="C331" s="1"/>
      <c r="D331" s="2"/>
      <c r="E331" s="2"/>
      <c r="F331" s="2"/>
      <c r="G331" s="2"/>
      <c r="H331" s="2"/>
      <c r="I331" s="2"/>
      <c r="J331" s="2"/>
      <c r="K331" s="3"/>
      <c r="P331" s="3"/>
      <c r="Q331" s="3"/>
      <c r="R331" s="3"/>
    </row>
    <row r="332" ht="15.75" customHeight="1">
      <c r="A332" s="7" t="s">
        <v>16</v>
      </c>
      <c r="B332" s="7">
        <v>329.0</v>
      </c>
      <c r="C332" s="1"/>
      <c r="D332" s="2"/>
      <c r="E332" s="2"/>
      <c r="F332" s="2"/>
      <c r="G332" s="2"/>
      <c r="H332" s="2"/>
      <c r="I332" s="2"/>
      <c r="J332" s="2"/>
      <c r="K332" s="3"/>
      <c r="P332" s="3"/>
      <c r="Q332" s="3"/>
      <c r="R332" s="3"/>
    </row>
    <row r="333" ht="15.75" customHeight="1">
      <c r="A333" s="7" t="s">
        <v>16</v>
      </c>
      <c r="B333" s="7">
        <v>330.0</v>
      </c>
      <c r="C333" s="1"/>
      <c r="D333" s="2"/>
      <c r="E333" s="2"/>
      <c r="F333" s="2"/>
      <c r="G333" s="2"/>
      <c r="H333" s="2"/>
      <c r="I333" s="2"/>
      <c r="J333" s="2"/>
      <c r="K333" s="3"/>
      <c r="P333" s="3"/>
      <c r="Q333" s="3"/>
      <c r="R333" s="3"/>
    </row>
    <row r="334" ht="15.75" customHeight="1">
      <c r="A334" s="7" t="s">
        <v>16</v>
      </c>
      <c r="B334" s="7">
        <v>331.0</v>
      </c>
      <c r="C334" s="1"/>
      <c r="D334" s="2"/>
      <c r="E334" s="2"/>
      <c r="F334" s="2"/>
      <c r="G334" s="2"/>
      <c r="H334" s="2"/>
      <c r="I334" s="2"/>
      <c r="J334" s="2"/>
      <c r="K334" s="3"/>
      <c r="P334" s="3"/>
      <c r="Q334" s="3"/>
      <c r="R334" s="3"/>
    </row>
    <row r="335" ht="15.75" customHeight="1">
      <c r="A335" s="7" t="s">
        <v>16</v>
      </c>
      <c r="B335" s="7">
        <v>332.0</v>
      </c>
      <c r="C335" s="1"/>
      <c r="D335" s="2"/>
      <c r="E335" s="2"/>
      <c r="F335" s="2"/>
      <c r="G335" s="2"/>
      <c r="H335" s="2"/>
      <c r="I335" s="2"/>
      <c r="J335" s="2"/>
      <c r="K335" s="3"/>
      <c r="P335" s="3"/>
      <c r="Q335" s="3"/>
      <c r="R335" s="3"/>
    </row>
    <row r="336" ht="15.75" customHeight="1">
      <c r="A336" s="7" t="s">
        <v>16</v>
      </c>
      <c r="B336" s="7">
        <v>333.0</v>
      </c>
      <c r="C336" s="1"/>
      <c r="D336" s="2"/>
      <c r="E336" s="2"/>
      <c r="F336" s="2"/>
      <c r="G336" s="2"/>
      <c r="H336" s="2"/>
      <c r="I336" s="2"/>
      <c r="J336" s="2"/>
      <c r="K336" s="3"/>
      <c r="P336" s="3"/>
      <c r="Q336" s="3"/>
      <c r="R336" s="3"/>
    </row>
    <row r="337" ht="15.75" customHeight="1">
      <c r="A337" s="7" t="s">
        <v>16</v>
      </c>
      <c r="B337" s="7">
        <v>334.0</v>
      </c>
      <c r="C337" s="1"/>
      <c r="D337" s="2"/>
      <c r="E337" s="2"/>
      <c r="F337" s="2"/>
      <c r="G337" s="2"/>
      <c r="H337" s="2"/>
      <c r="I337" s="2"/>
      <c r="J337" s="2"/>
      <c r="K337" s="3"/>
      <c r="P337" s="3"/>
      <c r="Q337" s="3"/>
      <c r="R337" s="3"/>
    </row>
    <row r="338" ht="15.75" customHeight="1">
      <c r="A338" s="7" t="s">
        <v>16</v>
      </c>
      <c r="B338" s="7">
        <v>335.0</v>
      </c>
      <c r="C338" s="1"/>
      <c r="D338" s="2"/>
      <c r="E338" s="2"/>
      <c r="F338" s="2"/>
      <c r="G338" s="2"/>
      <c r="H338" s="2"/>
      <c r="I338" s="2"/>
      <c r="J338" s="2"/>
      <c r="K338" s="3"/>
      <c r="P338" s="3"/>
      <c r="Q338" s="3"/>
      <c r="R338" s="3"/>
    </row>
    <row r="339" ht="15.75" customHeight="1">
      <c r="A339" s="7" t="s">
        <v>16</v>
      </c>
      <c r="B339" s="7">
        <v>336.0</v>
      </c>
      <c r="C339" s="1"/>
      <c r="D339" s="2"/>
      <c r="E339" s="2"/>
      <c r="F339" s="2"/>
      <c r="G339" s="2"/>
      <c r="H339" s="2"/>
      <c r="I339" s="2"/>
      <c r="J339" s="2"/>
      <c r="K339" s="3"/>
      <c r="P339" s="3"/>
      <c r="Q339" s="3"/>
      <c r="R339" s="3"/>
    </row>
    <row r="340" ht="15.75" customHeight="1">
      <c r="A340" s="7" t="s">
        <v>16</v>
      </c>
      <c r="B340" s="7">
        <v>337.0</v>
      </c>
      <c r="C340" s="1"/>
      <c r="D340" s="2"/>
      <c r="E340" s="2"/>
      <c r="F340" s="2"/>
      <c r="G340" s="2"/>
      <c r="H340" s="2"/>
      <c r="I340" s="2"/>
      <c r="J340" s="2"/>
      <c r="K340" s="3"/>
      <c r="P340" s="3"/>
      <c r="Q340" s="3"/>
      <c r="R340" s="3"/>
    </row>
    <row r="341" ht="15.75" customHeight="1">
      <c r="A341" s="7" t="s">
        <v>16</v>
      </c>
      <c r="B341" s="7">
        <v>338.0</v>
      </c>
      <c r="C341" s="1"/>
      <c r="D341" s="2"/>
      <c r="E341" s="2"/>
      <c r="F341" s="2"/>
      <c r="G341" s="2"/>
      <c r="H341" s="2"/>
      <c r="I341" s="2"/>
      <c r="J341" s="2"/>
      <c r="K341" s="3"/>
      <c r="P341" s="3"/>
      <c r="Q341" s="3"/>
      <c r="R341" s="3"/>
    </row>
    <row r="342" ht="15.75" customHeight="1">
      <c r="A342" s="7" t="s">
        <v>16</v>
      </c>
      <c r="B342" s="7">
        <v>339.0</v>
      </c>
      <c r="C342" s="1"/>
      <c r="D342" s="2"/>
      <c r="E342" s="2"/>
      <c r="F342" s="2"/>
      <c r="G342" s="2"/>
      <c r="H342" s="2"/>
      <c r="I342" s="2"/>
      <c r="J342" s="2"/>
      <c r="K342" s="3"/>
      <c r="P342" s="3"/>
      <c r="Q342" s="3"/>
      <c r="R342" s="3"/>
    </row>
    <row r="343" ht="15.75" customHeight="1">
      <c r="A343" s="7" t="s">
        <v>16</v>
      </c>
      <c r="B343" s="7">
        <v>340.0</v>
      </c>
      <c r="C343" s="1"/>
      <c r="D343" s="2"/>
      <c r="E343" s="2"/>
      <c r="F343" s="2"/>
      <c r="G343" s="2"/>
      <c r="H343" s="2"/>
      <c r="I343" s="2"/>
      <c r="J343" s="2"/>
      <c r="K343" s="3"/>
      <c r="P343" s="3"/>
      <c r="Q343" s="3"/>
      <c r="R343" s="3"/>
    </row>
    <row r="344" ht="15.75" customHeight="1">
      <c r="A344" s="7" t="s">
        <v>16</v>
      </c>
      <c r="B344" s="7">
        <v>341.0</v>
      </c>
      <c r="C344" s="1"/>
      <c r="D344" s="2"/>
      <c r="E344" s="2"/>
      <c r="F344" s="2"/>
      <c r="G344" s="2"/>
      <c r="H344" s="2"/>
      <c r="I344" s="2"/>
      <c r="J344" s="2"/>
      <c r="K344" s="3"/>
      <c r="P344" s="3"/>
      <c r="Q344" s="3"/>
      <c r="R344" s="3"/>
    </row>
    <row r="345" ht="15.75" customHeight="1">
      <c r="A345" s="7" t="s">
        <v>16</v>
      </c>
      <c r="B345" s="7">
        <v>342.0</v>
      </c>
      <c r="C345" s="1"/>
      <c r="D345" s="2"/>
      <c r="E345" s="2"/>
      <c r="F345" s="2"/>
      <c r="G345" s="2"/>
      <c r="H345" s="2"/>
      <c r="I345" s="2"/>
      <c r="J345" s="2"/>
      <c r="K345" s="3"/>
      <c r="P345" s="3"/>
      <c r="Q345" s="3"/>
      <c r="R345" s="3"/>
    </row>
    <row r="346" ht="15.75" customHeight="1">
      <c r="A346" s="7" t="s">
        <v>16</v>
      </c>
      <c r="B346" s="7">
        <v>343.0</v>
      </c>
      <c r="C346" s="1"/>
      <c r="D346" s="2"/>
      <c r="E346" s="2"/>
      <c r="F346" s="2"/>
      <c r="G346" s="2"/>
      <c r="H346" s="2"/>
      <c r="I346" s="2"/>
      <c r="J346" s="2"/>
      <c r="K346" s="3"/>
      <c r="P346" s="3"/>
      <c r="Q346" s="3"/>
      <c r="R346" s="3"/>
    </row>
    <row r="347" ht="15.75" customHeight="1">
      <c r="A347" s="7" t="s">
        <v>16</v>
      </c>
      <c r="B347" s="7">
        <v>344.0</v>
      </c>
      <c r="C347" s="1"/>
      <c r="D347" s="2"/>
      <c r="E347" s="2"/>
      <c r="F347" s="2"/>
      <c r="G347" s="2"/>
      <c r="H347" s="2"/>
      <c r="I347" s="2"/>
      <c r="J347" s="2"/>
      <c r="K347" s="3"/>
      <c r="P347" s="3"/>
      <c r="Q347" s="3"/>
      <c r="R347" s="3"/>
    </row>
    <row r="348" ht="15.75" customHeight="1">
      <c r="A348" s="7" t="s">
        <v>16</v>
      </c>
      <c r="B348" s="7">
        <v>345.0</v>
      </c>
      <c r="C348" s="1"/>
      <c r="D348" s="2"/>
      <c r="E348" s="2"/>
      <c r="F348" s="2"/>
      <c r="G348" s="2"/>
      <c r="H348" s="2"/>
      <c r="I348" s="2"/>
      <c r="J348" s="2"/>
      <c r="K348" s="3"/>
      <c r="P348" s="3"/>
      <c r="Q348" s="3"/>
      <c r="R348" s="3"/>
    </row>
    <row r="349" ht="15.75" customHeight="1">
      <c r="A349" s="7" t="s">
        <v>16</v>
      </c>
      <c r="B349" s="7">
        <v>346.0</v>
      </c>
      <c r="C349" s="1"/>
      <c r="D349" s="2"/>
      <c r="E349" s="2"/>
      <c r="F349" s="2"/>
      <c r="G349" s="2"/>
      <c r="H349" s="2"/>
      <c r="I349" s="2"/>
      <c r="J349" s="2"/>
      <c r="K349" s="3"/>
      <c r="P349" s="3"/>
      <c r="Q349" s="3"/>
      <c r="R349" s="3"/>
    </row>
    <row r="350" ht="15.75" customHeight="1">
      <c r="A350" s="7" t="s">
        <v>16</v>
      </c>
      <c r="B350" s="7">
        <v>347.0</v>
      </c>
      <c r="C350" s="1"/>
      <c r="D350" s="2"/>
      <c r="E350" s="2"/>
      <c r="F350" s="2"/>
      <c r="G350" s="2"/>
      <c r="H350" s="2"/>
      <c r="I350" s="2"/>
      <c r="J350" s="2"/>
      <c r="K350" s="3"/>
      <c r="P350" s="3"/>
      <c r="Q350" s="3"/>
      <c r="R350" s="3"/>
    </row>
    <row r="351" ht="15.75" customHeight="1">
      <c r="A351" s="7" t="s">
        <v>16</v>
      </c>
      <c r="B351" s="7">
        <v>348.0</v>
      </c>
      <c r="C351" s="1"/>
      <c r="D351" s="2"/>
      <c r="E351" s="2"/>
      <c r="F351" s="2"/>
      <c r="G351" s="2"/>
      <c r="H351" s="2"/>
      <c r="I351" s="2"/>
      <c r="J351" s="2"/>
      <c r="K351" s="3"/>
      <c r="P351" s="3"/>
      <c r="Q351" s="3"/>
      <c r="R351" s="3"/>
    </row>
    <row r="352" ht="15.75" customHeight="1">
      <c r="A352" s="7" t="s">
        <v>16</v>
      </c>
      <c r="B352" s="7">
        <v>349.0</v>
      </c>
      <c r="C352" s="1"/>
      <c r="D352" s="2"/>
      <c r="E352" s="2"/>
      <c r="F352" s="2"/>
      <c r="G352" s="2"/>
      <c r="H352" s="2"/>
      <c r="I352" s="2"/>
      <c r="J352" s="2"/>
      <c r="K352" s="3"/>
      <c r="P352" s="3"/>
      <c r="Q352" s="3"/>
      <c r="R352" s="3"/>
    </row>
    <row r="353" ht="15.75" customHeight="1">
      <c r="A353" s="7" t="s">
        <v>16</v>
      </c>
      <c r="B353" s="7">
        <v>350.0</v>
      </c>
      <c r="C353" s="1"/>
      <c r="D353" s="2"/>
      <c r="E353" s="2"/>
      <c r="F353" s="2"/>
      <c r="G353" s="2"/>
      <c r="H353" s="2"/>
      <c r="I353" s="2"/>
      <c r="J353" s="2"/>
      <c r="K353" s="3"/>
      <c r="P353" s="3"/>
      <c r="Q353" s="3"/>
      <c r="R353" s="3"/>
    </row>
    <row r="354" ht="15.75" customHeight="1">
      <c r="A354" s="7" t="s">
        <v>16</v>
      </c>
      <c r="B354" s="7">
        <v>351.0</v>
      </c>
      <c r="C354" s="1"/>
      <c r="D354" s="2"/>
      <c r="E354" s="2"/>
      <c r="F354" s="2"/>
      <c r="G354" s="2"/>
      <c r="H354" s="2"/>
      <c r="I354" s="2"/>
      <c r="J354" s="2"/>
      <c r="K354" s="3"/>
      <c r="P354" s="3"/>
      <c r="Q354" s="3"/>
      <c r="R354" s="3"/>
    </row>
    <row r="355" ht="15.75" customHeight="1">
      <c r="A355" s="7" t="s">
        <v>16</v>
      </c>
      <c r="B355" s="7">
        <v>352.0</v>
      </c>
      <c r="C355" s="1"/>
      <c r="D355" s="2"/>
      <c r="E355" s="2"/>
      <c r="F355" s="2"/>
      <c r="G355" s="2"/>
      <c r="H355" s="2"/>
      <c r="I355" s="2"/>
      <c r="J355" s="2"/>
      <c r="K355" s="3"/>
      <c r="P355" s="3"/>
      <c r="Q355" s="3"/>
      <c r="R355" s="3"/>
    </row>
    <row r="356" ht="15.75" customHeight="1">
      <c r="A356" s="7" t="s">
        <v>16</v>
      </c>
      <c r="B356" s="7">
        <v>353.0</v>
      </c>
      <c r="C356" s="1"/>
      <c r="D356" s="2"/>
      <c r="E356" s="2"/>
      <c r="F356" s="2"/>
      <c r="G356" s="2"/>
      <c r="H356" s="2"/>
      <c r="I356" s="2"/>
      <c r="J356" s="2"/>
      <c r="K356" s="3"/>
      <c r="P356" s="3"/>
      <c r="Q356" s="3"/>
      <c r="R356" s="3"/>
    </row>
    <row r="357" ht="15.75" customHeight="1">
      <c r="A357" s="7" t="s">
        <v>16</v>
      </c>
      <c r="B357" s="7">
        <v>354.0</v>
      </c>
      <c r="C357" s="1"/>
      <c r="D357" s="2"/>
      <c r="E357" s="2"/>
      <c r="F357" s="2"/>
      <c r="G357" s="2"/>
      <c r="H357" s="2"/>
      <c r="I357" s="2"/>
      <c r="J357" s="2"/>
      <c r="K357" s="3"/>
      <c r="P357" s="3"/>
      <c r="Q357" s="3"/>
      <c r="R357" s="3"/>
    </row>
    <row r="358" ht="15.75" customHeight="1">
      <c r="A358" s="7" t="s">
        <v>16</v>
      </c>
      <c r="B358" s="7">
        <v>355.0</v>
      </c>
      <c r="C358" s="1"/>
      <c r="D358" s="2"/>
      <c r="E358" s="2"/>
      <c r="F358" s="2"/>
      <c r="G358" s="2"/>
      <c r="H358" s="2"/>
      <c r="I358" s="2"/>
      <c r="J358" s="2"/>
      <c r="K358" s="3"/>
      <c r="P358" s="3"/>
      <c r="Q358" s="3"/>
      <c r="R358" s="3"/>
    </row>
    <row r="359" ht="15.75" customHeight="1">
      <c r="A359" s="7" t="s">
        <v>16</v>
      </c>
      <c r="B359" s="7">
        <v>356.0</v>
      </c>
      <c r="C359" s="1"/>
      <c r="D359" s="2"/>
      <c r="E359" s="2"/>
      <c r="F359" s="2"/>
      <c r="G359" s="2"/>
      <c r="H359" s="2"/>
      <c r="I359" s="2"/>
      <c r="J359" s="2"/>
      <c r="K359" s="3"/>
      <c r="P359" s="3"/>
      <c r="Q359" s="3"/>
      <c r="R359" s="3"/>
    </row>
    <row r="360" ht="15.75" customHeight="1">
      <c r="A360" s="7" t="s">
        <v>16</v>
      </c>
      <c r="B360" s="7">
        <v>357.0</v>
      </c>
      <c r="C360" s="1"/>
      <c r="D360" s="2"/>
      <c r="E360" s="2"/>
      <c r="F360" s="2"/>
      <c r="G360" s="2"/>
      <c r="H360" s="2"/>
      <c r="I360" s="2"/>
      <c r="J360" s="2"/>
      <c r="K360" s="3"/>
      <c r="P360" s="3"/>
      <c r="Q360" s="3"/>
      <c r="R360" s="3"/>
    </row>
    <row r="361" ht="15.75" customHeight="1">
      <c r="A361" s="7" t="s">
        <v>16</v>
      </c>
      <c r="B361" s="7">
        <v>358.0</v>
      </c>
      <c r="C361" s="1"/>
      <c r="D361" s="2"/>
      <c r="E361" s="2"/>
      <c r="F361" s="2"/>
      <c r="G361" s="2"/>
      <c r="H361" s="2"/>
      <c r="I361" s="2"/>
      <c r="J361" s="2"/>
      <c r="K361" s="3"/>
      <c r="P361" s="3"/>
      <c r="Q361" s="3"/>
      <c r="R361" s="3"/>
    </row>
    <row r="362" ht="15.75" customHeight="1">
      <c r="A362" s="7" t="s">
        <v>16</v>
      </c>
      <c r="B362" s="7">
        <v>359.0</v>
      </c>
      <c r="C362" s="1"/>
      <c r="D362" s="2"/>
      <c r="E362" s="2"/>
      <c r="F362" s="2"/>
      <c r="G362" s="2"/>
      <c r="H362" s="2"/>
      <c r="I362" s="2"/>
      <c r="J362" s="2"/>
      <c r="K362" s="3"/>
      <c r="P362" s="3"/>
      <c r="Q362" s="3"/>
      <c r="R362" s="3"/>
    </row>
    <row r="363" ht="15.75" customHeight="1">
      <c r="A363" s="7" t="s">
        <v>16</v>
      </c>
      <c r="B363" s="7">
        <v>360.0</v>
      </c>
      <c r="C363" s="1"/>
      <c r="D363" s="2"/>
      <c r="E363" s="2"/>
      <c r="F363" s="2"/>
      <c r="G363" s="2"/>
      <c r="H363" s="2"/>
      <c r="I363" s="2"/>
      <c r="J363" s="2"/>
      <c r="K363" s="3"/>
      <c r="P363" s="3"/>
      <c r="Q363" s="3"/>
      <c r="R363" s="3"/>
    </row>
    <row r="364" ht="15.75" customHeight="1">
      <c r="A364" s="7" t="s">
        <v>16</v>
      </c>
      <c r="B364" s="7">
        <v>361.0</v>
      </c>
      <c r="C364" s="1"/>
      <c r="D364" s="2"/>
      <c r="E364" s="2"/>
      <c r="F364" s="2"/>
      <c r="G364" s="2"/>
      <c r="H364" s="2"/>
      <c r="I364" s="2"/>
      <c r="J364" s="2"/>
      <c r="K364" s="3"/>
      <c r="P364" s="3"/>
      <c r="Q364" s="3"/>
      <c r="R364" s="3"/>
    </row>
    <row r="365" ht="15.75" customHeight="1">
      <c r="A365" s="7" t="s">
        <v>16</v>
      </c>
      <c r="B365" s="7">
        <v>362.0</v>
      </c>
      <c r="C365" s="1"/>
      <c r="D365" s="2"/>
      <c r="E365" s="2"/>
      <c r="F365" s="2"/>
      <c r="G365" s="2"/>
      <c r="H365" s="2"/>
      <c r="I365" s="2"/>
      <c r="J365" s="2"/>
      <c r="K365" s="3"/>
      <c r="P365" s="3"/>
      <c r="Q365" s="3"/>
      <c r="R365" s="3"/>
    </row>
    <row r="366" ht="15.75" customHeight="1">
      <c r="A366" s="7" t="s">
        <v>16</v>
      </c>
      <c r="B366" s="7">
        <v>363.0</v>
      </c>
      <c r="C366" s="1"/>
      <c r="D366" s="2"/>
      <c r="E366" s="2"/>
      <c r="F366" s="2"/>
      <c r="G366" s="2"/>
      <c r="H366" s="2"/>
      <c r="I366" s="2"/>
      <c r="J366" s="2"/>
      <c r="K366" s="3"/>
      <c r="P366" s="3"/>
      <c r="Q366" s="3"/>
      <c r="R366" s="3"/>
    </row>
    <row r="367" ht="15.75" customHeight="1">
      <c r="A367" s="7" t="s">
        <v>16</v>
      </c>
      <c r="B367" s="7">
        <v>364.0</v>
      </c>
      <c r="C367" s="1"/>
      <c r="D367" s="2"/>
      <c r="E367" s="2"/>
      <c r="F367" s="2"/>
      <c r="G367" s="2"/>
      <c r="H367" s="2"/>
      <c r="I367" s="2"/>
      <c r="J367" s="2"/>
      <c r="K367" s="3"/>
      <c r="P367" s="3"/>
      <c r="Q367" s="3"/>
      <c r="R367" s="3"/>
    </row>
    <row r="368" ht="15.75" customHeight="1">
      <c r="A368" s="7" t="s">
        <v>16</v>
      </c>
      <c r="B368" s="7">
        <v>365.0</v>
      </c>
      <c r="C368" s="1"/>
      <c r="D368" s="2"/>
      <c r="E368" s="2"/>
      <c r="F368" s="2"/>
      <c r="G368" s="2"/>
      <c r="H368" s="2"/>
      <c r="I368" s="2"/>
      <c r="J368" s="2"/>
      <c r="K368" s="3"/>
      <c r="P368" s="3"/>
      <c r="Q368" s="3"/>
      <c r="R368" s="3"/>
    </row>
    <row r="369" ht="15.75" customHeight="1">
      <c r="A369" s="7" t="s">
        <v>16</v>
      </c>
      <c r="B369" s="7">
        <v>366.0</v>
      </c>
      <c r="C369" s="1"/>
      <c r="D369" s="2"/>
      <c r="E369" s="2"/>
      <c r="F369" s="2"/>
      <c r="G369" s="2"/>
      <c r="H369" s="2"/>
      <c r="I369" s="2"/>
      <c r="J369" s="2"/>
      <c r="K369" s="3"/>
      <c r="P369" s="3"/>
      <c r="Q369" s="3"/>
      <c r="R369" s="3"/>
    </row>
    <row r="370" ht="15.75" customHeight="1">
      <c r="A370" s="7" t="s">
        <v>16</v>
      </c>
      <c r="B370" s="7">
        <v>367.0</v>
      </c>
      <c r="C370" s="1"/>
      <c r="D370" s="2"/>
      <c r="E370" s="2"/>
      <c r="F370" s="2"/>
      <c r="G370" s="2"/>
      <c r="H370" s="2"/>
      <c r="I370" s="2"/>
      <c r="J370" s="2"/>
      <c r="K370" s="3"/>
      <c r="P370" s="3"/>
      <c r="Q370" s="3"/>
      <c r="R370" s="3"/>
    </row>
    <row r="371" ht="15.75" customHeight="1">
      <c r="A371" s="7" t="s">
        <v>16</v>
      </c>
      <c r="B371" s="7">
        <v>368.0</v>
      </c>
      <c r="C371" s="1"/>
      <c r="D371" s="2"/>
      <c r="E371" s="2"/>
      <c r="F371" s="2"/>
      <c r="G371" s="2"/>
      <c r="H371" s="2"/>
      <c r="I371" s="2"/>
      <c r="J371" s="2"/>
      <c r="K371" s="3"/>
      <c r="P371" s="3"/>
      <c r="Q371" s="3"/>
      <c r="R371" s="3"/>
    </row>
    <row r="372" ht="15.75" customHeight="1">
      <c r="A372" s="7" t="s">
        <v>16</v>
      </c>
      <c r="B372" s="7">
        <v>369.0</v>
      </c>
      <c r="C372" s="1"/>
      <c r="D372" s="2"/>
      <c r="E372" s="2"/>
      <c r="F372" s="2"/>
      <c r="G372" s="2"/>
      <c r="H372" s="2"/>
      <c r="I372" s="2"/>
      <c r="J372" s="2"/>
      <c r="K372" s="3"/>
      <c r="P372" s="3"/>
      <c r="Q372" s="3"/>
      <c r="R372" s="3"/>
    </row>
    <row r="373" ht="15.75" customHeight="1">
      <c r="A373" s="7" t="s">
        <v>16</v>
      </c>
      <c r="B373" s="7">
        <v>370.0</v>
      </c>
      <c r="C373" s="1"/>
      <c r="D373" s="2"/>
      <c r="E373" s="2"/>
      <c r="F373" s="2"/>
      <c r="G373" s="2"/>
      <c r="H373" s="2"/>
      <c r="I373" s="2"/>
      <c r="J373" s="2"/>
      <c r="K373" s="3"/>
      <c r="P373" s="3"/>
      <c r="Q373" s="3"/>
      <c r="R373" s="3"/>
    </row>
    <row r="374" ht="15.75" customHeight="1">
      <c r="A374" s="7" t="s">
        <v>16</v>
      </c>
      <c r="B374" s="7">
        <v>371.0</v>
      </c>
      <c r="C374" s="1"/>
      <c r="D374" s="2"/>
      <c r="E374" s="2"/>
      <c r="F374" s="2"/>
      <c r="G374" s="2"/>
      <c r="H374" s="2"/>
      <c r="I374" s="2"/>
      <c r="J374" s="2"/>
      <c r="K374" s="3"/>
      <c r="P374" s="3"/>
      <c r="Q374" s="3"/>
      <c r="R374" s="3"/>
    </row>
    <row r="375" ht="15.75" customHeight="1">
      <c r="A375" s="7" t="s">
        <v>16</v>
      </c>
      <c r="B375" s="7">
        <v>372.0</v>
      </c>
      <c r="C375" s="1"/>
      <c r="D375" s="2"/>
      <c r="E375" s="2"/>
      <c r="F375" s="2"/>
      <c r="G375" s="2"/>
      <c r="H375" s="2"/>
      <c r="I375" s="2"/>
      <c r="J375" s="2"/>
      <c r="K375" s="3"/>
      <c r="P375" s="3"/>
      <c r="Q375" s="3"/>
      <c r="R375" s="3"/>
    </row>
    <row r="376" ht="15.75" customHeight="1">
      <c r="A376" s="7" t="s">
        <v>16</v>
      </c>
      <c r="B376" s="7">
        <v>373.0</v>
      </c>
      <c r="C376" s="1"/>
      <c r="D376" s="2"/>
      <c r="E376" s="2"/>
      <c r="F376" s="2"/>
      <c r="G376" s="2"/>
      <c r="H376" s="2"/>
      <c r="I376" s="2"/>
      <c r="J376" s="2"/>
      <c r="K376" s="3"/>
      <c r="P376" s="3"/>
      <c r="Q376" s="3"/>
      <c r="R376" s="3"/>
    </row>
    <row r="377" ht="15.75" customHeight="1">
      <c r="A377" s="7" t="s">
        <v>16</v>
      </c>
      <c r="B377" s="7">
        <v>374.0</v>
      </c>
      <c r="C377" s="1"/>
      <c r="D377" s="2"/>
      <c r="E377" s="2"/>
      <c r="F377" s="2"/>
      <c r="G377" s="2"/>
      <c r="H377" s="2"/>
      <c r="I377" s="2"/>
      <c r="J377" s="2"/>
      <c r="K377" s="3"/>
      <c r="P377" s="3"/>
      <c r="Q377" s="3"/>
      <c r="R377" s="3"/>
    </row>
    <row r="378" ht="15.75" customHeight="1">
      <c r="A378" s="7" t="s">
        <v>16</v>
      </c>
      <c r="B378" s="7">
        <v>375.0</v>
      </c>
      <c r="C378" s="1"/>
      <c r="D378" s="2"/>
      <c r="E378" s="2"/>
      <c r="F378" s="2"/>
      <c r="G378" s="2"/>
      <c r="H378" s="2"/>
      <c r="I378" s="2"/>
      <c r="J378" s="2"/>
      <c r="K378" s="3"/>
      <c r="P378" s="3"/>
      <c r="Q378" s="3"/>
      <c r="R378" s="3"/>
    </row>
    <row r="379" ht="15.75" customHeight="1">
      <c r="A379" s="7" t="s">
        <v>16</v>
      </c>
      <c r="B379" s="7">
        <v>376.0</v>
      </c>
      <c r="C379" s="1"/>
      <c r="D379" s="2"/>
      <c r="E379" s="2"/>
      <c r="F379" s="2"/>
      <c r="G379" s="2"/>
      <c r="H379" s="2"/>
      <c r="I379" s="2"/>
      <c r="J379" s="2"/>
      <c r="K379" s="3"/>
      <c r="P379" s="3"/>
      <c r="Q379" s="3"/>
      <c r="R379" s="3"/>
    </row>
    <row r="380" ht="15.75" customHeight="1">
      <c r="A380" s="7" t="s">
        <v>16</v>
      </c>
      <c r="B380" s="7">
        <v>377.0</v>
      </c>
      <c r="C380" s="1"/>
      <c r="D380" s="2"/>
      <c r="E380" s="2"/>
      <c r="F380" s="2"/>
      <c r="G380" s="2"/>
      <c r="H380" s="2"/>
      <c r="I380" s="2"/>
      <c r="J380" s="2"/>
      <c r="K380" s="3"/>
      <c r="P380" s="3"/>
      <c r="Q380" s="3"/>
      <c r="R380" s="3"/>
    </row>
    <row r="381" ht="15.75" customHeight="1">
      <c r="A381" s="7" t="s">
        <v>16</v>
      </c>
      <c r="B381" s="7">
        <v>378.0</v>
      </c>
      <c r="C381" s="1"/>
      <c r="D381" s="2"/>
      <c r="E381" s="2"/>
      <c r="F381" s="2"/>
      <c r="G381" s="2"/>
      <c r="H381" s="2"/>
      <c r="I381" s="2"/>
      <c r="J381" s="2"/>
      <c r="K381" s="3"/>
      <c r="P381" s="3"/>
      <c r="Q381" s="3"/>
      <c r="R381" s="3"/>
    </row>
    <row r="382" ht="15.75" customHeight="1">
      <c r="A382" s="7" t="s">
        <v>16</v>
      </c>
      <c r="B382" s="7">
        <v>379.0</v>
      </c>
      <c r="C382" s="1"/>
      <c r="D382" s="2"/>
      <c r="E382" s="2"/>
      <c r="F382" s="2"/>
      <c r="G382" s="2"/>
      <c r="H382" s="2"/>
      <c r="I382" s="2"/>
      <c r="J382" s="2"/>
      <c r="K382" s="3"/>
      <c r="P382" s="3"/>
      <c r="Q382" s="3"/>
      <c r="R382" s="3"/>
    </row>
    <row r="383" ht="15.75" customHeight="1">
      <c r="A383" s="7" t="s">
        <v>16</v>
      </c>
      <c r="B383" s="7">
        <v>380.0</v>
      </c>
      <c r="C383" s="1"/>
      <c r="D383" s="2"/>
      <c r="E383" s="2"/>
      <c r="F383" s="2"/>
      <c r="G383" s="2"/>
      <c r="H383" s="2"/>
      <c r="I383" s="2"/>
      <c r="J383" s="2"/>
      <c r="K383" s="3"/>
      <c r="P383" s="3"/>
      <c r="Q383" s="3"/>
      <c r="R383" s="3"/>
    </row>
    <row r="384" ht="15.75" customHeight="1">
      <c r="A384" s="7" t="s">
        <v>16</v>
      </c>
      <c r="B384" s="7">
        <v>381.0</v>
      </c>
      <c r="C384" s="1"/>
      <c r="D384" s="2"/>
      <c r="E384" s="2"/>
      <c r="F384" s="2"/>
      <c r="G384" s="2"/>
      <c r="H384" s="2"/>
      <c r="I384" s="2"/>
      <c r="J384" s="2"/>
      <c r="K384" s="3"/>
      <c r="P384" s="3"/>
      <c r="Q384" s="3"/>
      <c r="R384" s="3"/>
    </row>
    <row r="385" ht="15.75" customHeight="1">
      <c r="A385" s="7" t="s">
        <v>16</v>
      </c>
      <c r="B385" s="7">
        <v>382.0</v>
      </c>
      <c r="C385" s="1"/>
      <c r="D385" s="2"/>
      <c r="E385" s="2"/>
      <c r="F385" s="2"/>
      <c r="G385" s="2"/>
      <c r="H385" s="2"/>
      <c r="I385" s="2"/>
      <c r="J385" s="2"/>
      <c r="K385" s="3"/>
      <c r="P385" s="3"/>
      <c r="Q385" s="3"/>
      <c r="R385" s="3"/>
    </row>
    <row r="386" ht="15.75" customHeight="1">
      <c r="A386" s="7" t="s">
        <v>16</v>
      </c>
      <c r="B386" s="7">
        <v>383.0</v>
      </c>
      <c r="C386" s="1"/>
      <c r="D386" s="2"/>
      <c r="E386" s="2"/>
      <c r="F386" s="2"/>
      <c r="G386" s="2"/>
      <c r="H386" s="2"/>
      <c r="I386" s="2"/>
      <c r="J386" s="2"/>
      <c r="K386" s="3"/>
      <c r="P386" s="3"/>
      <c r="Q386" s="3"/>
      <c r="R386" s="3"/>
    </row>
    <row r="387" ht="15.75" customHeight="1">
      <c r="A387" s="7" t="s">
        <v>16</v>
      </c>
      <c r="B387" s="7">
        <v>384.0</v>
      </c>
      <c r="C387" s="1"/>
      <c r="D387" s="2"/>
      <c r="E387" s="2"/>
      <c r="F387" s="2"/>
      <c r="G387" s="2"/>
      <c r="H387" s="2"/>
      <c r="I387" s="2"/>
      <c r="J387" s="2"/>
      <c r="K387" s="3"/>
      <c r="P387" s="3"/>
      <c r="Q387" s="3"/>
      <c r="R387" s="3"/>
    </row>
    <row r="388" ht="15.75" customHeight="1">
      <c r="A388" s="7" t="s">
        <v>16</v>
      </c>
      <c r="B388" s="7">
        <v>385.0</v>
      </c>
      <c r="C388" s="1"/>
      <c r="D388" s="2"/>
      <c r="E388" s="2"/>
      <c r="F388" s="2"/>
      <c r="G388" s="2"/>
      <c r="H388" s="2"/>
      <c r="I388" s="2"/>
      <c r="J388" s="2"/>
      <c r="K388" s="3"/>
      <c r="P388" s="3"/>
      <c r="Q388" s="3"/>
      <c r="R388" s="3"/>
    </row>
    <row r="389" ht="15.75" customHeight="1">
      <c r="A389" s="7" t="s">
        <v>16</v>
      </c>
      <c r="B389" s="7">
        <v>386.0</v>
      </c>
      <c r="C389" s="1"/>
      <c r="D389" s="2"/>
      <c r="E389" s="2"/>
      <c r="F389" s="2"/>
      <c r="G389" s="2"/>
      <c r="H389" s="2"/>
      <c r="I389" s="2"/>
      <c r="J389" s="2"/>
      <c r="K389" s="3"/>
      <c r="P389" s="3"/>
      <c r="Q389" s="3"/>
      <c r="R389" s="3"/>
    </row>
    <row r="390" ht="15.75" customHeight="1">
      <c r="A390" s="7" t="s">
        <v>16</v>
      </c>
      <c r="B390" s="7">
        <v>387.0</v>
      </c>
      <c r="C390" s="1"/>
      <c r="D390" s="2"/>
      <c r="E390" s="2"/>
      <c r="F390" s="2"/>
      <c r="G390" s="2"/>
      <c r="H390" s="2"/>
      <c r="I390" s="2"/>
      <c r="J390" s="2"/>
      <c r="K390" s="3"/>
      <c r="P390" s="3"/>
      <c r="Q390" s="3"/>
      <c r="R390" s="3"/>
    </row>
    <row r="391" ht="15.75" customHeight="1">
      <c r="A391" s="7" t="s">
        <v>16</v>
      </c>
      <c r="B391" s="7">
        <v>388.0</v>
      </c>
      <c r="C391" s="1"/>
      <c r="D391" s="2"/>
      <c r="E391" s="2"/>
      <c r="F391" s="2"/>
      <c r="G391" s="2"/>
      <c r="H391" s="2"/>
      <c r="I391" s="2"/>
      <c r="J391" s="2"/>
      <c r="K391" s="3"/>
      <c r="P391" s="3"/>
      <c r="Q391" s="3"/>
      <c r="R391" s="3"/>
    </row>
    <row r="392" ht="15.75" customHeight="1">
      <c r="A392" s="7" t="s">
        <v>16</v>
      </c>
      <c r="B392" s="7">
        <v>389.0</v>
      </c>
      <c r="C392" s="1"/>
      <c r="D392" s="2"/>
      <c r="E392" s="2"/>
      <c r="F392" s="2"/>
      <c r="G392" s="2"/>
      <c r="H392" s="2"/>
      <c r="I392" s="2"/>
      <c r="J392" s="2"/>
      <c r="K392" s="3"/>
      <c r="P392" s="3"/>
      <c r="Q392" s="3"/>
      <c r="R392" s="3"/>
    </row>
    <row r="393" ht="15.75" customHeight="1">
      <c r="A393" s="7" t="s">
        <v>16</v>
      </c>
      <c r="B393" s="7">
        <v>390.0</v>
      </c>
      <c r="C393" s="1"/>
      <c r="D393" s="2"/>
      <c r="E393" s="2"/>
      <c r="F393" s="2"/>
      <c r="G393" s="2"/>
      <c r="H393" s="2"/>
      <c r="I393" s="2"/>
      <c r="J393" s="2"/>
      <c r="K393" s="3"/>
      <c r="P393" s="3"/>
      <c r="Q393" s="3"/>
      <c r="R393" s="3"/>
    </row>
    <row r="394" ht="15.75" customHeight="1">
      <c r="A394" s="7" t="s">
        <v>16</v>
      </c>
      <c r="B394" s="7">
        <v>391.0</v>
      </c>
      <c r="C394" s="1"/>
      <c r="D394" s="2"/>
      <c r="E394" s="2"/>
      <c r="F394" s="2"/>
      <c r="G394" s="2"/>
      <c r="H394" s="2"/>
      <c r="I394" s="2"/>
      <c r="J394" s="2"/>
      <c r="K394" s="3"/>
      <c r="P394" s="3"/>
      <c r="Q394" s="3"/>
      <c r="R394" s="3"/>
    </row>
    <row r="395" ht="15.75" customHeight="1">
      <c r="A395" s="7" t="s">
        <v>16</v>
      </c>
      <c r="B395" s="7">
        <v>392.0</v>
      </c>
      <c r="C395" s="1"/>
      <c r="D395" s="2"/>
      <c r="E395" s="2"/>
      <c r="F395" s="2"/>
      <c r="G395" s="2"/>
      <c r="H395" s="2"/>
      <c r="I395" s="2"/>
      <c r="J395" s="2"/>
      <c r="K395" s="3"/>
      <c r="P395" s="3"/>
      <c r="Q395" s="3"/>
      <c r="R395" s="3"/>
    </row>
    <row r="396" ht="15.75" customHeight="1">
      <c r="A396" s="7" t="s">
        <v>16</v>
      </c>
      <c r="B396" s="7">
        <v>393.0</v>
      </c>
      <c r="C396" s="1"/>
      <c r="D396" s="2"/>
      <c r="E396" s="2"/>
      <c r="F396" s="2"/>
      <c r="G396" s="2"/>
      <c r="H396" s="2"/>
      <c r="I396" s="2"/>
      <c r="J396" s="2"/>
      <c r="K396" s="3"/>
      <c r="P396" s="3"/>
      <c r="Q396" s="3"/>
      <c r="R396" s="3"/>
    </row>
    <row r="397" ht="15.75" customHeight="1">
      <c r="A397" s="7" t="s">
        <v>16</v>
      </c>
      <c r="B397" s="7">
        <v>394.0</v>
      </c>
      <c r="C397" s="1"/>
      <c r="D397" s="2"/>
      <c r="E397" s="2"/>
      <c r="F397" s="2"/>
      <c r="G397" s="2"/>
      <c r="H397" s="2"/>
      <c r="I397" s="2"/>
      <c r="J397" s="2"/>
      <c r="K397" s="3"/>
      <c r="P397" s="3"/>
      <c r="Q397" s="3"/>
      <c r="R397" s="3"/>
    </row>
    <row r="398" ht="15.75" customHeight="1">
      <c r="A398" s="7" t="s">
        <v>16</v>
      </c>
      <c r="B398" s="7">
        <v>395.0</v>
      </c>
      <c r="C398" s="1"/>
      <c r="D398" s="2"/>
      <c r="E398" s="2"/>
      <c r="F398" s="2"/>
      <c r="G398" s="2"/>
      <c r="H398" s="2"/>
      <c r="I398" s="2"/>
      <c r="J398" s="2"/>
      <c r="K398" s="3"/>
      <c r="P398" s="3"/>
      <c r="Q398" s="3"/>
      <c r="R398" s="3"/>
    </row>
    <row r="399" ht="15.75" customHeight="1">
      <c r="A399" s="7" t="s">
        <v>16</v>
      </c>
      <c r="B399" s="7">
        <v>396.0</v>
      </c>
      <c r="C399" s="1"/>
      <c r="D399" s="2"/>
      <c r="E399" s="2"/>
      <c r="F399" s="2"/>
      <c r="G399" s="2"/>
      <c r="H399" s="2"/>
      <c r="I399" s="2"/>
      <c r="J399" s="2"/>
      <c r="K399" s="3"/>
      <c r="P399" s="3"/>
      <c r="Q399" s="3"/>
      <c r="R399" s="3"/>
    </row>
    <row r="400" ht="15.75" customHeight="1">
      <c r="A400" s="7" t="s">
        <v>16</v>
      </c>
      <c r="B400" s="7">
        <v>397.0</v>
      </c>
      <c r="C400" s="1"/>
      <c r="D400" s="2"/>
      <c r="E400" s="2"/>
      <c r="F400" s="2"/>
      <c r="G400" s="2"/>
      <c r="H400" s="2"/>
      <c r="I400" s="2"/>
      <c r="J400" s="2"/>
      <c r="K400" s="3"/>
      <c r="P400" s="3"/>
      <c r="Q400" s="3"/>
      <c r="R400" s="3"/>
    </row>
    <row r="401" ht="15.75" customHeight="1">
      <c r="A401" s="7" t="s">
        <v>16</v>
      </c>
      <c r="B401" s="7">
        <v>398.0</v>
      </c>
      <c r="C401" s="1"/>
      <c r="D401" s="2"/>
      <c r="E401" s="2"/>
      <c r="F401" s="2"/>
      <c r="G401" s="2"/>
      <c r="H401" s="2"/>
      <c r="I401" s="2"/>
      <c r="J401" s="2"/>
      <c r="K401" s="3"/>
      <c r="P401" s="3"/>
      <c r="Q401" s="3"/>
      <c r="R401" s="3"/>
    </row>
    <row r="402" ht="15.75" customHeight="1">
      <c r="A402" s="7" t="s">
        <v>16</v>
      </c>
      <c r="B402" s="7">
        <v>399.0</v>
      </c>
      <c r="C402" s="1"/>
      <c r="D402" s="2"/>
      <c r="E402" s="2"/>
      <c r="F402" s="2"/>
      <c r="G402" s="2"/>
      <c r="H402" s="2"/>
      <c r="I402" s="2"/>
      <c r="J402" s="2"/>
      <c r="K402" s="3"/>
      <c r="P402" s="3"/>
      <c r="Q402" s="3"/>
      <c r="R402" s="3"/>
    </row>
    <row r="403" ht="15.75" customHeight="1">
      <c r="A403" s="7" t="s">
        <v>16</v>
      </c>
      <c r="B403" s="7">
        <v>400.0</v>
      </c>
      <c r="C403" s="1"/>
      <c r="D403" s="2"/>
      <c r="E403" s="2"/>
      <c r="F403" s="2"/>
      <c r="G403" s="2"/>
      <c r="H403" s="2"/>
      <c r="I403" s="2"/>
      <c r="J403" s="2"/>
      <c r="K403" s="3"/>
      <c r="P403" s="3"/>
      <c r="Q403" s="3"/>
      <c r="R403" s="3"/>
    </row>
    <row r="404" ht="15.75" customHeight="1">
      <c r="A404" s="7" t="s">
        <v>16</v>
      </c>
      <c r="B404" s="7">
        <v>401.0</v>
      </c>
      <c r="C404" s="1"/>
      <c r="D404" s="2"/>
      <c r="E404" s="2"/>
      <c r="F404" s="2"/>
      <c r="G404" s="2"/>
      <c r="H404" s="2"/>
      <c r="I404" s="2"/>
      <c r="J404" s="2"/>
      <c r="K404" s="3"/>
      <c r="P404" s="3"/>
      <c r="Q404" s="3"/>
      <c r="R404" s="3"/>
    </row>
    <row r="405" ht="15.75" customHeight="1">
      <c r="A405" s="7" t="s">
        <v>16</v>
      </c>
      <c r="B405" s="7">
        <v>402.0</v>
      </c>
      <c r="C405" s="1"/>
      <c r="D405" s="2"/>
      <c r="E405" s="2"/>
      <c r="F405" s="2"/>
      <c r="G405" s="2"/>
      <c r="H405" s="2"/>
      <c r="I405" s="2"/>
      <c r="J405" s="2"/>
      <c r="K405" s="3"/>
      <c r="P405" s="3"/>
      <c r="Q405" s="3"/>
      <c r="R405" s="3"/>
    </row>
    <row r="406" ht="15.75" customHeight="1">
      <c r="A406" s="7" t="s">
        <v>16</v>
      </c>
      <c r="B406" s="7">
        <v>403.0</v>
      </c>
      <c r="C406" s="1"/>
      <c r="D406" s="2"/>
      <c r="E406" s="2"/>
      <c r="F406" s="2"/>
      <c r="G406" s="2"/>
      <c r="H406" s="2"/>
      <c r="I406" s="2"/>
      <c r="J406" s="2"/>
      <c r="K406" s="3"/>
      <c r="P406" s="3"/>
      <c r="Q406" s="3"/>
      <c r="R406" s="3"/>
    </row>
    <row r="407" ht="15.75" customHeight="1">
      <c r="A407" s="7" t="s">
        <v>16</v>
      </c>
      <c r="B407" s="7">
        <v>404.0</v>
      </c>
      <c r="C407" s="1"/>
      <c r="D407" s="2"/>
      <c r="E407" s="2"/>
      <c r="F407" s="2"/>
      <c r="G407" s="2"/>
      <c r="H407" s="2"/>
      <c r="I407" s="2"/>
      <c r="J407" s="2"/>
      <c r="K407" s="3"/>
      <c r="P407" s="3"/>
      <c r="Q407" s="3"/>
      <c r="R407" s="3"/>
    </row>
    <row r="408" ht="15.75" customHeight="1">
      <c r="A408" s="7" t="s">
        <v>16</v>
      </c>
      <c r="B408" s="7">
        <v>405.0</v>
      </c>
      <c r="C408" s="1"/>
      <c r="D408" s="2"/>
      <c r="E408" s="2"/>
      <c r="F408" s="2"/>
      <c r="G408" s="2"/>
      <c r="H408" s="2"/>
      <c r="I408" s="2"/>
      <c r="J408" s="2"/>
      <c r="K408" s="3"/>
      <c r="P408" s="3"/>
      <c r="Q408" s="3"/>
      <c r="R408" s="3"/>
    </row>
    <row r="409" ht="15.75" customHeight="1">
      <c r="A409" s="7" t="s">
        <v>16</v>
      </c>
      <c r="B409" s="7">
        <v>406.0</v>
      </c>
      <c r="C409" s="1"/>
      <c r="D409" s="2"/>
      <c r="E409" s="2"/>
      <c r="F409" s="2"/>
      <c r="G409" s="2"/>
      <c r="H409" s="2"/>
      <c r="I409" s="2"/>
      <c r="J409" s="2"/>
      <c r="K409" s="3"/>
      <c r="P409" s="3"/>
      <c r="Q409" s="3"/>
      <c r="R409" s="3"/>
    </row>
    <row r="410" ht="15.75" customHeight="1">
      <c r="A410" s="7" t="s">
        <v>16</v>
      </c>
      <c r="B410" s="7">
        <v>407.0</v>
      </c>
      <c r="C410" s="1"/>
      <c r="D410" s="2"/>
      <c r="E410" s="2"/>
      <c r="F410" s="2"/>
      <c r="G410" s="2"/>
      <c r="H410" s="2"/>
      <c r="I410" s="2"/>
      <c r="J410" s="2"/>
      <c r="K410" s="3"/>
      <c r="P410" s="3"/>
      <c r="Q410" s="3"/>
      <c r="R410" s="3"/>
    </row>
    <row r="411" ht="15.75" customHeight="1">
      <c r="A411" s="7" t="s">
        <v>16</v>
      </c>
      <c r="B411" s="7">
        <v>408.0</v>
      </c>
      <c r="C411" s="1"/>
      <c r="D411" s="2"/>
      <c r="E411" s="2"/>
      <c r="F411" s="2"/>
      <c r="G411" s="2"/>
      <c r="H411" s="2"/>
      <c r="I411" s="2"/>
      <c r="J411" s="2"/>
      <c r="K411" s="3"/>
      <c r="P411" s="3"/>
      <c r="Q411" s="3"/>
      <c r="R411" s="3"/>
    </row>
    <row r="412" ht="15.75" customHeight="1">
      <c r="A412" s="7" t="s">
        <v>16</v>
      </c>
      <c r="B412" s="7">
        <v>409.0</v>
      </c>
      <c r="C412" s="1"/>
      <c r="D412" s="2"/>
      <c r="E412" s="2"/>
      <c r="F412" s="2"/>
      <c r="G412" s="2"/>
      <c r="H412" s="2"/>
      <c r="I412" s="2"/>
      <c r="J412" s="2"/>
      <c r="K412" s="3"/>
      <c r="P412" s="3"/>
      <c r="Q412" s="3"/>
      <c r="R412" s="3"/>
    </row>
    <row r="413" ht="15.75" customHeight="1">
      <c r="A413" s="7" t="s">
        <v>16</v>
      </c>
      <c r="B413" s="7">
        <v>410.0</v>
      </c>
      <c r="C413" s="1"/>
      <c r="D413" s="2"/>
      <c r="E413" s="2"/>
      <c r="F413" s="2"/>
      <c r="G413" s="2"/>
      <c r="H413" s="2"/>
      <c r="I413" s="2"/>
      <c r="J413" s="2"/>
      <c r="K413" s="3"/>
      <c r="P413" s="3"/>
      <c r="Q413" s="3"/>
      <c r="R413" s="3"/>
    </row>
    <row r="414" ht="15.75" customHeight="1">
      <c r="A414" s="7" t="s">
        <v>16</v>
      </c>
      <c r="B414" s="7">
        <v>411.0</v>
      </c>
      <c r="C414" s="1"/>
      <c r="D414" s="2"/>
      <c r="E414" s="2"/>
      <c r="F414" s="2"/>
      <c r="G414" s="2"/>
      <c r="H414" s="2"/>
      <c r="I414" s="2"/>
      <c r="J414" s="2"/>
      <c r="K414" s="3"/>
      <c r="P414" s="3"/>
      <c r="Q414" s="3"/>
      <c r="R414" s="3"/>
    </row>
    <row r="415" ht="15.75" customHeight="1">
      <c r="A415" s="7" t="s">
        <v>16</v>
      </c>
      <c r="B415" s="7">
        <v>412.0</v>
      </c>
      <c r="C415" s="1"/>
      <c r="D415" s="2"/>
      <c r="E415" s="2"/>
      <c r="F415" s="2"/>
      <c r="G415" s="2"/>
      <c r="H415" s="2"/>
      <c r="I415" s="2"/>
      <c r="J415" s="2"/>
      <c r="K415" s="3"/>
      <c r="P415" s="3"/>
      <c r="Q415" s="3"/>
      <c r="R415" s="3"/>
    </row>
    <row r="416" ht="15.75" customHeight="1">
      <c r="A416" s="7" t="s">
        <v>16</v>
      </c>
      <c r="B416" s="7">
        <v>413.0</v>
      </c>
      <c r="C416" s="1"/>
      <c r="D416" s="2"/>
      <c r="E416" s="2"/>
      <c r="F416" s="2"/>
      <c r="G416" s="2"/>
      <c r="H416" s="2"/>
      <c r="I416" s="2"/>
      <c r="J416" s="2"/>
      <c r="K416" s="3"/>
      <c r="P416" s="3"/>
      <c r="Q416" s="3"/>
      <c r="R416" s="3"/>
    </row>
    <row r="417" ht="15.75" customHeight="1">
      <c r="A417" s="7" t="s">
        <v>16</v>
      </c>
      <c r="B417" s="7">
        <v>414.0</v>
      </c>
      <c r="C417" s="1"/>
      <c r="D417" s="2"/>
      <c r="E417" s="2"/>
      <c r="F417" s="2"/>
      <c r="G417" s="2"/>
      <c r="H417" s="2"/>
      <c r="I417" s="2"/>
      <c r="J417" s="2"/>
      <c r="K417" s="3"/>
      <c r="P417" s="3"/>
      <c r="Q417" s="3"/>
      <c r="R417" s="3"/>
    </row>
    <row r="418" ht="15.75" customHeight="1">
      <c r="A418" s="7" t="s">
        <v>16</v>
      </c>
      <c r="B418" s="7">
        <v>415.0</v>
      </c>
      <c r="C418" s="1"/>
      <c r="D418" s="2"/>
      <c r="E418" s="2"/>
      <c r="F418" s="2"/>
      <c r="G418" s="2"/>
      <c r="H418" s="2"/>
      <c r="I418" s="2"/>
      <c r="J418" s="2"/>
      <c r="K418" s="3"/>
      <c r="P418" s="3"/>
      <c r="Q418" s="3"/>
      <c r="R418" s="3"/>
    </row>
    <row r="419" ht="15.75" customHeight="1">
      <c r="A419" s="7" t="s">
        <v>16</v>
      </c>
      <c r="B419" s="7">
        <v>416.0</v>
      </c>
      <c r="C419" s="1"/>
      <c r="D419" s="2"/>
      <c r="E419" s="2"/>
      <c r="F419" s="2"/>
      <c r="G419" s="2"/>
      <c r="H419" s="2"/>
      <c r="I419" s="2"/>
      <c r="J419" s="2"/>
      <c r="K419" s="3"/>
      <c r="P419" s="3"/>
      <c r="Q419" s="3"/>
      <c r="R419" s="3"/>
    </row>
    <row r="420" ht="15.75" customHeight="1">
      <c r="A420" s="7" t="s">
        <v>16</v>
      </c>
      <c r="B420" s="7">
        <v>417.0</v>
      </c>
      <c r="C420" s="1"/>
      <c r="D420" s="2"/>
      <c r="E420" s="2"/>
      <c r="F420" s="2"/>
      <c r="G420" s="2"/>
      <c r="H420" s="2"/>
      <c r="I420" s="2"/>
      <c r="J420" s="2"/>
      <c r="K420" s="3"/>
      <c r="P420" s="3"/>
      <c r="Q420" s="3"/>
      <c r="R420" s="3"/>
    </row>
    <row r="421" ht="15.75" customHeight="1">
      <c r="A421" s="7" t="s">
        <v>16</v>
      </c>
      <c r="B421" s="7">
        <v>418.0</v>
      </c>
      <c r="C421" s="1"/>
      <c r="D421" s="2"/>
      <c r="E421" s="2"/>
      <c r="F421" s="2"/>
      <c r="G421" s="2"/>
      <c r="H421" s="2"/>
      <c r="I421" s="2"/>
      <c r="J421" s="2"/>
      <c r="K421" s="3"/>
      <c r="P421" s="3"/>
      <c r="Q421" s="3"/>
      <c r="R421" s="3"/>
    </row>
    <row r="422" ht="15.75" customHeight="1">
      <c r="A422" s="7" t="s">
        <v>16</v>
      </c>
      <c r="B422" s="7">
        <v>419.0</v>
      </c>
      <c r="C422" s="1"/>
      <c r="D422" s="2"/>
      <c r="E422" s="2"/>
      <c r="F422" s="2"/>
      <c r="G422" s="2"/>
      <c r="H422" s="2"/>
      <c r="I422" s="2"/>
      <c r="J422" s="2"/>
      <c r="K422" s="3"/>
      <c r="P422" s="3"/>
      <c r="Q422" s="3"/>
      <c r="R422" s="3"/>
    </row>
    <row r="423" ht="15.75" customHeight="1">
      <c r="A423" s="7" t="s">
        <v>16</v>
      </c>
      <c r="B423" s="7">
        <v>420.0</v>
      </c>
      <c r="C423" s="1"/>
      <c r="D423" s="2"/>
      <c r="E423" s="2"/>
      <c r="F423" s="2"/>
      <c r="G423" s="2"/>
      <c r="H423" s="2"/>
      <c r="I423" s="2"/>
      <c r="J423" s="2"/>
      <c r="K423" s="3"/>
      <c r="P423" s="3"/>
      <c r="Q423" s="3"/>
      <c r="R423" s="3"/>
    </row>
    <row r="424" ht="15.75" customHeight="1">
      <c r="A424" s="7" t="s">
        <v>16</v>
      </c>
      <c r="B424" s="7">
        <v>421.0</v>
      </c>
      <c r="C424" s="1"/>
      <c r="D424" s="2"/>
      <c r="E424" s="2"/>
      <c r="F424" s="2"/>
      <c r="G424" s="2"/>
      <c r="H424" s="2"/>
      <c r="I424" s="2"/>
      <c r="J424" s="2"/>
      <c r="K424" s="3"/>
      <c r="P424" s="3"/>
      <c r="Q424" s="3"/>
      <c r="R424" s="3"/>
    </row>
    <row r="425" ht="15.75" customHeight="1">
      <c r="A425" s="7" t="s">
        <v>16</v>
      </c>
      <c r="B425" s="7">
        <v>422.0</v>
      </c>
      <c r="C425" s="1"/>
      <c r="D425" s="2"/>
      <c r="E425" s="2"/>
      <c r="F425" s="2"/>
      <c r="G425" s="2"/>
      <c r="H425" s="2"/>
      <c r="I425" s="2"/>
      <c r="J425" s="2"/>
      <c r="K425" s="3"/>
      <c r="P425" s="3"/>
      <c r="Q425" s="3"/>
      <c r="R425" s="3"/>
    </row>
    <row r="426" ht="15.75" customHeight="1">
      <c r="A426" s="7" t="s">
        <v>16</v>
      </c>
      <c r="B426" s="7">
        <v>423.0</v>
      </c>
      <c r="C426" s="1"/>
      <c r="D426" s="2"/>
      <c r="E426" s="2"/>
      <c r="F426" s="2"/>
      <c r="G426" s="2"/>
      <c r="H426" s="2"/>
      <c r="I426" s="2"/>
      <c r="J426" s="2"/>
      <c r="K426" s="3"/>
      <c r="P426" s="3"/>
      <c r="Q426" s="3"/>
      <c r="R426" s="3"/>
    </row>
    <row r="427" ht="15.75" customHeight="1">
      <c r="A427" s="7" t="s">
        <v>16</v>
      </c>
      <c r="B427" s="7">
        <v>424.0</v>
      </c>
      <c r="C427" s="1"/>
      <c r="D427" s="2"/>
      <c r="E427" s="2"/>
      <c r="F427" s="2"/>
      <c r="G427" s="2"/>
      <c r="H427" s="2"/>
      <c r="I427" s="2"/>
      <c r="J427" s="2"/>
      <c r="K427" s="3"/>
      <c r="P427" s="3"/>
      <c r="Q427" s="3"/>
      <c r="R427" s="3"/>
    </row>
    <row r="428" ht="15.75" customHeight="1">
      <c r="A428" s="7" t="s">
        <v>16</v>
      </c>
      <c r="B428" s="7">
        <v>425.0</v>
      </c>
      <c r="C428" s="1"/>
      <c r="D428" s="2"/>
      <c r="E428" s="2"/>
      <c r="F428" s="2"/>
      <c r="G428" s="2"/>
      <c r="H428" s="2"/>
      <c r="I428" s="2"/>
      <c r="J428" s="2"/>
      <c r="K428" s="3"/>
      <c r="P428" s="3"/>
      <c r="Q428" s="3"/>
      <c r="R428" s="3"/>
    </row>
    <row r="429" ht="15.75" customHeight="1">
      <c r="A429" s="7" t="s">
        <v>16</v>
      </c>
      <c r="B429" s="7">
        <v>426.0</v>
      </c>
      <c r="C429" s="1"/>
      <c r="D429" s="2"/>
      <c r="E429" s="2"/>
      <c r="F429" s="2"/>
      <c r="G429" s="2"/>
      <c r="H429" s="2"/>
      <c r="I429" s="2"/>
      <c r="J429" s="2"/>
      <c r="K429" s="3"/>
      <c r="P429" s="3"/>
      <c r="Q429" s="3"/>
      <c r="R429" s="3"/>
    </row>
    <row r="430" ht="15.75" customHeight="1">
      <c r="A430" s="7" t="s">
        <v>16</v>
      </c>
      <c r="B430" s="7">
        <v>427.0</v>
      </c>
      <c r="C430" s="1"/>
      <c r="D430" s="2"/>
      <c r="E430" s="2"/>
      <c r="F430" s="2"/>
      <c r="G430" s="2"/>
      <c r="H430" s="2"/>
      <c r="I430" s="2"/>
      <c r="J430" s="2"/>
      <c r="K430" s="3"/>
      <c r="P430" s="3"/>
      <c r="Q430" s="3"/>
      <c r="R430" s="3"/>
    </row>
    <row r="431" ht="15.75" customHeight="1">
      <c r="A431" s="7" t="s">
        <v>16</v>
      </c>
      <c r="B431" s="7">
        <v>428.0</v>
      </c>
      <c r="C431" s="1"/>
      <c r="D431" s="2"/>
      <c r="E431" s="2"/>
      <c r="F431" s="2"/>
      <c r="G431" s="2"/>
      <c r="H431" s="2"/>
      <c r="I431" s="2"/>
      <c r="J431" s="2"/>
      <c r="K431" s="3"/>
      <c r="P431" s="3"/>
      <c r="Q431" s="3"/>
      <c r="R431" s="3"/>
    </row>
    <row r="432" ht="15.75" customHeight="1">
      <c r="A432" s="7" t="s">
        <v>16</v>
      </c>
      <c r="B432" s="7">
        <v>429.0</v>
      </c>
      <c r="C432" s="1"/>
      <c r="D432" s="2"/>
      <c r="E432" s="2"/>
      <c r="F432" s="2"/>
      <c r="G432" s="2"/>
      <c r="H432" s="2"/>
      <c r="I432" s="2"/>
      <c r="J432" s="2"/>
      <c r="K432" s="3"/>
      <c r="P432" s="3"/>
      <c r="Q432" s="3"/>
      <c r="R432" s="3"/>
    </row>
    <row r="433" ht="15.75" customHeight="1">
      <c r="A433" s="7" t="s">
        <v>16</v>
      </c>
      <c r="B433" s="7">
        <v>430.0</v>
      </c>
      <c r="C433" s="1"/>
      <c r="D433" s="2"/>
      <c r="E433" s="2"/>
      <c r="F433" s="2"/>
      <c r="G433" s="2"/>
      <c r="H433" s="2"/>
      <c r="I433" s="2"/>
      <c r="J433" s="2"/>
      <c r="K433" s="3"/>
      <c r="P433" s="3"/>
      <c r="Q433" s="3"/>
      <c r="R433" s="3"/>
    </row>
    <row r="434" ht="15.75" customHeight="1">
      <c r="A434" s="7" t="s">
        <v>16</v>
      </c>
      <c r="B434" s="7">
        <v>431.0</v>
      </c>
      <c r="C434" s="1"/>
      <c r="D434" s="2"/>
      <c r="E434" s="2"/>
      <c r="F434" s="2"/>
      <c r="G434" s="2"/>
      <c r="H434" s="2"/>
      <c r="I434" s="2"/>
      <c r="J434" s="2"/>
      <c r="K434" s="3"/>
      <c r="P434" s="3"/>
      <c r="Q434" s="3"/>
      <c r="R434" s="3"/>
    </row>
    <row r="435" ht="15.75" customHeight="1">
      <c r="A435" s="7" t="s">
        <v>16</v>
      </c>
      <c r="B435" s="7">
        <v>432.0</v>
      </c>
      <c r="C435" s="1"/>
      <c r="D435" s="2"/>
      <c r="E435" s="2"/>
      <c r="F435" s="2"/>
      <c r="G435" s="2"/>
      <c r="H435" s="2"/>
      <c r="I435" s="2"/>
      <c r="J435" s="2"/>
      <c r="K435" s="3"/>
      <c r="P435" s="3"/>
      <c r="Q435" s="3"/>
      <c r="R435" s="3"/>
    </row>
    <row r="436" ht="15.75" customHeight="1">
      <c r="A436" s="7" t="s">
        <v>16</v>
      </c>
      <c r="B436" s="7">
        <v>433.0</v>
      </c>
      <c r="C436" s="1"/>
      <c r="D436" s="2"/>
      <c r="E436" s="2"/>
      <c r="F436" s="2"/>
      <c r="G436" s="2"/>
      <c r="H436" s="2"/>
      <c r="I436" s="2"/>
      <c r="J436" s="2"/>
      <c r="K436" s="3"/>
      <c r="P436" s="3"/>
      <c r="Q436" s="3"/>
      <c r="R436" s="3"/>
    </row>
    <row r="437" ht="15.75" customHeight="1">
      <c r="A437" s="7" t="s">
        <v>16</v>
      </c>
      <c r="B437" s="7">
        <v>434.0</v>
      </c>
      <c r="C437" s="1"/>
      <c r="D437" s="2"/>
      <c r="E437" s="2"/>
      <c r="F437" s="2"/>
      <c r="G437" s="2"/>
      <c r="H437" s="2"/>
      <c r="I437" s="2"/>
      <c r="J437" s="2"/>
      <c r="K437" s="3"/>
      <c r="P437" s="3"/>
      <c r="Q437" s="3"/>
      <c r="R437" s="3"/>
    </row>
    <row r="438" ht="15.75" customHeight="1">
      <c r="A438" s="7" t="s">
        <v>16</v>
      </c>
      <c r="B438" s="7">
        <v>435.0</v>
      </c>
      <c r="C438" s="1"/>
      <c r="D438" s="2"/>
      <c r="E438" s="2"/>
      <c r="F438" s="2"/>
      <c r="G438" s="2"/>
      <c r="H438" s="2"/>
      <c r="I438" s="2"/>
      <c r="J438" s="2"/>
      <c r="K438" s="3"/>
      <c r="P438" s="3"/>
      <c r="Q438" s="3"/>
      <c r="R438" s="3"/>
    </row>
    <row r="439" ht="15.75" customHeight="1">
      <c r="A439" s="7" t="s">
        <v>16</v>
      </c>
      <c r="B439" s="7">
        <v>436.0</v>
      </c>
      <c r="C439" s="1"/>
      <c r="D439" s="2"/>
      <c r="E439" s="2"/>
      <c r="F439" s="2"/>
      <c r="G439" s="2"/>
      <c r="H439" s="2"/>
      <c r="I439" s="2"/>
      <c r="J439" s="2"/>
      <c r="K439" s="3"/>
      <c r="P439" s="3"/>
      <c r="Q439" s="3"/>
      <c r="R439" s="3"/>
    </row>
    <row r="440" ht="15.75" customHeight="1">
      <c r="A440" s="7" t="s">
        <v>16</v>
      </c>
      <c r="B440" s="7">
        <v>437.0</v>
      </c>
      <c r="C440" s="1"/>
      <c r="D440" s="2"/>
      <c r="E440" s="2"/>
      <c r="F440" s="2"/>
      <c r="G440" s="2"/>
      <c r="H440" s="2"/>
      <c r="I440" s="2"/>
      <c r="J440" s="2"/>
      <c r="K440" s="3"/>
      <c r="P440" s="3"/>
      <c r="Q440" s="3"/>
      <c r="R440" s="3"/>
    </row>
    <row r="441" ht="15.75" customHeight="1">
      <c r="A441" s="7" t="s">
        <v>16</v>
      </c>
      <c r="B441" s="7">
        <v>438.0</v>
      </c>
      <c r="C441" s="1"/>
      <c r="D441" s="2"/>
      <c r="E441" s="2"/>
      <c r="F441" s="2"/>
      <c r="G441" s="2"/>
      <c r="H441" s="2"/>
      <c r="I441" s="2"/>
      <c r="J441" s="2"/>
      <c r="K441" s="3"/>
      <c r="P441" s="3"/>
      <c r="Q441" s="3"/>
      <c r="R441" s="3"/>
    </row>
    <row r="442" ht="15.75" customHeight="1">
      <c r="A442" s="7" t="s">
        <v>16</v>
      </c>
      <c r="B442" s="7">
        <v>439.0</v>
      </c>
      <c r="C442" s="1"/>
      <c r="D442" s="2"/>
      <c r="E442" s="2"/>
      <c r="F442" s="2"/>
      <c r="G442" s="2"/>
      <c r="H442" s="2"/>
      <c r="I442" s="2"/>
      <c r="J442" s="2"/>
      <c r="K442" s="3"/>
      <c r="P442" s="3"/>
      <c r="Q442" s="3"/>
      <c r="R442" s="3"/>
    </row>
    <row r="443" ht="15.75" customHeight="1">
      <c r="A443" s="7" t="s">
        <v>16</v>
      </c>
      <c r="B443" s="7">
        <v>440.0</v>
      </c>
      <c r="C443" s="1"/>
      <c r="D443" s="2"/>
      <c r="E443" s="2"/>
      <c r="F443" s="2"/>
      <c r="G443" s="2"/>
      <c r="H443" s="2"/>
      <c r="I443" s="2"/>
      <c r="J443" s="2"/>
      <c r="K443" s="3"/>
      <c r="P443" s="3"/>
      <c r="Q443" s="3"/>
      <c r="R443" s="3"/>
    </row>
    <row r="444" ht="15.75" customHeight="1">
      <c r="A444" s="7" t="s">
        <v>16</v>
      </c>
      <c r="B444" s="7">
        <v>441.0</v>
      </c>
      <c r="C444" s="1"/>
      <c r="D444" s="2"/>
      <c r="E444" s="2"/>
      <c r="F444" s="2"/>
      <c r="G444" s="2"/>
      <c r="H444" s="2"/>
      <c r="I444" s="2"/>
      <c r="J444" s="2"/>
      <c r="K444" s="3"/>
      <c r="P444" s="3"/>
      <c r="Q444" s="3"/>
      <c r="R444" s="3"/>
    </row>
    <row r="445" ht="15.75" customHeight="1">
      <c r="A445" s="7" t="s">
        <v>16</v>
      </c>
      <c r="B445" s="7">
        <v>442.0</v>
      </c>
      <c r="C445" s="1"/>
      <c r="D445" s="2"/>
      <c r="E445" s="2"/>
      <c r="F445" s="2"/>
      <c r="G445" s="2"/>
      <c r="H445" s="2"/>
      <c r="I445" s="2"/>
      <c r="J445" s="2"/>
      <c r="K445" s="3"/>
      <c r="P445" s="3"/>
      <c r="Q445" s="3"/>
      <c r="R445" s="3"/>
    </row>
    <row r="446" ht="15.75" customHeight="1">
      <c r="A446" s="7" t="s">
        <v>16</v>
      </c>
      <c r="B446" s="7">
        <v>443.0</v>
      </c>
      <c r="C446" s="1"/>
      <c r="D446" s="2"/>
      <c r="E446" s="2"/>
      <c r="F446" s="2"/>
      <c r="G446" s="2"/>
      <c r="H446" s="2"/>
      <c r="I446" s="2"/>
      <c r="J446" s="2"/>
      <c r="K446" s="3"/>
      <c r="P446" s="3"/>
      <c r="Q446" s="3"/>
      <c r="R446" s="3"/>
    </row>
    <row r="447" ht="15.75" customHeight="1">
      <c r="A447" s="7" t="s">
        <v>16</v>
      </c>
      <c r="B447" s="7">
        <v>444.0</v>
      </c>
      <c r="C447" s="1"/>
      <c r="D447" s="2"/>
      <c r="E447" s="2"/>
      <c r="F447" s="2"/>
      <c r="G447" s="2"/>
      <c r="H447" s="2"/>
      <c r="I447" s="2"/>
      <c r="J447" s="2"/>
      <c r="K447" s="3"/>
      <c r="P447" s="3"/>
      <c r="Q447" s="3"/>
      <c r="R447" s="3"/>
    </row>
    <row r="448" ht="15.75" customHeight="1">
      <c r="A448" s="7" t="s">
        <v>16</v>
      </c>
      <c r="B448" s="7">
        <v>445.0</v>
      </c>
      <c r="C448" s="1"/>
      <c r="D448" s="2"/>
      <c r="E448" s="2"/>
      <c r="F448" s="2"/>
      <c r="G448" s="2"/>
      <c r="H448" s="2"/>
      <c r="I448" s="2"/>
      <c r="J448" s="2"/>
      <c r="K448" s="3"/>
      <c r="P448" s="3"/>
      <c r="Q448" s="3"/>
      <c r="R448" s="3"/>
    </row>
    <row r="449" ht="15.75" customHeight="1">
      <c r="A449" s="7" t="s">
        <v>16</v>
      </c>
      <c r="B449" s="7">
        <v>446.0</v>
      </c>
      <c r="C449" s="1"/>
      <c r="D449" s="2"/>
      <c r="E449" s="2"/>
      <c r="F449" s="2"/>
      <c r="G449" s="2"/>
      <c r="H449" s="2"/>
      <c r="I449" s="2"/>
      <c r="J449" s="2"/>
      <c r="K449" s="3"/>
      <c r="P449" s="3"/>
      <c r="Q449" s="3"/>
      <c r="R449" s="3"/>
    </row>
    <row r="450" ht="15.75" customHeight="1">
      <c r="A450" s="7" t="s">
        <v>16</v>
      </c>
      <c r="B450" s="7">
        <v>447.0</v>
      </c>
      <c r="C450" s="1"/>
      <c r="D450" s="2"/>
      <c r="E450" s="2"/>
      <c r="F450" s="2"/>
      <c r="G450" s="2"/>
      <c r="H450" s="2"/>
      <c r="I450" s="2"/>
      <c r="J450" s="2"/>
      <c r="K450" s="3"/>
      <c r="P450" s="3"/>
      <c r="Q450" s="3"/>
      <c r="R450" s="3"/>
    </row>
    <row r="451" ht="15.75" customHeight="1">
      <c r="A451" s="7" t="s">
        <v>16</v>
      </c>
      <c r="B451" s="7">
        <v>448.0</v>
      </c>
      <c r="C451" s="1"/>
      <c r="D451" s="2"/>
      <c r="E451" s="2"/>
      <c r="F451" s="2"/>
      <c r="G451" s="2"/>
      <c r="H451" s="2"/>
      <c r="I451" s="2"/>
      <c r="J451" s="2"/>
      <c r="K451" s="3"/>
      <c r="P451" s="3"/>
      <c r="Q451" s="3"/>
      <c r="R451" s="3"/>
    </row>
    <row r="452" ht="15.75" customHeight="1">
      <c r="A452" s="7" t="s">
        <v>16</v>
      </c>
      <c r="B452" s="7">
        <v>449.0</v>
      </c>
      <c r="C452" s="1"/>
      <c r="D452" s="2"/>
      <c r="E452" s="2"/>
      <c r="F452" s="2"/>
      <c r="G452" s="2"/>
      <c r="H452" s="2"/>
      <c r="I452" s="2"/>
      <c r="J452" s="2"/>
      <c r="K452" s="3"/>
      <c r="P452" s="3"/>
      <c r="Q452" s="3"/>
      <c r="R452" s="3"/>
    </row>
    <row r="453" ht="15.75" customHeight="1">
      <c r="A453" s="7" t="s">
        <v>16</v>
      </c>
      <c r="B453" s="7">
        <v>450.0</v>
      </c>
      <c r="C453" s="1"/>
      <c r="D453" s="2"/>
      <c r="E453" s="2"/>
      <c r="F453" s="2"/>
      <c r="G453" s="2"/>
      <c r="H453" s="2"/>
      <c r="I453" s="2"/>
      <c r="J453" s="2"/>
      <c r="K453" s="3"/>
      <c r="P453" s="3"/>
      <c r="Q453" s="3"/>
      <c r="R453" s="3"/>
    </row>
    <row r="454" ht="15.75" customHeight="1">
      <c r="A454" s="7" t="s">
        <v>16</v>
      </c>
      <c r="B454" s="7">
        <v>451.0</v>
      </c>
      <c r="C454" s="1"/>
      <c r="D454" s="2"/>
      <c r="E454" s="2"/>
      <c r="F454" s="2"/>
      <c r="G454" s="2"/>
      <c r="H454" s="2"/>
      <c r="I454" s="2"/>
      <c r="J454" s="2"/>
      <c r="K454" s="3"/>
      <c r="P454" s="3"/>
      <c r="Q454" s="3"/>
      <c r="R454" s="3"/>
    </row>
    <row r="455" ht="15.75" customHeight="1">
      <c r="A455" s="7" t="s">
        <v>16</v>
      </c>
      <c r="B455" s="7">
        <v>452.0</v>
      </c>
      <c r="C455" s="1"/>
      <c r="D455" s="2"/>
      <c r="E455" s="2"/>
      <c r="F455" s="2"/>
      <c r="G455" s="2"/>
      <c r="H455" s="2"/>
      <c r="I455" s="2"/>
      <c r="J455" s="2"/>
      <c r="K455" s="3"/>
      <c r="P455" s="3"/>
      <c r="Q455" s="3"/>
      <c r="R455" s="3"/>
    </row>
    <row r="456" ht="15.75" customHeight="1">
      <c r="A456" s="7" t="s">
        <v>16</v>
      </c>
      <c r="B456" s="7">
        <v>453.0</v>
      </c>
      <c r="C456" s="1"/>
      <c r="D456" s="2"/>
      <c r="E456" s="2"/>
      <c r="F456" s="2"/>
      <c r="G456" s="2"/>
      <c r="H456" s="2"/>
      <c r="I456" s="2"/>
      <c r="J456" s="2"/>
      <c r="K456" s="3"/>
      <c r="P456" s="3"/>
      <c r="Q456" s="3"/>
      <c r="R456" s="3"/>
    </row>
    <row r="457" ht="15.75" customHeight="1">
      <c r="A457" s="7" t="s">
        <v>16</v>
      </c>
      <c r="B457" s="7">
        <v>454.0</v>
      </c>
      <c r="C457" s="1"/>
      <c r="D457" s="2"/>
      <c r="E457" s="2"/>
      <c r="F457" s="2"/>
      <c r="G457" s="2"/>
      <c r="H457" s="2"/>
      <c r="I457" s="2"/>
      <c r="J457" s="2"/>
      <c r="K457" s="3"/>
      <c r="P457" s="3"/>
      <c r="Q457" s="3"/>
      <c r="R457" s="3"/>
    </row>
    <row r="458" ht="15.75" customHeight="1">
      <c r="A458" s="7" t="s">
        <v>16</v>
      </c>
      <c r="B458" s="7">
        <v>455.0</v>
      </c>
      <c r="C458" s="1"/>
      <c r="D458" s="2"/>
      <c r="E458" s="2"/>
      <c r="F458" s="2"/>
      <c r="G458" s="2"/>
      <c r="H458" s="2"/>
      <c r="I458" s="2"/>
      <c r="J458" s="2"/>
      <c r="K458" s="3"/>
      <c r="P458" s="3"/>
      <c r="Q458" s="3"/>
      <c r="R458" s="3"/>
    </row>
    <row r="459" ht="15.75" customHeight="1">
      <c r="A459" s="7" t="s">
        <v>16</v>
      </c>
      <c r="B459" s="7">
        <v>456.0</v>
      </c>
      <c r="C459" s="1"/>
      <c r="D459" s="2"/>
      <c r="E459" s="2"/>
      <c r="F459" s="2"/>
      <c r="G459" s="2"/>
      <c r="H459" s="2"/>
      <c r="I459" s="2"/>
      <c r="J459" s="2"/>
      <c r="K459" s="3"/>
      <c r="P459" s="3"/>
      <c r="Q459" s="3"/>
      <c r="R459" s="3"/>
    </row>
    <row r="460" ht="15.75" customHeight="1">
      <c r="A460" s="7" t="s">
        <v>16</v>
      </c>
      <c r="B460" s="7">
        <v>457.0</v>
      </c>
      <c r="C460" s="1"/>
      <c r="D460" s="2"/>
      <c r="E460" s="2"/>
      <c r="F460" s="2"/>
      <c r="G460" s="2"/>
      <c r="H460" s="2"/>
      <c r="I460" s="2"/>
      <c r="J460" s="2"/>
      <c r="K460" s="3"/>
      <c r="P460" s="3"/>
      <c r="Q460" s="3"/>
      <c r="R460" s="3"/>
    </row>
    <row r="461" ht="15.75" customHeight="1">
      <c r="A461" s="7" t="s">
        <v>16</v>
      </c>
      <c r="B461" s="7">
        <v>458.0</v>
      </c>
      <c r="C461" s="1"/>
      <c r="D461" s="2"/>
      <c r="E461" s="2"/>
      <c r="F461" s="2"/>
      <c r="G461" s="2"/>
      <c r="H461" s="2"/>
      <c r="I461" s="2"/>
      <c r="J461" s="2"/>
      <c r="K461" s="3"/>
      <c r="P461" s="3"/>
      <c r="Q461" s="3"/>
      <c r="R461" s="3"/>
    </row>
    <row r="462" ht="15.75" customHeight="1">
      <c r="A462" s="7" t="s">
        <v>16</v>
      </c>
      <c r="B462" s="7">
        <v>459.0</v>
      </c>
      <c r="C462" s="1"/>
      <c r="D462" s="2"/>
      <c r="E462" s="2"/>
      <c r="F462" s="2"/>
      <c r="G462" s="2"/>
      <c r="H462" s="2"/>
      <c r="I462" s="2"/>
      <c r="J462" s="2"/>
      <c r="K462" s="3"/>
      <c r="P462" s="3"/>
      <c r="Q462" s="3"/>
      <c r="R462" s="3"/>
    </row>
    <row r="463" ht="15.75" customHeight="1">
      <c r="A463" s="7" t="s">
        <v>16</v>
      </c>
      <c r="B463" s="7">
        <v>460.0</v>
      </c>
      <c r="C463" s="1"/>
      <c r="D463" s="2"/>
      <c r="E463" s="2"/>
      <c r="F463" s="2"/>
      <c r="G463" s="2"/>
      <c r="H463" s="2"/>
      <c r="I463" s="2"/>
      <c r="J463" s="2"/>
      <c r="K463" s="3"/>
      <c r="P463" s="3"/>
      <c r="Q463" s="3"/>
      <c r="R463" s="3"/>
    </row>
    <row r="464" ht="15.75" customHeight="1">
      <c r="A464" s="7" t="s">
        <v>16</v>
      </c>
      <c r="B464" s="7">
        <v>461.0</v>
      </c>
      <c r="C464" s="1"/>
      <c r="D464" s="2"/>
      <c r="E464" s="2"/>
      <c r="F464" s="2"/>
      <c r="G464" s="2"/>
      <c r="H464" s="2"/>
      <c r="I464" s="2"/>
      <c r="J464" s="2"/>
      <c r="K464" s="3"/>
      <c r="P464" s="3"/>
      <c r="Q464" s="3"/>
      <c r="R464" s="3"/>
    </row>
    <row r="465" ht="15.75" customHeight="1">
      <c r="A465" s="7" t="s">
        <v>16</v>
      </c>
      <c r="B465" s="7">
        <v>462.0</v>
      </c>
      <c r="C465" s="1"/>
      <c r="D465" s="2"/>
      <c r="E465" s="2"/>
      <c r="F465" s="2"/>
      <c r="G465" s="2"/>
      <c r="H465" s="2"/>
      <c r="I465" s="2"/>
      <c r="J465" s="2"/>
      <c r="K465" s="3"/>
      <c r="P465" s="3"/>
      <c r="Q465" s="3"/>
      <c r="R465" s="3"/>
    </row>
    <row r="466" ht="15.75" customHeight="1">
      <c r="A466" s="7" t="s">
        <v>16</v>
      </c>
      <c r="B466" s="7">
        <v>463.0</v>
      </c>
      <c r="C466" s="1"/>
      <c r="D466" s="2"/>
      <c r="E466" s="2"/>
      <c r="F466" s="2"/>
      <c r="G466" s="2"/>
      <c r="H466" s="2"/>
      <c r="I466" s="2"/>
      <c r="J466" s="2"/>
      <c r="K466" s="3"/>
      <c r="P466" s="3"/>
      <c r="Q466" s="3"/>
      <c r="R466" s="3"/>
    </row>
    <row r="467" ht="15.75" customHeight="1">
      <c r="A467" s="7" t="s">
        <v>16</v>
      </c>
      <c r="B467" s="7">
        <v>464.0</v>
      </c>
      <c r="C467" s="1"/>
      <c r="D467" s="2"/>
      <c r="E467" s="2"/>
      <c r="F467" s="2"/>
      <c r="G467" s="2"/>
      <c r="H467" s="2"/>
      <c r="I467" s="2"/>
      <c r="J467" s="2"/>
      <c r="K467" s="3"/>
      <c r="P467" s="3"/>
      <c r="Q467" s="3"/>
      <c r="R467" s="3"/>
    </row>
    <row r="468" ht="15.75" customHeight="1">
      <c r="A468" s="7" t="s">
        <v>16</v>
      </c>
      <c r="B468" s="7">
        <v>465.0</v>
      </c>
      <c r="C468" s="1"/>
      <c r="D468" s="2"/>
      <c r="E468" s="2"/>
      <c r="F468" s="2"/>
      <c r="G468" s="2"/>
      <c r="H468" s="2"/>
      <c r="I468" s="2"/>
      <c r="J468" s="2"/>
      <c r="K468" s="3"/>
      <c r="P468" s="3"/>
      <c r="Q468" s="3"/>
      <c r="R468" s="3"/>
    </row>
    <row r="469" ht="15.75" customHeight="1">
      <c r="A469" s="7" t="s">
        <v>16</v>
      </c>
      <c r="B469" s="7">
        <v>466.0</v>
      </c>
      <c r="C469" s="1"/>
      <c r="D469" s="2"/>
      <c r="E469" s="2"/>
      <c r="F469" s="2"/>
      <c r="G469" s="2"/>
      <c r="H469" s="2"/>
      <c r="I469" s="2"/>
      <c r="J469" s="2"/>
      <c r="K469" s="3"/>
      <c r="P469" s="3"/>
      <c r="Q469" s="3"/>
      <c r="R469" s="3"/>
    </row>
    <row r="470" ht="15.75" customHeight="1">
      <c r="A470" s="7" t="s">
        <v>16</v>
      </c>
      <c r="B470" s="7">
        <v>467.0</v>
      </c>
      <c r="C470" s="1"/>
      <c r="D470" s="2"/>
      <c r="E470" s="2"/>
      <c r="F470" s="2"/>
      <c r="G470" s="2"/>
      <c r="H470" s="2"/>
      <c r="I470" s="2"/>
      <c r="J470" s="2"/>
      <c r="K470" s="3"/>
      <c r="P470" s="3"/>
      <c r="Q470" s="3"/>
      <c r="R470" s="3"/>
    </row>
    <row r="471" ht="15.75" customHeight="1">
      <c r="A471" s="7" t="s">
        <v>16</v>
      </c>
      <c r="B471" s="7">
        <v>468.0</v>
      </c>
      <c r="C471" s="1"/>
      <c r="D471" s="2"/>
      <c r="E471" s="2"/>
      <c r="F471" s="2"/>
      <c r="G471" s="2"/>
      <c r="H471" s="2"/>
      <c r="I471" s="2"/>
      <c r="J471" s="2"/>
      <c r="K471" s="3"/>
      <c r="P471" s="3"/>
      <c r="Q471" s="3"/>
      <c r="R471" s="3"/>
    </row>
    <row r="472" ht="15.75" customHeight="1">
      <c r="A472" s="7" t="s">
        <v>16</v>
      </c>
      <c r="B472" s="7">
        <v>469.0</v>
      </c>
      <c r="C472" s="1"/>
      <c r="D472" s="2"/>
      <c r="E472" s="2"/>
      <c r="F472" s="2"/>
      <c r="G472" s="2"/>
      <c r="H472" s="2"/>
      <c r="I472" s="2"/>
      <c r="J472" s="2"/>
      <c r="K472" s="3"/>
      <c r="P472" s="3"/>
      <c r="Q472" s="3"/>
      <c r="R472" s="3"/>
    </row>
    <row r="473" ht="15.75" customHeight="1">
      <c r="A473" s="7" t="s">
        <v>16</v>
      </c>
      <c r="B473" s="7">
        <v>470.0</v>
      </c>
      <c r="C473" s="1"/>
      <c r="D473" s="2"/>
      <c r="E473" s="2"/>
      <c r="F473" s="2"/>
      <c r="G473" s="2"/>
      <c r="H473" s="2"/>
      <c r="I473" s="2"/>
      <c r="J473" s="2"/>
      <c r="K473" s="3"/>
      <c r="P473" s="3"/>
      <c r="Q473" s="3"/>
      <c r="R473" s="3"/>
    </row>
    <row r="474" ht="15.75" customHeight="1">
      <c r="A474" s="7" t="s">
        <v>16</v>
      </c>
      <c r="B474" s="7">
        <v>471.0</v>
      </c>
      <c r="C474" s="1"/>
      <c r="D474" s="2"/>
      <c r="E474" s="2"/>
      <c r="F474" s="2"/>
      <c r="G474" s="2"/>
      <c r="H474" s="2"/>
      <c r="I474" s="2"/>
      <c r="J474" s="2"/>
      <c r="K474" s="3"/>
      <c r="P474" s="3"/>
      <c r="Q474" s="3"/>
      <c r="R474" s="3"/>
    </row>
    <row r="475" ht="15.75" customHeight="1">
      <c r="A475" s="7" t="s">
        <v>16</v>
      </c>
      <c r="B475" s="7">
        <v>472.0</v>
      </c>
      <c r="C475" s="1"/>
      <c r="D475" s="2"/>
      <c r="E475" s="2"/>
      <c r="F475" s="2"/>
      <c r="G475" s="2"/>
      <c r="H475" s="2"/>
      <c r="I475" s="2"/>
      <c r="J475" s="2"/>
      <c r="K475" s="3"/>
      <c r="P475" s="3"/>
      <c r="Q475" s="3"/>
      <c r="R475" s="3"/>
    </row>
    <row r="476" ht="15.75" customHeight="1">
      <c r="A476" s="7" t="s">
        <v>16</v>
      </c>
      <c r="B476" s="7">
        <v>473.0</v>
      </c>
      <c r="C476" s="1"/>
      <c r="D476" s="2"/>
      <c r="E476" s="2"/>
      <c r="F476" s="2"/>
      <c r="G476" s="2"/>
      <c r="H476" s="2"/>
      <c r="I476" s="2"/>
      <c r="J476" s="2"/>
      <c r="K476" s="3"/>
      <c r="P476" s="3"/>
      <c r="Q476" s="3"/>
      <c r="R476" s="3"/>
    </row>
    <row r="477" ht="15.75" customHeight="1">
      <c r="A477" s="7" t="s">
        <v>16</v>
      </c>
      <c r="B477" s="7">
        <v>474.0</v>
      </c>
      <c r="C477" s="1"/>
      <c r="D477" s="2"/>
      <c r="E477" s="2"/>
      <c r="F477" s="2"/>
      <c r="G477" s="2"/>
      <c r="H477" s="2"/>
      <c r="I477" s="2"/>
      <c r="J477" s="2"/>
      <c r="K477" s="3"/>
      <c r="P477" s="3"/>
      <c r="Q477" s="3"/>
      <c r="R477" s="3"/>
    </row>
    <row r="478" ht="15.75" customHeight="1">
      <c r="A478" s="7" t="s">
        <v>16</v>
      </c>
      <c r="B478" s="7">
        <v>475.0</v>
      </c>
      <c r="C478" s="1"/>
      <c r="D478" s="2"/>
      <c r="E478" s="2"/>
      <c r="F478" s="2"/>
      <c r="G478" s="2"/>
      <c r="H478" s="2"/>
      <c r="I478" s="2"/>
      <c r="J478" s="2"/>
      <c r="K478" s="3"/>
      <c r="P478" s="3"/>
      <c r="Q478" s="3"/>
      <c r="R478" s="3"/>
    </row>
    <row r="479" ht="15.75" customHeight="1">
      <c r="A479" s="7" t="s">
        <v>16</v>
      </c>
      <c r="B479" s="7">
        <v>476.0</v>
      </c>
      <c r="C479" s="1"/>
      <c r="D479" s="2"/>
      <c r="E479" s="2"/>
      <c r="F479" s="2"/>
      <c r="G479" s="2"/>
      <c r="H479" s="2"/>
      <c r="I479" s="2"/>
      <c r="J479" s="2"/>
      <c r="K479" s="3"/>
      <c r="P479" s="3"/>
      <c r="Q479" s="3"/>
      <c r="R479" s="3"/>
    </row>
    <row r="480" ht="15.75" customHeight="1">
      <c r="A480" s="7" t="s">
        <v>16</v>
      </c>
      <c r="B480" s="7">
        <v>477.0</v>
      </c>
      <c r="C480" s="1"/>
      <c r="D480" s="2"/>
      <c r="E480" s="2"/>
      <c r="F480" s="2"/>
      <c r="G480" s="2"/>
      <c r="H480" s="2"/>
      <c r="I480" s="2"/>
      <c r="J480" s="2"/>
      <c r="K480" s="3"/>
      <c r="P480" s="3"/>
      <c r="Q480" s="3"/>
      <c r="R480" s="3"/>
    </row>
    <row r="481" ht="15.75" customHeight="1">
      <c r="A481" s="7" t="s">
        <v>16</v>
      </c>
      <c r="B481" s="7">
        <v>478.0</v>
      </c>
      <c r="C481" s="1"/>
      <c r="D481" s="2"/>
      <c r="E481" s="2"/>
      <c r="F481" s="2"/>
      <c r="G481" s="2"/>
      <c r="H481" s="2"/>
      <c r="I481" s="2"/>
      <c r="J481" s="2"/>
      <c r="K481" s="3"/>
      <c r="P481" s="3"/>
      <c r="Q481" s="3"/>
      <c r="R481" s="3"/>
    </row>
    <row r="482" ht="15.75" customHeight="1">
      <c r="A482" s="7" t="s">
        <v>16</v>
      </c>
      <c r="B482" s="7">
        <v>479.0</v>
      </c>
      <c r="C482" s="1"/>
      <c r="D482" s="2"/>
      <c r="E482" s="2"/>
      <c r="F482" s="2"/>
      <c r="G482" s="2"/>
      <c r="H482" s="2"/>
      <c r="I482" s="2"/>
      <c r="J482" s="2"/>
      <c r="K482" s="3"/>
      <c r="P482" s="3"/>
      <c r="Q482" s="3"/>
      <c r="R482" s="3"/>
    </row>
    <row r="483" ht="15.75" customHeight="1">
      <c r="A483" s="7" t="s">
        <v>16</v>
      </c>
      <c r="B483" s="7">
        <v>480.0</v>
      </c>
      <c r="C483" s="1"/>
      <c r="D483" s="2"/>
      <c r="E483" s="2"/>
      <c r="F483" s="2"/>
      <c r="G483" s="2"/>
      <c r="H483" s="2"/>
      <c r="I483" s="2"/>
      <c r="J483" s="2"/>
      <c r="K483" s="3"/>
      <c r="P483" s="3"/>
      <c r="Q483" s="3"/>
      <c r="R483" s="3"/>
    </row>
    <row r="484" ht="15.75" customHeight="1">
      <c r="A484" s="7" t="s">
        <v>16</v>
      </c>
      <c r="B484" s="7">
        <v>481.0</v>
      </c>
      <c r="C484" s="1"/>
      <c r="D484" s="2"/>
      <c r="E484" s="2"/>
      <c r="F484" s="2"/>
      <c r="G484" s="2"/>
      <c r="H484" s="2"/>
      <c r="I484" s="2"/>
      <c r="J484" s="2"/>
      <c r="K484" s="3"/>
      <c r="P484" s="3"/>
      <c r="Q484" s="3"/>
      <c r="R484" s="3"/>
    </row>
    <row r="485" ht="15.75" customHeight="1">
      <c r="A485" s="7" t="s">
        <v>16</v>
      </c>
      <c r="B485" s="7">
        <v>482.0</v>
      </c>
      <c r="C485" s="1"/>
      <c r="D485" s="2"/>
      <c r="E485" s="2"/>
      <c r="F485" s="2"/>
      <c r="G485" s="2"/>
      <c r="H485" s="2"/>
      <c r="I485" s="2"/>
      <c r="J485" s="2"/>
      <c r="K485" s="3"/>
      <c r="P485" s="3"/>
      <c r="Q485" s="3"/>
      <c r="R485" s="3"/>
    </row>
    <row r="486" ht="15.75" customHeight="1">
      <c r="A486" s="7" t="s">
        <v>16</v>
      </c>
      <c r="B486" s="7">
        <v>483.0</v>
      </c>
      <c r="C486" s="1"/>
      <c r="D486" s="2"/>
      <c r="E486" s="2"/>
      <c r="F486" s="2"/>
      <c r="G486" s="2"/>
      <c r="H486" s="2"/>
      <c r="I486" s="2"/>
      <c r="J486" s="2"/>
      <c r="K486" s="3"/>
      <c r="P486" s="3"/>
      <c r="Q486" s="3"/>
      <c r="R486" s="3"/>
    </row>
    <row r="487" ht="15.75" customHeight="1">
      <c r="A487" s="7" t="s">
        <v>16</v>
      </c>
      <c r="B487" s="7">
        <v>484.0</v>
      </c>
      <c r="C487" s="1"/>
      <c r="D487" s="2"/>
      <c r="E487" s="2"/>
      <c r="F487" s="2"/>
      <c r="G487" s="2"/>
      <c r="H487" s="2"/>
      <c r="I487" s="2"/>
      <c r="J487" s="2"/>
      <c r="K487" s="3"/>
      <c r="P487" s="3"/>
      <c r="Q487" s="3"/>
      <c r="R487" s="3"/>
    </row>
    <row r="488" ht="15.75" customHeight="1">
      <c r="A488" s="7" t="s">
        <v>16</v>
      </c>
      <c r="B488" s="7">
        <v>485.0</v>
      </c>
      <c r="C488" s="1"/>
      <c r="D488" s="2"/>
      <c r="E488" s="2"/>
      <c r="F488" s="2"/>
      <c r="G488" s="2"/>
      <c r="H488" s="2"/>
      <c r="I488" s="2"/>
      <c r="J488" s="2"/>
      <c r="K488" s="3"/>
      <c r="P488" s="3"/>
      <c r="Q488" s="3"/>
      <c r="R488" s="3"/>
    </row>
    <row r="489" ht="15.75" customHeight="1">
      <c r="A489" s="7" t="s">
        <v>16</v>
      </c>
      <c r="B489" s="7">
        <v>486.0</v>
      </c>
      <c r="C489" s="1"/>
      <c r="D489" s="2"/>
      <c r="E489" s="2"/>
      <c r="F489" s="2"/>
      <c r="G489" s="2"/>
      <c r="H489" s="2"/>
      <c r="I489" s="2"/>
      <c r="J489" s="2"/>
      <c r="K489" s="3"/>
      <c r="P489" s="3"/>
      <c r="Q489" s="3"/>
      <c r="R489" s="3"/>
    </row>
    <row r="490" ht="15.75" customHeight="1">
      <c r="A490" s="7" t="s">
        <v>16</v>
      </c>
      <c r="B490" s="7">
        <v>487.0</v>
      </c>
      <c r="C490" s="1"/>
      <c r="D490" s="2"/>
      <c r="E490" s="2"/>
      <c r="F490" s="2"/>
      <c r="G490" s="2"/>
      <c r="H490" s="2"/>
      <c r="I490" s="2"/>
      <c r="J490" s="2"/>
      <c r="K490" s="3"/>
      <c r="P490" s="3"/>
      <c r="Q490" s="3"/>
      <c r="R490" s="3"/>
    </row>
    <row r="491" ht="15.75" customHeight="1">
      <c r="A491" s="7" t="s">
        <v>16</v>
      </c>
      <c r="B491" s="7">
        <v>488.0</v>
      </c>
      <c r="C491" s="1"/>
      <c r="D491" s="2"/>
      <c r="E491" s="2"/>
      <c r="F491" s="2"/>
      <c r="G491" s="2"/>
      <c r="H491" s="2"/>
      <c r="I491" s="2"/>
      <c r="J491" s="2"/>
      <c r="K491" s="3"/>
      <c r="P491" s="3"/>
      <c r="Q491" s="3"/>
      <c r="R491" s="3"/>
    </row>
    <row r="492" ht="15.75" customHeight="1">
      <c r="A492" s="7" t="s">
        <v>16</v>
      </c>
      <c r="B492" s="7">
        <v>489.0</v>
      </c>
      <c r="C492" s="1"/>
      <c r="D492" s="2"/>
      <c r="E492" s="2"/>
      <c r="F492" s="2"/>
      <c r="G492" s="2"/>
      <c r="H492" s="2"/>
      <c r="I492" s="2"/>
      <c r="J492" s="2"/>
      <c r="K492" s="3"/>
      <c r="P492" s="3"/>
      <c r="Q492" s="3"/>
      <c r="R492" s="3"/>
    </row>
    <row r="493" ht="15.75" customHeight="1">
      <c r="A493" s="7" t="s">
        <v>16</v>
      </c>
      <c r="B493" s="7">
        <v>490.0</v>
      </c>
      <c r="C493" s="1"/>
      <c r="D493" s="2"/>
      <c r="E493" s="2"/>
      <c r="F493" s="2"/>
      <c r="G493" s="2"/>
      <c r="H493" s="2"/>
      <c r="I493" s="2"/>
      <c r="J493" s="2"/>
      <c r="K493" s="3"/>
      <c r="P493" s="3"/>
      <c r="Q493" s="3"/>
      <c r="R493" s="3"/>
    </row>
    <row r="494" ht="15.75" customHeight="1">
      <c r="A494" s="7" t="s">
        <v>16</v>
      </c>
      <c r="B494" s="7">
        <v>491.0</v>
      </c>
      <c r="C494" s="1"/>
      <c r="D494" s="2"/>
      <c r="E494" s="2"/>
      <c r="F494" s="2"/>
      <c r="G494" s="2"/>
      <c r="H494" s="2"/>
      <c r="I494" s="2"/>
      <c r="J494" s="2"/>
      <c r="K494" s="3"/>
      <c r="P494" s="3"/>
      <c r="Q494" s="3"/>
      <c r="R494" s="3"/>
    </row>
    <row r="495" ht="15.75" customHeight="1">
      <c r="A495" s="7" t="s">
        <v>16</v>
      </c>
      <c r="B495" s="7">
        <v>492.0</v>
      </c>
      <c r="C495" s="1"/>
      <c r="D495" s="2"/>
      <c r="E495" s="2"/>
      <c r="F495" s="2"/>
      <c r="G495" s="2"/>
      <c r="H495" s="2"/>
      <c r="I495" s="2"/>
      <c r="J495" s="2"/>
      <c r="K495" s="3"/>
      <c r="P495" s="3"/>
      <c r="Q495" s="3"/>
      <c r="R495" s="3"/>
    </row>
    <row r="496" ht="15.75" customHeight="1">
      <c r="A496" s="7" t="s">
        <v>16</v>
      </c>
      <c r="B496" s="7">
        <v>493.0</v>
      </c>
      <c r="C496" s="1"/>
      <c r="D496" s="2"/>
      <c r="E496" s="2"/>
      <c r="F496" s="2"/>
      <c r="G496" s="2"/>
      <c r="H496" s="2"/>
      <c r="I496" s="2"/>
      <c r="J496" s="2"/>
      <c r="K496" s="3"/>
      <c r="P496" s="3"/>
      <c r="Q496" s="3"/>
      <c r="R496" s="3"/>
    </row>
    <row r="497" ht="15.75" customHeight="1">
      <c r="A497" s="7" t="s">
        <v>16</v>
      </c>
      <c r="B497" s="7">
        <v>494.0</v>
      </c>
      <c r="C497" s="1"/>
      <c r="D497" s="2"/>
      <c r="E497" s="2"/>
      <c r="F497" s="2"/>
      <c r="G497" s="2"/>
      <c r="H497" s="2"/>
      <c r="I497" s="2"/>
      <c r="J497" s="2"/>
      <c r="K497" s="3"/>
      <c r="P497" s="3"/>
      <c r="Q497" s="3"/>
      <c r="R497" s="3"/>
    </row>
    <row r="498" ht="15.75" customHeight="1">
      <c r="A498" s="7" t="s">
        <v>16</v>
      </c>
      <c r="B498" s="7">
        <v>495.0</v>
      </c>
      <c r="C498" s="1"/>
      <c r="D498" s="2"/>
      <c r="E498" s="2"/>
      <c r="F498" s="2"/>
      <c r="G498" s="2"/>
      <c r="H498" s="2"/>
      <c r="I498" s="2"/>
      <c r="J498" s="2"/>
      <c r="K498" s="3"/>
      <c r="P498" s="3"/>
      <c r="Q498" s="3"/>
      <c r="R498" s="3"/>
    </row>
    <row r="499" ht="15.75" customHeight="1">
      <c r="A499" s="7" t="s">
        <v>16</v>
      </c>
      <c r="B499" s="7">
        <v>496.0</v>
      </c>
      <c r="C499" s="1"/>
      <c r="D499" s="2"/>
      <c r="E499" s="2"/>
      <c r="F499" s="2"/>
      <c r="G499" s="2"/>
      <c r="H499" s="2"/>
      <c r="I499" s="2"/>
      <c r="J499" s="2"/>
      <c r="K499" s="3"/>
      <c r="P499" s="3"/>
      <c r="Q499" s="3"/>
      <c r="R499" s="3"/>
    </row>
    <row r="500" ht="15.75" customHeight="1">
      <c r="A500" s="7" t="s">
        <v>16</v>
      </c>
      <c r="B500" s="7">
        <v>497.0</v>
      </c>
      <c r="C500" s="1"/>
      <c r="D500" s="2"/>
      <c r="E500" s="2"/>
      <c r="F500" s="2"/>
      <c r="G500" s="2"/>
      <c r="H500" s="2"/>
      <c r="I500" s="2"/>
      <c r="J500" s="2"/>
      <c r="K500" s="3"/>
      <c r="P500" s="3"/>
      <c r="Q500" s="3"/>
      <c r="R500" s="3"/>
    </row>
    <row r="501" ht="15.75" customHeight="1">
      <c r="A501" s="7" t="s">
        <v>16</v>
      </c>
      <c r="B501" s="7">
        <v>498.0</v>
      </c>
      <c r="C501" s="1"/>
      <c r="D501" s="2"/>
      <c r="E501" s="2"/>
      <c r="F501" s="2"/>
      <c r="G501" s="2"/>
      <c r="H501" s="2"/>
      <c r="I501" s="2"/>
      <c r="J501" s="2"/>
      <c r="K501" s="3"/>
      <c r="P501" s="3"/>
      <c r="Q501" s="3"/>
      <c r="R501" s="3"/>
    </row>
    <row r="502" ht="15.75" customHeight="1">
      <c r="A502" s="7" t="s">
        <v>16</v>
      </c>
      <c r="B502" s="7">
        <v>499.0</v>
      </c>
      <c r="C502" s="1"/>
      <c r="D502" s="2"/>
      <c r="E502" s="2"/>
      <c r="F502" s="2"/>
      <c r="G502" s="2"/>
      <c r="H502" s="2"/>
      <c r="I502" s="2"/>
      <c r="J502" s="2"/>
      <c r="K502" s="3"/>
      <c r="P502" s="3"/>
      <c r="Q502" s="3"/>
      <c r="R502" s="3"/>
    </row>
    <row r="503" ht="15.75" customHeight="1">
      <c r="A503" s="7" t="s">
        <v>16</v>
      </c>
      <c r="B503" s="7">
        <v>500.0</v>
      </c>
      <c r="C503" s="1"/>
      <c r="D503" s="2"/>
      <c r="E503" s="2"/>
      <c r="F503" s="2"/>
      <c r="G503" s="2"/>
      <c r="H503" s="2"/>
      <c r="I503" s="2"/>
      <c r="J503" s="2"/>
      <c r="K503" s="3"/>
      <c r="P503" s="3"/>
      <c r="Q503" s="3"/>
      <c r="R503" s="3"/>
    </row>
    <row r="504" ht="15.75" customHeight="1">
      <c r="A504" s="7" t="s">
        <v>16</v>
      </c>
      <c r="B504" s="7">
        <v>501.0</v>
      </c>
      <c r="C504" s="1"/>
      <c r="D504" s="2"/>
      <c r="E504" s="2"/>
      <c r="F504" s="2"/>
      <c r="G504" s="2"/>
      <c r="H504" s="2"/>
      <c r="I504" s="2"/>
      <c r="J504" s="2"/>
      <c r="K504" s="3"/>
      <c r="P504" s="3"/>
      <c r="Q504" s="3"/>
      <c r="R504" s="3"/>
    </row>
    <row r="505" ht="15.75" customHeight="1">
      <c r="A505" s="7" t="s">
        <v>16</v>
      </c>
      <c r="B505" s="7">
        <v>502.0</v>
      </c>
      <c r="C505" s="1"/>
      <c r="D505" s="2"/>
      <c r="E505" s="2"/>
      <c r="F505" s="2"/>
      <c r="G505" s="2"/>
      <c r="H505" s="2"/>
      <c r="I505" s="2"/>
      <c r="J505" s="2"/>
      <c r="K505" s="3"/>
      <c r="P505" s="3"/>
      <c r="Q505" s="3"/>
      <c r="R505" s="3"/>
    </row>
    <row r="506" ht="15.75" customHeight="1">
      <c r="A506" s="7" t="s">
        <v>16</v>
      </c>
      <c r="B506" s="7">
        <v>503.0</v>
      </c>
      <c r="C506" s="1"/>
      <c r="D506" s="2"/>
      <c r="E506" s="2"/>
      <c r="F506" s="2"/>
      <c r="G506" s="2"/>
      <c r="H506" s="2"/>
      <c r="I506" s="2"/>
      <c r="J506" s="2"/>
      <c r="K506" s="3"/>
      <c r="P506" s="3"/>
      <c r="Q506" s="3"/>
      <c r="R506" s="3"/>
    </row>
    <row r="507" ht="15.75" customHeight="1">
      <c r="A507" s="7" t="s">
        <v>16</v>
      </c>
      <c r="B507" s="7">
        <v>504.0</v>
      </c>
      <c r="C507" s="1"/>
      <c r="D507" s="2"/>
      <c r="E507" s="2"/>
      <c r="F507" s="2"/>
      <c r="G507" s="2"/>
      <c r="H507" s="2"/>
      <c r="I507" s="2"/>
      <c r="J507" s="2"/>
      <c r="K507" s="3"/>
      <c r="P507" s="3"/>
      <c r="Q507" s="3"/>
      <c r="R507" s="3"/>
    </row>
    <row r="508" ht="15.75" customHeight="1">
      <c r="A508" s="7" t="s">
        <v>16</v>
      </c>
      <c r="B508" s="7">
        <v>505.0</v>
      </c>
      <c r="C508" s="1"/>
      <c r="D508" s="2"/>
      <c r="E508" s="2"/>
      <c r="F508" s="2"/>
      <c r="G508" s="2"/>
      <c r="H508" s="2"/>
      <c r="I508" s="2"/>
      <c r="J508" s="2"/>
      <c r="K508" s="3"/>
      <c r="P508" s="3"/>
      <c r="Q508" s="3"/>
      <c r="R508" s="3"/>
    </row>
    <row r="509" ht="15.75" customHeight="1">
      <c r="A509" s="7" t="s">
        <v>16</v>
      </c>
      <c r="B509" s="7">
        <v>506.0</v>
      </c>
      <c r="C509" s="1"/>
      <c r="D509" s="2"/>
      <c r="E509" s="2"/>
      <c r="F509" s="2"/>
      <c r="G509" s="2"/>
      <c r="H509" s="2"/>
      <c r="I509" s="2"/>
      <c r="J509" s="2"/>
      <c r="K509" s="3"/>
      <c r="P509" s="3"/>
      <c r="Q509" s="3"/>
      <c r="R509" s="3"/>
    </row>
    <row r="510" ht="15.75" customHeight="1">
      <c r="A510" s="7" t="s">
        <v>16</v>
      </c>
      <c r="B510" s="7">
        <v>507.0</v>
      </c>
      <c r="C510" s="1"/>
      <c r="D510" s="2"/>
      <c r="E510" s="2"/>
      <c r="F510" s="2"/>
      <c r="G510" s="2"/>
      <c r="H510" s="2"/>
      <c r="I510" s="2"/>
      <c r="J510" s="2"/>
      <c r="K510" s="3"/>
      <c r="P510" s="3"/>
      <c r="Q510" s="3"/>
      <c r="R510" s="3"/>
    </row>
    <row r="511" ht="15.75" customHeight="1">
      <c r="A511" s="7" t="s">
        <v>16</v>
      </c>
      <c r="B511" s="7">
        <v>508.0</v>
      </c>
      <c r="C511" s="1"/>
      <c r="D511" s="2"/>
      <c r="E511" s="2"/>
      <c r="F511" s="2"/>
      <c r="G511" s="2"/>
      <c r="H511" s="2"/>
      <c r="I511" s="2"/>
      <c r="J511" s="2"/>
      <c r="K511" s="3"/>
      <c r="P511" s="3"/>
      <c r="Q511" s="3"/>
      <c r="R511" s="3"/>
    </row>
    <row r="512" ht="15.75" customHeight="1">
      <c r="A512" s="7" t="s">
        <v>16</v>
      </c>
      <c r="B512" s="7">
        <v>509.0</v>
      </c>
      <c r="C512" s="1"/>
      <c r="D512" s="2"/>
      <c r="E512" s="2"/>
      <c r="F512" s="2"/>
      <c r="G512" s="2"/>
      <c r="H512" s="2"/>
      <c r="I512" s="2"/>
      <c r="J512" s="2"/>
      <c r="K512" s="3"/>
      <c r="P512" s="3"/>
      <c r="Q512" s="3"/>
      <c r="R512" s="3"/>
    </row>
    <row r="513" ht="15.75" customHeight="1">
      <c r="A513" s="7" t="s">
        <v>16</v>
      </c>
      <c r="B513" s="7">
        <v>510.0</v>
      </c>
      <c r="C513" s="1"/>
      <c r="D513" s="2"/>
      <c r="E513" s="2"/>
      <c r="F513" s="2"/>
      <c r="G513" s="2"/>
      <c r="H513" s="2"/>
      <c r="I513" s="2"/>
      <c r="J513" s="2"/>
      <c r="K513" s="3"/>
      <c r="P513" s="3"/>
      <c r="Q513" s="3"/>
      <c r="R513" s="3"/>
    </row>
    <row r="514" ht="15.75" customHeight="1">
      <c r="A514" s="7" t="s">
        <v>16</v>
      </c>
      <c r="B514" s="7">
        <v>511.0</v>
      </c>
      <c r="C514" s="1"/>
      <c r="D514" s="2"/>
      <c r="E514" s="2"/>
      <c r="F514" s="2"/>
      <c r="G514" s="2"/>
      <c r="H514" s="2"/>
      <c r="I514" s="2"/>
      <c r="J514" s="2"/>
      <c r="K514" s="3"/>
      <c r="P514" s="3"/>
      <c r="Q514" s="3"/>
      <c r="R514" s="3"/>
    </row>
    <row r="515" ht="15.75" customHeight="1">
      <c r="A515" s="7" t="s">
        <v>16</v>
      </c>
      <c r="B515" s="7">
        <v>512.0</v>
      </c>
      <c r="C515" s="1"/>
      <c r="D515" s="2"/>
      <c r="E515" s="2"/>
      <c r="F515" s="2"/>
      <c r="G515" s="2"/>
      <c r="H515" s="2"/>
      <c r="I515" s="2"/>
      <c r="J515" s="2"/>
      <c r="K515" s="3"/>
      <c r="P515" s="3"/>
      <c r="Q515" s="3"/>
      <c r="R515" s="3"/>
    </row>
    <row r="516" ht="15.75" customHeight="1">
      <c r="A516" s="7" t="s">
        <v>16</v>
      </c>
      <c r="B516" s="7">
        <v>513.0</v>
      </c>
      <c r="C516" s="1"/>
      <c r="D516" s="2"/>
      <c r="E516" s="2"/>
      <c r="F516" s="2"/>
      <c r="G516" s="2"/>
      <c r="H516" s="2"/>
      <c r="I516" s="2"/>
      <c r="J516" s="2"/>
      <c r="K516" s="3"/>
      <c r="P516" s="3"/>
      <c r="Q516" s="3"/>
      <c r="R516" s="3"/>
    </row>
    <row r="517" ht="15.75" customHeight="1">
      <c r="A517" s="7" t="s">
        <v>16</v>
      </c>
      <c r="B517" s="7">
        <v>514.0</v>
      </c>
      <c r="C517" s="1"/>
      <c r="D517" s="2"/>
      <c r="E517" s="2"/>
      <c r="F517" s="2"/>
      <c r="G517" s="2"/>
      <c r="H517" s="2"/>
      <c r="I517" s="2"/>
      <c r="J517" s="2"/>
      <c r="K517" s="3"/>
      <c r="P517" s="3"/>
      <c r="Q517" s="3"/>
      <c r="R517" s="3"/>
    </row>
    <row r="518" ht="15.75" customHeight="1">
      <c r="A518" s="7" t="s">
        <v>16</v>
      </c>
      <c r="B518" s="7">
        <v>515.0</v>
      </c>
      <c r="C518" s="1"/>
      <c r="D518" s="2"/>
      <c r="E518" s="2"/>
      <c r="F518" s="2"/>
      <c r="G518" s="2"/>
      <c r="H518" s="2"/>
      <c r="I518" s="2"/>
      <c r="J518" s="2"/>
      <c r="K518" s="3"/>
      <c r="P518" s="3"/>
      <c r="Q518" s="3"/>
      <c r="R518" s="3"/>
    </row>
    <row r="519" ht="15.75" customHeight="1">
      <c r="A519" s="7" t="s">
        <v>16</v>
      </c>
      <c r="B519" s="7">
        <v>516.0</v>
      </c>
      <c r="C519" s="1"/>
      <c r="D519" s="2"/>
      <c r="E519" s="2"/>
      <c r="F519" s="2"/>
      <c r="G519" s="2"/>
      <c r="H519" s="2"/>
      <c r="I519" s="2"/>
      <c r="J519" s="2"/>
      <c r="K519" s="3"/>
      <c r="P519" s="3"/>
      <c r="Q519" s="3"/>
      <c r="R519" s="3"/>
    </row>
    <row r="520" ht="15.75" customHeight="1">
      <c r="A520" s="7" t="s">
        <v>16</v>
      </c>
      <c r="B520" s="7">
        <v>517.0</v>
      </c>
      <c r="C520" s="1"/>
      <c r="D520" s="2"/>
      <c r="E520" s="2"/>
      <c r="F520" s="2"/>
      <c r="G520" s="2"/>
      <c r="H520" s="2"/>
      <c r="I520" s="2"/>
      <c r="J520" s="2"/>
      <c r="K520" s="3"/>
      <c r="P520" s="3"/>
      <c r="Q520" s="3"/>
      <c r="R520" s="3"/>
    </row>
    <row r="521" ht="15.75" customHeight="1">
      <c r="A521" s="7" t="s">
        <v>16</v>
      </c>
      <c r="B521" s="7">
        <v>518.0</v>
      </c>
      <c r="C521" s="1"/>
      <c r="D521" s="2"/>
      <c r="E521" s="2"/>
      <c r="F521" s="2"/>
      <c r="G521" s="2"/>
      <c r="H521" s="2"/>
      <c r="I521" s="2"/>
      <c r="J521" s="2"/>
      <c r="K521" s="3"/>
      <c r="P521" s="3"/>
      <c r="Q521" s="3"/>
      <c r="R521" s="3"/>
    </row>
    <row r="522" ht="15.75" customHeight="1">
      <c r="A522" s="7" t="s">
        <v>16</v>
      </c>
      <c r="B522" s="7">
        <v>519.0</v>
      </c>
      <c r="C522" s="1"/>
      <c r="D522" s="2"/>
      <c r="E522" s="2"/>
      <c r="F522" s="2"/>
      <c r="G522" s="2"/>
      <c r="H522" s="2"/>
      <c r="I522" s="2"/>
      <c r="J522" s="2"/>
      <c r="K522" s="3"/>
      <c r="P522" s="3"/>
      <c r="Q522" s="3"/>
      <c r="R522" s="3"/>
    </row>
    <row r="523" ht="15.75" customHeight="1">
      <c r="A523" s="7" t="s">
        <v>16</v>
      </c>
      <c r="B523" s="7">
        <v>520.0</v>
      </c>
      <c r="C523" s="1"/>
      <c r="D523" s="2"/>
      <c r="E523" s="2"/>
      <c r="F523" s="2"/>
      <c r="G523" s="2"/>
      <c r="H523" s="2"/>
      <c r="I523" s="2"/>
      <c r="J523" s="2"/>
      <c r="K523" s="3"/>
      <c r="P523" s="3"/>
      <c r="Q523" s="3"/>
      <c r="R523" s="3"/>
    </row>
    <row r="524" ht="15.75" customHeight="1">
      <c r="A524" s="7" t="s">
        <v>16</v>
      </c>
      <c r="B524" s="7">
        <v>521.0</v>
      </c>
      <c r="C524" s="1"/>
      <c r="D524" s="2"/>
      <c r="E524" s="2"/>
      <c r="F524" s="2"/>
      <c r="G524" s="2"/>
      <c r="H524" s="2"/>
      <c r="I524" s="2"/>
      <c r="J524" s="2"/>
      <c r="K524" s="3"/>
      <c r="P524" s="3"/>
      <c r="Q524" s="3"/>
      <c r="R524" s="3"/>
    </row>
    <row r="525" ht="15.75" customHeight="1">
      <c r="A525" s="7" t="s">
        <v>16</v>
      </c>
      <c r="B525" s="7">
        <v>522.0</v>
      </c>
      <c r="C525" s="1"/>
      <c r="D525" s="2"/>
      <c r="E525" s="2"/>
      <c r="F525" s="2"/>
      <c r="G525" s="2"/>
      <c r="H525" s="2"/>
      <c r="I525" s="2"/>
      <c r="J525" s="2"/>
      <c r="K525" s="3"/>
      <c r="P525" s="3"/>
      <c r="Q525" s="3"/>
      <c r="R525" s="3"/>
    </row>
    <row r="526" ht="15.75" customHeight="1">
      <c r="A526" s="7" t="s">
        <v>16</v>
      </c>
      <c r="B526" s="7">
        <v>523.0</v>
      </c>
      <c r="C526" s="1"/>
      <c r="D526" s="2"/>
      <c r="E526" s="2"/>
      <c r="F526" s="2"/>
      <c r="G526" s="2"/>
      <c r="H526" s="2"/>
      <c r="I526" s="2"/>
      <c r="J526" s="2"/>
      <c r="K526" s="3"/>
      <c r="P526" s="3"/>
      <c r="Q526" s="3"/>
      <c r="R526" s="3"/>
    </row>
    <row r="527" ht="15.75" customHeight="1">
      <c r="A527" s="7" t="s">
        <v>16</v>
      </c>
      <c r="B527" s="7">
        <v>524.0</v>
      </c>
      <c r="C527" s="1"/>
      <c r="D527" s="2"/>
      <c r="E527" s="2"/>
      <c r="F527" s="2"/>
      <c r="G527" s="2"/>
      <c r="H527" s="2"/>
      <c r="I527" s="2"/>
      <c r="J527" s="2"/>
      <c r="K527" s="3"/>
      <c r="P527" s="3"/>
      <c r="Q527" s="3"/>
      <c r="R527" s="3"/>
    </row>
    <row r="528" ht="15.75" customHeight="1">
      <c r="A528" s="7" t="s">
        <v>16</v>
      </c>
      <c r="B528" s="7">
        <v>525.0</v>
      </c>
      <c r="C528" s="1"/>
      <c r="D528" s="2"/>
      <c r="E528" s="2"/>
      <c r="F528" s="2"/>
      <c r="G528" s="2"/>
      <c r="H528" s="2"/>
      <c r="I528" s="2"/>
      <c r="J528" s="2"/>
      <c r="K528" s="3"/>
      <c r="P528" s="3"/>
      <c r="Q528" s="3"/>
      <c r="R528" s="3"/>
    </row>
    <row r="529" ht="15.75" customHeight="1">
      <c r="A529" s="7" t="s">
        <v>16</v>
      </c>
      <c r="B529" s="7">
        <v>526.0</v>
      </c>
      <c r="C529" s="1"/>
      <c r="D529" s="2"/>
      <c r="E529" s="2"/>
      <c r="F529" s="2"/>
      <c r="G529" s="2"/>
      <c r="H529" s="2"/>
      <c r="I529" s="2"/>
      <c r="J529" s="2"/>
      <c r="K529" s="3"/>
      <c r="P529" s="3"/>
      <c r="Q529" s="3"/>
      <c r="R529" s="3"/>
    </row>
    <row r="530" ht="15.75" customHeight="1">
      <c r="A530" s="7" t="s">
        <v>16</v>
      </c>
      <c r="B530" s="7">
        <v>527.0</v>
      </c>
      <c r="C530" s="1"/>
      <c r="D530" s="2"/>
      <c r="E530" s="2"/>
      <c r="F530" s="2"/>
      <c r="G530" s="2"/>
      <c r="H530" s="2"/>
      <c r="I530" s="2"/>
      <c r="J530" s="2"/>
      <c r="K530" s="3"/>
      <c r="P530" s="3"/>
      <c r="Q530" s="3"/>
      <c r="R530" s="3"/>
    </row>
    <row r="531" ht="15.75" customHeight="1">
      <c r="A531" s="7" t="s">
        <v>16</v>
      </c>
      <c r="B531" s="7">
        <v>528.0</v>
      </c>
      <c r="C531" s="1"/>
      <c r="D531" s="2"/>
      <c r="E531" s="2"/>
      <c r="F531" s="2"/>
      <c r="G531" s="2"/>
      <c r="H531" s="2"/>
      <c r="I531" s="2"/>
      <c r="J531" s="2"/>
      <c r="K531" s="3"/>
      <c r="P531" s="3"/>
      <c r="Q531" s="3"/>
      <c r="R531" s="3"/>
    </row>
    <row r="532" ht="15.75" customHeight="1">
      <c r="A532" s="7" t="s">
        <v>16</v>
      </c>
      <c r="B532" s="7">
        <v>529.0</v>
      </c>
      <c r="C532" s="1"/>
      <c r="D532" s="2"/>
      <c r="E532" s="2"/>
      <c r="F532" s="2"/>
      <c r="G532" s="2"/>
      <c r="H532" s="2"/>
      <c r="I532" s="2"/>
      <c r="J532" s="2"/>
      <c r="K532" s="3"/>
      <c r="P532" s="3"/>
      <c r="Q532" s="3"/>
      <c r="R532" s="3"/>
    </row>
    <row r="533" ht="15.75" customHeight="1">
      <c r="A533" s="7" t="s">
        <v>16</v>
      </c>
      <c r="B533" s="7">
        <v>530.0</v>
      </c>
      <c r="C533" s="1"/>
      <c r="D533" s="2"/>
      <c r="E533" s="2"/>
      <c r="F533" s="2"/>
      <c r="G533" s="2"/>
      <c r="H533" s="2"/>
      <c r="I533" s="2"/>
      <c r="J533" s="2"/>
      <c r="K533" s="3"/>
      <c r="P533" s="3"/>
      <c r="Q533" s="3"/>
      <c r="R533" s="3"/>
    </row>
    <row r="534" ht="15.75" customHeight="1">
      <c r="A534" s="7" t="s">
        <v>16</v>
      </c>
      <c r="B534" s="7">
        <v>531.0</v>
      </c>
      <c r="C534" s="1"/>
      <c r="D534" s="2"/>
      <c r="E534" s="2"/>
      <c r="F534" s="2"/>
      <c r="G534" s="2"/>
      <c r="H534" s="2"/>
      <c r="I534" s="2"/>
      <c r="J534" s="2"/>
      <c r="K534" s="3"/>
      <c r="P534" s="3"/>
      <c r="Q534" s="3"/>
      <c r="R534" s="3"/>
    </row>
    <row r="535" ht="15.75" customHeight="1">
      <c r="A535" s="7" t="s">
        <v>16</v>
      </c>
      <c r="B535" s="7">
        <v>532.0</v>
      </c>
      <c r="C535" s="1"/>
      <c r="D535" s="2"/>
      <c r="E535" s="2"/>
      <c r="F535" s="2"/>
      <c r="G535" s="2"/>
      <c r="H535" s="2"/>
      <c r="I535" s="2"/>
      <c r="J535" s="2"/>
      <c r="K535" s="3"/>
      <c r="P535" s="3"/>
      <c r="Q535" s="3"/>
      <c r="R535" s="3"/>
    </row>
    <row r="536" ht="15.75" customHeight="1">
      <c r="A536" s="7" t="s">
        <v>16</v>
      </c>
      <c r="B536" s="7">
        <v>533.0</v>
      </c>
      <c r="C536" s="1"/>
      <c r="D536" s="2"/>
      <c r="E536" s="2"/>
      <c r="F536" s="2"/>
      <c r="G536" s="2"/>
      <c r="H536" s="2"/>
      <c r="I536" s="2"/>
      <c r="J536" s="2"/>
      <c r="K536" s="3"/>
      <c r="P536" s="3"/>
      <c r="Q536" s="3"/>
      <c r="R536" s="3"/>
    </row>
    <row r="537" ht="15.75" customHeight="1">
      <c r="A537" s="7" t="s">
        <v>16</v>
      </c>
      <c r="B537" s="7">
        <v>534.0</v>
      </c>
      <c r="C537" s="1"/>
      <c r="D537" s="2"/>
      <c r="E537" s="2"/>
      <c r="F537" s="2"/>
      <c r="G537" s="2"/>
      <c r="H537" s="2"/>
      <c r="I537" s="2"/>
      <c r="J537" s="2"/>
      <c r="K537" s="3"/>
      <c r="P537" s="3"/>
      <c r="Q537" s="3"/>
      <c r="R537" s="3"/>
    </row>
    <row r="538" ht="15.75" customHeight="1">
      <c r="A538" s="7" t="s">
        <v>16</v>
      </c>
      <c r="B538" s="7">
        <v>535.0</v>
      </c>
      <c r="C538" s="1"/>
      <c r="D538" s="2"/>
      <c r="E538" s="2"/>
      <c r="F538" s="2"/>
      <c r="G538" s="2"/>
      <c r="H538" s="2"/>
      <c r="I538" s="2"/>
      <c r="J538" s="2"/>
      <c r="K538" s="3"/>
      <c r="P538" s="3"/>
      <c r="Q538" s="3"/>
      <c r="R538" s="3"/>
    </row>
    <row r="539" ht="15.75" customHeight="1">
      <c r="A539" s="7" t="s">
        <v>16</v>
      </c>
      <c r="B539" s="7">
        <v>536.0</v>
      </c>
      <c r="C539" s="1"/>
      <c r="D539" s="2"/>
      <c r="E539" s="2"/>
      <c r="F539" s="2"/>
      <c r="G539" s="2"/>
      <c r="H539" s="2"/>
      <c r="I539" s="2"/>
      <c r="J539" s="2"/>
      <c r="K539" s="3"/>
      <c r="P539" s="3"/>
      <c r="Q539" s="3"/>
      <c r="R539" s="3"/>
    </row>
    <row r="540" ht="15.75" customHeight="1">
      <c r="A540" s="7" t="s">
        <v>16</v>
      </c>
      <c r="B540" s="7">
        <v>537.0</v>
      </c>
      <c r="C540" s="1"/>
      <c r="D540" s="2"/>
      <c r="E540" s="2"/>
      <c r="F540" s="2"/>
      <c r="G540" s="2"/>
      <c r="H540" s="2"/>
      <c r="I540" s="2"/>
      <c r="J540" s="2"/>
      <c r="K540" s="3"/>
      <c r="P540" s="3"/>
      <c r="Q540" s="3"/>
      <c r="R540" s="3"/>
    </row>
    <row r="541" ht="15.75" customHeight="1">
      <c r="A541" s="7" t="s">
        <v>16</v>
      </c>
      <c r="B541" s="7">
        <v>538.0</v>
      </c>
      <c r="C541" s="1"/>
      <c r="D541" s="2"/>
      <c r="E541" s="2"/>
      <c r="F541" s="2"/>
      <c r="G541" s="2"/>
      <c r="H541" s="2"/>
      <c r="I541" s="2"/>
      <c r="J541" s="2"/>
      <c r="K541" s="3"/>
      <c r="P541" s="3"/>
      <c r="Q541" s="3"/>
      <c r="R541" s="3"/>
    </row>
    <row r="542" ht="15.75" customHeight="1">
      <c r="A542" s="7" t="s">
        <v>16</v>
      </c>
      <c r="B542" s="7">
        <v>539.0</v>
      </c>
      <c r="C542" s="1"/>
      <c r="D542" s="2"/>
      <c r="E542" s="2"/>
      <c r="F542" s="2"/>
      <c r="G542" s="2"/>
      <c r="H542" s="2"/>
      <c r="I542" s="2"/>
      <c r="J542" s="2"/>
      <c r="K542" s="3"/>
      <c r="P542" s="3"/>
      <c r="Q542" s="3"/>
      <c r="R542" s="3"/>
    </row>
    <row r="543" ht="15.75" customHeight="1">
      <c r="A543" s="7" t="s">
        <v>16</v>
      </c>
      <c r="B543" s="7">
        <v>540.0</v>
      </c>
      <c r="C543" s="1"/>
      <c r="D543" s="2"/>
      <c r="E543" s="2"/>
      <c r="F543" s="2"/>
      <c r="G543" s="2"/>
      <c r="H543" s="2"/>
      <c r="I543" s="2"/>
      <c r="J543" s="2"/>
      <c r="K543" s="3"/>
      <c r="P543" s="3"/>
      <c r="Q543" s="3"/>
      <c r="R543" s="3"/>
    </row>
    <row r="544" ht="15.75" customHeight="1">
      <c r="A544" s="7" t="s">
        <v>16</v>
      </c>
      <c r="B544" s="7">
        <v>541.0</v>
      </c>
      <c r="C544" s="1"/>
      <c r="D544" s="2"/>
      <c r="E544" s="2"/>
      <c r="F544" s="2"/>
      <c r="G544" s="2"/>
      <c r="H544" s="2"/>
      <c r="I544" s="2"/>
      <c r="J544" s="2"/>
      <c r="K544" s="3"/>
      <c r="P544" s="3"/>
      <c r="Q544" s="3"/>
      <c r="R544" s="3"/>
    </row>
    <row r="545" ht="15.75" customHeight="1">
      <c r="A545" s="7" t="s">
        <v>16</v>
      </c>
      <c r="B545" s="7">
        <v>542.0</v>
      </c>
      <c r="C545" s="1"/>
      <c r="D545" s="2"/>
      <c r="E545" s="2"/>
      <c r="F545" s="2"/>
      <c r="G545" s="2"/>
      <c r="H545" s="2"/>
      <c r="I545" s="2"/>
      <c r="J545" s="2"/>
      <c r="K545" s="3"/>
      <c r="P545" s="3"/>
      <c r="Q545" s="3"/>
      <c r="R545" s="3"/>
    </row>
    <row r="546" ht="15.75" customHeight="1">
      <c r="A546" s="7" t="s">
        <v>16</v>
      </c>
      <c r="B546" s="7">
        <v>543.0</v>
      </c>
      <c r="C546" s="1"/>
      <c r="D546" s="2"/>
      <c r="E546" s="2"/>
      <c r="F546" s="2"/>
      <c r="G546" s="2"/>
      <c r="H546" s="2"/>
      <c r="I546" s="2"/>
      <c r="J546" s="2"/>
      <c r="K546" s="3"/>
      <c r="P546" s="3"/>
      <c r="Q546" s="3"/>
      <c r="R546" s="3"/>
    </row>
    <row r="547" ht="15.75" customHeight="1">
      <c r="A547" s="7" t="s">
        <v>16</v>
      </c>
      <c r="B547" s="7">
        <v>544.0</v>
      </c>
      <c r="C547" s="1"/>
      <c r="D547" s="2"/>
      <c r="E547" s="2"/>
      <c r="F547" s="2"/>
      <c r="G547" s="2"/>
      <c r="H547" s="2"/>
      <c r="I547" s="2"/>
      <c r="J547" s="2"/>
      <c r="K547" s="3"/>
      <c r="P547" s="3"/>
      <c r="Q547" s="3"/>
      <c r="R547" s="3"/>
    </row>
    <row r="548" ht="15.75" customHeight="1">
      <c r="A548" s="7" t="s">
        <v>16</v>
      </c>
      <c r="B548" s="7">
        <v>545.0</v>
      </c>
      <c r="C548" s="1"/>
      <c r="D548" s="2"/>
      <c r="E548" s="2"/>
      <c r="F548" s="2"/>
      <c r="G548" s="2"/>
      <c r="H548" s="2"/>
      <c r="I548" s="2"/>
      <c r="J548" s="2"/>
      <c r="K548" s="3"/>
      <c r="P548" s="3"/>
      <c r="Q548" s="3"/>
      <c r="R548" s="3"/>
    </row>
    <row r="549" ht="15.75" customHeight="1">
      <c r="A549" s="7" t="s">
        <v>16</v>
      </c>
      <c r="B549" s="7">
        <v>546.0</v>
      </c>
      <c r="C549" s="1"/>
      <c r="D549" s="2"/>
      <c r="E549" s="2"/>
      <c r="F549" s="2"/>
      <c r="G549" s="2"/>
      <c r="H549" s="2"/>
      <c r="I549" s="2"/>
      <c r="J549" s="2"/>
      <c r="K549" s="3"/>
      <c r="P549" s="3"/>
      <c r="Q549" s="3"/>
      <c r="R549" s="3"/>
    </row>
    <row r="550" ht="15.75" customHeight="1">
      <c r="A550" s="7" t="s">
        <v>16</v>
      </c>
      <c r="B550" s="7">
        <v>547.0</v>
      </c>
      <c r="C550" s="1"/>
      <c r="D550" s="2"/>
      <c r="E550" s="2"/>
      <c r="F550" s="2"/>
      <c r="G550" s="2"/>
      <c r="H550" s="2"/>
      <c r="I550" s="2"/>
      <c r="J550" s="2"/>
      <c r="K550" s="3"/>
      <c r="P550" s="3"/>
      <c r="Q550" s="3"/>
      <c r="R550" s="3"/>
    </row>
    <row r="551" ht="15.75" customHeight="1">
      <c r="A551" s="7" t="s">
        <v>16</v>
      </c>
      <c r="B551" s="7">
        <v>548.0</v>
      </c>
      <c r="C551" s="1"/>
      <c r="D551" s="2"/>
      <c r="E551" s="2"/>
      <c r="F551" s="2"/>
      <c r="G551" s="2"/>
      <c r="H551" s="2"/>
      <c r="I551" s="2"/>
      <c r="J551" s="2"/>
      <c r="K551" s="3"/>
      <c r="P551" s="3"/>
      <c r="Q551" s="3"/>
      <c r="R551" s="3"/>
    </row>
    <row r="552" ht="15.75" customHeight="1">
      <c r="A552" s="7" t="s">
        <v>16</v>
      </c>
      <c r="B552" s="7">
        <v>549.0</v>
      </c>
      <c r="C552" s="1"/>
      <c r="D552" s="2"/>
      <c r="E552" s="2"/>
      <c r="F552" s="2"/>
      <c r="G552" s="2"/>
      <c r="H552" s="2"/>
      <c r="I552" s="2"/>
      <c r="J552" s="2"/>
      <c r="K552" s="3"/>
      <c r="P552" s="3"/>
      <c r="Q552" s="3"/>
      <c r="R552" s="3"/>
    </row>
    <row r="553" ht="15.75" customHeight="1">
      <c r="A553" s="7" t="s">
        <v>16</v>
      </c>
      <c r="B553" s="7">
        <v>550.0</v>
      </c>
      <c r="C553" s="1"/>
      <c r="D553" s="2"/>
      <c r="E553" s="2"/>
      <c r="F553" s="2"/>
      <c r="G553" s="2"/>
      <c r="H553" s="2"/>
      <c r="I553" s="2"/>
      <c r="J553" s="2"/>
      <c r="K553" s="3"/>
      <c r="P553" s="3"/>
      <c r="Q553" s="3"/>
      <c r="R553" s="3"/>
    </row>
    <row r="554" ht="15.75" customHeight="1">
      <c r="A554" s="7" t="s">
        <v>16</v>
      </c>
      <c r="B554" s="7">
        <v>551.0</v>
      </c>
      <c r="C554" s="1"/>
      <c r="D554" s="2"/>
      <c r="E554" s="2"/>
      <c r="F554" s="2"/>
      <c r="G554" s="2"/>
      <c r="H554" s="2"/>
      <c r="I554" s="2"/>
      <c r="J554" s="2"/>
      <c r="K554" s="3"/>
      <c r="P554" s="3"/>
      <c r="Q554" s="3"/>
      <c r="R554" s="3"/>
    </row>
    <row r="555" ht="15.75" customHeight="1">
      <c r="A555" s="7" t="s">
        <v>16</v>
      </c>
      <c r="B555" s="7">
        <v>552.0</v>
      </c>
      <c r="C555" s="1"/>
      <c r="D555" s="2"/>
      <c r="E555" s="2"/>
      <c r="F555" s="2"/>
      <c r="G555" s="2"/>
      <c r="H555" s="2"/>
      <c r="I555" s="2"/>
      <c r="J555" s="2"/>
      <c r="K555" s="3"/>
      <c r="P555" s="3"/>
      <c r="Q555" s="3"/>
      <c r="R555" s="3"/>
    </row>
    <row r="556" ht="15.75" customHeight="1">
      <c r="A556" s="7" t="s">
        <v>16</v>
      </c>
      <c r="B556" s="7">
        <v>553.0</v>
      </c>
      <c r="C556" s="1"/>
      <c r="D556" s="2"/>
      <c r="E556" s="2"/>
      <c r="F556" s="2"/>
      <c r="G556" s="2"/>
      <c r="H556" s="2"/>
      <c r="I556" s="2"/>
      <c r="J556" s="2"/>
      <c r="K556" s="3"/>
      <c r="P556" s="3"/>
      <c r="Q556" s="3"/>
      <c r="R556" s="3"/>
    </row>
    <row r="557" ht="15.75" customHeight="1">
      <c r="A557" s="7" t="s">
        <v>16</v>
      </c>
      <c r="B557" s="7">
        <v>554.0</v>
      </c>
      <c r="C557" s="1"/>
      <c r="D557" s="2"/>
      <c r="E557" s="2"/>
      <c r="F557" s="2"/>
      <c r="G557" s="2"/>
      <c r="H557" s="2"/>
      <c r="I557" s="2"/>
      <c r="J557" s="2"/>
      <c r="K557" s="3"/>
      <c r="P557" s="3"/>
      <c r="Q557" s="3"/>
      <c r="R557" s="3"/>
    </row>
    <row r="558" ht="15.75" customHeight="1">
      <c r="A558" s="7" t="s">
        <v>16</v>
      </c>
      <c r="B558" s="7">
        <v>555.0</v>
      </c>
      <c r="C558" s="1"/>
      <c r="D558" s="2"/>
      <c r="E558" s="2"/>
      <c r="F558" s="2"/>
      <c r="G558" s="2"/>
      <c r="H558" s="2"/>
      <c r="I558" s="2"/>
      <c r="J558" s="2"/>
      <c r="K558" s="3"/>
      <c r="P558" s="3"/>
      <c r="Q558" s="3"/>
      <c r="R558" s="3"/>
    </row>
    <row r="559" ht="15.75" customHeight="1">
      <c r="A559" s="7" t="s">
        <v>16</v>
      </c>
      <c r="B559" s="7">
        <v>556.0</v>
      </c>
      <c r="C559" s="1"/>
      <c r="D559" s="2"/>
      <c r="E559" s="2"/>
      <c r="F559" s="2"/>
      <c r="G559" s="2"/>
      <c r="H559" s="2"/>
      <c r="I559" s="2"/>
      <c r="J559" s="2"/>
      <c r="K559" s="3"/>
      <c r="P559" s="3"/>
      <c r="Q559" s="3"/>
      <c r="R559" s="3"/>
    </row>
    <row r="560" ht="15.75" customHeight="1">
      <c r="A560" s="7" t="s">
        <v>16</v>
      </c>
      <c r="B560" s="7">
        <v>557.0</v>
      </c>
      <c r="C560" s="1"/>
      <c r="D560" s="2"/>
      <c r="E560" s="2"/>
      <c r="F560" s="2"/>
      <c r="G560" s="2"/>
      <c r="H560" s="2"/>
      <c r="I560" s="2"/>
      <c r="J560" s="2"/>
      <c r="K560" s="3"/>
      <c r="P560" s="3"/>
      <c r="Q560" s="3"/>
      <c r="R560" s="3"/>
    </row>
    <row r="561" ht="15.75" customHeight="1">
      <c r="A561" s="7" t="s">
        <v>16</v>
      </c>
      <c r="B561" s="7">
        <v>558.0</v>
      </c>
      <c r="C561" s="1"/>
      <c r="D561" s="2"/>
      <c r="E561" s="2"/>
      <c r="F561" s="2"/>
      <c r="G561" s="2"/>
      <c r="H561" s="2"/>
      <c r="I561" s="2"/>
      <c r="J561" s="2"/>
      <c r="K561" s="3"/>
      <c r="P561" s="3"/>
      <c r="Q561" s="3"/>
      <c r="R561" s="3"/>
    </row>
    <row r="562" ht="15.75" customHeight="1">
      <c r="A562" s="7" t="s">
        <v>16</v>
      </c>
      <c r="B562" s="7">
        <v>559.0</v>
      </c>
      <c r="C562" s="1"/>
      <c r="D562" s="2"/>
      <c r="E562" s="2"/>
      <c r="F562" s="2"/>
      <c r="G562" s="2"/>
      <c r="H562" s="2"/>
      <c r="I562" s="2"/>
      <c r="J562" s="2"/>
      <c r="K562" s="3"/>
      <c r="P562" s="3"/>
      <c r="Q562" s="3"/>
      <c r="R562" s="3"/>
    </row>
    <row r="563" ht="15.75" customHeight="1">
      <c r="A563" s="7" t="s">
        <v>16</v>
      </c>
      <c r="B563" s="7">
        <v>560.0</v>
      </c>
      <c r="C563" s="1"/>
      <c r="D563" s="2"/>
      <c r="E563" s="2"/>
      <c r="F563" s="2"/>
      <c r="G563" s="2"/>
      <c r="H563" s="2"/>
      <c r="I563" s="2"/>
      <c r="J563" s="2"/>
      <c r="K563" s="3"/>
      <c r="P563" s="3"/>
      <c r="Q563" s="3"/>
      <c r="R563" s="3"/>
    </row>
    <row r="564" ht="15.75" customHeight="1">
      <c r="A564" s="7" t="s">
        <v>16</v>
      </c>
      <c r="B564" s="7">
        <v>561.0</v>
      </c>
      <c r="C564" s="1"/>
      <c r="D564" s="2"/>
      <c r="E564" s="2"/>
      <c r="F564" s="2"/>
      <c r="G564" s="2"/>
      <c r="H564" s="2"/>
      <c r="I564" s="2"/>
      <c r="J564" s="2"/>
      <c r="K564" s="3"/>
      <c r="P564" s="3"/>
      <c r="Q564" s="3"/>
      <c r="R564" s="3"/>
    </row>
    <row r="565" ht="15.75" customHeight="1">
      <c r="A565" s="7" t="s">
        <v>16</v>
      </c>
      <c r="B565" s="7">
        <v>562.0</v>
      </c>
      <c r="C565" s="1"/>
      <c r="D565" s="2"/>
      <c r="E565" s="2"/>
      <c r="F565" s="2"/>
      <c r="G565" s="2"/>
      <c r="H565" s="2"/>
      <c r="I565" s="2"/>
      <c r="J565" s="2"/>
      <c r="K565" s="3"/>
      <c r="P565" s="3"/>
      <c r="Q565" s="3"/>
      <c r="R565" s="3"/>
    </row>
    <row r="566" ht="15.75" customHeight="1">
      <c r="A566" s="7" t="s">
        <v>16</v>
      </c>
      <c r="B566" s="7">
        <v>563.0</v>
      </c>
      <c r="C566" s="1"/>
      <c r="D566" s="2"/>
      <c r="E566" s="2"/>
      <c r="F566" s="2"/>
      <c r="G566" s="2"/>
      <c r="H566" s="2"/>
      <c r="I566" s="2"/>
      <c r="J566" s="2"/>
      <c r="K566" s="3"/>
      <c r="P566" s="3"/>
      <c r="Q566" s="3"/>
      <c r="R566" s="3"/>
    </row>
    <row r="567" ht="15.75" customHeight="1">
      <c r="A567" s="7" t="s">
        <v>16</v>
      </c>
      <c r="B567" s="7">
        <v>564.0</v>
      </c>
      <c r="C567" s="1"/>
      <c r="D567" s="2"/>
      <c r="E567" s="2"/>
      <c r="F567" s="2"/>
      <c r="G567" s="2"/>
      <c r="H567" s="2"/>
      <c r="I567" s="2"/>
      <c r="J567" s="2"/>
      <c r="K567" s="3"/>
      <c r="P567" s="3"/>
      <c r="Q567" s="3"/>
      <c r="R567" s="3"/>
    </row>
    <row r="568" ht="15.75" customHeight="1">
      <c r="A568" s="7" t="s">
        <v>16</v>
      </c>
      <c r="B568" s="7">
        <v>565.0</v>
      </c>
      <c r="C568" s="1"/>
      <c r="D568" s="2"/>
      <c r="E568" s="2"/>
      <c r="F568" s="2"/>
      <c r="G568" s="2"/>
      <c r="H568" s="2"/>
      <c r="I568" s="2"/>
      <c r="J568" s="2"/>
      <c r="K568" s="3"/>
      <c r="P568" s="3"/>
      <c r="Q568" s="3"/>
      <c r="R568" s="3"/>
    </row>
    <row r="569" ht="15.75" customHeight="1">
      <c r="A569" s="7" t="s">
        <v>16</v>
      </c>
      <c r="B569" s="7">
        <v>566.0</v>
      </c>
      <c r="C569" s="1"/>
      <c r="D569" s="2"/>
      <c r="E569" s="2"/>
      <c r="F569" s="2"/>
      <c r="G569" s="2"/>
      <c r="H569" s="2"/>
      <c r="I569" s="2"/>
      <c r="J569" s="2"/>
      <c r="K569" s="3"/>
      <c r="P569" s="3"/>
      <c r="Q569" s="3"/>
      <c r="R569" s="3"/>
    </row>
    <row r="570" ht="15.75" customHeight="1">
      <c r="A570" s="7" t="s">
        <v>16</v>
      </c>
      <c r="B570" s="7">
        <v>567.0</v>
      </c>
      <c r="C570" s="1"/>
      <c r="D570" s="2"/>
      <c r="E570" s="2"/>
      <c r="F570" s="2"/>
      <c r="G570" s="2"/>
      <c r="H570" s="2"/>
      <c r="I570" s="2"/>
      <c r="J570" s="2"/>
      <c r="K570" s="3"/>
      <c r="P570" s="3"/>
      <c r="Q570" s="3"/>
      <c r="R570" s="3"/>
    </row>
    <row r="571" ht="15.75" customHeight="1">
      <c r="A571" s="7" t="s">
        <v>16</v>
      </c>
      <c r="B571" s="7">
        <v>568.0</v>
      </c>
      <c r="C571" s="1"/>
      <c r="D571" s="2"/>
      <c r="E571" s="2"/>
      <c r="F571" s="2"/>
      <c r="G571" s="2"/>
      <c r="H571" s="2"/>
      <c r="I571" s="2"/>
      <c r="J571" s="2"/>
      <c r="K571" s="3"/>
      <c r="P571" s="3"/>
      <c r="Q571" s="3"/>
      <c r="R571" s="3"/>
    </row>
    <row r="572" ht="15.75" customHeight="1">
      <c r="A572" s="7" t="s">
        <v>16</v>
      </c>
      <c r="B572" s="7">
        <v>569.0</v>
      </c>
      <c r="C572" s="1"/>
      <c r="D572" s="2"/>
      <c r="E572" s="2"/>
      <c r="F572" s="2"/>
      <c r="G572" s="2"/>
      <c r="H572" s="2"/>
      <c r="I572" s="2"/>
      <c r="J572" s="2"/>
      <c r="K572" s="3"/>
      <c r="P572" s="3"/>
      <c r="Q572" s="3"/>
      <c r="R572" s="3"/>
    </row>
    <row r="573" ht="15.75" customHeight="1">
      <c r="A573" s="7" t="s">
        <v>16</v>
      </c>
      <c r="B573" s="7">
        <v>570.0</v>
      </c>
      <c r="C573" s="1"/>
      <c r="D573" s="2"/>
      <c r="E573" s="2"/>
      <c r="F573" s="2"/>
      <c r="G573" s="2"/>
      <c r="H573" s="2"/>
      <c r="I573" s="2"/>
      <c r="J573" s="2"/>
      <c r="K573" s="3"/>
      <c r="P573" s="3"/>
      <c r="Q573" s="3"/>
      <c r="R573" s="3"/>
    </row>
    <row r="574" ht="15.75" customHeight="1">
      <c r="A574" s="7" t="s">
        <v>16</v>
      </c>
      <c r="B574" s="7">
        <v>571.0</v>
      </c>
      <c r="C574" s="1"/>
      <c r="D574" s="2"/>
      <c r="E574" s="2"/>
      <c r="F574" s="2"/>
      <c r="G574" s="2"/>
      <c r="H574" s="2"/>
      <c r="I574" s="2"/>
      <c r="J574" s="2"/>
      <c r="K574" s="3"/>
      <c r="P574" s="3"/>
      <c r="Q574" s="3"/>
      <c r="R574" s="3"/>
    </row>
    <row r="575" ht="15.75" customHeight="1">
      <c r="A575" s="7" t="s">
        <v>16</v>
      </c>
      <c r="B575" s="7">
        <v>572.0</v>
      </c>
      <c r="C575" s="1"/>
      <c r="D575" s="2"/>
      <c r="E575" s="2"/>
      <c r="F575" s="2"/>
      <c r="G575" s="2"/>
      <c r="H575" s="2"/>
      <c r="I575" s="2"/>
      <c r="J575" s="2"/>
      <c r="K575" s="3"/>
      <c r="P575" s="3"/>
      <c r="Q575" s="3"/>
      <c r="R575" s="3"/>
    </row>
    <row r="576" ht="15.75" customHeight="1">
      <c r="A576" s="7" t="s">
        <v>16</v>
      </c>
      <c r="B576" s="7">
        <v>573.0</v>
      </c>
      <c r="C576" s="1"/>
      <c r="D576" s="2"/>
      <c r="E576" s="2"/>
      <c r="F576" s="2"/>
      <c r="G576" s="2"/>
      <c r="H576" s="2"/>
      <c r="I576" s="2"/>
      <c r="J576" s="2"/>
      <c r="K576" s="3"/>
      <c r="P576" s="3"/>
      <c r="Q576" s="3"/>
      <c r="R576" s="3"/>
    </row>
    <row r="577" ht="15.75" customHeight="1">
      <c r="A577" s="7" t="s">
        <v>16</v>
      </c>
      <c r="B577" s="7">
        <v>574.0</v>
      </c>
      <c r="C577" s="1"/>
      <c r="D577" s="2"/>
      <c r="E577" s="2"/>
      <c r="F577" s="2"/>
      <c r="G577" s="2"/>
      <c r="H577" s="2"/>
      <c r="I577" s="2"/>
      <c r="J577" s="2"/>
      <c r="K577" s="3"/>
      <c r="P577" s="3"/>
      <c r="Q577" s="3"/>
      <c r="R577" s="3"/>
    </row>
    <row r="578" ht="15.75" customHeight="1">
      <c r="A578" s="7" t="s">
        <v>16</v>
      </c>
      <c r="B578" s="7">
        <v>575.0</v>
      </c>
      <c r="C578" s="1"/>
      <c r="D578" s="2"/>
      <c r="E578" s="2"/>
      <c r="F578" s="2"/>
      <c r="G578" s="2"/>
      <c r="H578" s="2"/>
      <c r="I578" s="2"/>
      <c r="J578" s="2"/>
      <c r="K578" s="3"/>
      <c r="P578" s="3"/>
      <c r="Q578" s="3"/>
      <c r="R578" s="3"/>
    </row>
    <row r="579" ht="15.75" customHeight="1">
      <c r="A579" s="7" t="s">
        <v>16</v>
      </c>
      <c r="B579" s="7">
        <v>576.0</v>
      </c>
      <c r="C579" s="1"/>
      <c r="D579" s="2"/>
      <c r="E579" s="2"/>
      <c r="F579" s="2"/>
      <c r="G579" s="2"/>
      <c r="H579" s="2"/>
      <c r="I579" s="2"/>
      <c r="J579" s="2"/>
      <c r="K579" s="3"/>
      <c r="P579" s="3"/>
      <c r="Q579" s="3"/>
      <c r="R579" s="3"/>
    </row>
    <row r="580" ht="15.75" customHeight="1">
      <c r="A580" s="7" t="s">
        <v>16</v>
      </c>
      <c r="B580" s="7">
        <v>577.0</v>
      </c>
      <c r="C580" s="1"/>
      <c r="D580" s="2"/>
      <c r="E580" s="2"/>
      <c r="F580" s="2"/>
      <c r="G580" s="2"/>
      <c r="H580" s="2"/>
      <c r="I580" s="2"/>
      <c r="J580" s="2"/>
      <c r="K580" s="3"/>
      <c r="P580" s="3"/>
      <c r="Q580" s="3"/>
      <c r="R580" s="3"/>
    </row>
    <row r="581" ht="15.75" customHeight="1">
      <c r="A581" s="7" t="s">
        <v>16</v>
      </c>
      <c r="B581" s="7">
        <v>578.0</v>
      </c>
      <c r="C581" s="1"/>
      <c r="D581" s="2"/>
      <c r="E581" s="2"/>
      <c r="F581" s="2"/>
      <c r="G581" s="2"/>
      <c r="H581" s="2"/>
      <c r="I581" s="2"/>
      <c r="J581" s="2"/>
      <c r="K581" s="3"/>
      <c r="P581" s="3"/>
      <c r="Q581" s="3"/>
      <c r="R581" s="3"/>
    </row>
    <row r="582" ht="15.75" customHeight="1">
      <c r="A582" s="7" t="s">
        <v>16</v>
      </c>
      <c r="B582" s="7">
        <v>579.0</v>
      </c>
      <c r="C582" s="1"/>
      <c r="D582" s="2"/>
      <c r="E582" s="2"/>
      <c r="F582" s="2"/>
      <c r="G582" s="2"/>
      <c r="H582" s="2"/>
      <c r="I582" s="2"/>
      <c r="J582" s="2"/>
      <c r="K582" s="3"/>
      <c r="P582" s="3"/>
      <c r="Q582" s="3"/>
      <c r="R582" s="3"/>
    </row>
    <row r="583" ht="15.75" customHeight="1">
      <c r="A583" s="7" t="s">
        <v>16</v>
      </c>
      <c r="B583" s="7">
        <v>580.0</v>
      </c>
      <c r="C583" s="1"/>
      <c r="D583" s="2"/>
      <c r="E583" s="2"/>
      <c r="F583" s="2"/>
      <c r="G583" s="2"/>
      <c r="H583" s="2"/>
      <c r="I583" s="2"/>
      <c r="J583" s="2"/>
      <c r="K583" s="3"/>
      <c r="P583" s="3"/>
      <c r="Q583" s="3"/>
      <c r="R583" s="3"/>
    </row>
    <row r="584" ht="15.75" customHeight="1">
      <c r="A584" s="7" t="s">
        <v>16</v>
      </c>
      <c r="B584" s="7">
        <v>581.0</v>
      </c>
      <c r="C584" s="1"/>
      <c r="D584" s="2"/>
      <c r="E584" s="2"/>
      <c r="F584" s="2"/>
      <c r="G584" s="2"/>
      <c r="H584" s="2"/>
      <c r="I584" s="2"/>
      <c r="J584" s="2"/>
      <c r="K584" s="3"/>
      <c r="P584" s="3"/>
      <c r="Q584" s="3"/>
      <c r="R584" s="3"/>
    </row>
    <row r="585" ht="15.75" customHeight="1">
      <c r="A585" s="7" t="s">
        <v>16</v>
      </c>
      <c r="B585" s="7">
        <v>582.0</v>
      </c>
      <c r="C585" s="1"/>
      <c r="D585" s="2"/>
      <c r="E585" s="2"/>
      <c r="F585" s="2"/>
      <c r="G585" s="2"/>
      <c r="H585" s="2"/>
      <c r="I585" s="2"/>
      <c r="J585" s="2"/>
      <c r="K585" s="3"/>
      <c r="P585" s="3"/>
      <c r="Q585" s="3"/>
      <c r="R585" s="3"/>
    </row>
    <row r="586" ht="15.75" customHeight="1">
      <c r="A586" s="7" t="s">
        <v>16</v>
      </c>
      <c r="B586" s="7">
        <v>583.0</v>
      </c>
      <c r="C586" s="1"/>
      <c r="D586" s="2"/>
      <c r="E586" s="2"/>
      <c r="F586" s="2"/>
      <c r="G586" s="2"/>
      <c r="H586" s="2"/>
      <c r="I586" s="2"/>
      <c r="J586" s="2"/>
      <c r="K586" s="3"/>
      <c r="P586" s="3"/>
      <c r="Q586" s="3"/>
      <c r="R586" s="3"/>
    </row>
    <row r="587" ht="15.75" customHeight="1">
      <c r="A587" s="7" t="s">
        <v>16</v>
      </c>
      <c r="B587" s="7">
        <v>584.0</v>
      </c>
      <c r="C587" s="1"/>
      <c r="D587" s="2"/>
      <c r="E587" s="2"/>
      <c r="F587" s="2"/>
      <c r="G587" s="2"/>
      <c r="H587" s="2"/>
      <c r="I587" s="2"/>
      <c r="J587" s="2"/>
      <c r="K587" s="3"/>
      <c r="P587" s="3"/>
      <c r="Q587" s="3"/>
      <c r="R587" s="3"/>
    </row>
    <row r="588" ht="15.75" customHeight="1">
      <c r="A588" s="7" t="s">
        <v>16</v>
      </c>
      <c r="B588" s="7">
        <v>585.0</v>
      </c>
      <c r="C588" s="1"/>
      <c r="D588" s="2"/>
      <c r="E588" s="2"/>
      <c r="F588" s="2"/>
      <c r="G588" s="2"/>
      <c r="H588" s="2"/>
      <c r="I588" s="2"/>
      <c r="J588" s="2"/>
      <c r="K588" s="3"/>
      <c r="P588" s="3"/>
      <c r="Q588" s="3"/>
      <c r="R588" s="3"/>
    </row>
    <row r="589" ht="15.75" customHeight="1">
      <c r="A589" s="7" t="s">
        <v>16</v>
      </c>
      <c r="B589" s="7">
        <v>586.0</v>
      </c>
      <c r="C589" s="1"/>
      <c r="D589" s="2"/>
      <c r="E589" s="2"/>
      <c r="F589" s="2"/>
      <c r="G589" s="2"/>
      <c r="H589" s="2"/>
      <c r="I589" s="2"/>
      <c r="J589" s="2"/>
      <c r="K589" s="3"/>
      <c r="P589" s="3"/>
      <c r="Q589" s="3"/>
      <c r="R589" s="3"/>
    </row>
    <row r="590" ht="15.75" customHeight="1">
      <c r="A590" s="7" t="s">
        <v>16</v>
      </c>
      <c r="B590" s="7">
        <v>587.0</v>
      </c>
      <c r="C590" s="1"/>
      <c r="D590" s="2"/>
      <c r="E590" s="2"/>
      <c r="F590" s="2"/>
      <c r="G590" s="2"/>
      <c r="H590" s="2"/>
      <c r="I590" s="2"/>
      <c r="J590" s="2"/>
      <c r="K590" s="3"/>
      <c r="P590" s="3"/>
      <c r="Q590" s="3"/>
      <c r="R590" s="3"/>
    </row>
    <row r="591" ht="15.75" customHeight="1">
      <c r="A591" s="7" t="s">
        <v>16</v>
      </c>
      <c r="B591" s="7">
        <v>588.0</v>
      </c>
      <c r="C591" s="1"/>
      <c r="D591" s="2"/>
      <c r="E591" s="2"/>
      <c r="F591" s="2"/>
      <c r="G591" s="2"/>
      <c r="H591" s="2"/>
      <c r="I591" s="2"/>
      <c r="J591" s="2"/>
      <c r="K591" s="3"/>
      <c r="P591" s="3"/>
      <c r="Q591" s="3"/>
      <c r="R591" s="3"/>
    </row>
    <row r="592" ht="15.75" customHeight="1">
      <c r="A592" s="7" t="s">
        <v>16</v>
      </c>
      <c r="B592" s="7">
        <v>589.0</v>
      </c>
      <c r="C592" s="1"/>
      <c r="D592" s="2"/>
      <c r="E592" s="2"/>
      <c r="F592" s="2"/>
      <c r="G592" s="2"/>
      <c r="H592" s="2"/>
      <c r="I592" s="2"/>
      <c r="J592" s="2"/>
      <c r="K592" s="3"/>
      <c r="P592" s="3"/>
      <c r="Q592" s="3"/>
      <c r="R592" s="3"/>
    </row>
    <row r="593" ht="15.75" customHeight="1">
      <c r="A593" s="7" t="s">
        <v>16</v>
      </c>
      <c r="B593" s="7">
        <v>590.0</v>
      </c>
      <c r="C593" s="1"/>
      <c r="D593" s="2"/>
      <c r="E593" s="2"/>
      <c r="F593" s="2"/>
      <c r="G593" s="2"/>
      <c r="H593" s="2"/>
      <c r="I593" s="2"/>
      <c r="J593" s="2"/>
      <c r="K593" s="3"/>
      <c r="P593" s="3"/>
      <c r="Q593" s="3"/>
      <c r="R593" s="3"/>
    </row>
    <row r="594" ht="15.75" customHeight="1">
      <c r="A594" s="7" t="s">
        <v>16</v>
      </c>
      <c r="B594" s="7">
        <v>591.0</v>
      </c>
      <c r="C594" s="1"/>
      <c r="D594" s="2"/>
      <c r="E594" s="2"/>
      <c r="F594" s="2"/>
      <c r="G594" s="2"/>
      <c r="H594" s="2"/>
      <c r="I594" s="2"/>
      <c r="J594" s="2"/>
      <c r="K594" s="3"/>
      <c r="P594" s="3"/>
      <c r="Q594" s="3"/>
      <c r="R594" s="3"/>
    </row>
    <row r="595" ht="15.75" customHeight="1">
      <c r="A595" s="7" t="s">
        <v>16</v>
      </c>
      <c r="B595" s="7">
        <v>592.0</v>
      </c>
      <c r="C595" s="1"/>
      <c r="D595" s="2"/>
      <c r="E595" s="2"/>
      <c r="F595" s="2"/>
      <c r="G595" s="2"/>
      <c r="H595" s="2"/>
      <c r="I595" s="2"/>
      <c r="J595" s="2"/>
      <c r="K595" s="3"/>
      <c r="P595" s="3"/>
      <c r="Q595" s="3"/>
      <c r="R595" s="3"/>
    </row>
    <row r="596" ht="15.75" customHeight="1">
      <c r="A596" s="7" t="s">
        <v>16</v>
      </c>
      <c r="B596" s="7">
        <v>593.0</v>
      </c>
      <c r="C596" s="1"/>
      <c r="D596" s="2"/>
      <c r="E596" s="2"/>
      <c r="F596" s="2"/>
      <c r="G596" s="2"/>
      <c r="H596" s="2"/>
      <c r="I596" s="2"/>
      <c r="J596" s="2"/>
      <c r="K596" s="3"/>
      <c r="P596" s="3"/>
      <c r="Q596" s="3"/>
      <c r="R596" s="3"/>
    </row>
    <row r="597" ht="15.75" customHeight="1">
      <c r="A597" s="7" t="s">
        <v>16</v>
      </c>
      <c r="B597" s="7">
        <v>594.0</v>
      </c>
      <c r="C597" s="1"/>
      <c r="D597" s="2"/>
      <c r="E597" s="2"/>
      <c r="F597" s="2"/>
      <c r="G597" s="2"/>
      <c r="H597" s="2"/>
      <c r="I597" s="2"/>
      <c r="J597" s="2"/>
      <c r="K597" s="3"/>
      <c r="P597" s="3"/>
      <c r="Q597" s="3"/>
      <c r="R597" s="3"/>
    </row>
    <row r="598" ht="15.75" customHeight="1">
      <c r="A598" s="7" t="s">
        <v>16</v>
      </c>
      <c r="B598" s="7">
        <v>595.0</v>
      </c>
      <c r="C598" s="1"/>
      <c r="D598" s="2"/>
      <c r="E598" s="2"/>
      <c r="F598" s="2"/>
      <c r="G598" s="2"/>
      <c r="H598" s="2"/>
      <c r="I598" s="2"/>
      <c r="J598" s="2"/>
      <c r="K598" s="3"/>
      <c r="P598" s="3"/>
      <c r="Q598" s="3"/>
      <c r="R598" s="3"/>
    </row>
    <row r="599" ht="15.75" customHeight="1">
      <c r="A599" s="7" t="s">
        <v>16</v>
      </c>
      <c r="B599" s="7">
        <v>596.0</v>
      </c>
      <c r="C599" s="1"/>
      <c r="D599" s="2"/>
      <c r="E599" s="2"/>
      <c r="F599" s="2"/>
      <c r="G599" s="2"/>
      <c r="H599" s="2"/>
      <c r="I599" s="2"/>
      <c r="J599" s="2"/>
      <c r="K599" s="3"/>
      <c r="P599" s="3"/>
      <c r="Q599" s="3"/>
      <c r="R599" s="3"/>
    </row>
    <row r="600" ht="15.75" customHeight="1">
      <c r="A600" s="7" t="s">
        <v>16</v>
      </c>
      <c r="B600" s="7">
        <v>597.0</v>
      </c>
      <c r="C600" s="1"/>
      <c r="D600" s="2"/>
      <c r="E600" s="2"/>
      <c r="F600" s="2"/>
      <c r="G600" s="2"/>
      <c r="H600" s="2"/>
      <c r="I600" s="2"/>
      <c r="J600" s="2"/>
      <c r="K600" s="3"/>
      <c r="P600" s="3"/>
      <c r="Q600" s="3"/>
      <c r="R600" s="3"/>
    </row>
    <row r="601" ht="15.75" customHeight="1">
      <c r="A601" s="7" t="s">
        <v>16</v>
      </c>
      <c r="B601" s="7">
        <v>598.0</v>
      </c>
      <c r="C601" s="1"/>
      <c r="D601" s="2"/>
      <c r="E601" s="2"/>
      <c r="F601" s="2"/>
      <c r="G601" s="2"/>
      <c r="H601" s="2"/>
      <c r="I601" s="2"/>
      <c r="J601" s="2"/>
      <c r="K601" s="3"/>
      <c r="P601" s="3"/>
      <c r="Q601" s="3"/>
      <c r="R601" s="3"/>
    </row>
    <row r="602" ht="15.75" customHeight="1">
      <c r="A602" s="7" t="s">
        <v>16</v>
      </c>
      <c r="B602" s="7">
        <v>599.0</v>
      </c>
      <c r="C602" s="1"/>
      <c r="D602" s="2"/>
      <c r="E602" s="2"/>
      <c r="F602" s="2"/>
      <c r="G602" s="2"/>
      <c r="H602" s="2"/>
      <c r="I602" s="2"/>
      <c r="J602" s="2"/>
      <c r="K602" s="3"/>
      <c r="P602" s="3"/>
      <c r="Q602" s="3"/>
      <c r="R602" s="3"/>
    </row>
    <row r="603" ht="15.75" customHeight="1">
      <c r="A603" s="7" t="s">
        <v>16</v>
      </c>
      <c r="B603" s="7">
        <v>600.0</v>
      </c>
      <c r="C603" s="1"/>
      <c r="D603" s="2"/>
      <c r="E603" s="2"/>
      <c r="F603" s="2"/>
      <c r="G603" s="2"/>
      <c r="H603" s="2"/>
      <c r="I603" s="2"/>
      <c r="J603" s="2"/>
      <c r="K603" s="3"/>
      <c r="P603" s="3"/>
      <c r="Q603" s="3"/>
      <c r="R603" s="3"/>
    </row>
    <row r="604" ht="15.75" customHeight="1">
      <c r="A604" s="7" t="s">
        <v>16</v>
      </c>
      <c r="B604" s="7">
        <v>601.0</v>
      </c>
      <c r="C604" s="1"/>
      <c r="D604" s="2"/>
      <c r="E604" s="2"/>
      <c r="F604" s="2"/>
      <c r="G604" s="2"/>
      <c r="H604" s="2"/>
      <c r="I604" s="2"/>
      <c r="J604" s="2"/>
      <c r="K604" s="3"/>
      <c r="P604" s="3"/>
      <c r="Q604" s="3"/>
      <c r="R604" s="3"/>
    </row>
    <row r="605" ht="15.75" customHeight="1">
      <c r="A605" s="7" t="s">
        <v>16</v>
      </c>
      <c r="B605" s="7">
        <v>602.0</v>
      </c>
      <c r="C605" s="1"/>
      <c r="D605" s="2"/>
      <c r="E605" s="2"/>
      <c r="F605" s="2"/>
      <c r="G605" s="2"/>
      <c r="H605" s="2"/>
      <c r="I605" s="2"/>
      <c r="J605" s="2"/>
      <c r="K605" s="3"/>
      <c r="P605" s="3"/>
      <c r="Q605" s="3"/>
      <c r="R605" s="3"/>
    </row>
    <row r="606" ht="15.75" customHeight="1">
      <c r="A606" s="7" t="s">
        <v>16</v>
      </c>
      <c r="B606" s="7">
        <v>603.0</v>
      </c>
      <c r="C606" s="1"/>
      <c r="D606" s="2"/>
      <c r="E606" s="2"/>
      <c r="F606" s="2"/>
      <c r="G606" s="2"/>
      <c r="H606" s="2"/>
      <c r="I606" s="2"/>
      <c r="J606" s="2"/>
      <c r="K606" s="3"/>
      <c r="P606" s="3"/>
      <c r="Q606" s="3"/>
      <c r="R606" s="3"/>
    </row>
    <row r="607" ht="15.75" customHeight="1">
      <c r="A607" s="7" t="s">
        <v>16</v>
      </c>
      <c r="B607" s="7">
        <v>604.0</v>
      </c>
      <c r="C607" s="1"/>
      <c r="D607" s="2"/>
      <c r="E607" s="2"/>
      <c r="F607" s="2"/>
      <c r="G607" s="2"/>
      <c r="H607" s="2"/>
      <c r="I607" s="2"/>
      <c r="J607" s="2"/>
      <c r="K607" s="3"/>
      <c r="P607" s="3"/>
      <c r="Q607" s="3"/>
      <c r="R607" s="3"/>
    </row>
    <row r="608" ht="15.75" customHeight="1">
      <c r="A608" s="7" t="s">
        <v>16</v>
      </c>
      <c r="B608" s="7">
        <v>605.0</v>
      </c>
      <c r="C608" s="1"/>
      <c r="D608" s="2"/>
      <c r="E608" s="2"/>
      <c r="F608" s="2"/>
      <c r="G608" s="2"/>
      <c r="H608" s="2"/>
      <c r="I608" s="2"/>
      <c r="J608" s="2"/>
      <c r="K608" s="3"/>
      <c r="P608" s="3"/>
      <c r="Q608" s="3"/>
      <c r="R608" s="3"/>
    </row>
    <row r="609" ht="15.75" customHeight="1">
      <c r="A609" s="7" t="s">
        <v>16</v>
      </c>
      <c r="B609" s="7">
        <v>606.0</v>
      </c>
      <c r="C609" s="1"/>
      <c r="D609" s="2"/>
      <c r="E609" s="2"/>
      <c r="F609" s="2"/>
      <c r="G609" s="2"/>
      <c r="H609" s="2"/>
      <c r="I609" s="2"/>
      <c r="J609" s="2"/>
      <c r="K609" s="3"/>
      <c r="P609" s="3"/>
      <c r="Q609" s="3"/>
      <c r="R609" s="3"/>
    </row>
    <row r="610" ht="15.75" customHeight="1">
      <c r="A610" s="7" t="s">
        <v>16</v>
      </c>
      <c r="B610" s="7">
        <v>607.0</v>
      </c>
      <c r="C610" s="1"/>
      <c r="D610" s="2"/>
      <c r="E610" s="2"/>
      <c r="F610" s="2"/>
      <c r="G610" s="2"/>
      <c r="H610" s="2"/>
      <c r="I610" s="2"/>
      <c r="J610" s="2"/>
      <c r="K610" s="3"/>
      <c r="P610" s="3"/>
      <c r="Q610" s="3"/>
      <c r="R610" s="3"/>
    </row>
    <row r="611" ht="15.75" customHeight="1">
      <c r="A611" s="7" t="s">
        <v>16</v>
      </c>
      <c r="B611" s="7">
        <v>608.0</v>
      </c>
      <c r="C611" s="1"/>
      <c r="D611" s="2"/>
      <c r="E611" s="2"/>
      <c r="F611" s="2"/>
      <c r="G611" s="2"/>
      <c r="H611" s="2"/>
      <c r="I611" s="2"/>
      <c r="J611" s="2"/>
      <c r="K611" s="3"/>
      <c r="P611" s="3"/>
      <c r="Q611" s="3"/>
      <c r="R611" s="3"/>
    </row>
    <row r="612" ht="15.75" customHeight="1">
      <c r="A612" s="7" t="s">
        <v>16</v>
      </c>
      <c r="B612" s="7">
        <v>609.0</v>
      </c>
      <c r="C612" s="1"/>
      <c r="D612" s="2"/>
      <c r="E612" s="2"/>
      <c r="F612" s="2"/>
      <c r="G612" s="2"/>
      <c r="H612" s="2"/>
      <c r="I612" s="2"/>
      <c r="J612" s="2"/>
      <c r="K612" s="3"/>
      <c r="P612" s="3"/>
      <c r="Q612" s="3"/>
      <c r="R612" s="3"/>
    </row>
    <row r="613" ht="15.75" customHeight="1">
      <c r="A613" s="7" t="s">
        <v>16</v>
      </c>
      <c r="B613" s="7">
        <v>610.0</v>
      </c>
      <c r="C613" s="1"/>
      <c r="D613" s="2"/>
      <c r="E613" s="2"/>
      <c r="F613" s="2"/>
      <c r="G613" s="2"/>
      <c r="H613" s="2"/>
      <c r="I613" s="2"/>
      <c r="J613" s="2"/>
      <c r="K613" s="3"/>
      <c r="P613" s="3"/>
      <c r="Q613" s="3"/>
      <c r="R613" s="3"/>
    </row>
    <row r="614" ht="15.75" customHeight="1">
      <c r="A614" s="7" t="s">
        <v>16</v>
      </c>
      <c r="B614" s="7">
        <v>611.0</v>
      </c>
      <c r="C614" s="1"/>
      <c r="D614" s="2"/>
      <c r="E614" s="2"/>
      <c r="F614" s="2"/>
      <c r="G614" s="2"/>
      <c r="H614" s="2"/>
      <c r="I614" s="2"/>
      <c r="J614" s="2"/>
      <c r="K614" s="3"/>
      <c r="P614" s="3"/>
      <c r="Q614" s="3"/>
      <c r="R614" s="3"/>
    </row>
    <row r="615" ht="15.75" customHeight="1">
      <c r="A615" s="7" t="s">
        <v>16</v>
      </c>
      <c r="B615" s="7">
        <v>612.0</v>
      </c>
      <c r="C615" s="1"/>
      <c r="D615" s="2"/>
      <c r="E615" s="2"/>
      <c r="F615" s="2"/>
      <c r="G615" s="2"/>
      <c r="H615" s="2"/>
      <c r="I615" s="2"/>
      <c r="J615" s="2"/>
      <c r="K615" s="3"/>
      <c r="P615" s="3"/>
      <c r="Q615" s="3"/>
      <c r="R615" s="3"/>
    </row>
    <row r="616" ht="15.75" customHeight="1">
      <c r="A616" s="7" t="s">
        <v>16</v>
      </c>
      <c r="B616" s="7">
        <v>613.0</v>
      </c>
      <c r="C616" s="1"/>
      <c r="D616" s="2"/>
      <c r="E616" s="2"/>
      <c r="F616" s="2"/>
      <c r="G616" s="2"/>
      <c r="H616" s="2"/>
      <c r="I616" s="2"/>
      <c r="J616" s="2"/>
      <c r="K616" s="3"/>
      <c r="P616" s="3"/>
      <c r="Q616" s="3"/>
      <c r="R616" s="3"/>
    </row>
    <row r="617" ht="15.75" customHeight="1">
      <c r="A617" s="7" t="s">
        <v>16</v>
      </c>
      <c r="B617" s="7">
        <v>614.0</v>
      </c>
      <c r="C617" s="1"/>
      <c r="D617" s="2"/>
      <c r="E617" s="2"/>
      <c r="F617" s="2"/>
      <c r="G617" s="2"/>
      <c r="H617" s="2"/>
      <c r="I617" s="2"/>
      <c r="J617" s="2"/>
      <c r="K617" s="3"/>
      <c r="P617" s="3"/>
      <c r="Q617" s="3"/>
      <c r="R617" s="3"/>
    </row>
    <row r="618" ht="15.75" customHeight="1">
      <c r="A618" s="7" t="s">
        <v>16</v>
      </c>
      <c r="B618" s="7">
        <v>615.0</v>
      </c>
      <c r="C618" s="1"/>
      <c r="D618" s="2"/>
      <c r="E618" s="2"/>
      <c r="F618" s="2"/>
      <c r="G618" s="2"/>
      <c r="H618" s="2"/>
      <c r="I618" s="2"/>
      <c r="J618" s="2"/>
      <c r="K618" s="3"/>
      <c r="P618" s="3"/>
      <c r="Q618" s="3"/>
      <c r="R618" s="3"/>
    </row>
    <row r="619" ht="15.75" customHeight="1">
      <c r="A619" s="7" t="s">
        <v>16</v>
      </c>
      <c r="B619" s="7">
        <v>616.0</v>
      </c>
      <c r="C619" s="1"/>
      <c r="D619" s="2"/>
      <c r="E619" s="2"/>
      <c r="F619" s="2"/>
      <c r="G619" s="2"/>
      <c r="H619" s="2"/>
      <c r="I619" s="2"/>
      <c r="J619" s="2"/>
      <c r="K619" s="3"/>
      <c r="P619" s="3"/>
      <c r="Q619" s="3"/>
      <c r="R619" s="3"/>
    </row>
    <row r="620" ht="15.75" customHeight="1">
      <c r="A620" s="7" t="s">
        <v>16</v>
      </c>
      <c r="B620" s="7">
        <v>617.0</v>
      </c>
      <c r="C620" s="1"/>
      <c r="D620" s="2"/>
      <c r="E620" s="2"/>
      <c r="F620" s="2"/>
      <c r="G620" s="2"/>
      <c r="H620" s="2"/>
      <c r="I620" s="2"/>
      <c r="J620" s="2"/>
      <c r="K620" s="3"/>
      <c r="P620" s="3"/>
      <c r="Q620" s="3"/>
      <c r="R620" s="3"/>
    </row>
    <row r="621" ht="15.75" customHeight="1">
      <c r="A621" s="7" t="s">
        <v>16</v>
      </c>
      <c r="B621" s="7">
        <v>618.0</v>
      </c>
      <c r="C621" s="1"/>
      <c r="D621" s="2"/>
      <c r="E621" s="2"/>
      <c r="F621" s="2"/>
      <c r="G621" s="2"/>
      <c r="H621" s="2"/>
      <c r="I621" s="2"/>
      <c r="J621" s="2"/>
      <c r="K621" s="3"/>
      <c r="P621" s="3"/>
      <c r="Q621" s="3"/>
      <c r="R621" s="3"/>
    </row>
    <row r="622" ht="15.75" customHeight="1">
      <c r="A622" s="7" t="s">
        <v>16</v>
      </c>
      <c r="B622" s="7">
        <v>619.0</v>
      </c>
      <c r="C622" s="1"/>
      <c r="D622" s="2"/>
      <c r="E622" s="2"/>
      <c r="F622" s="2"/>
      <c r="G622" s="2"/>
      <c r="H622" s="2"/>
      <c r="I622" s="2"/>
      <c r="J622" s="2"/>
      <c r="K622" s="3"/>
      <c r="P622" s="3"/>
      <c r="Q622" s="3"/>
      <c r="R622" s="3"/>
    </row>
    <row r="623" ht="15.75" customHeight="1">
      <c r="A623" s="7" t="s">
        <v>16</v>
      </c>
      <c r="B623" s="7">
        <v>620.0</v>
      </c>
      <c r="C623" s="1"/>
      <c r="D623" s="2"/>
      <c r="E623" s="2"/>
      <c r="F623" s="2"/>
      <c r="G623" s="2"/>
      <c r="H623" s="2"/>
      <c r="I623" s="2"/>
      <c r="J623" s="2"/>
      <c r="K623" s="3"/>
      <c r="P623" s="3"/>
      <c r="Q623" s="3"/>
      <c r="R623" s="3"/>
    </row>
    <row r="624" ht="15.75" customHeight="1">
      <c r="A624" s="7" t="s">
        <v>16</v>
      </c>
      <c r="B624" s="7">
        <v>621.0</v>
      </c>
      <c r="C624" s="1"/>
      <c r="D624" s="2"/>
      <c r="E624" s="2"/>
      <c r="F624" s="2"/>
      <c r="G624" s="2"/>
      <c r="H624" s="2"/>
      <c r="I624" s="2"/>
      <c r="J624" s="2"/>
      <c r="K624" s="3"/>
      <c r="P624" s="3"/>
      <c r="Q624" s="3"/>
      <c r="R624" s="3"/>
    </row>
    <row r="625" ht="15.75" customHeight="1">
      <c r="A625" s="7" t="s">
        <v>16</v>
      </c>
      <c r="B625" s="7">
        <v>622.0</v>
      </c>
      <c r="C625" s="1"/>
      <c r="D625" s="2"/>
      <c r="E625" s="2"/>
      <c r="F625" s="2"/>
      <c r="G625" s="2"/>
      <c r="H625" s="2"/>
      <c r="I625" s="2"/>
      <c r="J625" s="2"/>
      <c r="K625" s="3"/>
      <c r="P625" s="3"/>
      <c r="Q625" s="3"/>
      <c r="R625" s="3"/>
    </row>
    <row r="626" ht="15.75" customHeight="1">
      <c r="A626" s="7" t="s">
        <v>16</v>
      </c>
      <c r="B626" s="7">
        <v>623.0</v>
      </c>
      <c r="C626" s="1"/>
      <c r="D626" s="2"/>
      <c r="E626" s="2"/>
      <c r="F626" s="2"/>
      <c r="G626" s="2"/>
      <c r="H626" s="2"/>
      <c r="I626" s="2"/>
      <c r="J626" s="2"/>
      <c r="K626" s="3"/>
      <c r="P626" s="3"/>
      <c r="Q626" s="3"/>
      <c r="R626" s="3"/>
    </row>
    <row r="627" ht="15.75" customHeight="1">
      <c r="A627" s="7" t="s">
        <v>16</v>
      </c>
      <c r="B627" s="7">
        <v>624.0</v>
      </c>
      <c r="C627" s="1"/>
      <c r="D627" s="2"/>
      <c r="E627" s="2"/>
      <c r="F627" s="2"/>
      <c r="G627" s="2"/>
      <c r="H627" s="2"/>
      <c r="I627" s="2"/>
      <c r="J627" s="2"/>
      <c r="K627" s="3"/>
      <c r="P627" s="3"/>
      <c r="Q627" s="3"/>
      <c r="R627" s="3"/>
    </row>
    <row r="628" ht="15.75" customHeight="1">
      <c r="A628" s="7" t="s">
        <v>16</v>
      </c>
      <c r="B628" s="7">
        <v>625.0</v>
      </c>
      <c r="C628" s="1"/>
      <c r="D628" s="2"/>
      <c r="E628" s="2"/>
      <c r="F628" s="2"/>
      <c r="G628" s="2"/>
      <c r="H628" s="2"/>
      <c r="I628" s="2"/>
      <c r="J628" s="2"/>
      <c r="K628" s="3"/>
      <c r="P628" s="3"/>
      <c r="Q628" s="3"/>
      <c r="R628" s="3"/>
    </row>
    <row r="629" ht="15.75" customHeight="1">
      <c r="A629" s="7" t="s">
        <v>16</v>
      </c>
      <c r="B629" s="7">
        <v>626.0</v>
      </c>
      <c r="C629" s="1"/>
      <c r="D629" s="2"/>
      <c r="E629" s="2"/>
      <c r="F629" s="2"/>
      <c r="G629" s="2"/>
      <c r="H629" s="2"/>
      <c r="I629" s="2"/>
      <c r="J629" s="2"/>
      <c r="K629" s="3"/>
      <c r="P629" s="3"/>
      <c r="Q629" s="3"/>
      <c r="R629" s="3"/>
    </row>
    <row r="630" ht="15.75" customHeight="1">
      <c r="A630" s="7" t="s">
        <v>16</v>
      </c>
      <c r="B630" s="7">
        <v>627.0</v>
      </c>
      <c r="C630" s="1"/>
      <c r="D630" s="2"/>
      <c r="E630" s="2"/>
      <c r="F630" s="2"/>
      <c r="G630" s="2"/>
      <c r="H630" s="2"/>
      <c r="I630" s="2"/>
      <c r="J630" s="2"/>
      <c r="K630" s="3"/>
      <c r="P630" s="3"/>
      <c r="Q630" s="3"/>
      <c r="R630" s="3"/>
    </row>
    <row r="631" ht="15.75" customHeight="1">
      <c r="A631" s="7" t="s">
        <v>16</v>
      </c>
      <c r="B631" s="7">
        <v>628.0</v>
      </c>
      <c r="C631" s="1"/>
      <c r="D631" s="2"/>
      <c r="E631" s="2"/>
      <c r="F631" s="2"/>
      <c r="G631" s="2"/>
      <c r="H631" s="2"/>
      <c r="I631" s="2"/>
      <c r="J631" s="2"/>
      <c r="K631" s="3"/>
      <c r="P631" s="3"/>
      <c r="Q631" s="3"/>
      <c r="R631" s="3"/>
    </row>
    <row r="632" ht="15.75" customHeight="1">
      <c r="A632" s="7" t="s">
        <v>16</v>
      </c>
      <c r="B632" s="7">
        <v>629.0</v>
      </c>
      <c r="C632" s="1"/>
      <c r="D632" s="2"/>
      <c r="E632" s="2"/>
      <c r="F632" s="2"/>
      <c r="G632" s="2"/>
      <c r="H632" s="2"/>
      <c r="I632" s="2"/>
      <c r="J632" s="2"/>
      <c r="K632" s="3"/>
      <c r="P632" s="3"/>
      <c r="Q632" s="3"/>
      <c r="R632" s="3"/>
    </row>
    <row r="633" ht="15.75" customHeight="1">
      <c r="A633" s="7" t="s">
        <v>16</v>
      </c>
      <c r="B633" s="7">
        <v>630.0</v>
      </c>
      <c r="C633" s="1"/>
      <c r="D633" s="2"/>
      <c r="E633" s="2"/>
      <c r="F633" s="2"/>
      <c r="G633" s="2"/>
      <c r="H633" s="2"/>
      <c r="I633" s="2"/>
      <c r="J633" s="2"/>
      <c r="K633" s="3"/>
      <c r="P633" s="3"/>
      <c r="Q633" s="3"/>
      <c r="R633" s="3"/>
    </row>
    <row r="634" ht="15.75" customHeight="1">
      <c r="A634" s="7" t="s">
        <v>16</v>
      </c>
      <c r="B634" s="7">
        <v>631.0</v>
      </c>
      <c r="C634" s="1"/>
      <c r="D634" s="2"/>
      <c r="E634" s="2"/>
      <c r="F634" s="2"/>
      <c r="G634" s="2"/>
      <c r="H634" s="2"/>
      <c r="I634" s="2"/>
      <c r="J634" s="2"/>
      <c r="K634" s="3"/>
      <c r="P634" s="3"/>
      <c r="Q634" s="3"/>
      <c r="R634" s="3"/>
    </row>
    <row r="635" ht="15.75" customHeight="1">
      <c r="A635" s="7" t="s">
        <v>16</v>
      </c>
      <c r="B635" s="7">
        <v>632.0</v>
      </c>
      <c r="C635" s="1"/>
      <c r="D635" s="2"/>
      <c r="E635" s="2"/>
      <c r="F635" s="2"/>
      <c r="G635" s="2"/>
      <c r="H635" s="2"/>
      <c r="I635" s="2"/>
      <c r="J635" s="2"/>
      <c r="K635" s="3"/>
      <c r="P635" s="3"/>
      <c r="Q635" s="3"/>
      <c r="R635" s="3"/>
    </row>
    <row r="636" ht="15.75" customHeight="1">
      <c r="A636" s="7" t="s">
        <v>16</v>
      </c>
      <c r="B636" s="7">
        <v>633.0</v>
      </c>
      <c r="C636" s="1"/>
      <c r="D636" s="2"/>
      <c r="E636" s="2"/>
      <c r="F636" s="2"/>
      <c r="G636" s="2"/>
      <c r="H636" s="2"/>
      <c r="I636" s="2"/>
      <c r="J636" s="2"/>
      <c r="K636" s="3"/>
      <c r="P636" s="3"/>
      <c r="Q636" s="3"/>
      <c r="R636" s="3"/>
    </row>
    <row r="637" ht="15.75" customHeight="1">
      <c r="A637" s="7" t="s">
        <v>16</v>
      </c>
      <c r="B637" s="7">
        <v>634.0</v>
      </c>
      <c r="C637" s="1"/>
      <c r="D637" s="2"/>
      <c r="E637" s="2"/>
      <c r="F637" s="2"/>
      <c r="G637" s="2"/>
      <c r="H637" s="2"/>
      <c r="I637" s="2"/>
      <c r="J637" s="2"/>
      <c r="K637" s="3"/>
      <c r="P637" s="3"/>
      <c r="Q637" s="3"/>
      <c r="R637" s="3"/>
    </row>
    <row r="638" ht="15.75" customHeight="1">
      <c r="A638" s="7" t="s">
        <v>16</v>
      </c>
      <c r="B638" s="7">
        <v>635.0</v>
      </c>
      <c r="C638" s="1"/>
      <c r="D638" s="2"/>
      <c r="E638" s="2"/>
      <c r="F638" s="2"/>
      <c r="G638" s="2"/>
      <c r="H638" s="2"/>
      <c r="I638" s="2"/>
      <c r="J638" s="2"/>
      <c r="K638" s="3"/>
      <c r="P638" s="3"/>
      <c r="Q638" s="3"/>
      <c r="R638" s="3"/>
    </row>
    <row r="639" ht="15.75" customHeight="1">
      <c r="A639" s="7" t="s">
        <v>16</v>
      </c>
      <c r="B639" s="7">
        <v>636.0</v>
      </c>
      <c r="C639" s="1"/>
      <c r="D639" s="2"/>
      <c r="E639" s="2"/>
      <c r="F639" s="2"/>
      <c r="G639" s="2"/>
      <c r="H639" s="2"/>
      <c r="I639" s="2"/>
      <c r="J639" s="2"/>
      <c r="K639" s="3"/>
      <c r="P639" s="3"/>
      <c r="Q639" s="3"/>
      <c r="R639" s="3"/>
    </row>
    <row r="640" ht="15.75" customHeight="1">
      <c r="A640" s="7" t="s">
        <v>16</v>
      </c>
      <c r="B640" s="7">
        <v>637.0</v>
      </c>
      <c r="C640" s="1"/>
      <c r="D640" s="2"/>
      <c r="E640" s="2"/>
      <c r="F640" s="2"/>
      <c r="G640" s="2"/>
      <c r="H640" s="2"/>
      <c r="I640" s="2"/>
      <c r="J640" s="2"/>
      <c r="K640" s="3"/>
      <c r="P640" s="3"/>
      <c r="Q640" s="3"/>
      <c r="R640" s="3"/>
    </row>
    <row r="641" ht="15.75" customHeight="1">
      <c r="A641" s="7" t="s">
        <v>16</v>
      </c>
      <c r="B641" s="7">
        <v>638.0</v>
      </c>
      <c r="C641" s="1"/>
      <c r="D641" s="2"/>
      <c r="E641" s="2"/>
      <c r="F641" s="2"/>
      <c r="G641" s="2"/>
      <c r="H641" s="2"/>
      <c r="I641" s="2"/>
      <c r="J641" s="2"/>
      <c r="K641" s="3"/>
      <c r="P641" s="3"/>
      <c r="Q641" s="3"/>
      <c r="R641" s="3"/>
    </row>
    <row r="642" ht="15.75" customHeight="1">
      <c r="A642" s="7" t="s">
        <v>16</v>
      </c>
      <c r="B642" s="7">
        <v>639.0</v>
      </c>
      <c r="C642" s="1"/>
      <c r="D642" s="2"/>
      <c r="E642" s="2"/>
      <c r="F642" s="2"/>
      <c r="G642" s="2"/>
      <c r="H642" s="2"/>
      <c r="I642" s="2"/>
      <c r="J642" s="2"/>
      <c r="K642" s="3"/>
      <c r="P642" s="3"/>
      <c r="Q642" s="3"/>
      <c r="R642" s="3"/>
    </row>
    <row r="643" ht="15.75" customHeight="1">
      <c r="A643" s="7" t="s">
        <v>16</v>
      </c>
      <c r="B643" s="7">
        <v>640.0</v>
      </c>
      <c r="C643" s="1"/>
      <c r="D643" s="2"/>
      <c r="E643" s="2"/>
      <c r="F643" s="2"/>
      <c r="G643" s="2"/>
      <c r="H643" s="2"/>
      <c r="I643" s="2"/>
      <c r="J643" s="2"/>
      <c r="K643" s="3"/>
      <c r="P643" s="3"/>
      <c r="Q643" s="3"/>
      <c r="R643" s="3"/>
    </row>
    <row r="644" ht="15.75" customHeight="1">
      <c r="A644" s="7" t="s">
        <v>16</v>
      </c>
      <c r="B644" s="7">
        <v>641.0</v>
      </c>
      <c r="C644" s="1"/>
      <c r="D644" s="2"/>
      <c r="E644" s="2"/>
      <c r="F644" s="2"/>
      <c r="G644" s="2"/>
      <c r="H644" s="2"/>
      <c r="I644" s="2"/>
      <c r="J644" s="2"/>
      <c r="K644" s="3"/>
      <c r="P644" s="3"/>
      <c r="Q644" s="3"/>
      <c r="R644" s="3"/>
    </row>
    <row r="645" ht="15.75" customHeight="1">
      <c r="A645" s="7" t="s">
        <v>16</v>
      </c>
      <c r="B645" s="7">
        <v>642.0</v>
      </c>
      <c r="C645" s="1"/>
      <c r="D645" s="2"/>
      <c r="E645" s="2"/>
      <c r="F645" s="2"/>
      <c r="G645" s="2"/>
      <c r="H645" s="2"/>
      <c r="I645" s="2"/>
      <c r="J645" s="2"/>
      <c r="K645" s="3"/>
      <c r="P645" s="3"/>
      <c r="Q645" s="3"/>
      <c r="R645" s="3"/>
    </row>
    <row r="646" ht="15.75" customHeight="1">
      <c r="A646" s="7" t="s">
        <v>16</v>
      </c>
      <c r="B646" s="7">
        <v>643.0</v>
      </c>
      <c r="C646" s="1"/>
      <c r="D646" s="2"/>
      <c r="E646" s="2"/>
      <c r="F646" s="2"/>
      <c r="G646" s="2"/>
      <c r="H646" s="2"/>
      <c r="I646" s="2"/>
      <c r="J646" s="2"/>
      <c r="K646" s="3"/>
      <c r="P646" s="3"/>
      <c r="Q646" s="3"/>
      <c r="R646" s="3"/>
    </row>
    <row r="647" ht="15.75" customHeight="1">
      <c r="A647" s="7" t="s">
        <v>16</v>
      </c>
      <c r="B647" s="7">
        <v>644.0</v>
      </c>
      <c r="C647" s="1"/>
      <c r="D647" s="2"/>
      <c r="E647" s="2"/>
      <c r="F647" s="2"/>
      <c r="G647" s="2"/>
      <c r="H647" s="2"/>
      <c r="I647" s="2"/>
      <c r="J647" s="2"/>
      <c r="K647" s="3"/>
      <c r="P647" s="3"/>
      <c r="Q647" s="3"/>
      <c r="R647" s="3"/>
    </row>
    <row r="648" ht="15.75" customHeight="1">
      <c r="A648" s="7" t="s">
        <v>16</v>
      </c>
      <c r="B648" s="7">
        <v>645.0</v>
      </c>
      <c r="C648" s="1"/>
      <c r="D648" s="2"/>
      <c r="E648" s="2"/>
      <c r="F648" s="2"/>
      <c r="G648" s="2"/>
      <c r="H648" s="2"/>
      <c r="I648" s="2"/>
      <c r="J648" s="2"/>
      <c r="K648" s="3"/>
      <c r="P648" s="3"/>
      <c r="Q648" s="3"/>
      <c r="R648" s="3"/>
    </row>
    <row r="649" ht="15.75" customHeight="1">
      <c r="A649" s="7" t="s">
        <v>16</v>
      </c>
      <c r="B649" s="7">
        <v>646.0</v>
      </c>
      <c r="C649" s="1"/>
      <c r="D649" s="2"/>
      <c r="E649" s="2"/>
      <c r="F649" s="2"/>
      <c r="G649" s="2"/>
      <c r="H649" s="2"/>
      <c r="I649" s="2"/>
      <c r="J649" s="2"/>
      <c r="K649" s="3"/>
      <c r="P649" s="3"/>
      <c r="Q649" s="3"/>
      <c r="R649" s="3"/>
    </row>
    <row r="650" ht="15.75" customHeight="1">
      <c r="A650" s="7" t="s">
        <v>16</v>
      </c>
      <c r="B650" s="7">
        <v>647.0</v>
      </c>
      <c r="C650" s="1"/>
      <c r="D650" s="2"/>
      <c r="E650" s="2"/>
      <c r="F650" s="2"/>
      <c r="G650" s="2"/>
      <c r="H650" s="2"/>
      <c r="I650" s="2"/>
      <c r="J650" s="2"/>
      <c r="K650" s="3"/>
      <c r="P650" s="3"/>
      <c r="Q650" s="3"/>
      <c r="R650" s="3"/>
    </row>
    <row r="651" ht="15.75" customHeight="1">
      <c r="A651" s="7" t="s">
        <v>16</v>
      </c>
      <c r="B651" s="7">
        <v>648.0</v>
      </c>
      <c r="C651" s="1"/>
      <c r="D651" s="2"/>
      <c r="E651" s="2"/>
      <c r="F651" s="2"/>
      <c r="G651" s="2"/>
      <c r="H651" s="2"/>
      <c r="I651" s="2"/>
      <c r="J651" s="2"/>
      <c r="K651" s="3"/>
      <c r="P651" s="3"/>
      <c r="Q651" s="3"/>
      <c r="R651" s="3"/>
    </row>
    <row r="652" ht="15.75" customHeight="1">
      <c r="A652" s="7" t="s">
        <v>16</v>
      </c>
      <c r="B652" s="7">
        <v>649.0</v>
      </c>
      <c r="C652" s="1"/>
      <c r="D652" s="2"/>
      <c r="E652" s="2"/>
      <c r="F652" s="2"/>
      <c r="G652" s="2"/>
      <c r="H652" s="2"/>
      <c r="I652" s="2"/>
      <c r="J652" s="2"/>
      <c r="K652" s="3"/>
      <c r="P652" s="3"/>
      <c r="Q652" s="3"/>
      <c r="R652" s="3"/>
    </row>
    <row r="653" ht="15.75" customHeight="1">
      <c r="A653" s="7" t="s">
        <v>16</v>
      </c>
      <c r="B653" s="7">
        <v>650.0</v>
      </c>
      <c r="C653" s="1"/>
      <c r="D653" s="2"/>
      <c r="E653" s="2"/>
      <c r="F653" s="2"/>
      <c r="G653" s="2"/>
      <c r="H653" s="2"/>
      <c r="I653" s="2"/>
      <c r="J653" s="2"/>
      <c r="K653" s="3"/>
      <c r="P653" s="3"/>
      <c r="Q653" s="3"/>
      <c r="R653" s="3"/>
    </row>
    <row r="654" ht="15.75" customHeight="1">
      <c r="A654" s="7" t="s">
        <v>16</v>
      </c>
      <c r="B654" s="7">
        <v>651.0</v>
      </c>
      <c r="C654" s="1"/>
      <c r="D654" s="2"/>
      <c r="E654" s="2"/>
      <c r="F654" s="2"/>
      <c r="G654" s="2"/>
      <c r="H654" s="2"/>
      <c r="I654" s="2"/>
      <c r="J654" s="2"/>
      <c r="K654" s="3"/>
      <c r="P654" s="3"/>
      <c r="Q654" s="3"/>
      <c r="R654" s="3"/>
    </row>
    <row r="655" ht="15.75" customHeight="1">
      <c r="A655" s="7" t="s">
        <v>16</v>
      </c>
      <c r="B655" s="7">
        <v>652.0</v>
      </c>
      <c r="C655" s="1"/>
      <c r="D655" s="2"/>
      <c r="E655" s="2"/>
      <c r="F655" s="2"/>
      <c r="G655" s="2"/>
      <c r="H655" s="2"/>
      <c r="I655" s="2"/>
      <c r="J655" s="2"/>
      <c r="K655" s="3"/>
      <c r="P655" s="3"/>
      <c r="Q655" s="3"/>
      <c r="R655" s="3"/>
    </row>
    <row r="656" ht="15.75" customHeight="1">
      <c r="A656" s="7" t="s">
        <v>16</v>
      </c>
      <c r="B656" s="7">
        <v>653.0</v>
      </c>
      <c r="C656" s="1"/>
      <c r="D656" s="2"/>
      <c r="E656" s="2"/>
      <c r="F656" s="2"/>
      <c r="G656" s="2"/>
      <c r="H656" s="2"/>
      <c r="I656" s="2"/>
      <c r="J656" s="2"/>
      <c r="K656" s="3"/>
      <c r="P656" s="3"/>
      <c r="Q656" s="3"/>
      <c r="R656" s="3"/>
    </row>
    <row r="657" ht="15.75" customHeight="1">
      <c r="A657" s="7" t="s">
        <v>16</v>
      </c>
      <c r="B657" s="7">
        <v>654.0</v>
      </c>
      <c r="C657" s="1"/>
      <c r="D657" s="2"/>
      <c r="E657" s="2"/>
      <c r="F657" s="2"/>
      <c r="G657" s="2"/>
      <c r="H657" s="2"/>
      <c r="I657" s="2"/>
      <c r="J657" s="2"/>
      <c r="K657" s="3"/>
      <c r="P657" s="3"/>
      <c r="Q657" s="3"/>
      <c r="R657" s="3"/>
    </row>
    <row r="658" ht="15.75" customHeight="1">
      <c r="A658" s="7" t="s">
        <v>16</v>
      </c>
      <c r="B658" s="7">
        <v>655.0</v>
      </c>
      <c r="C658" s="1"/>
      <c r="D658" s="2"/>
      <c r="E658" s="2"/>
      <c r="F658" s="2"/>
      <c r="G658" s="2"/>
      <c r="H658" s="2"/>
      <c r="I658" s="2"/>
      <c r="J658" s="2"/>
      <c r="K658" s="3"/>
      <c r="P658" s="3"/>
      <c r="Q658" s="3"/>
      <c r="R658" s="3"/>
    </row>
    <row r="659" ht="15.75" customHeight="1">
      <c r="A659" s="7" t="s">
        <v>16</v>
      </c>
      <c r="B659" s="7">
        <v>656.0</v>
      </c>
      <c r="C659" s="1"/>
      <c r="D659" s="2"/>
      <c r="E659" s="2"/>
      <c r="F659" s="2"/>
      <c r="G659" s="2"/>
      <c r="H659" s="2"/>
      <c r="I659" s="2"/>
      <c r="J659" s="2"/>
      <c r="K659" s="3"/>
      <c r="P659" s="3"/>
      <c r="Q659" s="3"/>
      <c r="R659" s="3"/>
    </row>
    <row r="660" ht="15.75" customHeight="1">
      <c r="A660" s="7" t="s">
        <v>16</v>
      </c>
      <c r="B660" s="7">
        <v>657.0</v>
      </c>
      <c r="C660" s="1"/>
      <c r="D660" s="2"/>
      <c r="E660" s="2"/>
      <c r="F660" s="2"/>
      <c r="G660" s="2"/>
      <c r="H660" s="2"/>
      <c r="I660" s="2"/>
      <c r="J660" s="2"/>
      <c r="K660" s="3"/>
      <c r="P660" s="3"/>
      <c r="Q660" s="3"/>
      <c r="R660" s="3"/>
    </row>
    <row r="661" ht="15.75" customHeight="1">
      <c r="A661" s="7" t="s">
        <v>16</v>
      </c>
      <c r="B661" s="7">
        <v>658.0</v>
      </c>
      <c r="C661" s="1"/>
      <c r="D661" s="2"/>
      <c r="E661" s="2"/>
      <c r="F661" s="2"/>
      <c r="G661" s="2"/>
      <c r="H661" s="2"/>
      <c r="I661" s="2"/>
      <c r="J661" s="2"/>
      <c r="K661" s="3"/>
      <c r="P661" s="3"/>
      <c r="Q661" s="3"/>
      <c r="R661" s="3"/>
    </row>
    <row r="662" ht="15.75" customHeight="1">
      <c r="A662" s="7" t="s">
        <v>16</v>
      </c>
      <c r="B662" s="7">
        <v>659.0</v>
      </c>
      <c r="C662" s="1"/>
      <c r="D662" s="2"/>
      <c r="E662" s="2"/>
      <c r="F662" s="2"/>
      <c r="G662" s="2"/>
      <c r="H662" s="2"/>
      <c r="I662" s="2"/>
      <c r="J662" s="2"/>
      <c r="K662" s="3"/>
      <c r="P662" s="3"/>
      <c r="Q662" s="3"/>
      <c r="R662" s="3"/>
    </row>
    <row r="663" ht="15.75" customHeight="1">
      <c r="A663" s="7" t="s">
        <v>16</v>
      </c>
      <c r="B663" s="7">
        <v>660.0</v>
      </c>
      <c r="C663" s="1"/>
      <c r="D663" s="2"/>
      <c r="E663" s="2"/>
      <c r="F663" s="2"/>
      <c r="G663" s="2"/>
      <c r="H663" s="2"/>
      <c r="I663" s="2"/>
      <c r="J663" s="2"/>
      <c r="K663" s="3"/>
      <c r="P663" s="3"/>
      <c r="Q663" s="3"/>
      <c r="R663" s="3"/>
    </row>
    <row r="664" ht="15.75" customHeight="1">
      <c r="A664" s="7" t="s">
        <v>16</v>
      </c>
      <c r="B664" s="7">
        <v>661.0</v>
      </c>
      <c r="C664" s="1"/>
      <c r="D664" s="2"/>
      <c r="E664" s="2"/>
      <c r="F664" s="2"/>
      <c r="G664" s="2"/>
      <c r="H664" s="2"/>
      <c r="I664" s="2"/>
      <c r="J664" s="2"/>
      <c r="K664" s="3"/>
      <c r="P664" s="3"/>
      <c r="Q664" s="3"/>
      <c r="R664" s="3"/>
    </row>
    <row r="665" ht="15.75" customHeight="1">
      <c r="A665" s="7" t="s">
        <v>16</v>
      </c>
      <c r="B665" s="7">
        <v>662.0</v>
      </c>
      <c r="C665" s="1"/>
      <c r="D665" s="2"/>
      <c r="E665" s="2"/>
      <c r="F665" s="2"/>
      <c r="G665" s="2"/>
      <c r="H665" s="2"/>
      <c r="I665" s="2"/>
      <c r="J665" s="2"/>
      <c r="K665" s="3"/>
      <c r="P665" s="3"/>
      <c r="Q665" s="3"/>
      <c r="R665" s="3"/>
    </row>
    <row r="666" ht="15.75" customHeight="1">
      <c r="A666" s="7" t="s">
        <v>16</v>
      </c>
      <c r="B666" s="7">
        <v>663.0</v>
      </c>
      <c r="C666" s="1"/>
      <c r="D666" s="2"/>
      <c r="E666" s="2"/>
      <c r="F666" s="2"/>
      <c r="G666" s="2"/>
      <c r="H666" s="2"/>
      <c r="I666" s="2"/>
      <c r="J666" s="2"/>
      <c r="K666" s="3"/>
      <c r="P666" s="3"/>
      <c r="Q666" s="3"/>
      <c r="R666" s="3"/>
    </row>
    <row r="667" ht="15.75" customHeight="1">
      <c r="A667" s="7" t="s">
        <v>16</v>
      </c>
      <c r="B667" s="7">
        <v>664.0</v>
      </c>
      <c r="C667" s="1"/>
      <c r="D667" s="2"/>
      <c r="E667" s="2"/>
      <c r="F667" s="2"/>
      <c r="G667" s="2"/>
      <c r="H667" s="2"/>
      <c r="I667" s="2"/>
      <c r="J667" s="2"/>
      <c r="K667" s="3"/>
      <c r="P667" s="3"/>
      <c r="Q667" s="3"/>
      <c r="R667" s="3"/>
    </row>
    <row r="668" ht="15.75" customHeight="1">
      <c r="A668" s="7" t="s">
        <v>16</v>
      </c>
      <c r="B668" s="7">
        <v>665.0</v>
      </c>
      <c r="C668" s="1"/>
      <c r="D668" s="2"/>
      <c r="E668" s="2"/>
      <c r="F668" s="2"/>
      <c r="G668" s="2"/>
      <c r="H668" s="2"/>
      <c r="I668" s="2"/>
      <c r="J668" s="2"/>
      <c r="K668" s="3"/>
      <c r="P668" s="3"/>
      <c r="Q668" s="3"/>
      <c r="R668" s="3"/>
    </row>
    <row r="669" ht="15.75" customHeight="1">
      <c r="A669" s="7" t="s">
        <v>16</v>
      </c>
      <c r="B669" s="7">
        <v>666.0</v>
      </c>
      <c r="C669" s="1"/>
      <c r="D669" s="2"/>
      <c r="E669" s="2"/>
      <c r="F669" s="2"/>
      <c r="G669" s="2"/>
      <c r="H669" s="2"/>
      <c r="I669" s="2"/>
      <c r="J669" s="2"/>
      <c r="K669" s="3"/>
      <c r="P669" s="3"/>
      <c r="Q669" s="3"/>
      <c r="R669" s="3"/>
    </row>
    <row r="670" ht="15.75" customHeight="1">
      <c r="A670" s="7" t="s">
        <v>16</v>
      </c>
      <c r="B670" s="7">
        <v>667.0</v>
      </c>
      <c r="C670" s="1"/>
      <c r="D670" s="2"/>
      <c r="E670" s="2"/>
      <c r="F670" s="2"/>
      <c r="G670" s="2"/>
      <c r="H670" s="2"/>
      <c r="I670" s="2"/>
      <c r="J670" s="2"/>
      <c r="K670" s="3"/>
      <c r="P670" s="3"/>
      <c r="Q670" s="3"/>
      <c r="R670" s="3"/>
    </row>
    <row r="671" ht="15.75" customHeight="1">
      <c r="A671" s="7" t="s">
        <v>16</v>
      </c>
      <c r="B671" s="7">
        <v>668.0</v>
      </c>
      <c r="C671" s="1"/>
      <c r="D671" s="2"/>
      <c r="E671" s="2"/>
      <c r="F671" s="2"/>
      <c r="G671" s="2"/>
      <c r="H671" s="2"/>
      <c r="I671" s="2"/>
      <c r="J671" s="2"/>
      <c r="K671" s="3"/>
      <c r="P671" s="3"/>
      <c r="Q671" s="3"/>
      <c r="R671" s="3"/>
    </row>
    <row r="672" ht="15.75" customHeight="1">
      <c r="A672" s="7" t="s">
        <v>16</v>
      </c>
      <c r="B672" s="7">
        <v>669.0</v>
      </c>
      <c r="C672" s="1"/>
      <c r="D672" s="2"/>
      <c r="E672" s="2"/>
      <c r="F672" s="2"/>
      <c r="G672" s="2"/>
      <c r="H672" s="2"/>
      <c r="I672" s="2"/>
      <c r="J672" s="2"/>
      <c r="K672" s="3"/>
      <c r="P672" s="3"/>
      <c r="Q672" s="3"/>
      <c r="R672" s="3"/>
    </row>
    <row r="673" ht="15.75" customHeight="1">
      <c r="A673" s="7" t="s">
        <v>16</v>
      </c>
      <c r="B673" s="7">
        <v>670.0</v>
      </c>
      <c r="C673" s="1"/>
      <c r="D673" s="2"/>
      <c r="E673" s="2"/>
      <c r="F673" s="2"/>
      <c r="G673" s="2"/>
      <c r="H673" s="2"/>
      <c r="I673" s="2"/>
      <c r="J673" s="2"/>
      <c r="K673" s="3"/>
      <c r="P673" s="3"/>
      <c r="Q673" s="3"/>
      <c r="R673" s="3"/>
    </row>
    <row r="674" ht="15.75" customHeight="1">
      <c r="A674" s="7" t="s">
        <v>16</v>
      </c>
      <c r="B674" s="7">
        <v>671.0</v>
      </c>
      <c r="C674" s="1"/>
      <c r="D674" s="2"/>
      <c r="E674" s="2"/>
      <c r="F674" s="2"/>
      <c r="G674" s="2"/>
      <c r="H674" s="2"/>
      <c r="I674" s="2"/>
      <c r="J674" s="2"/>
      <c r="K674" s="3"/>
      <c r="P674" s="3"/>
      <c r="Q674" s="3"/>
      <c r="R674" s="3"/>
    </row>
    <row r="675" ht="15.75" customHeight="1">
      <c r="A675" s="7" t="s">
        <v>16</v>
      </c>
      <c r="B675" s="7">
        <v>672.0</v>
      </c>
      <c r="C675" s="1"/>
      <c r="D675" s="2"/>
      <c r="E675" s="2"/>
      <c r="F675" s="2"/>
      <c r="G675" s="2"/>
      <c r="H675" s="2"/>
      <c r="I675" s="2"/>
      <c r="J675" s="2"/>
      <c r="K675" s="3"/>
      <c r="P675" s="3"/>
      <c r="Q675" s="3"/>
      <c r="R675" s="3"/>
    </row>
    <row r="676" ht="15.75" customHeight="1">
      <c r="A676" s="7" t="s">
        <v>16</v>
      </c>
      <c r="B676" s="7">
        <v>673.0</v>
      </c>
      <c r="C676" s="1"/>
      <c r="D676" s="2"/>
      <c r="E676" s="2"/>
      <c r="F676" s="2"/>
      <c r="G676" s="2"/>
      <c r="H676" s="2"/>
      <c r="I676" s="2"/>
      <c r="J676" s="2"/>
      <c r="K676" s="3"/>
      <c r="P676" s="3"/>
      <c r="Q676" s="3"/>
      <c r="R676" s="3"/>
    </row>
    <row r="677" ht="15.75" customHeight="1">
      <c r="A677" s="7" t="s">
        <v>16</v>
      </c>
      <c r="B677" s="7">
        <v>674.0</v>
      </c>
      <c r="C677" s="1"/>
      <c r="D677" s="2"/>
      <c r="E677" s="2"/>
      <c r="F677" s="2"/>
      <c r="G677" s="2"/>
      <c r="H677" s="2"/>
      <c r="I677" s="2"/>
      <c r="J677" s="2"/>
      <c r="K677" s="3"/>
      <c r="P677" s="3"/>
      <c r="Q677" s="3"/>
      <c r="R677" s="3"/>
    </row>
    <row r="678" ht="15.75" customHeight="1">
      <c r="A678" s="7" t="s">
        <v>16</v>
      </c>
      <c r="B678" s="7">
        <v>675.0</v>
      </c>
      <c r="C678" s="1"/>
      <c r="D678" s="2"/>
      <c r="E678" s="2"/>
      <c r="F678" s="2"/>
      <c r="G678" s="2"/>
      <c r="H678" s="2"/>
      <c r="I678" s="2"/>
      <c r="J678" s="2"/>
      <c r="K678" s="3"/>
      <c r="P678" s="3"/>
      <c r="Q678" s="3"/>
      <c r="R678" s="3"/>
    </row>
    <row r="679" ht="15.75" customHeight="1">
      <c r="A679" s="7" t="s">
        <v>16</v>
      </c>
      <c r="B679" s="7">
        <v>676.0</v>
      </c>
      <c r="C679" s="1"/>
      <c r="D679" s="2"/>
      <c r="E679" s="2"/>
      <c r="F679" s="2"/>
      <c r="G679" s="2"/>
      <c r="H679" s="2"/>
      <c r="I679" s="2"/>
      <c r="J679" s="2"/>
      <c r="K679" s="3"/>
      <c r="P679" s="3"/>
      <c r="Q679" s="3"/>
      <c r="R679" s="3"/>
    </row>
    <row r="680" ht="15.75" customHeight="1">
      <c r="A680" s="7" t="s">
        <v>16</v>
      </c>
      <c r="B680" s="7">
        <v>677.0</v>
      </c>
      <c r="C680" s="1"/>
      <c r="D680" s="2"/>
      <c r="E680" s="2"/>
      <c r="F680" s="2"/>
      <c r="G680" s="2"/>
      <c r="H680" s="2"/>
      <c r="I680" s="2"/>
      <c r="J680" s="2"/>
      <c r="K680" s="3"/>
      <c r="P680" s="3"/>
      <c r="Q680" s="3"/>
      <c r="R680" s="3"/>
    </row>
    <row r="681" ht="15.75" customHeight="1">
      <c r="A681" s="7" t="s">
        <v>16</v>
      </c>
      <c r="B681" s="7">
        <v>678.0</v>
      </c>
      <c r="C681" s="1"/>
      <c r="D681" s="2"/>
      <c r="E681" s="2"/>
      <c r="F681" s="2"/>
      <c r="G681" s="2"/>
      <c r="H681" s="2"/>
      <c r="I681" s="2"/>
      <c r="J681" s="2"/>
      <c r="K681" s="3"/>
      <c r="P681" s="3"/>
      <c r="Q681" s="3"/>
      <c r="R681" s="3"/>
    </row>
    <row r="682" ht="15.75" customHeight="1">
      <c r="A682" s="7" t="s">
        <v>16</v>
      </c>
      <c r="B682" s="7">
        <v>679.0</v>
      </c>
      <c r="C682" s="1"/>
      <c r="D682" s="2"/>
      <c r="E682" s="2"/>
      <c r="F682" s="2"/>
      <c r="G682" s="2"/>
      <c r="H682" s="2"/>
      <c r="I682" s="2"/>
      <c r="J682" s="2"/>
      <c r="K682" s="3"/>
      <c r="P682" s="3"/>
      <c r="Q682" s="3"/>
      <c r="R682" s="3"/>
    </row>
    <row r="683" ht="15.75" customHeight="1">
      <c r="A683" s="7" t="s">
        <v>16</v>
      </c>
      <c r="B683" s="7">
        <v>680.0</v>
      </c>
      <c r="C683" s="1"/>
      <c r="D683" s="2"/>
      <c r="E683" s="2"/>
      <c r="F683" s="2"/>
      <c r="G683" s="2"/>
      <c r="H683" s="2"/>
      <c r="I683" s="2"/>
      <c r="J683" s="2"/>
      <c r="K683" s="3"/>
      <c r="P683" s="3"/>
      <c r="Q683" s="3"/>
      <c r="R683" s="3"/>
    </row>
    <row r="684" ht="15.75" customHeight="1">
      <c r="A684" s="7" t="s">
        <v>16</v>
      </c>
      <c r="B684" s="7">
        <v>681.0</v>
      </c>
      <c r="C684" s="1"/>
      <c r="D684" s="2"/>
      <c r="E684" s="2"/>
      <c r="F684" s="2"/>
      <c r="G684" s="2"/>
      <c r="H684" s="2"/>
      <c r="I684" s="2"/>
      <c r="J684" s="2"/>
      <c r="K684" s="3"/>
      <c r="P684" s="3"/>
      <c r="Q684" s="3"/>
      <c r="R684" s="3"/>
    </row>
    <row r="685" ht="15.75" customHeight="1">
      <c r="A685" s="7" t="s">
        <v>16</v>
      </c>
      <c r="B685" s="7">
        <v>682.0</v>
      </c>
      <c r="C685" s="1"/>
      <c r="D685" s="2"/>
      <c r="E685" s="2"/>
      <c r="F685" s="2"/>
      <c r="G685" s="2"/>
      <c r="H685" s="2"/>
      <c r="I685" s="2"/>
      <c r="J685" s="2"/>
      <c r="K685" s="3"/>
      <c r="P685" s="3"/>
      <c r="Q685" s="3"/>
      <c r="R685" s="3"/>
    </row>
    <row r="686" ht="15.75" customHeight="1">
      <c r="A686" s="7" t="s">
        <v>16</v>
      </c>
      <c r="B686" s="7">
        <v>683.0</v>
      </c>
      <c r="C686" s="1"/>
      <c r="D686" s="2"/>
      <c r="E686" s="2"/>
      <c r="F686" s="2"/>
      <c r="G686" s="2"/>
      <c r="H686" s="2"/>
      <c r="I686" s="2"/>
      <c r="J686" s="2"/>
      <c r="K686" s="3"/>
      <c r="P686" s="3"/>
      <c r="Q686" s="3"/>
      <c r="R686" s="3"/>
    </row>
    <row r="687" ht="15.75" customHeight="1">
      <c r="A687" s="7" t="s">
        <v>16</v>
      </c>
      <c r="B687" s="7">
        <v>684.0</v>
      </c>
      <c r="C687" s="1"/>
      <c r="D687" s="2"/>
      <c r="E687" s="2"/>
      <c r="F687" s="2"/>
      <c r="G687" s="2"/>
      <c r="H687" s="2"/>
      <c r="I687" s="2"/>
      <c r="J687" s="2"/>
      <c r="K687" s="3"/>
      <c r="P687" s="3"/>
      <c r="Q687" s="3"/>
      <c r="R687" s="3"/>
    </row>
    <row r="688" ht="15.75" customHeight="1">
      <c r="A688" s="7" t="s">
        <v>16</v>
      </c>
      <c r="B688" s="7">
        <v>685.0</v>
      </c>
      <c r="C688" s="1"/>
      <c r="D688" s="2"/>
      <c r="E688" s="2"/>
      <c r="F688" s="2"/>
      <c r="G688" s="2"/>
      <c r="H688" s="2"/>
      <c r="I688" s="2"/>
      <c r="J688" s="2"/>
      <c r="K688" s="3"/>
      <c r="P688" s="3"/>
      <c r="Q688" s="3"/>
      <c r="R688" s="3"/>
    </row>
    <row r="689" ht="15.75" customHeight="1">
      <c r="A689" s="7" t="s">
        <v>16</v>
      </c>
      <c r="B689" s="7">
        <v>686.0</v>
      </c>
      <c r="C689" s="1"/>
      <c r="D689" s="2"/>
      <c r="E689" s="2"/>
      <c r="F689" s="2"/>
      <c r="G689" s="2"/>
      <c r="H689" s="2"/>
      <c r="I689" s="2"/>
      <c r="J689" s="2"/>
      <c r="K689" s="3"/>
      <c r="P689" s="3"/>
      <c r="Q689" s="3"/>
      <c r="R689" s="3"/>
    </row>
    <row r="690" ht="15.75" customHeight="1">
      <c r="A690" s="7" t="s">
        <v>16</v>
      </c>
      <c r="B690" s="7">
        <v>687.0</v>
      </c>
      <c r="C690" s="1"/>
      <c r="D690" s="2"/>
      <c r="E690" s="2"/>
      <c r="F690" s="2"/>
      <c r="G690" s="2"/>
      <c r="H690" s="2"/>
      <c r="I690" s="2"/>
      <c r="J690" s="2"/>
      <c r="K690" s="3"/>
      <c r="P690" s="3"/>
      <c r="Q690" s="3"/>
      <c r="R690" s="3"/>
    </row>
    <row r="691" ht="15.75" customHeight="1">
      <c r="A691" s="7" t="s">
        <v>16</v>
      </c>
      <c r="B691" s="7">
        <v>688.0</v>
      </c>
      <c r="C691" s="1"/>
      <c r="D691" s="2"/>
      <c r="E691" s="2"/>
      <c r="F691" s="2"/>
      <c r="G691" s="2"/>
      <c r="H691" s="2"/>
      <c r="I691" s="2"/>
      <c r="J691" s="2"/>
      <c r="K691" s="3"/>
      <c r="P691" s="3"/>
      <c r="Q691" s="3"/>
      <c r="R691" s="3"/>
    </row>
    <row r="692" ht="15.75" customHeight="1">
      <c r="A692" s="7" t="s">
        <v>16</v>
      </c>
      <c r="B692" s="7">
        <v>689.0</v>
      </c>
      <c r="C692" s="1"/>
      <c r="D692" s="2"/>
      <c r="E692" s="2"/>
      <c r="F692" s="2"/>
      <c r="G692" s="2"/>
      <c r="H692" s="2"/>
      <c r="I692" s="2"/>
      <c r="J692" s="2"/>
      <c r="K692" s="3"/>
      <c r="P692" s="3"/>
      <c r="Q692" s="3"/>
      <c r="R692" s="3"/>
    </row>
    <row r="693" ht="15.75" customHeight="1">
      <c r="A693" s="7" t="s">
        <v>16</v>
      </c>
      <c r="B693" s="7">
        <v>690.0</v>
      </c>
      <c r="C693" s="1"/>
      <c r="D693" s="2"/>
      <c r="E693" s="2"/>
      <c r="F693" s="2"/>
      <c r="G693" s="2"/>
      <c r="H693" s="2"/>
      <c r="I693" s="2"/>
      <c r="J693" s="2"/>
      <c r="K693" s="3"/>
      <c r="P693" s="3"/>
      <c r="Q693" s="3"/>
      <c r="R693" s="3"/>
    </row>
    <row r="694" ht="15.75" customHeight="1">
      <c r="A694" s="7" t="s">
        <v>16</v>
      </c>
      <c r="B694" s="7">
        <v>691.0</v>
      </c>
      <c r="C694" s="1"/>
      <c r="D694" s="2"/>
      <c r="E694" s="2"/>
      <c r="F694" s="2"/>
      <c r="G694" s="2"/>
      <c r="H694" s="2"/>
      <c r="I694" s="2"/>
      <c r="J694" s="2"/>
      <c r="K694" s="3"/>
      <c r="P694" s="3"/>
      <c r="Q694" s="3"/>
      <c r="R694" s="3"/>
    </row>
    <row r="695" ht="15.75" customHeight="1">
      <c r="A695" s="7" t="s">
        <v>16</v>
      </c>
      <c r="B695" s="7">
        <v>692.0</v>
      </c>
      <c r="C695" s="1"/>
      <c r="D695" s="2"/>
      <c r="E695" s="2"/>
      <c r="F695" s="2"/>
      <c r="G695" s="2"/>
      <c r="H695" s="2"/>
      <c r="I695" s="2"/>
      <c r="J695" s="2"/>
      <c r="K695" s="3"/>
      <c r="P695" s="3"/>
      <c r="Q695" s="3"/>
      <c r="R695" s="3"/>
    </row>
    <row r="696" ht="15.75" customHeight="1">
      <c r="A696" s="7" t="s">
        <v>16</v>
      </c>
      <c r="B696" s="7">
        <v>693.0</v>
      </c>
      <c r="C696" s="1"/>
      <c r="D696" s="2"/>
      <c r="E696" s="2"/>
      <c r="F696" s="2"/>
      <c r="G696" s="2"/>
      <c r="H696" s="2"/>
      <c r="I696" s="2"/>
      <c r="J696" s="2"/>
      <c r="K696" s="3"/>
      <c r="P696" s="3"/>
      <c r="Q696" s="3"/>
      <c r="R696" s="3"/>
    </row>
    <row r="697" ht="15.75" customHeight="1">
      <c r="A697" s="7" t="s">
        <v>16</v>
      </c>
      <c r="B697" s="7">
        <v>694.0</v>
      </c>
      <c r="C697" s="1"/>
      <c r="D697" s="2"/>
      <c r="E697" s="2"/>
      <c r="F697" s="2"/>
      <c r="G697" s="2"/>
      <c r="H697" s="2"/>
      <c r="I697" s="2"/>
      <c r="J697" s="2"/>
      <c r="K697" s="3"/>
      <c r="P697" s="3"/>
      <c r="Q697" s="3"/>
      <c r="R697" s="3"/>
    </row>
    <row r="698" ht="15.75" customHeight="1">
      <c r="A698" s="7" t="s">
        <v>16</v>
      </c>
      <c r="B698" s="7">
        <v>695.0</v>
      </c>
      <c r="C698" s="1"/>
      <c r="D698" s="2"/>
      <c r="E698" s="2"/>
      <c r="F698" s="2"/>
      <c r="G698" s="2"/>
      <c r="H698" s="2"/>
      <c r="I698" s="2"/>
      <c r="J698" s="2"/>
      <c r="K698" s="3"/>
      <c r="P698" s="3"/>
      <c r="Q698" s="3"/>
      <c r="R698" s="3"/>
    </row>
    <row r="699" ht="15.75" customHeight="1">
      <c r="A699" s="7" t="s">
        <v>16</v>
      </c>
      <c r="B699" s="7">
        <v>696.0</v>
      </c>
      <c r="C699" s="1"/>
      <c r="D699" s="2"/>
      <c r="E699" s="2"/>
      <c r="F699" s="2"/>
      <c r="G699" s="2"/>
      <c r="H699" s="2"/>
      <c r="I699" s="2"/>
      <c r="J699" s="2"/>
      <c r="K699" s="3"/>
      <c r="P699" s="3"/>
      <c r="Q699" s="3"/>
      <c r="R699" s="3"/>
    </row>
    <row r="700" ht="15.75" customHeight="1">
      <c r="A700" s="7" t="s">
        <v>16</v>
      </c>
      <c r="B700" s="7">
        <v>697.0</v>
      </c>
      <c r="C700" s="1"/>
      <c r="D700" s="2"/>
      <c r="E700" s="2"/>
      <c r="F700" s="2"/>
      <c r="G700" s="2"/>
      <c r="H700" s="2"/>
      <c r="I700" s="2"/>
      <c r="J700" s="2"/>
      <c r="K700" s="3"/>
      <c r="P700" s="3"/>
      <c r="Q700" s="3"/>
      <c r="R700" s="3"/>
    </row>
    <row r="701" ht="15.75" customHeight="1">
      <c r="A701" s="7" t="s">
        <v>16</v>
      </c>
      <c r="B701" s="7">
        <v>698.0</v>
      </c>
      <c r="C701" s="1"/>
      <c r="D701" s="2"/>
      <c r="E701" s="2"/>
      <c r="F701" s="2"/>
      <c r="G701" s="2"/>
      <c r="H701" s="2"/>
      <c r="I701" s="2"/>
      <c r="J701" s="2"/>
      <c r="K701" s="3"/>
      <c r="P701" s="3"/>
      <c r="Q701" s="3"/>
      <c r="R701" s="3"/>
    </row>
    <row r="702" ht="15.75" customHeight="1">
      <c r="A702" s="7" t="s">
        <v>16</v>
      </c>
      <c r="B702" s="7">
        <v>699.0</v>
      </c>
      <c r="C702" s="1"/>
      <c r="D702" s="2"/>
      <c r="E702" s="2"/>
      <c r="F702" s="2"/>
      <c r="G702" s="2"/>
      <c r="H702" s="2"/>
      <c r="I702" s="2"/>
      <c r="J702" s="2"/>
      <c r="K702" s="3"/>
      <c r="P702" s="3"/>
      <c r="Q702" s="3"/>
      <c r="R702" s="3"/>
    </row>
    <row r="703" ht="15.75" customHeight="1">
      <c r="A703" s="7" t="s">
        <v>16</v>
      </c>
      <c r="B703" s="7">
        <v>700.0</v>
      </c>
      <c r="C703" s="1"/>
      <c r="D703" s="2"/>
      <c r="E703" s="2"/>
      <c r="F703" s="2"/>
      <c r="G703" s="2"/>
      <c r="H703" s="2"/>
      <c r="I703" s="2"/>
      <c r="J703" s="2"/>
      <c r="K703" s="3"/>
      <c r="P703" s="3"/>
      <c r="Q703" s="3"/>
      <c r="R703" s="3"/>
    </row>
    <row r="704" ht="15.75" customHeight="1">
      <c r="A704" s="7" t="s">
        <v>16</v>
      </c>
      <c r="B704" s="7">
        <v>701.0</v>
      </c>
      <c r="C704" s="1"/>
      <c r="D704" s="2"/>
      <c r="E704" s="2"/>
      <c r="F704" s="2"/>
      <c r="G704" s="2"/>
      <c r="H704" s="2"/>
      <c r="I704" s="2"/>
      <c r="J704" s="2"/>
      <c r="K704" s="3"/>
      <c r="P704" s="3"/>
      <c r="Q704" s="3"/>
      <c r="R704" s="3"/>
    </row>
    <row r="705" ht="15.75" customHeight="1">
      <c r="A705" s="7" t="s">
        <v>16</v>
      </c>
      <c r="B705" s="7">
        <v>702.0</v>
      </c>
      <c r="C705" s="1"/>
      <c r="D705" s="2"/>
      <c r="E705" s="2"/>
      <c r="F705" s="2"/>
      <c r="G705" s="2"/>
      <c r="H705" s="2"/>
      <c r="I705" s="2"/>
      <c r="J705" s="2"/>
      <c r="K705" s="3"/>
      <c r="P705" s="3"/>
      <c r="Q705" s="3"/>
      <c r="R705" s="3"/>
    </row>
    <row r="706" ht="15.75" customHeight="1">
      <c r="A706" s="7" t="s">
        <v>16</v>
      </c>
      <c r="B706" s="7">
        <v>703.0</v>
      </c>
      <c r="C706" s="1"/>
      <c r="D706" s="2"/>
      <c r="E706" s="2"/>
      <c r="F706" s="2"/>
      <c r="G706" s="2"/>
      <c r="H706" s="2"/>
      <c r="I706" s="2"/>
      <c r="J706" s="2"/>
      <c r="K706" s="3"/>
      <c r="P706" s="3"/>
      <c r="Q706" s="3"/>
      <c r="R706" s="3"/>
    </row>
    <row r="707" ht="15.75" customHeight="1">
      <c r="A707" s="7" t="s">
        <v>16</v>
      </c>
      <c r="B707" s="7">
        <v>704.0</v>
      </c>
      <c r="C707" s="1"/>
      <c r="D707" s="2"/>
      <c r="E707" s="2"/>
      <c r="F707" s="2"/>
      <c r="G707" s="2"/>
      <c r="H707" s="2"/>
      <c r="I707" s="2"/>
      <c r="J707" s="2"/>
      <c r="K707" s="3"/>
      <c r="P707" s="3"/>
      <c r="Q707" s="3"/>
      <c r="R707" s="3"/>
    </row>
    <row r="708" ht="15.75" customHeight="1">
      <c r="A708" s="7" t="s">
        <v>16</v>
      </c>
      <c r="B708" s="7">
        <v>705.0</v>
      </c>
      <c r="C708" s="1"/>
      <c r="D708" s="2"/>
      <c r="E708" s="2"/>
      <c r="F708" s="2"/>
      <c r="G708" s="2"/>
      <c r="H708" s="2"/>
      <c r="I708" s="2"/>
      <c r="J708" s="2"/>
      <c r="K708" s="3"/>
      <c r="P708" s="3"/>
      <c r="Q708" s="3"/>
      <c r="R708" s="3"/>
    </row>
    <row r="709" ht="15.75" customHeight="1">
      <c r="A709" s="7" t="s">
        <v>16</v>
      </c>
      <c r="B709" s="7">
        <v>706.0</v>
      </c>
      <c r="C709" s="1"/>
      <c r="D709" s="2"/>
      <c r="E709" s="2"/>
      <c r="F709" s="2"/>
      <c r="G709" s="2"/>
      <c r="H709" s="2"/>
      <c r="I709" s="2"/>
      <c r="J709" s="2"/>
      <c r="K709" s="3"/>
      <c r="P709" s="3"/>
      <c r="Q709" s="3"/>
      <c r="R709" s="3"/>
    </row>
    <row r="710" ht="15.75" customHeight="1">
      <c r="A710" s="7" t="s">
        <v>16</v>
      </c>
      <c r="B710" s="7">
        <v>707.0</v>
      </c>
      <c r="C710" s="1"/>
      <c r="D710" s="2"/>
      <c r="E710" s="2"/>
      <c r="F710" s="2"/>
      <c r="G710" s="2"/>
      <c r="H710" s="2"/>
      <c r="I710" s="2"/>
      <c r="J710" s="2"/>
      <c r="K710" s="3"/>
      <c r="P710" s="3"/>
      <c r="Q710" s="3"/>
      <c r="R710" s="3"/>
    </row>
    <row r="711" ht="15.75" customHeight="1">
      <c r="A711" s="7" t="s">
        <v>16</v>
      </c>
      <c r="B711" s="7">
        <v>708.0</v>
      </c>
      <c r="C711" s="1"/>
      <c r="D711" s="2"/>
      <c r="E711" s="2"/>
      <c r="F711" s="2"/>
      <c r="G711" s="2"/>
      <c r="H711" s="2"/>
      <c r="I711" s="2"/>
      <c r="J711" s="2"/>
      <c r="K711" s="3"/>
      <c r="P711" s="3"/>
      <c r="Q711" s="3"/>
      <c r="R711" s="3"/>
    </row>
    <row r="712" ht="15.75" customHeight="1">
      <c r="A712" s="7" t="s">
        <v>16</v>
      </c>
      <c r="B712" s="7">
        <v>709.0</v>
      </c>
      <c r="C712" s="1"/>
      <c r="D712" s="2"/>
      <c r="E712" s="2"/>
      <c r="F712" s="2"/>
      <c r="G712" s="2"/>
      <c r="H712" s="2"/>
      <c r="I712" s="2"/>
      <c r="J712" s="2"/>
      <c r="K712" s="3"/>
      <c r="P712" s="3"/>
      <c r="Q712" s="3"/>
      <c r="R712" s="3"/>
    </row>
    <row r="713" ht="15.75" customHeight="1">
      <c r="A713" s="7" t="s">
        <v>16</v>
      </c>
      <c r="B713" s="7">
        <v>710.0</v>
      </c>
      <c r="C713" s="1"/>
      <c r="D713" s="2"/>
      <c r="E713" s="2"/>
      <c r="F713" s="2"/>
      <c r="G713" s="2"/>
      <c r="H713" s="2"/>
      <c r="I713" s="2"/>
      <c r="J713" s="2"/>
      <c r="K713" s="3"/>
      <c r="P713" s="3"/>
      <c r="Q713" s="3"/>
      <c r="R713" s="3"/>
    </row>
    <row r="714" ht="15.75" customHeight="1">
      <c r="A714" s="7" t="s">
        <v>16</v>
      </c>
      <c r="B714" s="7">
        <v>711.0</v>
      </c>
      <c r="C714" s="1"/>
      <c r="D714" s="2"/>
      <c r="E714" s="2"/>
      <c r="F714" s="2"/>
      <c r="G714" s="2"/>
      <c r="H714" s="2"/>
      <c r="I714" s="2"/>
      <c r="J714" s="2"/>
      <c r="K714" s="3"/>
      <c r="P714" s="3"/>
      <c r="Q714" s="3"/>
      <c r="R714" s="3"/>
    </row>
    <row r="715" ht="15.75" customHeight="1">
      <c r="A715" s="7" t="s">
        <v>16</v>
      </c>
      <c r="B715" s="7">
        <v>712.0</v>
      </c>
      <c r="C715" s="1"/>
      <c r="D715" s="2"/>
      <c r="E715" s="2"/>
      <c r="F715" s="2"/>
      <c r="G715" s="2"/>
      <c r="H715" s="2"/>
      <c r="I715" s="2"/>
      <c r="J715" s="2"/>
      <c r="K715" s="3"/>
      <c r="P715" s="3"/>
      <c r="Q715" s="3"/>
      <c r="R715" s="3"/>
    </row>
    <row r="716" ht="15.75" customHeight="1">
      <c r="A716" s="7" t="s">
        <v>16</v>
      </c>
      <c r="B716" s="7">
        <v>713.0</v>
      </c>
      <c r="C716" s="1"/>
      <c r="D716" s="2"/>
      <c r="E716" s="2"/>
      <c r="F716" s="2"/>
      <c r="G716" s="2"/>
      <c r="H716" s="2"/>
      <c r="I716" s="2"/>
      <c r="J716" s="2"/>
      <c r="K716" s="3"/>
      <c r="P716" s="3"/>
      <c r="Q716" s="3"/>
      <c r="R716" s="3"/>
    </row>
    <row r="717" ht="15.75" customHeight="1">
      <c r="A717" s="7" t="s">
        <v>16</v>
      </c>
      <c r="B717" s="7">
        <v>714.0</v>
      </c>
      <c r="C717" s="1"/>
      <c r="D717" s="2"/>
      <c r="E717" s="2"/>
      <c r="F717" s="2"/>
      <c r="G717" s="2"/>
      <c r="H717" s="2"/>
      <c r="I717" s="2"/>
      <c r="J717" s="2"/>
      <c r="K717" s="3"/>
      <c r="P717" s="3"/>
      <c r="Q717" s="3"/>
      <c r="R717" s="3"/>
    </row>
    <row r="718" ht="15.75" customHeight="1">
      <c r="A718" s="7" t="s">
        <v>16</v>
      </c>
      <c r="B718" s="7">
        <v>715.0</v>
      </c>
      <c r="C718" s="1"/>
      <c r="D718" s="2"/>
      <c r="E718" s="2"/>
      <c r="F718" s="2"/>
      <c r="G718" s="2"/>
      <c r="H718" s="2"/>
      <c r="I718" s="2"/>
      <c r="J718" s="2"/>
      <c r="K718" s="3"/>
      <c r="P718" s="3"/>
      <c r="Q718" s="3"/>
      <c r="R718" s="3"/>
    </row>
    <row r="719" ht="15.75" customHeight="1">
      <c r="A719" s="7" t="s">
        <v>16</v>
      </c>
      <c r="B719" s="7">
        <v>716.0</v>
      </c>
      <c r="C719" s="1"/>
      <c r="D719" s="2"/>
      <c r="E719" s="2"/>
      <c r="F719" s="2"/>
      <c r="G719" s="2"/>
      <c r="H719" s="2"/>
      <c r="I719" s="2"/>
      <c r="J719" s="2"/>
      <c r="K719" s="3"/>
      <c r="P719" s="3"/>
      <c r="Q719" s="3"/>
      <c r="R719" s="3"/>
    </row>
    <row r="720" ht="15.75" customHeight="1">
      <c r="A720" s="7" t="s">
        <v>16</v>
      </c>
      <c r="B720" s="7">
        <v>717.0</v>
      </c>
      <c r="C720" s="1"/>
      <c r="D720" s="2"/>
      <c r="E720" s="2"/>
      <c r="F720" s="2"/>
      <c r="G720" s="2"/>
      <c r="H720" s="2"/>
      <c r="I720" s="2"/>
      <c r="J720" s="2"/>
      <c r="K720" s="3"/>
      <c r="P720" s="3"/>
      <c r="Q720" s="3"/>
      <c r="R720" s="3"/>
    </row>
    <row r="721" ht="15.75" customHeight="1">
      <c r="A721" s="7" t="s">
        <v>16</v>
      </c>
      <c r="B721" s="7">
        <v>718.0</v>
      </c>
      <c r="C721" s="1"/>
      <c r="D721" s="2"/>
      <c r="E721" s="2"/>
      <c r="F721" s="2"/>
      <c r="G721" s="2"/>
      <c r="H721" s="2"/>
      <c r="I721" s="2"/>
      <c r="J721" s="2"/>
      <c r="K721" s="3"/>
      <c r="P721" s="3"/>
      <c r="Q721" s="3"/>
      <c r="R721" s="3"/>
    </row>
    <row r="722" ht="15.75" customHeight="1">
      <c r="A722" s="7" t="s">
        <v>16</v>
      </c>
      <c r="B722" s="7">
        <v>719.0</v>
      </c>
      <c r="C722" s="1"/>
      <c r="D722" s="2"/>
      <c r="E722" s="2"/>
      <c r="F722" s="2"/>
      <c r="G722" s="2"/>
      <c r="H722" s="2"/>
      <c r="I722" s="2"/>
      <c r="J722" s="2"/>
      <c r="K722" s="3"/>
      <c r="P722" s="3"/>
      <c r="Q722" s="3"/>
      <c r="R722" s="3"/>
    </row>
    <row r="723" ht="15.75" customHeight="1">
      <c r="A723" s="7" t="s">
        <v>16</v>
      </c>
      <c r="B723" s="7">
        <v>720.0</v>
      </c>
      <c r="C723" s="1"/>
      <c r="D723" s="2"/>
      <c r="E723" s="2"/>
      <c r="F723" s="2"/>
      <c r="G723" s="2"/>
      <c r="H723" s="2"/>
      <c r="I723" s="2"/>
      <c r="J723" s="2"/>
      <c r="K723" s="3"/>
      <c r="P723" s="3"/>
      <c r="Q723" s="3"/>
      <c r="R723" s="3"/>
    </row>
    <row r="724" ht="15.75" customHeight="1">
      <c r="A724" s="7" t="s">
        <v>16</v>
      </c>
      <c r="B724" s="7">
        <v>721.0</v>
      </c>
      <c r="C724" s="1"/>
      <c r="D724" s="2"/>
      <c r="E724" s="2"/>
      <c r="F724" s="2"/>
      <c r="G724" s="2"/>
      <c r="H724" s="2"/>
      <c r="I724" s="2"/>
      <c r="J724" s="2"/>
      <c r="K724" s="3"/>
      <c r="P724" s="3"/>
      <c r="Q724" s="3"/>
      <c r="R724" s="3"/>
    </row>
    <row r="725" ht="15.75" customHeight="1">
      <c r="A725" s="7" t="s">
        <v>16</v>
      </c>
      <c r="B725" s="7">
        <v>722.0</v>
      </c>
      <c r="C725" s="1"/>
      <c r="D725" s="2"/>
      <c r="E725" s="2"/>
      <c r="F725" s="2"/>
      <c r="G725" s="2"/>
      <c r="H725" s="2"/>
      <c r="I725" s="2"/>
      <c r="J725" s="2"/>
      <c r="K725" s="3"/>
      <c r="P725" s="3"/>
      <c r="Q725" s="3"/>
      <c r="R725" s="3"/>
    </row>
    <row r="726" ht="15.75" customHeight="1">
      <c r="A726" s="7" t="s">
        <v>16</v>
      </c>
      <c r="B726" s="7">
        <v>723.0</v>
      </c>
      <c r="C726" s="1"/>
      <c r="D726" s="2"/>
      <c r="E726" s="2"/>
      <c r="F726" s="2"/>
      <c r="G726" s="2"/>
      <c r="H726" s="2"/>
      <c r="I726" s="2"/>
      <c r="J726" s="2"/>
      <c r="K726" s="3"/>
      <c r="P726" s="3"/>
      <c r="Q726" s="3"/>
      <c r="R726" s="3"/>
    </row>
    <row r="727" ht="15.75" customHeight="1">
      <c r="A727" s="7" t="s">
        <v>16</v>
      </c>
      <c r="B727" s="7">
        <v>724.0</v>
      </c>
      <c r="C727" s="1"/>
      <c r="D727" s="2"/>
      <c r="E727" s="2"/>
      <c r="F727" s="2"/>
      <c r="G727" s="2"/>
      <c r="H727" s="2"/>
      <c r="I727" s="2"/>
      <c r="J727" s="2"/>
      <c r="K727" s="3"/>
      <c r="P727" s="3"/>
      <c r="Q727" s="3"/>
      <c r="R727" s="3"/>
    </row>
    <row r="728" ht="15.75" customHeight="1">
      <c r="A728" s="7" t="s">
        <v>16</v>
      </c>
      <c r="B728" s="7">
        <v>725.0</v>
      </c>
      <c r="C728" s="1"/>
      <c r="D728" s="2"/>
      <c r="E728" s="2"/>
      <c r="F728" s="2"/>
      <c r="G728" s="2"/>
      <c r="H728" s="2"/>
      <c r="I728" s="2"/>
      <c r="J728" s="2"/>
      <c r="K728" s="3"/>
      <c r="P728" s="3"/>
      <c r="Q728" s="3"/>
      <c r="R728" s="3"/>
    </row>
    <row r="729" ht="15.75" customHeight="1">
      <c r="A729" s="7" t="s">
        <v>16</v>
      </c>
      <c r="B729" s="7">
        <v>726.0</v>
      </c>
      <c r="C729" s="1"/>
      <c r="D729" s="2"/>
      <c r="E729" s="2"/>
      <c r="F729" s="2"/>
      <c r="G729" s="2"/>
      <c r="H729" s="2"/>
      <c r="I729" s="2"/>
      <c r="J729" s="2"/>
      <c r="K729" s="3"/>
      <c r="P729" s="3"/>
      <c r="Q729" s="3"/>
      <c r="R729" s="3"/>
    </row>
    <row r="730" ht="15.75" customHeight="1">
      <c r="A730" s="7" t="s">
        <v>16</v>
      </c>
      <c r="B730" s="7">
        <v>727.0</v>
      </c>
      <c r="C730" s="1"/>
      <c r="D730" s="2"/>
      <c r="E730" s="2"/>
      <c r="F730" s="2"/>
      <c r="G730" s="2"/>
      <c r="H730" s="2"/>
      <c r="I730" s="2"/>
      <c r="J730" s="2"/>
      <c r="K730" s="3"/>
      <c r="P730" s="3"/>
      <c r="Q730" s="3"/>
      <c r="R730" s="3"/>
    </row>
    <row r="731" ht="15.75" customHeight="1">
      <c r="A731" s="7" t="s">
        <v>16</v>
      </c>
      <c r="B731" s="7">
        <v>728.0</v>
      </c>
      <c r="C731" s="1"/>
      <c r="D731" s="2"/>
      <c r="E731" s="2"/>
      <c r="F731" s="2"/>
      <c r="G731" s="2"/>
      <c r="H731" s="2"/>
      <c r="I731" s="2"/>
      <c r="J731" s="2"/>
      <c r="K731" s="3"/>
      <c r="P731" s="3"/>
      <c r="Q731" s="3"/>
      <c r="R731" s="3"/>
    </row>
    <row r="732" ht="15.75" customHeight="1">
      <c r="A732" s="7" t="s">
        <v>16</v>
      </c>
      <c r="B732" s="7">
        <v>729.0</v>
      </c>
      <c r="C732" s="1"/>
      <c r="D732" s="2"/>
      <c r="E732" s="2"/>
      <c r="F732" s="2"/>
      <c r="G732" s="2"/>
      <c r="H732" s="2"/>
      <c r="I732" s="2"/>
      <c r="J732" s="2"/>
      <c r="K732" s="3"/>
      <c r="P732" s="3"/>
      <c r="Q732" s="3"/>
      <c r="R732" s="3"/>
    </row>
    <row r="733" ht="15.75" customHeight="1">
      <c r="A733" s="7" t="s">
        <v>16</v>
      </c>
      <c r="B733" s="7">
        <v>730.0</v>
      </c>
      <c r="C733" s="1"/>
      <c r="D733" s="2"/>
      <c r="E733" s="2"/>
      <c r="F733" s="2"/>
      <c r="G733" s="2"/>
      <c r="H733" s="2"/>
      <c r="I733" s="2"/>
      <c r="J733" s="2"/>
      <c r="K733" s="3"/>
      <c r="P733" s="3"/>
      <c r="Q733" s="3"/>
      <c r="R733" s="3"/>
    </row>
    <row r="734" ht="15.75" customHeight="1">
      <c r="A734" s="7" t="s">
        <v>16</v>
      </c>
      <c r="B734" s="7">
        <v>731.0</v>
      </c>
      <c r="C734" s="1"/>
      <c r="D734" s="2"/>
      <c r="E734" s="2"/>
      <c r="F734" s="2"/>
      <c r="G734" s="2"/>
      <c r="H734" s="2"/>
      <c r="I734" s="2"/>
      <c r="J734" s="2"/>
      <c r="K734" s="3"/>
      <c r="P734" s="3"/>
      <c r="Q734" s="3"/>
      <c r="R734" s="3"/>
    </row>
    <row r="735" ht="15.75" customHeight="1">
      <c r="A735" s="7" t="s">
        <v>16</v>
      </c>
      <c r="B735" s="7">
        <v>732.0</v>
      </c>
      <c r="C735" s="1"/>
      <c r="D735" s="2"/>
      <c r="E735" s="2"/>
      <c r="F735" s="2"/>
      <c r="G735" s="2"/>
      <c r="H735" s="2"/>
      <c r="I735" s="2"/>
      <c r="J735" s="2"/>
      <c r="K735" s="3"/>
      <c r="P735" s="3"/>
      <c r="Q735" s="3"/>
      <c r="R735" s="3"/>
    </row>
    <row r="736" ht="15.75" customHeight="1">
      <c r="A736" s="7" t="s">
        <v>16</v>
      </c>
      <c r="B736" s="7">
        <v>733.0</v>
      </c>
      <c r="C736" s="1"/>
      <c r="D736" s="2"/>
      <c r="E736" s="2"/>
      <c r="F736" s="2"/>
      <c r="G736" s="2"/>
      <c r="H736" s="2"/>
      <c r="I736" s="2"/>
      <c r="J736" s="2"/>
      <c r="K736" s="3"/>
      <c r="P736" s="3"/>
      <c r="Q736" s="3"/>
      <c r="R736" s="3"/>
    </row>
    <row r="737" ht="15.75" customHeight="1">
      <c r="A737" s="7" t="s">
        <v>16</v>
      </c>
      <c r="B737" s="7">
        <v>734.0</v>
      </c>
      <c r="C737" s="1"/>
      <c r="D737" s="2"/>
      <c r="E737" s="2"/>
      <c r="F737" s="2"/>
      <c r="G737" s="2"/>
      <c r="H737" s="2"/>
      <c r="I737" s="2"/>
      <c r="J737" s="2"/>
      <c r="K737" s="3"/>
      <c r="P737" s="3"/>
      <c r="Q737" s="3"/>
      <c r="R737" s="3"/>
    </row>
    <row r="738" ht="15.75" customHeight="1">
      <c r="A738" s="7" t="s">
        <v>16</v>
      </c>
      <c r="B738" s="7">
        <v>735.0</v>
      </c>
      <c r="C738" s="1"/>
      <c r="D738" s="2"/>
      <c r="E738" s="2"/>
      <c r="F738" s="2"/>
      <c r="G738" s="2"/>
      <c r="H738" s="2"/>
      <c r="I738" s="2"/>
      <c r="J738" s="2"/>
      <c r="K738" s="3"/>
      <c r="P738" s="3"/>
      <c r="Q738" s="3"/>
      <c r="R738" s="3"/>
    </row>
    <row r="739" ht="15.75" customHeight="1">
      <c r="A739" s="7" t="s">
        <v>16</v>
      </c>
      <c r="B739" s="7">
        <v>736.0</v>
      </c>
      <c r="C739" s="1"/>
      <c r="D739" s="2"/>
      <c r="E739" s="2"/>
      <c r="F739" s="2"/>
      <c r="G739" s="2"/>
      <c r="H739" s="2"/>
      <c r="I739" s="2"/>
      <c r="J739" s="2"/>
      <c r="K739" s="3"/>
      <c r="P739" s="3"/>
      <c r="Q739" s="3"/>
      <c r="R739" s="3"/>
    </row>
    <row r="740" ht="15.75" customHeight="1">
      <c r="A740" s="7" t="s">
        <v>16</v>
      </c>
      <c r="B740" s="7">
        <v>737.0</v>
      </c>
      <c r="C740" s="1"/>
      <c r="D740" s="2"/>
      <c r="E740" s="2"/>
      <c r="F740" s="2"/>
      <c r="G740" s="2"/>
      <c r="H740" s="2"/>
      <c r="I740" s="2"/>
      <c r="J740" s="2"/>
      <c r="K740" s="3"/>
      <c r="P740" s="3"/>
      <c r="Q740" s="3"/>
      <c r="R740" s="3"/>
    </row>
    <row r="741" ht="15.75" customHeight="1">
      <c r="A741" s="7" t="s">
        <v>16</v>
      </c>
      <c r="B741" s="7">
        <v>738.0</v>
      </c>
      <c r="C741" s="1"/>
      <c r="D741" s="2"/>
      <c r="E741" s="2"/>
      <c r="F741" s="2"/>
      <c r="G741" s="2"/>
      <c r="H741" s="2"/>
      <c r="I741" s="2"/>
      <c r="J741" s="2"/>
      <c r="K741" s="3"/>
      <c r="P741" s="3"/>
      <c r="Q741" s="3"/>
      <c r="R741" s="3"/>
    </row>
    <row r="742" ht="15.75" customHeight="1">
      <c r="A742" s="7" t="s">
        <v>16</v>
      </c>
      <c r="B742" s="7">
        <v>739.0</v>
      </c>
      <c r="C742" s="1"/>
      <c r="D742" s="2"/>
      <c r="E742" s="2"/>
      <c r="F742" s="2"/>
      <c r="G742" s="2"/>
      <c r="H742" s="2"/>
      <c r="I742" s="2"/>
      <c r="J742" s="2"/>
      <c r="K742" s="3"/>
      <c r="P742" s="3"/>
      <c r="Q742" s="3"/>
      <c r="R742" s="3"/>
    </row>
    <row r="743" ht="15.75" customHeight="1">
      <c r="A743" s="7" t="s">
        <v>16</v>
      </c>
      <c r="B743" s="7">
        <v>740.0</v>
      </c>
      <c r="C743" s="1"/>
      <c r="D743" s="2"/>
      <c r="E743" s="2"/>
      <c r="F743" s="2"/>
      <c r="G743" s="2"/>
      <c r="H743" s="2"/>
      <c r="I743" s="2"/>
      <c r="J743" s="2"/>
      <c r="K743" s="3"/>
      <c r="P743" s="3"/>
      <c r="Q743" s="3"/>
      <c r="R743" s="3"/>
    </row>
    <row r="744" ht="15.75" customHeight="1">
      <c r="A744" s="7" t="s">
        <v>16</v>
      </c>
      <c r="B744" s="7">
        <v>741.0</v>
      </c>
      <c r="C744" s="1"/>
      <c r="D744" s="2"/>
      <c r="E744" s="2"/>
      <c r="F744" s="2"/>
      <c r="G744" s="2"/>
      <c r="H744" s="2"/>
      <c r="I744" s="2"/>
      <c r="J744" s="2"/>
      <c r="K744" s="3"/>
      <c r="P744" s="3"/>
      <c r="Q744" s="3"/>
      <c r="R744" s="3"/>
    </row>
    <row r="745" ht="15.75" customHeight="1">
      <c r="A745" s="7" t="s">
        <v>16</v>
      </c>
      <c r="B745" s="7">
        <v>742.0</v>
      </c>
      <c r="C745" s="1"/>
      <c r="D745" s="2"/>
      <c r="E745" s="2"/>
      <c r="F745" s="2"/>
      <c r="G745" s="2"/>
      <c r="H745" s="2"/>
      <c r="I745" s="2"/>
      <c r="J745" s="2"/>
      <c r="K745" s="3"/>
      <c r="P745" s="3"/>
      <c r="Q745" s="3"/>
      <c r="R745" s="3"/>
    </row>
    <row r="746" ht="15.75" customHeight="1">
      <c r="A746" s="7" t="s">
        <v>16</v>
      </c>
      <c r="B746" s="7">
        <v>743.0</v>
      </c>
      <c r="C746" s="1"/>
      <c r="D746" s="2"/>
      <c r="E746" s="2"/>
      <c r="F746" s="2"/>
      <c r="G746" s="2"/>
      <c r="H746" s="2"/>
      <c r="I746" s="2"/>
      <c r="J746" s="2"/>
      <c r="K746" s="3"/>
      <c r="P746" s="3"/>
      <c r="Q746" s="3"/>
      <c r="R746" s="3"/>
    </row>
    <row r="747" ht="15.75" customHeight="1">
      <c r="A747" s="7" t="s">
        <v>16</v>
      </c>
      <c r="B747" s="7">
        <v>744.0</v>
      </c>
      <c r="C747" s="1"/>
      <c r="D747" s="2"/>
      <c r="E747" s="2"/>
      <c r="F747" s="2"/>
      <c r="G747" s="2"/>
      <c r="H747" s="2"/>
      <c r="I747" s="2"/>
      <c r="J747" s="2"/>
      <c r="K747" s="3"/>
      <c r="P747" s="3"/>
      <c r="Q747" s="3"/>
      <c r="R747" s="3"/>
    </row>
    <row r="748" ht="15.75" customHeight="1">
      <c r="A748" s="7" t="s">
        <v>16</v>
      </c>
      <c r="B748" s="7">
        <v>745.0</v>
      </c>
      <c r="C748" s="1"/>
      <c r="D748" s="2"/>
      <c r="E748" s="2"/>
      <c r="F748" s="2"/>
      <c r="G748" s="2"/>
      <c r="H748" s="2"/>
      <c r="I748" s="2"/>
      <c r="J748" s="2"/>
      <c r="K748" s="3"/>
      <c r="P748" s="3"/>
      <c r="Q748" s="3"/>
      <c r="R748" s="3"/>
    </row>
    <row r="749" ht="15.75" customHeight="1">
      <c r="A749" s="7" t="s">
        <v>16</v>
      </c>
      <c r="B749" s="7">
        <v>746.0</v>
      </c>
      <c r="C749" s="1"/>
      <c r="D749" s="2"/>
      <c r="E749" s="2"/>
      <c r="F749" s="2"/>
      <c r="G749" s="2"/>
      <c r="H749" s="2"/>
      <c r="I749" s="2"/>
      <c r="J749" s="2"/>
      <c r="K749" s="3"/>
      <c r="P749" s="3"/>
      <c r="Q749" s="3"/>
      <c r="R749" s="3"/>
    </row>
    <row r="750" ht="15.75" customHeight="1">
      <c r="A750" s="7" t="s">
        <v>16</v>
      </c>
      <c r="B750" s="7">
        <v>747.0</v>
      </c>
      <c r="C750" s="1"/>
      <c r="D750" s="2"/>
      <c r="E750" s="2"/>
      <c r="F750" s="2"/>
      <c r="G750" s="2"/>
      <c r="H750" s="2"/>
      <c r="I750" s="2"/>
      <c r="J750" s="2"/>
      <c r="K750" s="3"/>
      <c r="P750" s="3"/>
      <c r="Q750" s="3"/>
      <c r="R750" s="3"/>
    </row>
    <row r="751" ht="15.75" customHeight="1">
      <c r="A751" s="7" t="s">
        <v>16</v>
      </c>
      <c r="B751" s="7">
        <v>748.0</v>
      </c>
      <c r="C751" s="1"/>
      <c r="D751" s="2"/>
      <c r="E751" s="2"/>
      <c r="F751" s="2"/>
      <c r="G751" s="2"/>
      <c r="H751" s="2"/>
      <c r="I751" s="2"/>
      <c r="J751" s="2"/>
      <c r="K751" s="3"/>
      <c r="P751" s="3"/>
      <c r="Q751" s="3"/>
      <c r="R751" s="3"/>
    </row>
    <row r="752" ht="15.75" customHeight="1">
      <c r="A752" s="7" t="s">
        <v>16</v>
      </c>
      <c r="B752" s="7">
        <v>749.0</v>
      </c>
      <c r="C752" s="1"/>
      <c r="D752" s="2"/>
      <c r="E752" s="2"/>
      <c r="F752" s="2"/>
      <c r="G752" s="2"/>
      <c r="H752" s="2"/>
      <c r="I752" s="2"/>
      <c r="J752" s="2"/>
      <c r="K752" s="3"/>
      <c r="P752" s="3"/>
      <c r="Q752" s="3"/>
      <c r="R752" s="3"/>
    </row>
    <row r="753" ht="15.75" customHeight="1">
      <c r="A753" s="7" t="s">
        <v>16</v>
      </c>
      <c r="B753" s="7">
        <v>750.0</v>
      </c>
      <c r="C753" s="1"/>
      <c r="D753" s="2"/>
      <c r="E753" s="2"/>
      <c r="F753" s="2"/>
      <c r="G753" s="2"/>
      <c r="H753" s="2"/>
      <c r="I753" s="2"/>
      <c r="J753" s="2"/>
      <c r="K753" s="3"/>
      <c r="P753" s="3"/>
      <c r="Q753" s="3"/>
      <c r="R753" s="3"/>
    </row>
    <row r="754" ht="15.75" customHeight="1">
      <c r="A754" s="7" t="s">
        <v>16</v>
      </c>
      <c r="B754" s="7">
        <v>751.0</v>
      </c>
      <c r="C754" s="1"/>
      <c r="D754" s="2"/>
      <c r="E754" s="2"/>
      <c r="F754" s="2"/>
      <c r="G754" s="2"/>
      <c r="H754" s="2"/>
      <c r="I754" s="2"/>
      <c r="J754" s="2"/>
      <c r="K754" s="3"/>
      <c r="P754" s="3"/>
      <c r="Q754" s="3"/>
      <c r="R754" s="3"/>
    </row>
    <row r="755" ht="15.75" customHeight="1">
      <c r="A755" s="7" t="s">
        <v>16</v>
      </c>
      <c r="B755" s="7">
        <v>752.0</v>
      </c>
      <c r="C755" s="1"/>
      <c r="D755" s="2"/>
      <c r="E755" s="2"/>
      <c r="F755" s="2"/>
      <c r="G755" s="2"/>
      <c r="H755" s="2"/>
      <c r="I755" s="2"/>
      <c r="J755" s="2"/>
      <c r="K755" s="3"/>
      <c r="P755" s="3"/>
      <c r="Q755" s="3"/>
      <c r="R755" s="3"/>
    </row>
    <row r="756" ht="15.75" customHeight="1">
      <c r="A756" s="7" t="s">
        <v>16</v>
      </c>
      <c r="B756" s="7">
        <v>753.0</v>
      </c>
      <c r="C756" s="1"/>
      <c r="D756" s="2"/>
      <c r="E756" s="2"/>
      <c r="F756" s="2"/>
      <c r="G756" s="2"/>
      <c r="H756" s="2"/>
      <c r="I756" s="2"/>
      <c r="J756" s="2"/>
      <c r="K756" s="3"/>
      <c r="P756" s="3"/>
      <c r="Q756" s="3"/>
      <c r="R756" s="3"/>
    </row>
    <row r="757" ht="15.75" customHeight="1">
      <c r="A757" s="7" t="s">
        <v>16</v>
      </c>
      <c r="B757" s="7">
        <v>754.0</v>
      </c>
      <c r="C757" s="1"/>
      <c r="D757" s="2"/>
      <c r="E757" s="2"/>
      <c r="F757" s="2"/>
      <c r="G757" s="2"/>
      <c r="H757" s="2"/>
      <c r="I757" s="2"/>
      <c r="J757" s="2"/>
      <c r="K757" s="3"/>
      <c r="P757" s="3"/>
      <c r="Q757" s="3"/>
      <c r="R757" s="3"/>
    </row>
    <row r="758" ht="15.75" customHeight="1">
      <c r="A758" s="7" t="s">
        <v>16</v>
      </c>
      <c r="B758" s="7">
        <v>755.0</v>
      </c>
      <c r="C758" s="1"/>
      <c r="D758" s="2"/>
      <c r="E758" s="2"/>
      <c r="F758" s="2"/>
      <c r="G758" s="2"/>
      <c r="H758" s="2"/>
      <c r="I758" s="2"/>
      <c r="J758" s="2"/>
      <c r="K758" s="3"/>
      <c r="P758" s="3"/>
      <c r="Q758" s="3"/>
      <c r="R758" s="3"/>
    </row>
    <row r="759" ht="15.75" customHeight="1">
      <c r="A759" s="7" t="s">
        <v>16</v>
      </c>
      <c r="B759" s="7">
        <v>756.0</v>
      </c>
      <c r="C759" s="1"/>
      <c r="D759" s="2"/>
      <c r="E759" s="2"/>
      <c r="F759" s="2"/>
      <c r="G759" s="2"/>
      <c r="H759" s="2"/>
      <c r="I759" s="2"/>
      <c r="J759" s="2"/>
      <c r="K759" s="3"/>
      <c r="P759" s="3"/>
      <c r="Q759" s="3"/>
      <c r="R759" s="3"/>
    </row>
    <row r="760" ht="15.75" customHeight="1">
      <c r="A760" s="7" t="s">
        <v>16</v>
      </c>
      <c r="B760" s="7">
        <v>757.0</v>
      </c>
      <c r="C760" s="1"/>
      <c r="D760" s="2"/>
      <c r="E760" s="2"/>
      <c r="F760" s="2"/>
      <c r="G760" s="2"/>
      <c r="H760" s="2"/>
      <c r="I760" s="2"/>
      <c r="J760" s="2"/>
      <c r="K760" s="3"/>
      <c r="P760" s="3"/>
      <c r="Q760" s="3"/>
      <c r="R760" s="3"/>
    </row>
    <row r="761" ht="15.75" customHeight="1">
      <c r="A761" s="7" t="s">
        <v>16</v>
      </c>
      <c r="B761" s="7">
        <v>758.0</v>
      </c>
      <c r="C761" s="1"/>
      <c r="D761" s="2"/>
      <c r="E761" s="2"/>
      <c r="F761" s="2"/>
      <c r="G761" s="2"/>
      <c r="H761" s="2"/>
      <c r="I761" s="2"/>
      <c r="J761" s="2"/>
      <c r="K761" s="3"/>
      <c r="P761" s="3"/>
      <c r="Q761" s="3"/>
      <c r="R761" s="3"/>
    </row>
    <row r="762" ht="15.75" customHeight="1">
      <c r="A762" s="7" t="s">
        <v>16</v>
      </c>
      <c r="B762" s="7">
        <v>759.0</v>
      </c>
      <c r="C762" s="1"/>
      <c r="D762" s="2"/>
      <c r="E762" s="2"/>
      <c r="F762" s="2"/>
      <c r="G762" s="2"/>
      <c r="H762" s="2"/>
      <c r="I762" s="2"/>
      <c r="J762" s="2"/>
      <c r="K762" s="3"/>
      <c r="P762" s="3"/>
      <c r="Q762" s="3"/>
      <c r="R762" s="3"/>
    </row>
    <row r="763" ht="15.75" customHeight="1">
      <c r="A763" s="7" t="s">
        <v>16</v>
      </c>
      <c r="B763" s="7">
        <v>760.0</v>
      </c>
      <c r="C763" s="1"/>
      <c r="D763" s="2"/>
      <c r="E763" s="2"/>
      <c r="F763" s="2"/>
      <c r="G763" s="2"/>
      <c r="H763" s="2"/>
      <c r="I763" s="2"/>
      <c r="J763" s="2"/>
      <c r="K763" s="3"/>
      <c r="P763" s="3"/>
      <c r="Q763" s="3"/>
      <c r="R763" s="3"/>
    </row>
    <row r="764" ht="15.75" customHeight="1">
      <c r="A764" s="7" t="s">
        <v>16</v>
      </c>
      <c r="B764" s="7">
        <v>761.0</v>
      </c>
      <c r="C764" s="1"/>
      <c r="D764" s="2"/>
      <c r="E764" s="2"/>
      <c r="F764" s="2"/>
      <c r="G764" s="2"/>
      <c r="H764" s="2"/>
      <c r="I764" s="2"/>
      <c r="J764" s="2"/>
      <c r="K764" s="3"/>
      <c r="P764" s="3"/>
      <c r="Q764" s="3"/>
      <c r="R764" s="3"/>
    </row>
    <row r="765" ht="15.75" customHeight="1">
      <c r="A765" s="7" t="s">
        <v>16</v>
      </c>
      <c r="B765" s="7">
        <v>762.0</v>
      </c>
      <c r="C765" s="1"/>
      <c r="D765" s="2"/>
      <c r="E765" s="2"/>
      <c r="F765" s="2"/>
      <c r="G765" s="2"/>
      <c r="H765" s="2"/>
      <c r="I765" s="2"/>
      <c r="J765" s="2"/>
      <c r="K765" s="3"/>
      <c r="P765" s="3"/>
      <c r="Q765" s="3"/>
      <c r="R765" s="3"/>
    </row>
    <row r="766" ht="15.75" customHeight="1">
      <c r="A766" s="7" t="s">
        <v>16</v>
      </c>
      <c r="B766" s="7">
        <v>763.0</v>
      </c>
      <c r="C766" s="1"/>
      <c r="D766" s="2"/>
      <c r="E766" s="2"/>
      <c r="F766" s="2"/>
      <c r="G766" s="2"/>
      <c r="H766" s="2"/>
      <c r="I766" s="2"/>
      <c r="J766" s="2"/>
      <c r="K766" s="3"/>
      <c r="P766" s="3"/>
      <c r="Q766" s="3"/>
      <c r="R766" s="3"/>
    </row>
    <row r="767" ht="15.75" customHeight="1">
      <c r="A767" s="7" t="s">
        <v>16</v>
      </c>
      <c r="B767" s="7">
        <v>764.0</v>
      </c>
      <c r="C767" s="1"/>
      <c r="D767" s="2"/>
      <c r="E767" s="2"/>
      <c r="F767" s="2"/>
      <c r="G767" s="2"/>
      <c r="H767" s="2"/>
      <c r="I767" s="2"/>
      <c r="J767" s="2"/>
      <c r="K767" s="3"/>
      <c r="P767" s="3"/>
      <c r="Q767" s="3"/>
      <c r="R767" s="3"/>
    </row>
    <row r="768" ht="15.75" customHeight="1">
      <c r="A768" s="7" t="s">
        <v>16</v>
      </c>
      <c r="B768" s="7">
        <v>765.0</v>
      </c>
      <c r="C768" s="1"/>
      <c r="D768" s="2"/>
      <c r="E768" s="2"/>
      <c r="F768" s="2"/>
      <c r="G768" s="2"/>
      <c r="H768" s="2"/>
      <c r="I768" s="2"/>
      <c r="J768" s="2"/>
      <c r="K768" s="3"/>
      <c r="P768" s="3"/>
      <c r="Q768" s="3"/>
      <c r="R768" s="3"/>
    </row>
    <row r="769" ht="15.75" customHeight="1">
      <c r="A769" s="7" t="s">
        <v>16</v>
      </c>
      <c r="B769" s="7">
        <v>766.0</v>
      </c>
      <c r="C769" s="1"/>
      <c r="D769" s="2"/>
      <c r="E769" s="2"/>
      <c r="F769" s="2"/>
      <c r="G769" s="2"/>
      <c r="H769" s="2"/>
      <c r="I769" s="2"/>
      <c r="J769" s="2"/>
      <c r="K769" s="3"/>
      <c r="P769" s="3"/>
      <c r="Q769" s="3"/>
      <c r="R769" s="3"/>
    </row>
    <row r="770" ht="15.75" customHeight="1">
      <c r="A770" s="7" t="s">
        <v>16</v>
      </c>
      <c r="B770" s="7">
        <v>767.0</v>
      </c>
      <c r="C770" s="1"/>
      <c r="D770" s="2"/>
      <c r="E770" s="2"/>
      <c r="F770" s="2"/>
      <c r="G770" s="2"/>
      <c r="H770" s="2"/>
      <c r="I770" s="2"/>
      <c r="J770" s="2"/>
      <c r="K770" s="3"/>
      <c r="P770" s="3"/>
      <c r="Q770" s="3"/>
      <c r="R770" s="3"/>
    </row>
    <row r="771" ht="15.75" customHeight="1">
      <c r="A771" s="7" t="s">
        <v>16</v>
      </c>
      <c r="B771" s="7">
        <v>768.0</v>
      </c>
      <c r="C771" s="1"/>
      <c r="D771" s="2"/>
      <c r="E771" s="2"/>
      <c r="F771" s="2"/>
      <c r="G771" s="2"/>
      <c r="H771" s="2"/>
      <c r="I771" s="2"/>
      <c r="J771" s="2"/>
      <c r="K771" s="3"/>
      <c r="P771" s="3"/>
      <c r="Q771" s="3"/>
      <c r="R771" s="3"/>
    </row>
    <row r="772" ht="15.75" customHeight="1">
      <c r="A772" s="7" t="s">
        <v>16</v>
      </c>
      <c r="B772" s="7">
        <v>769.0</v>
      </c>
      <c r="C772" s="1"/>
      <c r="D772" s="2"/>
      <c r="E772" s="2"/>
      <c r="F772" s="2"/>
      <c r="G772" s="2"/>
      <c r="H772" s="2"/>
      <c r="I772" s="2"/>
      <c r="J772" s="2"/>
      <c r="K772" s="3"/>
      <c r="P772" s="3"/>
      <c r="Q772" s="3"/>
      <c r="R772" s="3"/>
    </row>
    <row r="773" ht="15.75" customHeight="1">
      <c r="A773" s="7" t="s">
        <v>16</v>
      </c>
      <c r="B773" s="7">
        <v>770.0</v>
      </c>
      <c r="C773" s="1"/>
      <c r="D773" s="2"/>
      <c r="E773" s="2"/>
      <c r="F773" s="2"/>
      <c r="G773" s="2"/>
      <c r="H773" s="2"/>
      <c r="I773" s="2"/>
      <c r="J773" s="2"/>
      <c r="K773" s="3"/>
      <c r="P773" s="3"/>
      <c r="Q773" s="3"/>
      <c r="R773" s="3"/>
    </row>
    <row r="774" ht="15.75" customHeight="1">
      <c r="A774" s="7" t="s">
        <v>16</v>
      </c>
      <c r="B774" s="7">
        <v>771.0</v>
      </c>
      <c r="C774" s="1"/>
      <c r="D774" s="2"/>
      <c r="E774" s="2"/>
      <c r="F774" s="2"/>
      <c r="G774" s="2"/>
      <c r="H774" s="2"/>
      <c r="I774" s="2"/>
      <c r="J774" s="2"/>
      <c r="K774" s="3"/>
      <c r="P774" s="3"/>
      <c r="Q774" s="3"/>
      <c r="R774" s="3"/>
    </row>
    <row r="775" ht="15.75" customHeight="1">
      <c r="A775" s="7" t="s">
        <v>16</v>
      </c>
      <c r="B775" s="7">
        <v>772.0</v>
      </c>
      <c r="C775" s="1"/>
      <c r="D775" s="2"/>
      <c r="E775" s="2"/>
      <c r="F775" s="2"/>
      <c r="G775" s="2"/>
      <c r="H775" s="2"/>
      <c r="I775" s="2"/>
      <c r="J775" s="2"/>
      <c r="K775" s="3"/>
      <c r="P775" s="3"/>
      <c r="Q775" s="3"/>
      <c r="R775" s="3"/>
    </row>
    <row r="776" ht="15.75" customHeight="1">
      <c r="A776" s="7" t="s">
        <v>16</v>
      </c>
      <c r="B776" s="7">
        <v>773.0</v>
      </c>
      <c r="C776" s="1"/>
      <c r="D776" s="2"/>
      <c r="E776" s="2"/>
      <c r="F776" s="2"/>
      <c r="G776" s="2"/>
      <c r="H776" s="2"/>
      <c r="I776" s="2"/>
      <c r="J776" s="2"/>
      <c r="K776" s="3"/>
      <c r="P776" s="3"/>
      <c r="Q776" s="3"/>
      <c r="R776" s="3"/>
    </row>
    <row r="777" ht="15.75" customHeight="1">
      <c r="A777" s="7" t="s">
        <v>16</v>
      </c>
      <c r="B777" s="7">
        <v>774.0</v>
      </c>
      <c r="C777" s="1"/>
      <c r="D777" s="2"/>
      <c r="E777" s="2"/>
      <c r="F777" s="2"/>
      <c r="G777" s="2"/>
      <c r="H777" s="2"/>
      <c r="I777" s="2"/>
      <c r="J777" s="2"/>
      <c r="K777" s="3"/>
      <c r="P777" s="3"/>
      <c r="Q777" s="3"/>
      <c r="R777" s="3"/>
    </row>
    <row r="778" ht="15.75" customHeight="1">
      <c r="A778" s="7" t="s">
        <v>16</v>
      </c>
      <c r="B778" s="7">
        <v>775.0</v>
      </c>
      <c r="C778" s="1"/>
      <c r="D778" s="2"/>
      <c r="E778" s="2"/>
      <c r="F778" s="2"/>
      <c r="G778" s="2"/>
      <c r="H778" s="2"/>
      <c r="I778" s="2"/>
      <c r="J778" s="2"/>
      <c r="K778" s="3"/>
      <c r="P778" s="3"/>
      <c r="Q778" s="3"/>
      <c r="R778" s="3"/>
    </row>
    <row r="779" ht="15.75" customHeight="1">
      <c r="A779" s="7" t="s">
        <v>16</v>
      </c>
      <c r="B779" s="7">
        <v>776.0</v>
      </c>
      <c r="C779" s="1"/>
      <c r="D779" s="2"/>
      <c r="E779" s="2"/>
      <c r="F779" s="2"/>
      <c r="G779" s="2"/>
      <c r="H779" s="2"/>
      <c r="I779" s="2"/>
      <c r="J779" s="2"/>
      <c r="K779" s="3"/>
      <c r="P779" s="3"/>
      <c r="Q779" s="3"/>
      <c r="R779" s="3"/>
    </row>
    <row r="780" ht="15.75" customHeight="1">
      <c r="A780" s="7" t="s">
        <v>16</v>
      </c>
      <c r="B780" s="7">
        <v>777.0</v>
      </c>
      <c r="C780" s="1"/>
      <c r="D780" s="2"/>
      <c r="E780" s="2"/>
      <c r="F780" s="2"/>
      <c r="G780" s="2"/>
      <c r="H780" s="2"/>
      <c r="I780" s="2"/>
      <c r="J780" s="2"/>
      <c r="K780" s="3"/>
      <c r="P780" s="3"/>
      <c r="Q780" s="3"/>
      <c r="R780" s="3"/>
    </row>
    <row r="781" ht="15.75" customHeight="1">
      <c r="A781" s="7" t="s">
        <v>16</v>
      </c>
      <c r="B781" s="7">
        <v>778.0</v>
      </c>
      <c r="C781" s="1"/>
      <c r="D781" s="2"/>
      <c r="E781" s="2"/>
      <c r="F781" s="2"/>
      <c r="G781" s="2"/>
      <c r="H781" s="2"/>
      <c r="I781" s="2"/>
      <c r="J781" s="2"/>
      <c r="K781" s="3"/>
      <c r="P781" s="3"/>
      <c r="Q781" s="3"/>
      <c r="R781" s="3"/>
    </row>
    <row r="782" ht="15.75" customHeight="1">
      <c r="A782" s="7" t="s">
        <v>16</v>
      </c>
      <c r="B782" s="7">
        <v>779.0</v>
      </c>
      <c r="C782" s="1"/>
      <c r="D782" s="2"/>
      <c r="E782" s="2"/>
      <c r="F782" s="2"/>
      <c r="G782" s="2"/>
      <c r="H782" s="2"/>
      <c r="I782" s="2"/>
      <c r="J782" s="2"/>
      <c r="K782" s="3"/>
      <c r="P782" s="3"/>
      <c r="Q782" s="3"/>
      <c r="R782" s="3"/>
    </row>
    <row r="783" ht="15.75" customHeight="1">
      <c r="A783" s="7" t="s">
        <v>16</v>
      </c>
      <c r="B783" s="7">
        <v>780.0</v>
      </c>
      <c r="C783" s="1"/>
      <c r="D783" s="2"/>
      <c r="E783" s="2"/>
      <c r="F783" s="2"/>
      <c r="G783" s="2"/>
      <c r="H783" s="2"/>
      <c r="I783" s="2"/>
      <c r="J783" s="2"/>
      <c r="K783" s="3"/>
      <c r="P783" s="3"/>
      <c r="Q783" s="3"/>
      <c r="R783" s="3"/>
    </row>
    <row r="784" ht="15.75" customHeight="1">
      <c r="A784" s="7" t="s">
        <v>16</v>
      </c>
      <c r="B784" s="7">
        <v>781.0</v>
      </c>
      <c r="C784" s="1"/>
      <c r="D784" s="2"/>
      <c r="E784" s="2"/>
      <c r="F784" s="2"/>
      <c r="G784" s="2"/>
      <c r="H784" s="2"/>
      <c r="I784" s="2"/>
      <c r="J784" s="2"/>
      <c r="K784" s="3"/>
      <c r="P784" s="3"/>
      <c r="Q784" s="3"/>
      <c r="R784" s="3"/>
    </row>
    <row r="785" ht="15.75" customHeight="1">
      <c r="A785" s="7" t="s">
        <v>16</v>
      </c>
      <c r="B785" s="7">
        <v>782.0</v>
      </c>
      <c r="C785" s="1"/>
      <c r="D785" s="2"/>
      <c r="E785" s="2"/>
      <c r="F785" s="2"/>
      <c r="G785" s="2"/>
      <c r="H785" s="2"/>
      <c r="I785" s="2"/>
      <c r="J785" s="2"/>
      <c r="K785" s="3"/>
      <c r="P785" s="3"/>
      <c r="Q785" s="3"/>
      <c r="R785" s="3"/>
    </row>
    <row r="786" ht="15.75" customHeight="1">
      <c r="A786" s="7" t="s">
        <v>16</v>
      </c>
      <c r="B786" s="7">
        <v>783.0</v>
      </c>
      <c r="C786" s="1"/>
      <c r="D786" s="2"/>
      <c r="E786" s="2"/>
      <c r="F786" s="2"/>
      <c r="G786" s="2"/>
      <c r="H786" s="2"/>
      <c r="I786" s="2"/>
      <c r="J786" s="2"/>
      <c r="K786" s="3"/>
      <c r="P786" s="3"/>
      <c r="Q786" s="3"/>
      <c r="R786" s="3"/>
    </row>
    <row r="787" ht="15.75" customHeight="1">
      <c r="A787" s="7" t="s">
        <v>16</v>
      </c>
      <c r="B787" s="7">
        <v>784.0</v>
      </c>
      <c r="C787" s="1"/>
      <c r="D787" s="2"/>
      <c r="E787" s="2"/>
      <c r="F787" s="2"/>
      <c r="G787" s="2"/>
      <c r="H787" s="2"/>
      <c r="I787" s="2"/>
      <c r="J787" s="2"/>
      <c r="K787" s="3"/>
      <c r="P787" s="3"/>
      <c r="Q787" s="3"/>
      <c r="R787" s="3"/>
    </row>
    <row r="788" ht="15.75" customHeight="1">
      <c r="A788" s="7" t="s">
        <v>16</v>
      </c>
      <c r="B788" s="7">
        <v>785.0</v>
      </c>
      <c r="C788" s="1"/>
      <c r="D788" s="2"/>
      <c r="E788" s="2"/>
      <c r="F788" s="2"/>
      <c r="G788" s="2"/>
      <c r="H788" s="2"/>
      <c r="I788" s="2"/>
      <c r="J788" s="2"/>
      <c r="K788" s="3"/>
      <c r="P788" s="3"/>
      <c r="Q788" s="3"/>
      <c r="R788" s="3"/>
    </row>
    <row r="789" ht="15.75" customHeight="1">
      <c r="A789" s="7" t="s">
        <v>16</v>
      </c>
      <c r="B789" s="7">
        <v>786.0</v>
      </c>
      <c r="C789" s="1"/>
      <c r="D789" s="2"/>
      <c r="E789" s="2"/>
      <c r="F789" s="2"/>
      <c r="G789" s="2"/>
      <c r="H789" s="2"/>
      <c r="I789" s="2"/>
      <c r="J789" s="2"/>
      <c r="K789" s="3"/>
      <c r="P789" s="3"/>
      <c r="Q789" s="3"/>
      <c r="R789" s="3"/>
    </row>
    <row r="790" ht="15.75" customHeight="1">
      <c r="A790" s="7" t="s">
        <v>16</v>
      </c>
      <c r="B790" s="7">
        <v>787.0</v>
      </c>
      <c r="C790" s="1"/>
      <c r="D790" s="2"/>
      <c r="E790" s="2"/>
      <c r="F790" s="2"/>
      <c r="G790" s="2"/>
      <c r="H790" s="2"/>
      <c r="I790" s="2"/>
      <c r="J790" s="2"/>
      <c r="K790" s="3"/>
      <c r="P790" s="3"/>
      <c r="Q790" s="3"/>
      <c r="R790" s="3"/>
    </row>
    <row r="791" ht="15.75" customHeight="1">
      <c r="A791" s="7" t="s">
        <v>16</v>
      </c>
      <c r="B791" s="7">
        <v>788.0</v>
      </c>
      <c r="C791" s="1"/>
      <c r="D791" s="2"/>
      <c r="E791" s="2"/>
      <c r="F791" s="2"/>
      <c r="G791" s="2"/>
      <c r="H791" s="2"/>
      <c r="I791" s="2"/>
      <c r="J791" s="2"/>
      <c r="K791" s="3"/>
      <c r="P791" s="3"/>
      <c r="Q791" s="3"/>
      <c r="R791" s="3"/>
    </row>
    <row r="792" ht="15.75" customHeight="1">
      <c r="A792" s="7" t="s">
        <v>16</v>
      </c>
      <c r="B792" s="7">
        <v>789.0</v>
      </c>
      <c r="C792" s="1"/>
      <c r="D792" s="2"/>
      <c r="E792" s="2"/>
      <c r="F792" s="2"/>
      <c r="G792" s="2"/>
      <c r="H792" s="2"/>
      <c r="I792" s="2"/>
      <c r="J792" s="2"/>
      <c r="K792" s="3"/>
      <c r="P792" s="3"/>
      <c r="Q792" s="3"/>
      <c r="R792" s="3"/>
    </row>
    <row r="793" ht="15.75" customHeight="1">
      <c r="A793" s="7" t="s">
        <v>16</v>
      </c>
      <c r="B793" s="7">
        <v>790.0</v>
      </c>
      <c r="C793" s="1"/>
      <c r="D793" s="2"/>
      <c r="E793" s="2"/>
      <c r="F793" s="2"/>
      <c r="G793" s="2"/>
      <c r="H793" s="2"/>
      <c r="I793" s="2"/>
      <c r="J793" s="2"/>
      <c r="K793" s="3"/>
      <c r="P793" s="3"/>
      <c r="Q793" s="3"/>
      <c r="R793" s="3"/>
    </row>
    <row r="794" ht="15.75" customHeight="1">
      <c r="A794" s="7" t="s">
        <v>16</v>
      </c>
      <c r="B794" s="7">
        <v>791.0</v>
      </c>
      <c r="C794" s="1"/>
      <c r="D794" s="2"/>
      <c r="E794" s="2"/>
      <c r="F794" s="2"/>
      <c r="G794" s="2"/>
      <c r="H794" s="2"/>
      <c r="I794" s="2"/>
      <c r="J794" s="2"/>
      <c r="K794" s="3"/>
      <c r="P794" s="3"/>
      <c r="Q794" s="3"/>
      <c r="R794" s="3"/>
    </row>
    <row r="795" ht="15.75" customHeight="1">
      <c r="A795" s="7" t="s">
        <v>16</v>
      </c>
      <c r="B795" s="7">
        <v>792.0</v>
      </c>
      <c r="C795" s="1"/>
      <c r="D795" s="2"/>
      <c r="E795" s="2"/>
      <c r="F795" s="2"/>
      <c r="G795" s="2"/>
      <c r="H795" s="2"/>
      <c r="I795" s="2"/>
      <c r="J795" s="2"/>
      <c r="K795" s="3"/>
      <c r="P795" s="3"/>
      <c r="Q795" s="3"/>
      <c r="R795" s="3"/>
    </row>
    <row r="796" ht="15.75" customHeight="1">
      <c r="A796" s="7" t="s">
        <v>16</v>
      </c>
      <c r="B796" s="7">
        <v>793.0</v>
      </c>
      <c r="C796" s="1"/>
      <c r="D796" s="2"/>
      <c r="E796" s="2"/>
      <c r="F796" s="2"/>
      <c r="G796" s="2"/>
      <c r="H796" s="2"/>
      <c r="I796" s="2"/>
      <c r="J796" s="2"/>
      <c r="K796" s="3"/>
      <c r="P796" s="3"/>
      <c r="Q796" s="3"/>
      <c r="R796" s="3"/>
    </row>
    <row r="797" ht="15.75" customHeight="1">
      <c r="A797" s="7" t="s">
        <v>16</v>
      </c>
      <c r="B797" s="7">
        <v>794.0</v>
      </c>
      <c r="C797" s="1"/>
      <c r="D797" s="2"/>
      <c r="E797" s="2"/>
      <c r="F797" s="2"/>
      <c r="G797" s="2"/>
      <c r="H797" s="2"/>
      <c r="I797" s="2"/>
      <c r="J797" s="2"/>
      <c r="K797" s="3"/>
      <c r="P797" s="3"/>
      <c r="Q797" s="3"/>
      <c r="R797" s="3"/>
    </row>
    <row r="798" ht="15.75" customHeight="1">
      <c r="A798" s="7" t="s">
        <v>16</v>
      </c>
      <c r="B798" s="7">
        <v>795.0</v>
      </c>
      <c r="C798" s="1"/>
      <c r="D798" s="2"/>
      <c r="E798" s="2"/>
      <c r="F798" s="2"/>
      <c r="G798" s="2"/>
      <c r="H798" s="2"/>
      <c r="I798" s="2"/>
      <c r="J798" s="2"/>
      <c r="K798" s="3"/>
      <c r="P798" s="3"/>
      <c r="Q798" s="3"/>
      <c r="R798" s="3"/>
    </row>
    <row r="799" ht="15.75" customHeight="1">
      <c r="A799" s="7" t="s">
        <v>16</v>
      </c>
      <c r="B799" s="7">
        <v>796.0</v>
      </c>
      <c r="C799" s="1"/>
      <c r="D799" s="2"/>
      <c r="E799" s="2"/>
      <c r="F799" s="2"/>
      <c r="G799" s="2"/>
      <c r="H799" s="2"/>
      <c r="I799" s="2"/>
      <c r="J799" s="2"/>
      <c r="K799" s="3"/>
      <c r="P799" s="3"/>
      <c r="Q799" s="3"/>
      <c r="R799" s="3"/>
    </row>
    <row r="800" ht="15.75" customHeight="1">
      <c r="A800" s="7" t="s">
        <v>16</v>
      </c>
      <c r="B800" s="7">
        <v>797.0</v>
      </c>
      <c r="C800" s="1"/>
      <c r="D800" s="2"/>
      <c r="E800" s="2"/>
      <c r="F800" s="2"/>
      <c r="G800" s="2"/>
      <c r="H800" s="2"/>
      <c r="I800" s="2"/>
      <c r="J800" s="2"/>
      <c r="K800" s="3"/>
      <c r="P800" s="3"/>
      <c r="Q800" s="3"/>
      <c r="R800" s="3"/>
    </row>
    <row r="801" ht="15.75" customHeight="1">
      <c r="A801" s="7" t="s">
        <v>16</v>
      </c>
      <c r="B801" s="7">
        <v>798.0</v>
      </c>
      <c r="C801" s="1"/>
      <c r="D801" s="2"/>
      <c r="E801" s="2"/>
      <c r="F801" s="2"/>
      <c r="G801" s="2"/>
      <c r="H801" s="2"/>
      <c r="I801" s="2"/>
      <c r="J801" s="2"/>
      <c r="K801" s="3"/>
      <c r="P801" s="3"/>
      <c r="Q801" s="3"/>
      <c r="R801" s="3"/>
    </row>
    <row r="802" ht="15.75" customHeight="1">
      <c r="A802" s="7" t="s">
        <v>16</v>
      </c>
      <c r="B802" s="7">
        <v>799.0</v>
      </c>
      <c r="C802" s="1"/>
      <c r="D802" s="2"/>
      <c r="E802" s="2"/>
      <c r="F802" s="2"/>
      <c r="G802" s="2"/>
      <c r="H802" s="2"/>
      <c r="I802" s="2"/>
      <c r="J802" s="2"/>
      <c r="K802" s="3"/>
      <c r="P802" s="3"/>
      <c r="Q802" s="3"/>
      <c r="R802" s="3"/>
    </row>
    <row r="803" ht="15.75" customHeight="1">
      <c r="A803" s="7" t="s">
        <v>16</v>
      </c>
      <c r="B803" s="7">
        <v>800.0</v>
      </c>
      <c r="C803" s="1"/>
      <c r="D803" s="2"/>
      <c r="E803" s="2"/>
      <c r="F803" s="2"/>
      <c r="G803" s="2"/>
      <c r="H803" s="2"/>
      <c r="I803" s="2"/>
      <c r="J803" s="2"/>
      <c r="K803" s="3"/>
      <c r="P803" s="3"/>
      <c r="Q803" s="3"/>
      <c r="R803" s="3"/>
    </row>
    <row r="804" ht="15.75" customHeight="1">
      <c r="A804" s="7" t="s">
        <v>16</v>
      </c>
      <c r="B804" s="7">
        <v>801.0</v>
      </c>
      <c r="C804" s="1"/>
      <c r="D804" s="2"/>
      <c r="E804" s="2"/>
      <c r="F804" s="2"/>
      <c r="G804" s="2"/>
      <c r="H804" s="2"/>
      <c r="I804" s="2"/>
      <c r="J804" s="2"/>
      <c r="K804" s="3"/>
      <c r="P804" s="3"/>
      <c r="Q804" s="3"/>
      <c r="R804" s="3"/>
    </row>
    <row r="805" ht="15.75" customHeight="1">
      <c r="A805" s="7" t="s">
        <v>16</v>
      </c>
      <c r="B805" s="7">
        <v>802.0</v>
      </c>
      <c r="C805" s="1"/>
      <c r="D805" s="2"/>
      <c r="E805" s="2"/>
      <c r="F805" s="2"/>
      <c r="G805" s="2"/>
      <c r="H805" s="2"/>
      <c r="I805" s="2"/>
      <c r="J805" s="2"/>
      <c r="K805" s="3"/>
      <c r="P805" s="3"/>
      <c r="Q805" s="3"/>
      <c r="R805" s="3"/>
    </row>
    <row r="806" ht="15.75" customHeight="1">
      <c r="A806" s="7" t="s">
        <v>16</v>
      </c>
      <c r="B806" s="7">
        <v>803.0</v>
      </c>
      <c r="C806" s="1"/>
      <c r="D806" s="2"/>
      <c r="E806" s="2"/>
      <c r="F806" s="2"/>
      <c r="G806" s="2"/>
      <c r="H806" s="2"/>
      <c r="I806" s="2"/>
      <c r="J806" s="2"/>
      <c r="K806" s="3"/>
      <c r="P806" s="3"/>
      <c r="Q806" s="3"/>
      <c r="R806" s="3"/>
    </row>
    <row r="807" ht="15.75" customHeight="1">
      <c r="A807" s="7" t="s">
        <v>16</v>
      </c>
      <c r="B807" s="7">
        <v>804.0</v>
      </c>
      <c r="C807" s="1"/>
      <c r="D807" s="2"/>
      <c r="E807" s="2"/>
      <c r="F807" s="2"/>
      <c r="G807" s="2"/>
      <c r="H807" s="2"/>
      <c r="I807" s="2"/>
      <c r="J807" s="2"/>
      <c r="K807" s="3"/>
      <c r="P807" s="3"/>
      <c r="Q807" s="3"/>
      <c r="R807" s="3"/>
    </row>
    <row r="808" ht="15.75" customHeight="1">
      <c r="A808" s="7" t="s">
        <v>16</v>
      </c>
      <c r="B808" s="7">
        <v>805.0</v>
      </c>
      <c r="C808" s="1"/>
      <c r="D808" s="2"/>
      <c r="E808" s="2"/>
      <c r="F808" s="2"/>
      <c r="G808" s="2"/>
      <c r="H808" s="2"/>
      <c r="I808" s="2"/>
      <c r="J808" s="2"/>
      <c r="K808" s="3"/>
      <c r="P808" s="3"/>
      <c r="Q808" s="3"/>
      <c r="R808" s="3"/>
    </row>
    <row r="809" ht="15.75" customHeight="1">
      <c r="A809" s="7" t="s">
        <v>16</v>
      </c>
      <c r="B809" s="7">
        <v>806.0</v>
      </c>
      <c r="C809" s="1"/>
      <c r="D809" s="2"/>
      <c r="E809" s="2"/>
      <c r="F809" s="2"/>
      <c r="G809" s="2"/>
      <c r="H809" s="2"/>
      <c r="I809" s="2"/>
      <c r="J809" s="2"/>
      <c r="K809" s="3"/>
      <c r="P809" s="3"/>
      <c r="Q809" s="3"/>
      <c r="R809" s="3"/>
    </row>
    <row r="810" ht="15.75" customHeight="1">
      <c r="A810" s="7" t="s">
        <v>16</v>
      </c>
      <c r="B810" s="7">
        <v>807.0</v>
      </c>
      <c r="C810" s="1"/>
      <c r="D810" s="2"/>
      <c r="E810" s="2"/>
      <c r="F810" s="2"/>
      <c r="G810" s="2"/>
      <c r="H810" s="2"/>
      <c r="I810" s="2"/>
      <c r="J810" s="2"/>
      <c r="K810" s="3"/>
      <c r="P810" s="3"/>
      <c r="Q810" s="3"/>
      <c r="R810" s="3"/>
    </row>
    <row r="811" ht="15.75" customHeight="1">
      <c r="A811" s="7" t="s">
        <v>16</v>
      </c>
      <c r="B811" s="7">
        <v>808.0</v>
      </c>
      <c r="C811" s="1"/>
      <c r="D811" s="2"/>
      <c r="E811" s="2"/>
      <c r="F811" s="2"/>
      <c r="G811" s="2"/>
      <c r="H811" s="2"/>
      <c r="I811" s="2"/>
      <c r="J811" s="2"/>
      <c r="K811" s="3"/>
      <c r="P811" s="3"/>
      <c r="Q811" s="3"/>
      <c r="R811" s="3"/>
    </row>
    <row r="812" ht="15.75" customHeight="1">
      <c r="A812" s="7" t="s">
        <v>16</v>
      </c>
      <c r="B812" s="7">
        <v>809.0</v>
      </c>
      <c r="C812" s="1"/>
      <c r="D812" s="2"/>
      <c r="E812" s="2"/>
      <c r="F812" s="2"/>
      <c r="G812" s="2"/>
      <c r="H812" s="2"/>
      <c r="I812" s="2"/>
      <c r="J812" s="2"/>
      <c r="K812" s="3"/>
      <c r="P812" s="3"/>
      <c r="Q812" s="3"/>
      <c r="R812" s="3"/>
    </row>
    <row r="813" ht="15.75" customHeight="1">
      <c r="A813" s="7" t="s">
        <v>16</v>
      </c>
      <c r="B813" s="7">
        <v>810.0</v>
      </c>
      <c r="C813" s="1"/>
      <c r="D813" s="2"/>
      <c r="E813" s="2"/>
      <c r="F813" s="2"/>
      <c r="G813" s="2"/>
      <c r="H813" s="2"/>
      <c r="I813" s="2"/>
      <c r="J813" s="2"/>
      <c r="K813" s="3"/>
      <c r="P813" s="3"/>
      <c r="Q813" s="3"/>
      <c r="R813" s="3"/>
    </row>
    <row r="814" ht="15.75" customHeight="1">
      <c r="A814" s="7" t="s">
        <v>16</v>
      </c>
      <c r="B814" s="7">
        <v>811.0</v>
      </c>
      <c r="C814" s="1"/>
      <c r="D814" s="2"/>
      <c r="E814" s="2"/>
      <c r="F814" s="2"/>
      <c r="G814" s="2"/>
      <c r="H814" s="2"/>
      <c r="I814" s="2"/>
      <c r="J814" s="2"/>
      <c r="K814" s="3"/>
      <c r="P814" s="3"/>
      <c r="Q814" s="3"/>
      <c r="R814" s="3"/>
    </row>
    <row r="815" ht="15.75" customHeight="1">
      <c r="A815" s="7" t="s">
        <v>16</v>
      </c>
      <c r="B815" s="7">
        <v>812.0</v>
      </c>
      <c r="C815" s="1"/>
      <c r="D815" s="2"/>
      <c r="E815" s="2"/>
      <c r="F815" s="2"/>
      <c r="G815" s="2"/>
      <c r="H815" s="2"/>
      <c r="I815" s="2"/>
      <c r="J815" s="2"/>
      <c r="K815" s="3"/>
      <c r="P815" s="3"/>
      <c r="Q815" s="3"/>
      <c r="R815" s="3"/>
    </row>
    <row r="816" ht="15.75" customHeight="1">
      <c r="A816" s="7" t="s">
        <v>16</v>
      </c>
      <c r="B816" s="7">
        <v>813.0</v>
      </c>
      <c r="C816" s="1"/>
      <c r="D816" s="2"/>
      <c r="E816" s="2"/>
      <c r="F816" s="2"/>
      <c r="G816" s="2"/>
      <c r="H816" s="2"/>
      <c r="I816" s="2"/>
      <c r="J816" s="2"/>
      <c r="K816" s="3"/>
      <c r="P816" s="3"/>
      <c r="Q816" s="3"/>
      <c r="R816" s="3"/>
    </row>
    <row r="817" ht="15.75" customHeight="1">
      <c r="A817" s="7" t="s">
        <v>16</v>
      </c>
      <c r="B817" s="7">
        <v>814.0</v>
      </c>
      <c r="C817" s="1"/>
      <c r="D817" s="2"/>
      <c r="E817" s="2"/>
      <c r="F817" s="2"/>
      <c r="G817" s="2"/>
      <c r="H817" s="2"/>
      <c r="I817" s="2"/>
      <c r="J817" s="2"/>
      <c r="K817" s="3"/>
      <c r="P817" s="3"/>
      <c r="Q817" s="3"/>
      <c r="R817" s="3"/>
    </row>
    <row r="818" ht="15.75" customHeight="1">
      <c r="A818" s="7" t="s">
        <v>16</v>
      </c>
      <c r="B818" s="7">
        <v>815.0</v>
      </c>
      <c r="C818" s="1"/>
      <c r="D818" s="2"/>
      <c r="E818" s="2"/>
      <c r="F818" s="2"/>
      <c r="G818" s="2"/>
      <c r="H818" s="2"/>
      <c r="I818" s="2"/>
      <c r="J818" s="2"/>
      <c r="K818" s="3"/>
      <c r="P818" s="3"/>
      <c r="Q818" s="3"/>
      <c r="R818" s="3"/>
    </row>
    <row r="819" ht="15.75" customHeight="1">
      <c r="A819" s="7" t="s">
        <v>16</v>
      </c>
      <c r="B819" s="7">
        <v>816.0</v>
      </c>
      <c r="C819" s="1"/>
      <c r="D819" s="2"/>
      <c r="E819" s="2"/>
      <c r="F819" s="2"/>
      <c r="G819" s="2"/>
      <c r="H819" s="2"/>
      <c r="I819" s="2"/>
      <c r="J819" s="2"/>
      <c r="K819" s="3"/>
      <c r="P819" s="3"/>
      <c r="Q819" s="3"/>
      <c r="R819" s="3"/>
    </row>
    <row r="820" ht="15.75" customHeight="1">
      <c r="A820" s="7" t="s">
        <v>16</v>
      </c>
      <c r="B820" s="7">
        <v>817.0</v>
      </c>
      <c r="C820" s="1"/>
      <c r="D820" s="2"/>
      <c r="E820" s="2"/>
      <c r="F820" s="2"/>
      <c r="G820" s="2"/>
      <c r="H820" s="2"/>
      <c r="I820" s="2"/>
      <c r="J820" s="2"/>
      <c r="K820" s="3"/>
      <c r="P820" s="3"/>
      <c r="Q820" s="3"/>
      <c r="R820" s="3"/>
    </row>
    <row r="821" ht="15.75" customHeight="1">
      <c r="A821" s="7" t="s">
        <v>16</v>
      </c>
      <c r="B821" s="7">
        <v>818.0</v>
      </c>
      <c r="C821" s="1"/>
      <c r="D821" s="2"/>
      <c r="E821" s="2"/>
      <c r="F821" s="2"/>
      <c r="G821" s="2"/>
      <c r="H821" s="2"/>
      <c r="I821" s="2"/>
      <c r="J821" s="2"/>
      <c r="K821" s="3"/>
      <c r="P821" s="3"/>
      <c r="Q821" s="3"/>
      <c r="R821" s="3"/>
    </row>
    <row r="822" ht="15.75" customHeight="1">
      <c r="A822" s="7" t="s">
        <v>16</v>
      </c>
      <c r="B822" s="7">
        <v>819.0</v>
      </c>
      <c r="C822" s="1"/>
      <c r="D822" s="2"/>
      <c r="E822" s="2"/>
      <c r="F822" s="2"/>
      <c r="G822" s="2"/>
      <c r="H822" s="2"/>
      <c r="I822" s="2"/>
      <c r="J822" s="2"/>
      <c r="K822" s="3"/>
      <c r="P822" s="3"/>
      <c r="Q822" s="3"/>
      <c r="R822" s="3"/>
    </row>
    <row r="823" ht="15.75" customHeight="1">
      <c r="A823" s="7" t="s">
        <v>16</v>
      </c>
      <c r="B823" s="7">
        <v>820.0</v>
      </c>
      <c r="C823" s="1"/>
      <c r="D823" s="2"/>
      <c r="E823" s="2"/>
      <c r="F823" s="2"/>
      <c r="G823" s="2"/>
      <c r="H823" s="2"/>
      <c r="I823" s="2"/>
      <c r="J823" s="2"/>
      <c r="K823" s="3"/>
      <c r="P823" s="3"/>
      <c r="Q823" s="3"/>
      <c r="R823" s="3"/>
    </row>
    <row r="824" ht="15.75" customHeight="1">
      <c r="A824" s="7" t="s">
        <v>16</v>
      </c>
      <c r="B824" s="7">
        <v>821.0</v>
      </c>
      <c r="C824" s="1"/>
      <c r="D824" s="2"/>
      <c r="E824" s="2"/>
      <c r="F824" s="2"/>
      <c r="G824" s="2"/>
      <c r="H824" s="2"/>
      <c r="I824" s="2"/>
      <c r="J824" s="2"/>
      <c r="K824" s="3"/>
      <c r="P824" s="3"/>
      <c r="Q824" s="3"/>
      <c r="R824" s="3"/>
    </row>
    <row r="825" ht="15.75" customHeight="1">
      <c r="A825" s="7" t="s">
        <v>16</v>
      </c>
      <c r="B825" s="7">
        <v>822.0</v>
      </c>
      <c r="C825" s="1"/>
      <c r="D825" s="2"/>
      <c r="E825" s="2"/>
      <c r="F825" s="2"/>
      <c r="G825" s="2"/>
      <c r="H825" s="2"/>
      <c r="I825" s="2"/>
      <c r="J825" s="2"/>
      <c r="K825" s="3"/>
      <c r="P825" s="3"/>
      <c r="Q825" s="3"/>
      <c r="R825" s="3"/>
    </row>
    <row r="826" ht="15.75" customHeight="1">
      <c r="A826" s="7" t="s">
        <v>16</v>
      </c>
      <c r="B826" s="7">
        <v>823.0</v>
      </c>
      <c r="C826" s="1"/>
      <c r="D826" s="2"/>
      <c r="E826" s="2"/>
      <c r="F826" s="2"/>
      <c r="G826" s="2"/>
      <c r="H826" s="2"/>
      <c r="I826" s="2"/>
      <c r="J826" s="2"/>
      <c r="K826" s="3"/>
      <c r="P826" s="3"/>
      <c r="Q826" s="3"/>
      <c r="R826" s="3"/>
    </row>
    <row r="827" ht="15.75" customHeight="1">
      <c r="A827" s="7" t="s">
        <v>16</v>
      </c>
      <c r="B827" s="7">
        <v>824.0</v>
      </c>
      <c r="C827" s="1"/>
      <c r="D827" s="2"/>
      <c r="E827" s="2"/>
      <c r="F827" s="2"/>
      <c r="G827" s="2"/>
      <c r="H827" s="2"/>
      <c r="I827" s="2"/>
      <c r="J827" s="2"/>
      <c r="K827" s="3"/>
      <c r="P827" s="3"/>
      <c r="Q827" s="3"/>
      <c r="R827" s="3"/>
    </row>
    <row r="828" ht="15.75" customHeight="1">
      <c r="A828" s="7" t="s">
        <v>16</v>
      </c>
      <c r="B828" s="7">
        <v>825.0</v>
      </c>
      <c r="C828" s="1"/>
      <c r="D828" s="2"/>
      <c r="E828" s="2"/>
      <c r="F828" s="2"/>
      <c r="G828" s="2"/>
      <c r="H828" s="2"/>
      <c r="I828" s="2"/>
      <c r="J828" s="2"/>
      <c r="K828" s="3"/>
      <c r="P828" s="3"/>
      <c r="Q828" s="3"/>
      <c r="R828" s="3"/>
    </row>
    <row r="829" ht="15.75" customHeight="1">
      <c r="A829" s="7" t="s">
        <v>16</v>
      </c>
      <c r="B829" s="7">
        <v>826.0</v>
      </c>
      <c r="C829" s="1"/>
      <c r="D829" s="2"/>
      <c r="E829" s="2"/>
      <c r="F829" s="2"/>
      <c r="G829" s="2"/>
      <c r="H829" s="2"/>
      <c r="I829" s="2"/>
      <c r="J829" s="2"/>
      <c r="K829" s="3"/>
      <c r="P829" s="3"/>
      <c r="Q829" s="3"/>
      <c r="R829" s="3"/>
    </row>
    <row r="830" ht="15.75" customHeight="1">
      <c r="A830" s="7" t="s">
        <v>16</v>
      </c>
      <c r="B830" s="7">
        <v>827.0</v>
      </c>
      <c r="C830" s="1"/>
      <c r="D830" s="2"/>
      <c r="E830" s="2"/>
      <c r="F830" s="2"/>
      <c r="G830" s="2"/>
      <c r="H830" s="2"/>
      <c r="I830" s="2"/>
      <c r="J830" s="2"/>
      <c r="K830" s="3"/>
      <c r="P830" s="3"/>
      <c r="Q830" s="3"/>
      <c r="R830" s="3"/>
    </row>
    <row r="831" ht="15.75" customHeight="1">
      <c r="A831" s="7" t="s">
        <v>16</v>
      </c>
      <c r="B831" s="7">
        <v>828.0</v>
      </c>
      <c r="C831" s="1"/>
      <c r="D831" s="2"/>
      <c r="E831" s="2"/>
      <c r="F831" s="2"/>
      <c r="G831" s="2"/>
      <c r="H831" s="2"/>
      <c r="I831" s="2"/>
      <c r="J831" s="2"/>
      <c r="K831" s="3"/>
      <c r="P831" s="3"/>
      <c r="Q831" s="3"/>
      <c r="R831" s="3"/>
    </row>
    <row r="832" ht="15.75" customHeight="1">
      <c r="A832" s="7" t="s">
        <v>16</v>
      </c>
      <c r="B832" s="7">
        <v>829.0</v>
      </c>
      <c r="C832" s="1"/>
      <c r="D832" s="2"/>
      <c r="E832" s="2"/>
      <c r="F832" s="2"/>
      <c r="G832" s="2"/>
      <c r="H832" s="2"/>
      <c r="I832" s="2"/>
      <c r="J832" s="2"/>
      <c r="K832" s="3"/>
      <c r="P832" s="3"/>
      <c r="Q832" s="3"/>
      <c r="R832" s="3"/>
    </row>
    <row r="833" ht="15.75" customHeight="1">
      <c r="A833" s="7" t="s">
        <v>16</v>
      </c>
      <c r="B833" s="7">
        <v>830.0</v>
      </c>
      <c r="C833" s="1"/>
      <c r="D833" s="2"/>
      <c r="E833" s="2"/>
      <c r="F833" s="2"/>
      <c r="G833" s="2"/>
      <c r="H833" s="2"/>
      <c r="I833" s="2"/>
      <c r="J833" s="2"/>
      <c r="K833" s="3"/>
      <c r="P833" s="3"/>
      <c r="Q833" s="3"/>
      <c r="R833" s="3"/>
    </row>
    <row r="834" ht="15.75" customHeight="1">
      <c r="A834" s="7" t="s">
        <v>16</v>
      </c>
      <c r="B834" s="7">
        <v>831.0</v>
      </c>
      <c r="C834" s="1"/>
      <c r="D834" s="2"/>
      <c r="E834" s="2"/>
      <c r="F834" s="2"/>
      <c r="G834" s="2"/>
      <c r="H834" s="2"/>
      <c r="I834" s="2"/>
      <c r="J834" s="2"/>
      <c r="K834" s="3"/>
      <c r="P834" s="3"/>
      <c r="Q834" s="3"/>
      <c r="R834" s="3"/>
    </row>
    <row r="835" ht="15.75" customHeight="1">
      <c r="A835" s="7" t="s">
        <v>16</v>
      </c>
      <c r="B835" s="7">
        <v>832.0</v>
      </c>
      <c r="C835" s="1"/>
      <c r="D835" s="2"/>
      <c r="E835" s="2"/>
      <c r="F835" s="2"/>
      <c r="G835" s="2"/>
      <c r="H835" s="2"/>
      <c r="I835" s="2"/>
      <c r="J835" s="2"/>
      <c r="K835" s="3"/>
      <c r="P835" s="3"/>
      <c r="Q835" s="3"/>
      <c r="R835" s="3"/>
    </row>
    <row r="836" ht="15.75" customHeight="1">
      <c r="A836" s="7" t="s">
        <v>16</v>
      </c>
      <c r="B836" s="7">
        <v>833.0</v>
      </c>
      <c r="C836" s="1"/>
      <c r="D836" s="2"/>
      <c r="E836" s="2"/>
      <c r="F836" s="2"/>
      <c r="G836" s="2"/>
      <c r="H836" s="2"/>
      <c r="I836" s="2"/>
      <c r="J836" s="2"/>
      <c r="K836" s="3"/>
      <c r="P836" s="3"/>
      <c r="Q836" s="3"/>
      <c r="R836" s="3"/>
    </row>
    <row r="837" ht="15.75" customHeight="1">
      <c r="A837" s="7" t="s">
        <v>16</v>
      </c>
      <c r="B837" s="7">
        <v>834.0</v>
      </c>
      <c r="C837" s="1"/>
      <c r="D837" s="2"/>
      <c r="E837" s="2"/>
      <c r="F837" s="2"/>
      <c r="G837" s="2"/>
      <c r="H837" s="2"/>
      <c r="I837" s="2"/>
      <c r="J837" s="2"/>
      <c r="K837" s="3"/>
      <c r="P837" s="3"/>
      <c r="Q837" s="3"/>
      <c r="R837" s="3"/>
    </row>
    <row r="838" ht="15.75" customHeight="1">
      <c r="A838" s="7" t="s">
        <v>16</v>
      </c>
      <c r="B838" s="7">
        <v>835.0</v>
      </c>
      <c r="C838" s="1"/>
      <c r="D838" s="2"/>
      <c r="E838" s="2"/>
      <c r="F838" s="2"/>
      <c r="G838" s="2"/>
      <c r="H838" s="2"/>
      <c r="I838" s="2"/>
      <c r="J838" s="2"/>
      <c r="K838" s="3"/>
      <c r="P838" s="3"/>
      <c r="Q838" s="3"/>
      <c r="R838" s="3"/>
    </row>
    <row r="839" ht="15.75" customHeight="1">
      <c r="A839" s="7" t="s">
        <v>16</v>
      </c>
      <c r="B839" s="7">
        <v>836.0</v>
      </c>
      <c r="C839" s="1"/>
      <c r="D839" s="2"/>
      <c r="E839" s="2"/>
      <c r="F839" s="2"/>
      <c r="G839" s="2"/>
      <c r="H839" s="2"/>
      <c r="I839" s="2"/>
      <c r="J839" s="2"/>
      <c r="K839" s="3"/>
      <c r="P839" s="3"/>
      <c r="Q839" s="3"/>
      <c r="R839" s="3"/>
    </row>
    <row r="840" ht="15.75" customHeight="1">
      <c r="A840" s="7" t="s">
        <v>16</v>
      </c>
      <c r="B840" s="7">
        <v>837.0</v>
      </c>
      <c r="C840" s="1"/>
      <c r="D840" s="2"/>
      <c r="E840" s="2"/>
      <c r="F840" s="2"/>
      <c r="G840" s="2"/>
      <c r="H840" s="2"/>
      <c r="I840" s="2"/>
      <c r="J840" s="2"/>
      <c r="K840" s="3"/>
      <c r="P840" s="3"/>
      <c r="Q840" s="3"/>
      <c r="R840" s="3"/>
    </row>
    <row r="841" ht="15.75" customHeight="1">
      <c r="A841" s="7" t="s">
        <v>16</v>
      </c>
      <c r="B841" s="7">
        <v>838.0</v>
      </c>
      <c r="C841" s="1"/>
      <c r="D841" s="2"/>
      <c r="E841" s="2"/>
      <c r="F841" s="2"/>
      <c r="G841" s="2"/>
      <c r="H841" s="2"/>
      <c r="I841" s="2"/>
      <c r="J841" s="2"/>
      <c r="K841" s="3"/>
      <c r="P841" s="3"/>
      <c r="Q841" s="3"/>
      <c r="R841" s="3"/>
    </row>
    <row r="842" ht="15.75" customHeight="1">
      <c r="A842" s="7" t="s">
        <v>16</v>
      </c>
      <c r="B842" s="7">
        <v>839.0</v>
      </c>
      <c r="C842" s="1"/>
      <c r="D842" s="2"/>
      <c r="E842" s="2"/>
      <c r="F842" s="2"/>
      <c r="G842" s="2"/>
      <c r="H842" s="2"/>
      <c r="I842" s="2"/>
      <c r="J842" s="2"/>
      <c r="K842" s="3"/>
      <c r="P842" s="3"/>
      <c r="Q842" s="3"/>
      <c r="R842" s="3"/>
    </row>
    <row r="843" ht="15.75" customHeight="1">
      <c r="A843" s="7" t="s">
        <v>16</v>
      </c>
      <c r="B843" s="7">
        <v>840.0</v>
      </c>
      <c r="C843" s="1"/>
      <c r="D843" s="2"/>
      <c r="E843" s="2"/>
      <c r="F843" s="2"/>
      <c r="G843" s="2"/>
      <c r="H843" s="2"/>
      <c r="I843" s="2"/>
      <c r="J843" s="2"/>
      <c r="K843" s="3"/>
      <c r="P843" s="3"/>
      <c r="Q843" s="3"/>
      <c r="R843" s="3"/>
    </row>
    <row r="844" ht="15.75" customHeight="1">
      <c r="A844" s="7" t="s">
        <v>16</v>
      </c>
      <c r="B844" s="7">
        <v>841.0</v>
      </c>
      <c r="C844" s="1"/>
      <c r="D844" s="2"/>
      <c r="E844" s="2"/>
      <c r="F844" s="2"/>
      <c r="G844" s="2"/>
      <c r="H844" s="2"/>
      <c r="I844" s="2"/>
      <c r="J844" s="2"/>
      <c r="K844" s="3"/>
      <c r="P844" s="3"/>
      <c r="Q844" s="3"/>
      <c r="R844" s="3"/>
    </row>
    <row r="845" ht="15.75" customHeight="1">
      <c r="A845" s="7" t="s">
        <v>16</v>
      </c>
      <c r="B845" s="7">
        <v>842.0</v>
      </c>
      <c r="C845" s="1"/>
      <c r="D845" s="2"/>
      <c r="E845" s="2"/>
      <c r="F845" s="2"/>
      <c r="G845" s="2"/>
      <c r="H845" s="2"/>
      <c r="I845" s="2"/>
      <c r="J845" s="2"/>
      <c r="K845" s="3"/>
      <c r="P845" s="3"/>
      <c r="Q845" s="3"/>
      <c r="R845" s="3"/>
    </row>
    <row r="846" ht="15.75" customHeight="1">
      <c r="A846" s="7" t="s">
        <v>16</v>
      </c>
      <c r="B846" s="7">
        <v>843.0</v>
      </c>
      <c r="C846" s="1"/>
      <c r="D846" s="2"/>
      <c r="E846" s="2"/>
      <c r="F846" s="2"/>
      <c r="G846" s="2"/>
      <c r="H846" s="2"/>
      <c r="I846" s="2"/>
      <c r="J846" s="2"/>
      <c r="K846" s="3"/>
      <c r="P846" s="3"/>
      <c r="Q846" s="3"/>
      <c r="R846" s="3"/>
    </row>
    <row r="847" ht="15.75" customHeight="1">
      <c r="A847" s="7" t="s">
        <v>16</v>
      </c>
      <c r="B847" s="7">
        <v>844.0</v>
      </c>
      <c r="C847" s="1"/>
      <c r="D847" s="2"/>
      <c r="E847" s="2"/>
      <c r="F847" s="2"/>
      <c r="G847" s="2"/>
      <c r="H847" s="2"/>
      <c r="I847" s="2"/>
      <c r="J847" s="2"/>
      <c r="K847" s="3"/>
      <c r="P847" s="3"/>
      <c r="Q847" s="3"/>
      <c r="R847" s="3"/>
    </row>
    <row r="848" ht="15.75" customHeight="1">
      <c r="A848" s="7" t="s">
        <v>16</v>
      </c>
      <c r="B848" s="7">
        <v>845.0</v>
      </c>
      <c r="C848" s="1"/>
      <c r="D848" s="2"/>
      <c r="E848" s="2"/>
      <c r="F848" s="2"/>
      <c r="G848" s="2"/>
      <c r="H848" s="2"/>
      <c r="I848" s="2"/>
      <c r="J848" s="2"/>
      <c r="K848" s="3"/>
      <c r="P848" s="3"/>
      <c r="Q848" s="3"/>
      <c r="R848" s="3"/>
    </row>
    <row r="849" ht="15.75" customHeight="1">
      <c r="A849" s="7" t="s">
        <v>16</v>
      </c>
      <c r="B849" s="7">
        <v>846.0</v>
      </c>
      <c r="C849" s="1"/>
      <c r="D849" s="2"/>
      <c r="E849" s="2"/>
      <c r="F849" s="2"/>
      <c r="G849" s="2"/>
      <c r="H849" s="2"/>
      <c r="I849" s="2"/>
      <c r="J849" s="2"/>
      <c r="K849" s="3"/>
      <c r="P849" s="3"/>
      <c r="Q849" s="3"/>
      <c r="R849" s="3"/>
    </row>
    <row r="850" ht="15.75" customHeight="1">
      <c r="A850" s="7" t="s">
        <v>16</v>
      </c>
      <c r="B850" s="7">
        <v>847.0</v>
      </c>
      <c r="C850" s="1"/>
      <c r="D850" s="2"/>
      <c r="E850" s="2"/>
      <c r="F850" s="2"/>
      <c r="G850" s="2"/>
      <c r="H850" s="2"/>
      <c r="I850" s="2"/>
      <c r="J850" s="2"/>
      <c r="K850" s="3"/>
      <c r="P850" s="3"/>
      <c r="Q850" s="3"/>
      <c r="R850" s="3"/>
    </row>
    <row r="851" ht="15.75" customHeight="1">
      <c r="A851" s="7" t="s">
        <v>16</v>
      </c>
      <c r="B851" s="7">
        <v>848.0</v>
      </c>
      <c r="C851" s="1"/>
      <c r="D851" s="2"/>
      <c r="E851" s="2"/>
      <c r="F851" s="2"/>
      <c r="G851" s="2"/>
      <c r="H851" s="2"/>
      <c r="I851" s="2"/>
      <c r="J851" s="2"/>
      <c r="K851" s="3"/>
      <c r="P851" s="3"/>
      <c r="Q851" s="3"/>
      <c r="R851" s="3"/>
    </row>
    <row r="852" ht="15.75" customHeight="1">
      <c r="A852" s="7" t="s">
        <v>16</v>
      </c>
      <c r="B852" s="7">
        <v>849.0</v>
      </c>
      <c r="C852" s="1"/>
      <c r="D852" s="2"/>
      <c r="E852" s="2"/>
      <c r="F852" s="2"/>
      <c r="G852" s="2"/>
      <c r="H852" s="2"/>
      <c r="I852" s="2"/>
      <c r="J852" s="2"/>
      <c r="K852" s="3"/>
      <c r="P852" s="3"/>
      <c r="Q852" s="3"/>
      <c r="R852" s="3"/>
    </row>
    <row r="853" ht="15.75" customHeight="1">
      <c r="A853" s="7" t="s">
        <v>16</v>
      </c>
      <c r="B853" s="7">
        <v>850.0</v>
      </c>
      <c r="C853" s="1"/>
      <c r="D853" s="2"/>
      <c r="E853" s="2"/>
      <c r="F853" s="2"/>
      <c r="G853" s="2"/>
      <c r="H853" s="2"/>
      <c r="I853" s="2"/>
      <c r="J853" s="2"/>
      <c r="K853" s="3"/>
      <c r="P853" s="3"/>
      <c r="Q853" s="3"/>
      <c r="R853" s="3"/>
    </row>
    <row r="854" ht="15.75" customHeight="1">
      <c r="A854" s="7" t="s">
        <v>16</v>
      </c>
      <c r="B854" s="7">
        <v>851.0</v>
      </c>
      <c r="C854" s="1"/>
      <c r="D854" s="2"/>
      <c r="E854" s="2"/>
      <c r="F854" s="2"/>
      <c r="G854" s="2"/>
      <c r="H854" s="2"/>
      <c r="I854" s="2"/>
      <c r="J854" s="2"/>
      <c r="K854" s="3"/>
      <c r="P854" s="3"/>
      <c r="Q854" s="3"/>
      <c r="R854" s="3"/>
    </row>
    <row r="855" ht="15.75" customHeight="1">
      <c r="A855" s="7" t="s">
        <v>16</v>
      </c>
      <c r="C855" s="1"/>
      <c r="D855" s="2"/>
      <c r="E855" s="2"/>
      <c r="F855" s="2"/>
      <c r="G855" s="2"/>
      <c r="H855" s="2"/>
      <c r="I855" s="2"/>
      <c r="J855" s="2"/>
      <c r="K855" s="3"/>
      <c r="P855" s="3"/>
      <c r="Q855" s="3"/>
      <c r="R855" s="3"/>
    </row>
    <row r="856" ht="15.75" customHeight="1">
      <c r="A856" s="7" t="s">
        <v>16</v>
      </c>
      <c r="C856" s="1"/>
      <c r="D856" s="2"/>
      <c r="E856" s="2"/>
      <c r="F856" s="2"/>
      <c r="G856" s="2"/>
      <c r="H856" s="2"/>
      <c r="I856" s="2"/>
      <c r="J856" s="2"/>
      <c r="K856" s="3"/>
      <c r="P856" s="3"/>
      <c r="Q856" s="3"/>
      <c r="R856" s="3"/>
    </row>
    <row r="857" ht="15.75" customHeight="1">
      <c r="A857" s="7" t="s">
        <v>16</v>
      </c>
      <c r="C857" s="1"/>
      <c r="D857" s="2"/>
      <c r="E857" s="2"/>
      <c r="F857" s="2"/>
      <c r="G857" s="2"/>
      <c r="H857" s="2"/>
      <c r="I857" s="2"/>
      <c r="J857" s="2"/>
      <c r="K857" s="3"/>
      <c r="P857" s="3"/>
      <c r="Q857" s="3"/>
      <c r="R857" s="3"/>
    </row>
    <row r="858" ht="15.75" customHeight="1">
      <c r="A858" s="7" t="s">
        <v>16</v>
      </c>
      <c r="C858" s="1"/>
      <c r="D858" s="2"/>
      <c r="E858" s="2"/>
      <c r="F858" s="2"/>
      <c r="G858" s="2"/>
      <c r="H858" s="2"/>
      <c r="I858" s="2"/>
      <c r="J858" s="2"/>
      <c r="K858" s="3"/>
      <c r="P858" s="3"/>
      <c r="Q858" s="3"/>
      <c r="R858" s="3"/>
    </row>
    <row r="859" ht="15.75" customHeight="1">
      <c r="A859" s="7" t="s">
        <v>16</v>
      </c>
      <c r="C859" s="1"/>
      <c r="D859" s="2"/>
      <c r="E859" s="2"/>
      <c r="F859" s="2"/>
      <c r="G859" s="2"/>
      <c r="H859" s="2"/>
      <c r="I859" s="2"/>
      <c r="J859" s="2"/>
      <c r="K859" s="3"/>
      <c r="P859" s="3"/>
      <c r="Q859" s="3"/>
      <c r="R859" s="3"/>
    </row>
    <row r="860" ht="15.75" customHeight="1">
      <c r="A860" s="7" t="s">
        <v>16</v>
      </c>
      <c r="C860" s="1"/>
      <c r="D860" s="2"/>
      <c r="E860" s="2"/>
      <c r="F860" s="2"/>
      <c r="G860" s="2"/>
      <c r="H860" s="2"/>
      <c r="I860" s="2"/>
      <c r="J860" s="2"/>
      <c r="K860" s="3"/>
      <c r="P860" s="3"/>
      <c r="Q860" s="3"/>
      <c r="R860" s="3"/>
    </row>
    <row r="861" ht="15.75" customHeight="1">
      <c r="A861" s="7" t="s">
        <v>16</v>
      </c>
      <c r="C861" s="1"/>
      <c r="D861" s="2"/>
      <c r="E861" s="2"/>
      <c r="F861" s="2"/>
      <c r="G861" s="2"/>
      <c r="H861" s="2"/>
      <c r="I861" s="2"/>
      <c r="J861" s="2"/>
      <c r="K861" s="3"/>
      <c r="P861" s="3"/>
      <c r="Q861" s="3"/>
      <c r="R861" s="3"/>
    </row>
    <row r="862" ht="15.75" customHeight="1">
      <c r="A862" s="7" t="s">
        <v>16</v>
      </c>
      <c r="B862" s="7">
        <v>852.0</v>
      </c>
      <c r="C862" s="1"/>
      <c r="D862" s="2"/>
      <c r="E862" s="2"/>
      <c r="F862" s="2"/>
      <c r="G862" s="2"/>
      <c r="H862" s="2"/>
      <c r="I862" s="2"/>
      <c r="J862" s="2"/>
      <c r="K862" s="3"/>
      <c r="P862" s="3"/>
      <c r="Q862" s="3"/>
      <c r="R862" s="3"/>
    </row>
    <row r="863" ht="15.75" customHeight="1">
      <c r="A863" s="7" t="s">
        <v>16</v>
      </c>
      <c r="B863" s="7">
        <v>853.0</v>
      </c>
      <c r="C863" s="1"/>
      <c r="D863" s="2"/>
      <c r="E863" s="2"/>
      <c r="F863" s="2"/>
      <c r="G863" s="2"/>
      <c r="H863" s="2"/>
      <c r="I863" s="2"/>
      <c r="J863" s="2"/>
      <c r="K863" s="3"/>
      <c r="P863" s="3"/>
      <c r="Q863" s="3"/>
      <c r="R863" s="3"/>
    </row>
    <row r="864" ht="15.75" customHeight="1">
      <c r="A864" s="7" t="s">
        <v>16</v>
      </c>
      <c r="B864" s="7">
        <v>854.0</v>
      </c>
      <c r="C864" s="1"/>
      <c r="D864" s="2"/>
      <c r="E864" s="2"/>
      <c r="F864" s="2"/>
      <c r="G864" s="2"/>
      <c r="H864" s="2"/>
      <c r="I864" s="2"/>
      <c r="J864" s="2"/>
      <c r="K864" s="3"/>
      <c r="P864" s="3"/>
      <c r="Q864" s="3"/>
      <c r="R864" s="3"/>
    </row>
    <row r="865" ht="15.75" customHeight="1">
      <c r="A865" s="7" t="s">
        <v>16</v>
      </c>
      <c r="B865" s="7">
        <v>855.0</v>
      </c>
      <c r="C865" s="1"/>
      <c r="D865" s="2"/>
      <c r="E865" s="2"/>
      <c r="F865" s="2"/>
      <c r="G865" s="2"/>
      <c r="H865" s="2"/>
      <c r="I865" s="2"/>
      <c r="J865" s="2"/>
      <c r="K865" s="3"/>
      <c r="P865" s="3"/>
      <c r="Q865" s="3"/>
      <c r="R865" s="3"/>
    </row>
    <row r="866" ht="15.75" customHeight="1">
      <c r="A866" s="7" t="s">
        <v>16</v>
      </c>
      <c r="B866" s="7">
        <v>856.0</v>
      </c>
      <c r="C866" s="1"/>
      <c r="D866" s="2"/>
      <c r="E866" s="2"/>
      <c r="F866" s="2"/>
      <c r="G866" s="2"/>
      <c r="H866" s="2"/>
      <c r="I866" s="2"/>
      <c r="J866" s="2"/>
      <c r="K866" s="3"/>
      <c r="P866" s="3"/>
      <c r="Q866" s="3"/>
      <c r="R866" s="3"/>
    </row>
    <row r="867" ht="15.75" customHeight="1">
      <c r="A867" s="7" t="s">
        <v>16</v>
      </c>
      <c r="B867" s="7">
        <v>857.0</v>
      </c>
      <c r="C867" s="1"/>
      <c r="D867" s="2"/>
      <c r="E867" s="2"/>
      <c r="F867" s="2"/>
      <c r="G867" s="2"/>
      <c r="H867" s="2"/>
      <c r="I867" s="2"/>
      <c r="J867" s="2"/>
      <c r="K867" s="3"/>
      <c r="P867" s="3"/>
      <c r="Q867" s="3"/>
      <c r="R867" s="3"/>
    </row>
    <row r="868" ht="15.75" customHeight="1">
      <c r="A868" s="7" t="s">
        <v>16</v>
      </c>
      <c r="B868" s="7">
        <v>858.0</v>
      </c>
      <c r="C868" s="1"/>
      <c r="D868" s="2"/>
      <c r="E868" s="2"/>
      <c r="F868" s="2"/>
      <c r="G868" s="2"/>
      <c r="H868" s="2"/>
      <c r="I868" s="2"/>
      <c r="J868" s="2"/>
      <c r="K868" s="3"/>
      <c r="P868" s="3"/>
      <c r="Q868" s="3"/>
      <c r="R868" s="3"/>
    </row>
    <row r="869" ht="15.75" customHeight="1">
      <c r="A869" s="7" t="s">
        <v>16</v>
      </c>
      <c r="B869" s="7">
        <v>859.0</v>
      </c>
      <c r="C869" s="1"/>
      <c r="D869" s="2"/>
      <c r="E869" s="2"/>
      <c r="F869" s="2"/>
      <c r="G869" s="2"/>
      <c r="H869" s="2"/>
      <c r="I869" s="2"/>
      <c r="J869" s="2"/>
      <c r="K869" s="3"/>
      <c r="P869" s="3"/>
      <c r="Q869" s="3"/>
      <c r="R869" s="3"/>
    </row>
    <row r="870" ht="15.75" customHeight="1">
      <c r="A870" s="7" t="s">
        <v>16</v>
      </c>
      <c r="B870" s="7">
        <v>860.0</v>
      </c>
      <c r="C870" s="1"/>
      <c r="D870" s="2"/>
      <c r="E870" s="2"/>
      <c r="F870" s="2"/>
      <c r="G870" s="2"/>
      <c r="H870" s="2"/>
      <c r="I870" s="2"/>
      <c r="J870" s="2"/>
      <c r="K870" s="3"/>
      <c r="P870" s="3"/>
      <c r="Q870" s="3"/>
      <c r="R870" s="3"/>
    </row>
    <row r="871" ht="15.75" customHeight="1">
      <c r="A871" s="7" t="s">
        <v>16</v>
      </c>
      <c r="B871" s="7">
        <v>861.0</v>
      </c>
      <c r="C871" s="1"/>
      <c r="D871" s="2"/>
      <c r="E871" s="2"/>
      <c r="F871" s="2"/>
      <c r="G871" s="2"/>
      <c r="H871" s="2"/>
      <c r="I871" s="2"/>
      <c r="J871" s="2"/>
      <c r="K871" s="3"/>
      <c r="P871" s="3"/>
      <c r="Q871" s="3"/>
      <c r="R871" s="3"/>
    </row>
    <row r="872" ht="15.75" customHeight="1">
      <c r="A872" s="7" t="s">
        <v>16</v>
      </c>
      <c r="B872" s="7">
        <v>862.0</v>
      </c>
      <c r="C872" s="1"/>
      <c r="D872" s="2"/>
      <c r="E872" s="2"/>
      <c r="F872" s="2"/>
      <c r="G872" s="2"/>
      <c r="H872" s="2"/>
      <c r="I872" s="2"/>
      <c r="J872" s="2"/>
      <c r="K872" s="3"/>
      <c r="P872" s="3"/>
      <c r="Q872" s="3"/>
      <c r="R872" s="3"/>
    </row>
    <row r="873" ht="15.75" customHeight="1">
      <c r="A873" s="7" t="s">
        <v>16</v>
      </c>
      <c r="B873" s="7">
        <v>863.0</v>
      </c>
      <c r="C873" s="1"/>
      <c r="D873" s="2"/>
      <c r="E873" s="2"/>
      <c r="F873" s="2"/>
      <c r="G873" s="2"/>
      <c r="H873" s="2"/>
      <c r="I873" s="2"/>
      <c r="J873" s="2"/>
      <c r="K873" s="3"/>
      <c r="P873" s="3"/>
      <c r="Q873" s="3"/>
      <c r="R873" s="3"/>
    </row>
    <row r="874" ht="15.75" customHeight="1">
      <c r="A874" s="7" t="s">
        <v>16</v>
      </c>
      <c r="B874" s="7">
        <v>864.0</v>
      </c>
      <c r="C874" s="1"/>
      <c r="D874" s="2"/>
      <c r="E874" s="2"/>
      <c r="F874" s="2"/>
      <c r="G874" s="2"/>
      <c r="H874" s="2"/>
      <c r="I874" s="2"/>
      <c r="J874" s="2"/>
      <c r="K874" s="3"/>
      <c r="P874" s="3"/>
      <c r="Q874" s="3"/>
      <c r="R874" s="3"/>
    </row>
    <row r="875" ht="15.75" customHeight="1">
      <c r="A875" s="7" t="s">
        <v>16</v>
      </c>
      <c r="B875" s="7">
        <v>865.0</v>
      </c>
      <c r="C875" s="1"/>
      <c r="D875" s="2"/>
      <c r="E875" s="2"/>
      <c r="F875" s="2"/>
      <c r="G875" s="2"/>
      <c r="H875" s="2"/>
      <c r="I875" s="2"/>
      <c r="J875" s="2"/>
      <c r="K875" s="3"/>
      <c r="P875" s="3"/>
      <c r="Q875" s="3"/>
      <c r="R875" s="3"/>
    </row>
    <row r="876" ht="15.75" customHeight="1">
      <c r="A876" s="7" t="s">
        <v>16</v>
      </c>
      <c r="B876" s="7">
        <v>866.0</v>
      </c>
      <c r="C876" s="1"/>
      <c r="D876" s="2"/>
      <c r="E876" s="2"/>
      <c r="F876" s="2"/>
      <c r="G876" s="2"/>
      <c r="H876" s="2"/>
      <c r="I876" s="2"/>
      <c r="J876" s="2"/>
      <c r="K876" s="3"/>
      <c r="P876" s="3"/>
      <c r="Q876" s="3"/>
      <c r="R876" s="3"/>
    </row>
    <row r="877" ht="15.75" customHeight="1">
      <c r="A877" s="7" t="s">
        <v>16</v>
      </c>
      <c r="B877" s="7">
        <v>867.0</v>
      </c>
      <c r="C877" s="1"/>
      <c r="D877" s="2"/>
      <c r="E877" s="2"/>
      <c r="F877" s="2"/>
      <c r="G877" s="2"/>
      <c r="H877" s="2"/>
      <c r="I877" s="2"/>
      <c r="J877" s="2"/>
      <c r="K877" s="3"/>
      <c r="P877" s="3"/>
      <c r="Q877" s="3"/>
      <c r="R877" s="3"/>
    </row>
    <row r="878" ht="15.75" customHeight="1">
      <c r="A878" s="7" t="s">
        <v>16</v>
      </c>
      <c r="B878" s="7">
        <v>868.0</v>
      </c>
      <c r="C878" s="1"/>
      <c r="D878" s="2"/>
      <c r="E878" s="2"/>
      <c r="F878" s="2"/>
      <c r="G878" s="2"/>
      <c r="H878" s="2"/>
      <c r="I878" s="2"/>
      <c r="J878" s="2"/>
      <c r="K878" s="3"/>
      <c r="P878" s="3"/>
      <c r="Q878" s="3"/>
      <c r="R878" s="3"/>
    </row>
    <row r="879" ht="15.75" customHeight="1">
      <c r="A879" s="7" t="s">
        <v>16</v>
      </c>
      <c r="B879" s="7">
        <v>869.0</v>
      </c>
      <c r="C879" s="1"/>
      <c r="D879" s="2"/>
      <c r="E879" s="2"/>
      <c r="F879" s="2"/>
      <c r="G879" s="2"/>
      <c r="H879" s="2"/>
      <c r="I879" s="2"/>
      <c r="J879" s="2"/>
      <c r="K879" s="3"/>
      <c r="P879" s="3"/>
      <c r="Q879" s="3"/>
      <c r="R879" s="3"/>
    </row>
    <row r="880" ht="15.75" customHeight="1">
      <c r="A880" s="7" t="s">
        <v>16</v>
      </c>
      <c r="B880" s="7">
        <v>870.0</v>
      </c>
      <c r="C880" s="1"/>
      <c r="D880" s="2"/>
      <c r="E880" s="2"/>
      <c r="F880" s="2"/>
      <c r="G880" s="2"/>
      <c r="H880" s="2"/>
      <c r="I880" s="2"/>
      <c r="J880" s="2"/>
      <c r="K880" s="3"/>
      <c r="P880" s="3"/>
      <c r="Q880" s="3"/>
      <c r="R880" s="3"/>
    </row>
    <row r="881" ht="15.75" customHeight="1">
      <c r="A881" s="7" t="s">
        <v>16</v>
      </c>
      <c r="B881" s="7">
        <v>871.0</v>
      </c>
      <c r="C881" s="1"/>
      <c r="D881" s="2"/>
      <c r="E881" s="2"/>
      <c r="F881" s="2"/>
      <c r="G881" s="2"/>
      <c r="H881" s="2"/>
      <c r="I881" s="2"/>
      <c r="J881" s="2"/>
      <c r="K881" s="3"/>
      <c r="P881" s="3"/>
      <c r="Q881" s="3"/>
      <c r="R881" s="3"/>
    </row>
    <row r="882" ht="15.75" customHeight="1">
      <c r="A882" s="7" t="s">
        <v>16</v>
      </c>
      <c r="B882" s="7">
        <v>872.0</v>
      </c>
      <c r="C882" s="1"/>
      <c r="D882" s="2"/>
      <c r="E882" s="2"/>
      <c r="F882" s="2"/>
      <c r="G882" s="2"/>
      <c r="H882" s="2"/>
      <c r="I882" s="2"/>
      <c r="J882" s="2"/>
      <c r="K882" s="3"/>
      <c r="P882" s="3"/>
      <c r="Q882" s="3"/>
      <c r="R882" s="3"/>
    </row>
    <row r="883" ht="15.75" customHeight="1">
      <c r="A883" s="7" t="s">
        <v>16</v>
      </c>
      <c r="B883" s="7">
        <v>873.0</v>
      </c>
      <c r="C883" s="1"/>
      <c r="D883" s="2"/>
      <c r="E883" s="2"/>
      <c r="F883" s="2"/>
      <c r="G883" s="2"/>
      <c r="H883" s="2"/>
      <c r="I883" s="2"/>
      <c r="J883" s="2"/>
      <c r="K883" s="3"/>
      <c r="P883" s="3"/>
      <c r="Q883" s="3"/>
      <c r="R883" s="3"/>
    </row>
    <row r="884" ht="15.75" customHeight="1">
      <c r="A884" s="7" t="s">
        <v>16</v>
      </c>
      <c r="B884" s="7">
        <v>874.0</v>
      </c>
      <c r="C884" s="1"/>
      <c r="D884" s="2"/>
      <c r="E884" s="2"/>
      <c r="F884" s="2"/>
      <c r="G884" s="2"/>
      <c r="H884" s="2"/>
      <c r="I884" s="2"/>
      <c r="J884" s="2"/>
      <c r="K884" s="3"/>
      <c r="P884" s="3"/>
      <c r="Q884" s="3"/>
      <c r="R884" s="3"/>
    </row>
    <row r="885" ht="15.75" customHeight="1">
      <c r="A885" s="7" t="s">
        <v>16</v>
      </c>
      <c r="B885" s="7">
        <v>875.0</v>
      </c>
      <c r="C885" s="1"/>
      <c r="D885" s="2"/>
      <c r="E885" s="2"/>
      <c r="F885" s="2"/>
      <c r="G885" s="2"/>
      <c r="H885" s="2"/>
      <c r="I885" s="2"/>
      <c r="J885" s="2"/>
      <c r="K885" s="3"/>
      <c r="P885" s="3"/>
      <c r="Q885" s="3"/>
      <c r="R885" s="3"/>
    </row>
    <row r="886" ht="15.75" customHeight="1">
      <c r="A886" s="7" t="s">
        <v>16</v>
      </c>
      <c r="B886" s="7">
        <v>876.0</v>
      </c>
      <c r="C886" s="1"/>
      <c r="D886" s="2"/>
      <c r="E886" s="2"/>
      <c r="F886" s="2"/>
      <c r="G886" s="2"/>
      <c r="H886" s="2"/>
      <c r="I886" s="2"/>
      <c r="J886" s="2"/>
      <c r="K886" s="3"/>
      <c r="P886" s="3"/>
      <c r="Q886" s="3"/>
      <c r="R886" s="3"/>
    </row>
    <row r="887" ht="15.75" customHeight="1">
      <c r="A887" s="7" t="s">
        <v>16</v>
      </c>
      <c r="B887" s="7">
        <v>877.0</v>
      </c>
      <c r="C887" s="1"/>
      <c r="D887" s="2"/>
      <c r="E887" s="2"/>
      <c r="F887" s="2"/>
      <c r="G887" s="2"/>
      <c r="H887" s="2"/>
      <c r="I887" s="2"/>
      <c r="J887" s="2"/>
      <c r="K887" s="3"/>
      <c r="P887" s="3"/>
      <c r="Q887" s="3"/>
      <c r="R887" s="3"/>
    </row>
    <row r="888" ht="15.75" customHeight="1">
      <c r="A888" s="7" t="s">
        <v>16</v>
      </c>
      <c r="B888" s="7">
        <v>878.0</v>
      </c>
      <c r="C888" s="1"/>
      <c r="D888" s="2"/>
      <c r="E888" s="2"/>
      <c r="F888" s="2"/>
      <c r="G888" s="2"/>
      <c r="H888" s="2"/>
      <c r="I888" s="2"/>
      <c r="J888" s="2"/>
      <c r="K888" s="3"/>
      <c r="P888" s="3"/>
      <c r="Q888" s="3"/>
      <c r="R888" s="3"/>
    </row>
    <row r="889" ht="15.75" customHeight="1">
      <c r="A889" s="7" t="s">
        <v>16</v>
      </c>
      <c r="B889" s="7">
        <v>879.0</v>
      </c>
      <c r="C889" s="1"/>
      <c r="D889" s="2"/>
      <c r="E889" s="2"/>
      <c r="F889" s="2"/>
      <c r="G889" s="2"/>
      <c r="H889" s="2"/>
      <c r="I889" s="2"/>
      <c r="J889" s="2"/>
      <c r="K889" s="3"/>
      <c r="P889" s="3"/>
      <c r="Q889" s="3"/>
      <c r="R889" s="3"/>
    </row>
    <row r="890" ht="15.75" customHeight="1">
      <c r="A890" s="7" t="s">
        <v>16</v>
      </c>
      <c r="B890" s="7">
        <v>880.0</v>
      </c>
      <c r="C890" s="1"/>
      <c r="D890" s="2"/>
      <c r="E890" s="2"/>
      <c r="F890" s="2"/>
      <c r="G890" s="2"/>
      <c r="H890" s="2"/>
      <c r="I890" s="2"/>
      <c r="J890" s="2"/>
      <c r="K890" s="3"/>
      <c r="P890" s="3"/>
      <c r="Q890" s="3"/>
      <c r="R890" s="3"/>
    </row>
    <row r="891" ht="15.75" customHeight="1">
      <c r="A891" s="7" t="s">
        <v>16</v>
      </c>
      <c r="B891" s="7">
        <v>881.0</v>
      </c>
      <c r="C891" s="1"/>
      <c r="D891" s="2"/>
      <c r="E891" s="2"/>
      <c r="F891" s="2"/>
      <c r="G891" s="2"/>
      <c r="H891" s="2"/>
      <c r="I891" s="2"/>
      <c r="J891" s="2"/>
      <c r="K891" s="3"/>
      <c r="P891" s="3"/>
      <c r="Q891" s="3"/>
      <c r="R891" s="3"/>
    </row>
    <row r="892" ht="15.75" customHeight="1">
      <c r="A892" s="7" t="s">
        <v>16</v>
      </c>
      <c r="B892" s="7">
        <v>882.0</v>
      </c>
      <c r="C892" s="1"/>
      <c r="D892" s="2"/>
      <c r="E892" s="2"/>
      <c r="F892" s="2"/>
      <c r="G892" s="2"/>
      <c r="H892" s="2"/>
      <c r="I892" s="2"/>
      <c r="J892" s="2"/>
      <c r="K892" s="3"/>
      <c r="P892" s="3"/>
      <c r="Q892" s="3"/>
      <c r="R892" s="3"/>
    </row>
    <row r="893" ht="15.75" customHeight="1">
      <c r="A893" s="7" t="s">
        <v>16</v>
      </c>
      <c r="B893" s="7">
        <v>883.0</v>
      </c>
      <c r="C893" s="1"/>
      <c r="D893" s="2"/>
      <c r="E893" s="2"/>
      <c r="F893" s="2"/>
      <c r="G893" s="2"/>
      <c r="H893" s="2"/>
      <c r="I893" s="2"/>
      <c r="J893" s="2"/>
      <c r="K893" s="3"/>
      <c r="P893" s="3"/>
      <c r="Q893" s="3"/>
      <c r="R893" s="3"/>
    </row>
    <row r="894" ht="15.75" customHeight="1">
      <c r="A894" s="7" t="s">
        <v>16</v>
      </c>
      <c r="B894" s="7">
        <v>884.0</v>
      </c>
      <c r="C894" s="1"/>
      <c r="D894" s="2"/>
      <c r="E894" s="2"/>
      <c r="F894" s="2"/>
      <c r="G894" s="2"/>
      <c r="H894" s="2"/>
      <c r="I894" s="2"/>
      <c r="J894" s="2"/>
      <c r="K894" s="3"/>
      <c r="P894" s="3"/>
      <c r="Q894" s="3"/>
      <c r="R894" s="3"/>
    </row>
    <row r="895" ht="15.75" customHeight="1">
      <c r="A895" s="7" t="s">
        <v>16</v>
      </c>
      <c r="B895" s="7">
        <v>885.0</v>
      </c>
      <c r="C895" s="1"/>
      <c r="D895" s="2"/>
      <c r="E895" s="2"/>
      <c r="F895" s="2"/>
      <c r="G895" s="2"/>
      <c r="H895" s="2"/>
      <c r="I895" s="2"/>
      <c r="J895" s="2"/>
      <c r="K895" s="3"/>
      <c r="P895" s="3"/>
      <c r="Q895" s="3"/>
      <c r="R895" s="3"/>
    </row>
    <row r="896" ht="15.75" customHeight="1">
      <c r="A896" s="7" t="s">
        <v>16</v>
      </c>
      <c r="B896" s="7">
        <v>886.0</v>
      </c>
      <c r="C896" s="1"/>
      <c r="D896" s="2"/>
      <c r="E896" s="2"/>
      <c r="F896" s="2"/>
      <c r="G896" s="2"/>
      <c r="H896" s="2"/>
      <c r="I896" s="2"/>
      <c r="J896" s="2"/>
      <c r="K896" s="3"/>
      <c r="P896" s="3"/>
      <c r="Q896" s="3"/>
      <c r="R896" s="3"/>
    </row>
    <row r="897" ht="15.75" customHeight="1">
      <c r="A897" s="7" t="s">
        <v>16</v>
      </c>
      <c r="B897" s="7">
        <v>887.0</v>
      </c>
      <c r="C897" s="1"/>
      <c r="D897" s="2"/>
      <c r="E897" s="2"/>
      <c r="F897" s="2"/>
      <c r="G897" s="2"/>
      <c r="H897" s="2"/>
      <c r="I897" s="2"/>
      <c r="J897" s="2"/>
      <c r="K897" s="3"/>
      <c r="P897" s="3"/>
      <c r="Q897" s="3"/>
      <c r="R897" s="3"/>
    </row>
    <row r="898" ht="15.75" customHeight="1">
      <c r="A898" s="7" t="s">
        <v>16</v>
      </c>
      <c r="B898" s="7">
        <v>888.0</v>
      </c>
      <c r="C898" s="1"/>
      <c r="D898" s="2"/>
      <c r="E898" s="2"/>
      <c r="F898" s="2"/>
      <c r="G898" s="2"/>
      <c r="H898" s="2"/>
      <c r="I898" s="2"/>
      <c r="J898" s="2"/>
      <c r="K898" s="3"/>
      <c r="P898" s="3"/>
      <c r="Q898" s="3"/>
      <c r="R898" s="3"/>
    </row>
    <row r="899" ht="15.75" customHeight="1">
      <c r="A899" s="7" t="s">
        <v>16</v>
      </c>
      <c r="B899" s="7">
        <v>889.0</v>
      </c>
      <c r="C899" s="1"/>
      <c r="D899" s="2"/>
      <c r="E899" s="2"/>
      <c r="F899" s="2"/>
      <c r="G899" s="2"/>
      <c r="H899" s="2"/>
      <c r="I899" s="2"/>
      <c r="J899" s="2"/>
      <c r="K899" s="3"/>
      <c r="P899" s="3"/>
      <c r="Q899" s="3"/>
      <c r="R899" s="3"/>
    </row>
    <row r="900" ht="15.75" customHeight="1">
      <c r="A900" s="7" t="s">
        <v>16</v>
      </c>
      <c r="B900" s="7">
        <v>890.0</v>
      </c>
      <c r="C900" s="1"/>
      <c r="D900" s="2"/>
      <c r="E900" s="2"/>
      <c r="F900" s="2"/>
      <c r="G900" s="2"/>
      <c r="H900" s="2"/>
      <c r="I900" s="2"/>
      <c r="J900" s="2"/>
      <c r="K900" s="3"/>
      <c r="P900" s="3"/>
      <c r="Q900" s="3"/>
      <c r="R900" s="3"/>
    </row>
    <row r="901" ht="15.75" customHeight="1">
      <c r="A901" s="7" t="s">
        <v>16</v>
      </c>
      <c r="B901" s="7">
        <v>891.0</v>
      </c>
      <c r="C901" s="1"/>
      <c r="D901" s="2"/>
      <c r="E901" s="2"/>
      <c r="F901" s="2"/>
      <c r="G901" s="2"/>
      <c r="H901" s="2"/>
      <c r="I901" s="2"/>
      <c r="J901" s="2"/>
      <c r="K901" s="3"/>
      <c r="P901" s="3"/>
      <c r="Q901" s="3"/>
      <c r="R901" s="3"/>
    </row>
    <row r="902" ht="15.75" customHeight="1">
      <c r="A902" s="7" t="s">
        <v>16</v>
      </c>
      <c r="B902" s="7">
        <v>892.0</v>
      </c>
      <c r="C902" s="1"/>
      <c r="D902" s="2"/>
      <c r="E902" s="2"/>
      <c r="F902" s="2"/>
      <c r="G902" s="2"/>
      <c r="H902" s="2"/>
      <c r="I902" s="2"/>
      <c r="J902" s="2"/>
      <c r="K902" s="3"/>
      <c r="P902" s="3"/>
      <c r="Q902" s="3"/>
      <c r="R902" s="3"/>
    </row>
    <row r="903" ht="15.75" customHeight="1">
      <c r="A903" s="7" t="s">
        <v>16</v>
      </c>
      <c r="B903" s="7">
        <v>893.0</v>
      </c>
      <c r="C903" s="1"/>
      <c r="D903" s="2"/>
      <c r="E903" s="2"/>
      <c r="F903" s="2"/>
      <c r="G903" s="2"/>
      <c r="H903" s="2"/>
      <c r="I903" s="2"/>
      <c r="J903" s="2"/>
      <c r="K903" s="3"/>
      <c r="P903" s="3"/>
      <c r="Q903" s="3"/>
      <c r="R903" s="3"/>
    </row>
    <row r="904" ht="15.75" customHeight="1">
      <c r="A904" s="7" t="s">
        <v>16</v>
      </c>
      <c r="B904" s="7">
        <v>894.0</v>
      </c>
      <c r="C904" s="1"/>
      <c r="D904" s="2"/>
      <c r="E904" s="2"/>
      <c r="F904" s="2"/>
      <c r="G904" s="2"/>
      <c r="H904" s="2"/>
      <c r="I904" s="2"/>
      <c r="J904" s="2"/>
      <c r="K904" s="3"/>
      <c r="P904" s="3"/>
      <c r="Q904" s="3"/>
      <c r="R904" s="3"/>
    </row>
    <row r="905" ht="15.75" customHeight="1">
      <c r="A905" s="7" t="s">
        <v>16</v>
      </c>
      <c r="B905" s="7">
        <v>895.0</v>
      </c>
      <c r="C905" s="1"/>
      <c r="D905" s="2"/>
      <c r="E905" s="2"/>
      <c r="F905" s="2"/>
      <c r="G905" s="2"/>
      <c r="H905" s="2"/>
      <c r="I905" s="2"/>
      <c r="J905" s="2"/>
      <c r="K905" s="3"/>
      <c r="P905" s="3"/>
      <c r="Q905" s="3"/>
      <c r="R905" s="3"/>
    </row>
    <row r="906" ht="15.75" customHeight="1">
      <c r="A906" s="7" t="s">
        <v>16</v>
      </c>
      <c r="B906" s="7">
        <v>896.0</v>
      </c>
      <c r="C906" s="1"/>
      <c r="D906" s="2"/>
      <c r="E906" s="2"/>
      <c r="F906" s="2"/>
      <c r="G906" s="2"/>
      <c r="H906" s="2"/>
      <c r="I906" s="2"/>
      <c r="J906" s="2"/>
      <c r="K906" s="3"/>
      <c r="P906" s="3"/>
      <c r="Q906" s="3"/>
      <c r="R906" s="3"/>
    </row>
    <row r="907" ht="15.75" customHeight="1">
      <c r="A907" s="7" t="s">
        <v>16</v>
      </c>
      <c r="B907" s="7">
        <v>897.0</v>
      </c>
      <c r="C907" s="1"/>
      <c r="D907" s="2"/>
      <c r="E907" s="2"/>
      <c r="F907" s="2"/>
      <c r="G907" s="2"/>
      <c r="H907" s="2"/>
      <c r="I907" s="2"/>
      <c r="J907" s="2"/>
      <c r="K907" s="3"/>
      <c r="P907" s="3"/>
      <c r="Q907" s="3"/>
      <c r="R907" s="3"/>
    </row>
    <row r="908" ht="15.75" customHeight="1">
      <c r="A908" s="7" t="s">
        <v>16</v>
      </c>
      <c r="B908" s="7">
        <v>898.0</v>
      </c>
      <c r="C908" s="1"/>
      <c r="D908" s="2"/>
      <c r="E908" s="2"/>
      <c r="F908" s="2"/>
      <c r="G908" s="2"/>
      <c r="H908" s="2"/>
      <c r="I908" s="2"/>
      <c r="J908" s="2"/>
      <c r="K908" s="3"/>
      <c r="P908" s="3"/>
      <c r="Q908" s="3"/>
      <c r="R908" s="3"/>
    </row>
    <row r="909" ht="15.75" customHeight="1">
      <c r="A909" s="7" t="s">
        <v>16</v>
      </c>
      <c r="B909" s="7">
        <v>899.0</v>
      </c>
      <c r="C909" s="1"/>
      <c r="D909" s="2"/>
      <c r="E909" s="2"/>
      <c r="F909" s="2"/>
      <c r="G909" s="2"/>
      <c r="H909" s="2"/>
      <c r="I909" s="2"/>
      <c r="J909" s="2"/>
      <c r="K909" s="3"/>
      <c r="P909" s="3"/>
      <c r="Q909" s="3"/>
      <c r="R909" s="3"/>
    </row>
    <row r="910" ht="15.75" customHeight="1">
      <c r="A910" s="7" t="s">
        <v>16</v>
      </c>
      <c r="B910" s="7">
        <v>900.0</v>
      </c>
      <c r="C910" s="1"/>
      <c r="D910" s="2"/>
      <c r="E910" s="2"/>
      <c r="F910" s="2"/>
      <c r="G910" s="2"/>
      <c r="H910" s="2"/>
      <c r="I910" s="2"/>
      <c r="J910" s="2"/>
      <c r="K910" s="3"/>
      <c r="P910" s="3"/>
      <c r="Q910" s="3"/>
      <c r="R910" s="3"/>
    </row>
    <row r="911" ht="15.75" customHeight="1">
      <c r="A911" s="7" t="s">
        <v>16</v>
      </c>
      <c r="B911" s="7">
        <v>901.0</v>
      </c>
      <c r="C911" s="1"/>
      <c r="D911" s="2"/>
      <c r="E911" s="2"/>
      <c r="F911" s="2"/>
      <c r="G911" s="2"/>
      <c r="H911" s="2"/>
      <c r="I911" s="2"/>
      <c r="J911" s="2"/>
      <c r="K911" s="3"/>
      <c r="P911" s="3"/>
      <c r="Q911" s="3"/>
      <c r="R911" s="3"/>
    </row>
    <row r="912" ht="15.75" customHeight="1">
      <c r="A912" s="7" t="s">
        <v>16</v>
      </c>
      <c r="B912" s="7">
        <v>902.0</v>
      </c>
      <c r="C912" s="1"/>
      <c r="D912" s="2"/>
      <c r="E912" s="2"/>
      <c r="F912" s="2"/>
      <c r="G912" s="2"/>
      <c r="H912" s="2"/>
      <c r="I912" s="2"/>
      <c r="J912" s="2"/>
      <c r="K912" s="3"/>
      <c r="P912" s="3"/>
      <c r="Q912" s="3"/>
      <c r="R912" s="3"/>
    </row>
    <row r="913" ht="15.75" customHeight="1">
      <c r="A913" s="7" t="s">
        <v>16</v>
      </c>
      <c r="B913" s="7">
        <v>903.0</v>
      </c>
      <c r="C913" s="1"/>
      <c r="D913" s="2"/>
      <c r="E913" s="2"/>
      <c r="F913" s="2"/>
      <c r="G913" s="2"/>
      <c r="H913" s="2"/>
      <c r="I913" s="2"/>
      <c r="J913" s="2"/>
      <c r="K913" s="3"/>
      <c r="P913" s="3"/>
      <c r="Q913" s="3"/>
      <c r="R913" s="3"/>
    </row>
    <row r="914" ht="15.75" customHeight="1">
      <c r="A914" s="7" t="s">
        <v>16</v>
      </c>
      <c r="B914" s="7">
        <v>904.0</v>
      </c>
      <c r="C914" s="1"/>
      <c r="D914" s="2"/>
      <c r="E914" s="2"/>
      <c r="F914" s="2"/>
      <c r="G914" s="2"/>
      <c r="H914" s="2"/>
      <c r="I914" s="2"/>
      <c r="J914" s="2"/>
      <c r="K914" s="3"/>
      <c r="P914" s="3"/>
      <c r="Q914" s="3"/>
      <c r="R914" s="3"/>
    </row>
    <row r="915" ht="15.75" customHeight="1">
      <c r="A915" s="7" t="s">
        <v>16</v>
      </c>
      <c r="B915" s="7">
        <v>905.0</v>
      </c>
      <c r="C915" s="1"/>
      <c r="D915" s="2"/>
      <c r="E915" s="2"/>
      <c r="F915" s="2"/>
      <c r="G915" s="2"/>
      <c r="H915" s="2"/>
      <c r="I915" s="2"/>
      <c r="J915" s="2"/>
      <c r="K915" s="3"/>
      <c r="P915" s="3"/>
      <c r="Q915" s="3"/>
      <c r="R915" s="3"/>
    </row>
    <row r="916" ht="15.75" customHeight="1">
      <c r="A916" s="7" t="s">
        <v>16</v>
      </c>
      <c r="B916" s="7">
        <v>906.0</v>
      </c>
      <c r="C916" s="1"/>
      <c r="D916" s="2"/>
      <c r="E916" s="2"/>
      <c r="F916" s="2"/>
      <c r="G916" s="2"/>
      <c r="H916" s="2"/>
      <c r="I916" s="2"/>
      <c r="J916" s="2"/>
      <c r="K916" s="3"/>
      <c r="P916" s="3"/>
      <c r="Q916" s="3"/>
      <c r="R916" s="3"/>
    </row>
    <row r="917" ht="15.75" customHeight="1">
      <c r="A917" s="7" t="s">
        <v>16</v>
      </c>
      <c r="B917" s="7">
        <v>907.0</v>
      </c>
      <c r="C917" s="1"/>
      <c r="D917" s="2"/>
      <c r="E917" s="2"/>
      <c r="F917" s="2"/>
      <c r="G917" s="2"/>
      <c r="H917" s="2"/>
      <c r="I917" s="2"/>
      <c r="J917" s="2"/>
      <c r="K917" s="3"/>
      <c r="P917" s="3"/>
      <c r="Q917" s="3"/>
      <c r="R917" s="3"/>
    </row>
    <row r="918" ht="15.75" customHeight="1">
      <c r="A918" s="7" t="s">
        <v>16</v>
      </c>
      <c r="B918" s="7">
        <v>908.0</v>
      </c>
      <c r="C918" s="1"/>
      <c r="D918" s="2"/>
      <c r="E918" s="2"/>
      <c r="F918" s="2"/>
      <c r="G918" s="2"/>
      <c r="H918" s="2"/>
      <c r="I918" s="2"/>
      <c r="J918" s="2"/>
      <c r="K918" s="3"/>
      <c r="P918" s="3"/>
      <c r="Q918" s="3"/>
      <c r="R918" s="3"/>
    </row>
    <row r="919" ht="15.75" customHeight="1">
      <c r="A919" s="7" t="s">
        <v>16</v>
      </c>
      <c r="B919" s="7">
        <v>909.0</v>
      </c>
      <c r="C919" s="1"/>
      <c r="D919" s="2"/>
      <c r="E919" s="2"/>
      <c r="F919" s="2"/>
      <c r="G919" s="2"/>
      <c r="H919" s="2"/>
      <c r="I919" s="2"/>
      <c r="J919" s="2"/>
      <c r="K919" s="3"/>
      <c r="P919" s="3"/>
      <c r="Q919" s="3"/>
      <c r="R919" s="3"/>
    </row>
    <row r="920" ht="15.75" customHeight="1">
      <c r="A920" s="7" t="s">
        <v>16</v>
      </c>
      <c r="B920" s="7">
        <v>910.0</v>
      </c>
      <c r="C920" s="1"/>
      <c r="D920" s="2"/>
      <c r="E920" s="2"/>
      <c r="F920" s="2"/>
      <c r="G920" s="2"/>
      <c r="H920" s="2"/>
      <c r="I920" s="2"/>
      <c r="J920" s="2"/>
      <c r="K920" s="3"/>
      <c r="P920" s="3"/>
      <c r="Q920" s="3"/>
      <c r="R920" s="3"/>
    </row>
    <row r="921" ht="15.75" customHeight="1">
      <c r="A921" s="7" t="s">
        <v>16</v>
      </c>
      <c r="B921" s="7">
        <v>911.0</v>
      </c>
      <c r="C921" s="1"/>
      <c r="D921" s="2"/>
      <c r="E921" s="2"/>
      <c r="F921" s="2"/>
      <c r="G921" s="2"/>
      <c r="H921" s="2"/>
      <c r="I921" s="2"/>
      <c r="J921" s="2"/>
      <c r="K921" s="3"/>
      <c r="P921" s="3"/>
      <c r="Q921" s="3"/>
      <c r="R921" s="3"/>
    </row>
    <row r="922" ht="15.75" customHeight="1">
      <c r="A922" s="7" t="s">
        <v>16</v>
      </c>
      <c r="B922" s="7">
        <v>912.0</v>
      </c>
      <c r="C922" s="1"/>
      <c r="D922" s="2"/>
      <c r="E922" s="2"/>
      <c r="F922" s="2"/>
      <c r="G922" s="2"/>
      <c r="H922" s="2"/>
      <c r="I922" s="2"/>
      <c r="J922" s="2"/>
      <c r="K922" s="3"/>
      <c r="P922" s="3"/>
      <c r="Q922" s="3"/>
      <c r="R922" s="3"/>
    </row>
    <row r="923" ht="15.75" customHeight="1">
      <c r="A923" s="7" t="s">
        <v>16</v>
      </c>
      <c r="B923" s="7">
        <v>913.0</v>
      </c>
      <c r="C923" s="1"/>
      <c r="D923" s="2"/>
      <c r="E923" s="2"/>
      <c r="F923" s="2"/>
      <c r="G923" s="2"/>
      <c r="H923" s="2"/>
      <c r="I923" s="2"/>
      <c r="J923" s="2"/>
      <c r="K923" s="3"/>
      <c r="P923" s="3"/>
      <c r="Q923" s="3"/>
      <c r="R923" s="3"/>
    </row>
    <row r="924" ht="15.75" customHeight="1">
      <c r="A924" s="7" t="s">
        <v>16</v>
      </c>
      <c r="B924" s="7">
        <v>914.0</v>
      </c>
      <c r="C924" s="1"/>
      <c r="D924" s="2"/>
      <c r="E924" s="2"/>
      <c r="F924" s="2"/>
      <c r="G924" s="2"/>
      <c r="H924" s="2"/>
      <c r="I924" s="2"/>
      <c r="J924" s="2"/>
      <c r="K924" s="3"/>
      <c r="P924" s="3"/>
      <c r="Q924" s="3"/>
      <c r="R924" s="3"/>
    </row>
    <row r="925" ht="15.75" customHeight="1">
      <c r="A925" s="7" t="s">
        <v>16</v>
      </c>
      <c r="B925" s="7">
        <v>915.0</v>
      </c>
      <c r="C925" s="1"/>
      <c r="D925" s="2"/>
      <c r="E925" s="2"/>
      <c r="F925" s="2"/>
      <c r="G925" s="2"/>
      <c r="H925" s="2"/>
      <c r="I925" s="2"/>
      <c r="J925" s="2"/>
      <c r="K925" s="3"/>
      <c r="P925" s="3"/>
      <c r="Q925" s="3"/>
      <c r="R925" s="3"/>
    </row>
    <row r="926" ht="15.75" customHeight="1">
      <c r="A926" s="7" t="s">
        <v>16</v>
      </c>
      <c r="B926" s="7">
        <v>916.0</v>
      </c>
      <c r="C926" s="1"/>
      <c r="D926" s="2"/>
      <c r="E926" s="2"/>
      <c r="F926" s="2"/>
      <c r="G926" s="2"/>
      <c r="H926" s="2"/>
      <c r="I926" s="2"/>
      <c r="J926" s="2"/>
      <c r="K926" s="3"/>
      <c r="P926" s="3"/>
      <c r="Q926" s="3"/>
      <c r="R926" s="3"/>
    </row>
    <row r="927" ht="15.75" customHeight="1">
      <c r="A927" s="7" t="s">
        <v>16</v>
      </c>
      <c r="B927" s="7">
        <v>917.0</v>
      </c>
      <c r="C927" s="1"/>
      <c r="D927" s="2"/>
      <c r="E927" s="2"/>
      <c r="F927" s="2"/>
      <c r="G927" s="2"/>
      <c r="H927" s="2"/>
      <c r="I927" s="2"/>
      <c r="J927" s="2"/>
      <c r="K927" s="3"/>
      <c r="P927" s="3"/>
      <c r="Q927" s="3"/>
      <c r="R927" s="3"/>
    </row>
    <row r="928" ht="15.75" customHeight="1">
      <c r="A928" s="7" t="s">
        <v>16</v>
      </c>
      <c r="B928" s="7">
        <v>918.0</v>
      </c>
      <c r="C928" s="1"/>
      <c r="D928" s="2"/>
      <c r="E928" s="2"/>
      <c r="F928" s="2"/>
      <c r="G928" s="2"/>
      <c r="H928" s="2"/>
      <c r="I928" s="2"/>
      <c r="J928" s="2"/>
      <c r="K928" s="3"/>
      <c r="P928" s="3"/>
      <c r="Q928" s="3"/>
      <c r="R928" s="3"/>
    </row>
    <row r="929" ht="15.75" customHeight="1">
      <c r="A929" s="7" t="s">
        <v>16</v>
      </c>
      <c r="B929" s="7">
        <v>919.0</v>
      </c>
      <c r="C929" s="1"/>
      <c r="D929" s="2"/>
      <c r="E929" s="2"/>
      <c r="F929" s="2"/>
      <c r="G929" s="2"/>
      <c r="H929" s="2"/>
      <c r="I929" s="2"/>
      <c r="J929" s="2"/>
      <c r="K929" s="3"/>
      <c r="P929" s="3"/>
      <c r="Q929" s="3"/>
      <c r="R929" s="3"/>
    </row>
    <row r="930" ht="15.75" customHeight="1">
      <c r="A930" s="7" t="s">
        <v>16</v>
      </c>
      <c r="B930" s="7">
        <v>920.0</v>
      </c>
      <c r="C930" s="1"/>
      <c r="D930" s="2"/>
      <c r="E930" s="2"/>
      <c r="F930" s="2"/>
      <c r="G930" s="2"/>
      <c r="H930" s="2"/>
      <c r="I930" s="2"/>
      <c r="J930" s="2"/>
      <c r="K930" s="3"/>
      <c r="P930" s="3"/>
      <c r="Q930" s="3"/>
      <c r="R930" s="3"/>
    </row>
    <row r="931" ht="15.75" customHeight="1">
      <c r="A931" s="7" t="s">
        <v>16</v>
      </c>
      <c r="B931" s="7">
        <v>921.0</v>
      </c>
      <c r="C931" s="1"/>
      <c r="D931" s="2"/>
      <c r="E931" s="2"/>
      <c r="F931" s="2"/>
      <c r="G931" s="2"/>
      <c r="H931" s="2"/>
      <c r="I931" s="2"/>
      <c r="J931" s="2"/>
      <c r="K931" s="3"/>
      <c r="P931" s="3"/>
      <c r="Q931" s="3"/>
      <c r="R931" s="3"/>
    </row>
    <row r="932" ht="15.75" customHeight="1">
      <c r="A932" s="7" t="s">
        <v>16</v>
      </c>
      <c r="B932" s="7">
        <v>922.0</v>
      </c>
      <c r="C932" s="1"/>
      <c r="D932" s="2"/>
      <c r="E932" s="2"/>
      <c r="F932" s="2"/>
      <c r="G932" s="2"/>
      <c r="H932" s="2"/>
      <c r="I932" s="2"/>
      <c r="J932" s="2"/>
      <c r="K932" s="3"/>
      <c r="P932" s="3"/>
      <c r="Q932" s="3"/>
      <c r="R932" s="3"/>
    </row>
    <row r="933" ht="15.75" customHeight="1">
      <c r="A933" s="7" t="s">
        <v>16</v>
      </c>
      <c r="B933" s="7">
        <v>923.0</v>
      </c>
      <c r="C933" s="1"/>
      <c r="D933" s="2"/>
      <c r="E933" s="2"/>
      <c r="F933" s="2"/>
      <c r="G933" s="2"/>
      <c r="H933" s="2"/>
      <c r="I933" s="2"/>
      <c r="J933" s="2"/>
      <c r="K933" s="3"/>
      <c r="P933" s="3"/>
      <c r="Q933" s="3"/>
      <c r="R933" s="3"/>
    </row>
    <row r="934" ht="15.75" customHeight="1">
      <c r="A934" s="7" t="s">
        <v>16</v>
      </c>
      <c r="B934" s="7">
        <v>924.0</v>
      </c>
      <c r="C934" s="1"/>
      <c r="D934" s="2"/>
      <c r="E934" s="2"/>
      <c r="F934" s="2"/>
      <c r="G934" s="2"/>
      <c r="H934" s="2"/>
      <c r="I934" s="2"/>
      <c r="J934" s="2"/>
      <c r="K934" s="3"/>
      <c r="P934" s="3"/>
      <c r="Q934" s="3"/>
      <c r="R934" s="3"/>
    </row>
    <row r="935" ht="15.75" customHeight="1">
      <c r="A935" s="7" t="s">
        <v>16</v>
      </c>
      <c r="B935" s="7">
        <v>925.0</v>
      </c>
      <c r="C935" s="1"/>
      <c r="D935" s="2"/>
      <c r="E935" s="2"/>
      <c r="F935" s="2"/>
      <c r="G935" s="2"/>
      <c r="H935" s="2"/>
      <c r="I935" s="2"/>
      <c r="J935" s="2"/>
      <c r="K935" s="3"/>
      <c r="P935" s="3"/>
      <c r="Q935" s="3"/>
      <c r="R935" s="3"/>
    </row>
    <row r="936" ht="15.75" customHeight="1">
      <c r="A936" s="7" t="s">
        <v>16</v>
      </c>
      <c r="B936" s="7">
        <v>926.0</v>
      </c>
      <c r="C936" s="1"/>
      <c r="D936" s="2"/>
      <c r="E936" s="2"/>
      <c r="F936" s="2"/>
      <c r="G936" s="2"/>
      <c r="H936" s="2"/>
      <c r="I936" s="2"/>
      <c r="J936" s="2"/>
      <c r="K936" s="3"/>
      <c r="P936" s="3"/>
      <c r="Q936" s="3"/>
      <c r="R936" s="3"/>
    </row>
    <row r="937" ht="15.75" customHeight="1">
      <c r="A937" s="7" t="s">
        <v>16</v>
      </c>
      <c r="B937" s="7">
        <v>927.0</v>
      </c>
      <c r="C937" s="1"/>
      <c r="D937" s="2"/>
      <c r="E937" s="2"/>
      <c r="F937" s="2"/>
      <c r="G937" s="2"/>
      <c r="H937" s="2"/>
      <c r="I937" s="2"/>
      <c r="J937" s="2"/>
      <c r="K937" s="3"/>
      <c r="P937" s="3"/>
      <c r="Q937" s="3"/>
      <c r="R937" s="3"/>
    </row>
    <row r="938" ht="15.75" customHeight="1">
      <c r="A938" s="7" t="s">
        <v>16</v>
      </c>
      <c r="B938" s="7">
        <v>928.0</v>
      </c>
      <c r="C938" s="1"/>
      <c r="D938" s="2"/>
      <c r="E938" s="2"/>
      <c r="F938" s="2"/>
      <c r="G938" s="2"/>
      <c r="H938" s="2"/>
      <c r="I938" s="2"/>
      <c r="J938" s="2"/>
      <c r="K938" s="3"/>
      <c r="P938" s="3"/>
      <c r="Q938" s="3"/>
      <c r="R938" s="3"/>
    </row>
    <row r="939" ht="15.75" customHeight="1">
      <c r="A939" s="7" t="s">
        <v>16</v>
      </c>
      <c r="B939" s="7">
        <v>929.0</v>
      </c>
      <c r="C939" s="1"/>
      <c r="D939" s="2"/>
      <c r="E939" s="2"/>
      <c r="F939" s="2"/>
      <c r="G939" s="2"/>
      <c r="H939" s="2"/>
      <c r="I939" s="2"/>
      <c r="J939" s="2"/>
      <c r="K939" s="3"/>
      <c r="P939" s="3"/>
      <c r="Q939" s="3"/>
      <c r="R939" s="3"/>
    </row>
    <row r="940" ht="15.75" customHeight="1">
      <c r="A940" s="7" t="s">
        <v>16</v>
      </c>
      <c r="B940" s="7">
        <v>930.0</v>
      </c>
      <c r="C940" s="1"/>
      <c r="D940" s="2"/>
      <c r="E940" s="2"/>
      <c r="F940" s="2"/>
      <c r="G940" s="2"/>
      <c r="H940" s="2"/>
      <c r="I940" s="2"/>
      <c r="J940" s="2"/>
      <c r="K940" s="3"/>
      <c r="P940" s="3"/>
      <c r="Q940" s="3"/>
      <c r="R940" s="3"/>
    </row>
    <row r="941" ht="15.75" customHeight="1">
      <c r="A941" s="7" t="s">
        <v>16</v>
      </c>
      <c r="B941" s="7">
        <v>931.0</v>
      </c>
      <c r="C941" s="1"/>
      <c r="D941" s="2"/>
      <c r="E941" s="2"/>
      <c r="F941" s="2"/>
      <c r="G941" s="2"/>
      <c r="H941" s="2"/>
      <c r="I941" s="2"/>
      <c r="J941" s="2"/>
      <c r="K941" s="3"/>
      <c r="P941" s="3"/>
      <c r="Q941" s="3"/>
      <c r="R941" s="3"/>
    </row>
    <row r="942" ht="15.75" customHeight="1">
      <c r="A942" s="7" t="s">
        <v>16</v>
      </c>
      <c r="B942" s="7">
        <v>932.0</v>
      </c>
      <c r="C942" s="1"/>
      <c r="D942" s="2"/>
      <c r="E942" s="2"/>
      <c r="F942" s="2"/>
      <c r="G942" s="2"/>
      <c r="H942" s="2"/>
      <c r="I942" s="2"/>
      <c r="J942" s="2"/>
      <c r="K942" s="3"/>
      <c r="P942" s="3"/>
      <c r="Q942" s="3"/>
      <c r="R942" s="3"/>
    </row>
    <row r="943" ht="15.75" customHeight="1">
      <c r="A943" s="7" t="s">
        <v>16</v>
      </c>
      <c r="B943" s="7">
        <v>933.0</v>
      </c>
      <c r="C943" s="1"/>
      <c r="D943" s="2"/>
      <c r="E943" s="2"/>
      <c r="F943" s="2"/>
      <c r="G943" s="2"/>
      <c r="H943" s="2"/>
      <c r="I943" s="2"/>
      <c r="J943" s="2"/>
      <c r="K943" s="3"/>
      <c r="P943" s="3"/>
      <c r="Q943" s="3"/>
      <c r="R943" s="3"/>
    </row>
    <row r="944" ht="15.75" customHeight="1">
      <c r="A944" s="7" t="s">
        <v>16</v>
      </c>
      <c r="B944" s="7">
        <v>934.0</v>
      </c>
      <c r="C944" s="1"/>
      <c r="D944" s="2"/>
      <c r="E944" s="2"/>
      <c r="F944" s="2"/>
      <c r="G944" s="2"/>
      <c r="H944" s="2"/>
      <c r="I944" s="2"/>
      <c r="J944" s="2"/>
      <c r="K944" s="3"/>
      <c r="P944" s="3"/>
      <c r="Q944" s="3"/>
      <c r="R944" s="3"/>
    </row>
    <row r="945" ht="15.75" customHeight="1">
      <c r="A945" s="7" t="s">
        <v>16</v>
      </c>
      <c r="B945" s="7">
        <v>935.0</v>
      </c>
      <c r="C945" s="1"/>
      <c r="D945" s="2"/>
      <c r="E945" s="2"/>
      <c r="F945" s="2"/>
      <c r="G945" s="2"/>
      <c r="H945" s="2"/>
      <c r="I945" s="2"/>
      <c r="J945" s="2"/>
      <c r="K945" s="3"/>
      <c r="P945" s="3"/>
      <c r="Q945" s="3"/>
      <c r="R945" s="3"/>
    </row>
    <row r="946" ht="15.75" customHeight="1">
      <c r="A946" s="7" t="s">
        <v>16</v>
      </c>
      <c r="B946" s="7">
        <v>936.0</v>
      </c>
      <c r="C946" s="1"/>
      <c r="D946" s="2"/>
      <c r="E946" s="2"/>
      <c r="F946" s="2"/>
      <c r="G946" s="2"/>
      <c r="H946" s="2"/>
      <c r="I946" s="2"/>
      <c r="J946" s="2"/>
      <c r="K946" s="3"/>
      <c r="P946" s="3"/>
      <c r="Q946" s="3"/>
      <c r="R946" s="3"/>
    </row>
    <row r="947" ht="15.75" customHeight="1">
      <c r="A947" s="7" t="s">
        <v>16</v>
      </c>
      <c r="B947" s="7">
        <v>937.0</v>
      </c>
      <c r="C947" s="1"/>
      <c r="D947" s="2"/>
      <c r="E947" s="2"/>
      <c r="F947" s="2"/>
      <c r="G947" s="2"/>
      <c r="H947" s="2"/>
      <c r="I947" s="2"/>
      <c r="J947" s="2"/>
      <c r="K947" s="3"/>
      <c r="P947" s="3"/>
      <c r="Q947" s="3"/>
      <c r="R947" s="3"/>
    </row>
    <row r="948" ht="15.75" customHeight="1">
      <c r="A948" s="7" t="s">
        <v>16</v>
      </c>
      <c r="B948" s="7">
        <v>938.0</v>
      </c>
      <c r="C948" s="1"/>
      <c r="D948" s="2"/>
      <c r="E948" s="2"/>
      <c r="F948" s="2"/>
      <c r="G948" s="2"/>
      <c r="H948" s="2"/>
      <c r="I948" s="2"/>
      <c r="J948" s="2"/>
      <c r="K948" s="3"/>
      <c r="P948" s="3"/>
      <c r="Q948" s="3"/>
      <c r="R948" s="3"/>
    </row>
    <row r="949" ht="15.75" customHeight="1">
      <c r="A949" s="7" t="s">
        <v>16</v>
      </c>
      <c r="B949" s="7">
        <v>939.0</v>
      </c>
      <c r="C949" s="1"/>
      <c r="D949" s="2"/>
      <c r="E949" s="2"/>
      <c r="F949" s="2"/>
      <c r="G949" s="2"/>
      <c r="H949" s="2"/>
      <c r="I949" s="2"/>
      <c r="J949" s="2"/>
      <c r="K949" s="3"/>
      <c r="P949" s="3"/>
      <c r="Q949" s="3"/>
      <c r="R949" s="3"/>
    </row>
    <row r="950" ht="15.75" customHeight="1">
      <c r="A950" s="7" t="s">
        <v>16</v>
      </c>
      <c r="B950" s="7">
        <v>940.0</v>
      </c>
      <c r="C950" s="1"/>
      <c r="D950" s="2"/>
      <c r="E950" s="2"/>
      <c r="F950" s="2"/>
      <c r="G950" s="2"/>
      <c r="H950" s="2"/>
      <c r="I950" s="2"/>
      <c r="J950" s="2"/>
      <c r="K950" s="3"/>
      <c r="P950" s="3"/>
      <c r="Q950" s="3"/>
      <c r="R950" s="3"/>
    </row>
    <row r="951" ht="15.75" customHeight="1">
      <c r="A951" s="7" t="s">
        <v>16</v>
      </c>
      <c r="B951" s="7">
        <v>941.0</v>
      </c>
      <c r="C951" s="1"/>
      <c r="D951" s="2"/>
      <c r="E951" s="2"/>
      <c r="F951" s="2"/>
      <c r="G951" s="2"/>
      <c r="H951" s="2"/>
      <c r="I951" s="2"/>
      <c r="J951" s="2"/>
      <c r="K951" s="3"/>
      <c r="P951" s="3"/>
      <c r="Q951" s="3"/>
      <c r="R951" s="3"/>
    </row>
    <row r="952" ht="15.75" customHeight="1">
      <c r="A952" s="7" t="s">
        <v>16</v>
      </c>
      <c r="B952" s="7">
        <v>942.0</v>
      </c>
      <c r="C952" s="1"/>
      <c r="D952" s="2"/>
      <c r="E952" s="2"/>
      <c r="F952" s="2"/>
      <c r="G952" s="2"/>
      <c r="H952" s="2"/>
      <c r="I952" s="2"/>
      <c r="J952" s="2"/>
      <c r="K952" s="3"/>
      <c r="P952" s="3"/>
      <c r="Q952" s="3"/>
      <c r="R952" s="3"/>
    </row>
    <row r="953" ht="15.75" customHeight="1">
      <c r="A953" s="7" t="s">
        <v>16</v>
      </c>
      <c r="B953" s="7">
        <v>943.0</v>
      </c>
      <c r="C953" s="1"/>
      <c r="D953" s="2"/>
      <c r="E953" s="2"/>
      <c r="F953" s="2"/>
      <c r="G953" s="2"/>
      <c r="H953" s="2"/>
      <c r="I953" s="2"/>
      <c r="J953" s="2"/>
      <c r="K953" s="3"/>
      <c r="P953" s="3"/>
      <c r="Q953" s="3"/>
      <c r="R953" s="3"/>
    </row>
    <row r="954" ht="15.75" customHeight="1">
      <c r="A954" s="7" t="s">
        <v>16</v>
      </c>
      <c r="B954" s="7">
        <v>944.0</v>
      </c>
      <c r="C954" s="1"/>
      <c r="D954" s="2"/>
      <c r="E954" s="2"/>
      <c r="F954" s="2"/>
      <c r="G954" s="2"/>
      <c r="H954" s="2"/>
      <c r="I954" s="2"/>
      <c r="J954" s="2"/>
      <c r="K954" s="3"/>
      <c r="P954" s="3"/>
      <c r="Q954" s="3"/>
      <c r="R954" s="3"/>
    </row>
    <row r="955" ht="15.75" customHeight="1">
      <c r="A955" s="7" t="s">
        <v>16</v>
      </c>
      <c r="B955" s="7">
        <v>945.0</v>
      </c>
      <c r="C955" s="1"/>
      <c r="D955" s="2"/>
      <c r="E955" s="2"/>
      <c r="F955" s="2"/>
      <c r="G955" s="2"/>
      <c r="H955" s="2"/>
      <c r="I955" s="2"/>
      <c r="J955" s="2"/>
      <c r="K955" s="3"/>
      <c r="P955" s="3"/>
      <c r="Q955" s="3"/>
      <c r="R955" s="3"/>
    </row>
    <row r="956" ht="15.75" customHeight="1">
      <c r="A956" s="7" t="s">
        <v>16</v>
      </c>
      <c r="B956" s="7">
        <v>946.0</v>
      </c>
      <c r="C956" s="1"/>
      <c r="D956" s="2"/>
      <c r="E956" s="2"/>
      <c r="F956" s="2"/>
      <c r="G956" s="2"/>
      <c r="H956" s="2"/>
      <c r="I956" s="2"/>
      <c r="J956" s="2"/>
      <c r="K956" s="3"/>
      <c r="P956" s="3"/>
      <c r="Q956" s="3"/>
      <c r="R956" s="3"/>
    </row>
    <row r="957" ht="15.75" customHeight="1">
      <c r="A957" s="7" t="s">
        <v>16</v>
      </c>
      <c r="B957" s="7">
        <v>947.0</v>
      </c>
      <c r="C957" s="1"/>
      <c r="D957" s="2"/>
      <c r="E957" s="2"/>
      <c r="F957" s="2"/>
      <c r="G957" s="2"/>
      <c r="H957" s="2"/>
      <c r="I957" s="2"/>
      <c r="J957" s="2"/>
      <c r="K957" s="3"/>
      <c r="P957" s="3"/>
      <c r="Q957" s="3"/>
      <c r="R957" s="3"/>
    </row>
    <row r="958" ht="15.75" customHeight="1">
      <c r="A958" s="7" t="s">
        <v>16</v>
      </c>
      <c r="B958" s="7">
        <v>948.0</v>
      </c>
      <c r="C958" s="1"/>
      <c r="D958" s="2"/>
      <c r="E958" s="2"/>
      <c r="F958" s="2"/>
      <c r="G958" s="2"/>
      <c r="H958" s="2"/>
      <c r="I958" s="2"/>
      <c r="J958" s="2"/>
      <c r="K958" s="3"/>
      <c r="P958" s="3"/>
      <c r="Q958" s="3"/>
      <c r="R958" s="3"/>
    </row>
    <row r="959" ht="15.75" customHeight="1">
      <c r="A959" s="7" t="s">
        <v>16</v>
      </c>
      <c r="B959" s="7">
        <v>949.0</v>
      </c>
      <c r="C959" s="1"/>
      <c r="D959" s="2"/>
      <c r="E959" s="2"/>
      <c r="F959" s="2"/>
      <c r="G959" s="2"/>
      <c r="H959" s="2"/>
      <c r="I959" s="2"/>
      <c r="J959" s="2"/>
      <c r="K959" s="3"/>
      <c r="P959" s="3"/>
      <c r="Q959" s="3"/>
      <c r="R959" s="3"/>
    </row>
    <row r="960" ht="15.75" customHeight="1">
      <c r="A960" s="7" t="s">
        <v>16</v>
      </c>
      <c r="B960" s="7">
        <v>950.0</v>
      </c>
      <c r="C960" s="1"/>
      <c r="D960" s="2"/>
      <c r="E960" s="2"/>
      <c r="F960" s="2"/>
      <c r="G960" s="2"/>
      <c r="H960" s="2"/>
      <c r="I960" s="2"/>
      <c r="J960" s="2"/>
      <c r="K960" s="3"/>
      <c r="P960" s="3"/>
      <c r="Q960" s="3"/>
      <c r="R960" s="3"/>
    </row>
    <row r="961" ht="15.75" customHeight="1">
      <c r="A961" s="7" t="s">
        <v>16</v>
      </c>
      <c r="B961" s="7">
        <v>951.0</v>
      </c>
      <c r="C961" s="1"/>
      <c r="D961" s="2"/>
      <c r="E961" s="2"/>
      <c r="F961" s="2"/>
      <c r="G961" s="2"/>
      <c r="H961" s="2"/>
      <c r="I961" s="2"/>
      <c r="J961" s="2"/>
      <c r="K961" s="3"/>
      <c r="P961" s="3"/>
      <c r="Q961" s="3"/>
      <c r="R961" s="3"/>
    </row>
    <row r="962" ht="15.75" customHeight="1">
      <c r="A962" s="7" t="s">
        <v>16</v>
      </c>
      <c r="B962" s="7">
        <v>952.0</v>
      </c>
      <c r="C962" s="1"/>
      <c r="D962" s="2"/>
      <c r="E962" s="2"/>
      <c r="F962" s="2"/>
      <c r="G962" s="2"/>
      <c r="H962" s="2"/>
      <c r="I962" s="2"/>
      <c r="J962" s="2"/>
      <c r="K962" s="3"/>
      <c r="P962" s="3"/>
      <c r="Q962" s="3"/>
      <c r="R962" s="3"/>
    </row>
    <row r="963" ht="15.75" customHeight="1">
      <c r="A963" s="7" t="s">
        <v>16</v>
      </c>
      <c r="B963" s="7">
        <v>953.0</v>
      </c>
      <c r="C963" s="1"/>
      <c r="D963" s="2"/>
      <c r="E963" s="2"/>
      <c r="F963" s="2"/>
      <c r="G963" s="2"/>
      <c r="H963" s="2"/>
      <c r="I963" s="2"/>
      <c r="J963" s="2"/>
      <c r="K963" s="3"/>
      <c r="P963" s="3"/>
      <c r="Q963" s="3"/>
      <c r="R963" s="3"/>
    </row>
    <row r="964" ht="15.75" customHeight="1">
      <c r="A964" s="7" t="s">
        <v>16</v>
      </c>
      <c r="B964" s="7">
        <v>954.0</v>
      </c>
      <c r="C964" s="1"/>
      <c r="D964" s="2"/>
      <c r="E964" s="2"/>
      <c r="F964" s="2"/>
      <c r="G964" s="2"/>
      <c r="H964" s="2"/>
      <c r="I964" s="2"/>
      <c r="J964" s="2"/>
      <c r="K964" s="3"/>
      <c r="P964" s="3"/>
      <c r="Q964" s="3"/>
      <c r="R964" s="3"/>
    </row>
    <row r="965" ht="15.75" customHeight="1">
      <c r="A965" s="7" t="s">
        <v>16</v>
      </c>
      <c r="B965" s="7">
        <v>955.0</v>
      </c>
      <c r="C965" s="1"/>
      <c r="D965" s="2"/>
      <c r="E965" s="2"/>
      <c r="F965" s="2"/>
      <c r="G965" s="2"/>
      <c r="H965" s="2"/>
      <c r="I965" s="2"/>
      <c r="J965" s="2"/>
      <c r="K965" s="3"/>
      <c r="P965" s="3"/>
      <c r="Q965" s="3"/>
      <c r="R965" s="3"/>
    </row>
    <row r="966" ht="15.75" customHeight="1">
      <c r="A966" s="7" t="s">
        <v>16</v>
      </c>
      <c r="B966" s="7">
        <v>956.0</v>
      </c>
      <c r="C966" s="1"/>
      <c r="D966" s="2"/>
      <c r="E966" s="2"/>
      <c r="F966" s="2"/>
      <c r="G966" s="2"/>
      <c r="H966" s="2"/>
      <c r="I966" s="2"/>
      <c r="J966" s="2"/>
      <c r="K966" s="3"/>
      <c r="P966" s="3"/>
      <c r="Q966" s="3"/>
      <c r="R966" s="3"/>
    </row>
    <row r="967" ht="15.75" customHeight="1">
      <c r="A967" s="7" t="s">
        <v>16</v>
      </c>
      <c r="B967" s="7">
        <v>957.0</v>
      </c>
      <c r="C967" s="1"/>
      <c r="D967" s="2"/>
      <c r="E967" s="2"/>
      <c r="F967" s="2"/>
      <c r="G967" s="2"/>
      <c r="H967" s="2"/>
      <c r="I967" s="2"/>
      <c r="J967" s="2"/>
      <c r="K967" s="3"/>
      <c r="P967" s="3"/>
      <c r="Q967" s="3"/>
      <c r="R967" s="3"/>
    </row>
    <row r="968" ht="15.75" customHeight="1">
      <c r="A968" s="7" t="s">
        <v>16</v>
      </c>
      <c r="B968" s="7">
        <v>958.0</v>
      </c>
      <c r="C968" s="1"/>
      <c r="D968" s="2"/>
      <c r="E968" s="2"/>
      <c r="F968" s="2"/>
      <c r="G968" s="2"/>
      <c r="H968" s="2"/>
      <c r="I968" s="2"/>
      <c r="J968" s="2"/>
      <c r="K968" s="3"/>
      <c r="P968" s="3"/>
      <c r="Q968" s="3"/>
      <c r="R968" s="3"/>
    </row>
    <row r="969" ht="15.75" customHeight="1">
      <c r="A969" s="7" t="s">
        <v>16</v>
      </c>
      <c r="B969" s="7">
        <v>959.0</v>
      </c>
      <c r="C969" s="1"/>
      <c r="D969" s="2"/>
      <c r="E969" s="2"/>
      <c r="F969" s="2"/>
      <c r="G969" s="2"/>
      <c r="H969" s="2"/>
      <c r="I969" s="2"/>
      <c r="J969" s="2"/>
      <c r="K969" s="3"/>
      <c r="P969" s="3"/>
      <c r="Q969" s="3"/>
      <c r="R969" s="3"/>
    </row>
    <row r="970" ht="15.75" customHeight="1">
      <c r="A970" s="7" t="s">
        <v>16</v>
      </c>
      <c r="B970" s="7">
        <v>960.0</v>
      </c>
      <c r="C970" s="1"/>
      <c r="D970" s="2"/>
      <c r="E970" s="2"/>
      <c r="F970" s="2"/>
      <c r="G970" s="2"/>
      <c r="H970" s="2"/>
      <c r="I970" s="2"/>
      <c r="J970" s="2"/>
      <c r="K970" s="3"/>
      <c r="P970" s="3"/>
      <c r="Q970" s="3"/>
      <c r="R970" s="3"/>
    </row>
    <row r="971" ht="15.75" customHeight="1">
      <c r="A971" s="7" t="s">
        <v>16</v>
      </c>
      <c r="B971" s="7">
        <v>961.0</v>
      </c>
      <c r="C971" s="1"/>
      <c r="D971" s="2"/>
      <c r="E971" s="2"/>
      <c r="F971" s="2"/>
      <c r="G971" s="2"/>
      <c r="H971" s="2"/>
      <c r="I971" s="2"/>
      <c r="J971" s="2"/>
      <c r="K971" s="3"/>
      <c r="P971" s="3"/>
      <c r="Q971" s="3"/>
      <c r="R971" s="3"/>
    </row>
    <row r="972" ht="15.75" customHeight="1">
      <c r="A972" s="7" t="s">
        <v>16</v>
      </c>
      <c r="B972" s="7">
        <v>962.0</v>
      </c>
      <c r="C972" s="1"/>
      <c r="D972" s="2"/>
      <c r="E972" s="2"/>
      <c r="F972" s="2"/>
      <c r="G972" s="2"/>
      <c r="H972" s="2"/>
      <c r="I972" s="2"/>
      <c r="J972" s="2"/>
      <c r="K972" s="3"/>
      <c r="P972" s="3"/>
      <c r="Q972" s="3"/>
      <c r="R972" s="3"/>
    </row>
    <row r="973" ht="15.75" customHeight="1">
      <c r="A973" s="7" t="s">
        <v>16</v>
      </c>
      <c r="B973" s="7">
        <v>963.0</v>
      </c>
      <c r="C973" s="1"/>
      <c r="D973" s="2"/>
      <c r="E973" s="2"/>
      <c r="F973" s="2"/>
      <c r="G973" s="2"/>
      <c r="H973" s="2"/>
      <c r="I973" s="2"/>
      <c r="J973" s="2"/>
      <c r="K973" s="3"/>
      <c r="P973" s="3"/>
      <c r="Q973" s="3"/>
      <c r="R973" s="3"/>
    </row>
    <row r="974" ht="15.75" customHeight="1">
      <c r="A974" s="7" t="s">
        <v>16</v>
      </c>
      <c r="B974" s="7">
        <v>964.0</v>
      </c>
      <c r="C974" s="1"/>
      <c r="D974" s="2"/>
      <c r="E974" s="2"/>
      <c r="F974" s="2"/>
      <c r="G974" s="2"/>
      <c r="H974" s="2"/>
      <c r="I974" s="2"/>
      <c r="J974" s="2"/>
      <c r="K974" s="3"/>
      <c r="P974" s="3"/>
      <c r="Q974" s="3"/>
      <c r="R974" s="3"/>
    </row>
    <row r="975" ht="15.75" customHeight="1">
      <c r="A975" s="7" t="s">
        <v>16</v>
      </c>
      <c r="B975" s="7">
        <v>965.0</v>
      </c>
      <c r="C975" s="1"/>
      <c r="D975" s="2"/>
      <c r="E975" s="2"/>
      <c r="F975" s="2"/>
      <c r="G975" s="2"/>
      <c r="H975" s="2"/>
      <c r="I975" s="2"/>
      <c r="J975" s="2"/>
      <c r="K975" s="3"/>
      <c r="P975" s="3"/>
      <c r="Q975" s="3"/>
      <c r="R975" s="3"/>
    </row>
    <row r="976" ht="15.75" customHeight="1">
      <c r="A976" s="7" t="s">
        <v>16</v>
      </c>
      <c r="B976" s="7">
        <v>966.0</v>
      </c>
      <c r="C976" s="1"/>
      <c r="D976" s="2"/>
      <c r="E976" s="2"/>
      <c r="F976" s="2"/>
      <c r="G976" s="2"/>
      <c r="H976" s="2"/>
      <c r="I976" s="2"/>
      <c r="J976" s="2"/>
      <c r="K976" s="3"/>
      <c r="P976" s="3"/>
      <c r="Q976" s="3"/>
      <c r="R976" s="3"/>
    </row>
    <row r="977" ht="15.75" customHeight="1">
      <c r="A977" s="7" t="s">
        <v>16</v>
      </c>
      <c r="B977" s="7">
        <v>967.0</v>
      </c>
      <c r="C977" s="1"/>
      <c r="D977" s="2"/>
      <c r="E977" s="2"/>
      <c r="F977" s="2"/>
      <c r="G977" s="2"/>
      <c r="H977" s="2"/>
      <c r="I977" s="2"/>
      <c r="J977" s="2"/>
      <c r="K977" s="3"/>
      <c r="P977" s="3"/>
      <c r="Q977" s="3"/>
      <c r="R977" s="3"/>
    </row>
    <row r="978" ht="15.75" customHeight="1">
      <c r="A978" s="7" t="s">
        <v>16</v>
      </c>
      <c r="B978" s="7">
        <v>968.0</v>
      </c>
      <c r="C978" s="1"/>
      <c r="D978" s="2"/>
      <c r="E978" s="2"/>
      <c r="F978" s="2"/>
      <c r="G978" s="2"/>
      <c r="H978" s="2"/>
      <c r="I978" s="2"/>
      <c r="J978" s="2"/>
      <c r="K978" s="3"/>
      <c r="P978" s="3"/>
      <c r="Q978" s="3"/>
      <c r="R978" s="3"/>
    </row>
    <row r="979" ht="15.75" customHeight="1">
      <c r="A979" s="7" t="s">
        <v>16</v>
      </c>
      <c r="B979" s="7">
        <v>969.0</v>
      </c>
      <c r="C979" s="1"/>
      <c r="D979" s="2"/>
      <c r="E979" s="2"/>
      <c r="F979" s="2"/>
      <c r="G979" s="2"/>
      <c r="H979" s="2"/>
      <c r="I979" s="2"/>
      <c r="J979" s="2"/>
      <c r="K979" s="3"/>
      <c r="P979" s="3"/>
      <c r="Q979" s="3"/>
      <c r="R979" s="3"/>
    </row>
    <row r="980" ht="15.75" customHeight="1">
      <c r="A980" s="7" t="s">
        <v>16</v>
      </c>
      <c r="B980" s="7">
        <v>970.0</v>
      </c>
      <c r="C980" s="1"/>
      <c r="D980" s="2"/>
      <c r="E980" s="2"/>
      <c r="F980" s="2"/>
      <c r="G980" s="2"/>
      <c r="H980" s="2"/>
      <c r="I980" s="2"/>
      <c r="J980" s="2"/>
      <c r="K980" s="3"/>
      <c r="P980" s="3"/>
      <c r="Q980" s="3"/>
      <c r="R980" s="3"/>
    </row>
    <row r="981" ht="15.75" customHeight="1">
      <c r="A981" s="7" t="s">
        <v>16</v>
      </c>
      <c r="B981" s="7">
        <v>971.0</v>
      </c>
      <c r="C981" s="1"/>
      <c r="D981" s="2"/>
      <c r="E981" s="2"/>
      <c r="F981" s="2"/>
      <c r="G981" s="2"/>
      <c r="H981" s="2"/>
      <c r="I981" s="2"/>
      <c r="J981" s="2"/>
      <c r="K981" s="3"/>
      <c r="P981" s="3"/>
      <c r="Q981" s="3"/>
      <c r="R981" s="3"/>
    </row>
    <row r="982" ht="15.75" customHeight="1">
      <c r="A982" s="7" t="s">
        <v>16</v>
      </c>
      <c r="B982" s="7">
        <v>972.0</v>
      </c>
      <c r="C982" s="1"/>
      <c r="D982" s="2"/>
      <c r="E982" s="2"/>
      <c r="F982" s="2"/>
      <c r="G982" s="2"/>
      <c r="H982" s="2"/>
      <c r="I982" s="2"/>
      <c r="J982" s="2"/>
      <c r="K982" s="3"/>
      <c r="P982" s="3"/>
      <c r="Q982" s="3"/>
      <c r="R982" s="3"/>
    </row>
    <row r="983" ht="15.75" customHeight="1">
      <c r="A983" s="7" t="s">
        <v>16</v>
      </c>
      <c r="B983" s="7">
        <v>973.0</v>
      </c>
      <c r="C983" s="1"/>
      <c r="D983" s="2"/>
      <c r="E983" s="2"/>
      <c r="F983" s="2"/>
      <c r="G983" s="2"/>
      <c r="H983" s="2"/>
      <c r="I983" s="2"/>
      <c r="J983" s="2"/>
      <c r="K983" s="3"/>
      <c r="P983" s="3"/>
      <c r="Q983" s="3"/>
      <c r="R983" s="3"/>
    </row>
    <row r="984" ht="15.75" customHeight="1">
      <c r="A984" s="7" t="s">
        <v>16</v>
      </c>
      <c r="B984" s="7">
        <v>974.0</v>
      </c>
      <c r="C984" s="1"/>
      <c r="D984" s="2"/>
      <c r="E984" s="2"/>
      <c r="F984" s="2"/>
      <c r="G984" s="2"/>
      <c r="H984" s="2"/>
      <c r="I984" s="2"/>
      <c r="J984" s="2"/>
      <c r="K984" s="3"/>
      <c r="P984" s="3"/>
      <c r="Q984" s="3"/>
      <c r="R984" s="3"/>
    </row>
    <row r="985" ht="15.75" customHeight="1">
      <c r="A985" s="7" t="s">
        <v>16</v>
      </c>
      <c r="B985" s="7">
        <v>975.0</v>
      </c>
      <c r="C985" s="1"/>
      <c r="D985" s="2"/>
      <c r="E985" s="2"/>
      <c r="F985" s="2"/>
      <c r="G985" s="2"/>
      <c r="H985" s="2"/>
      <c r="I985" s="2"/>
      <c r="J985" s="2"/>
      <c r="K985" s="3"/>
      <c r="P985" s="3"/>
      <c r="Q985" s="3"/>
      <c r="R985" s="3"/>
    </row>
    <row r="986" ht="15.75" customHeight="1">
      <c r="A986" s="7" t="s">
        <v>16</v>
      </c>
      <c r="B986" s="7">
        <v>976.0</v>
      </c>
      <c r="C986" s="1"/>
      <c r="D986" s="2"/>
      <c r="E986" s="2"/>
      <c r="F986" s="2"/>
      <c r="G986" s="2"/>
      <c r="H986" s="2"/>
      <c r="I986" s="2"/>
      <c r="J986" s="2"/>
      <c r="K986" s="3"/>
      <c r="P986" s="3"/>
      <c r="Q986" s="3"/>
      <c r="R986" s="3"/>
    </row>
    <row r="987" ht="15.75" customHeight="1">
      <c r="A987" s="7" t="s">
        <v>16</v>
      </c>
      <c r="B987" s="7">
        <v>977.0</v>
      </c>
      <c r="C987" s="1"/>
      <c r="D987" s="2"/>
      <c r="E987" s="2"/>
      <c r="F987" s="2"/>
      <c r="G987" s="2"/>
      <c r="H987" s="2"/>
      <c r="I987" s="2"/>
      <c r="J987" s="2"/>
      <c r="K987" s="3"/>
      <c r="P987" s="3"/>
      <c r="Q987" s="3"/>
      <c r="R987" s="3"/>
    </row>
    <row r="988" ht="15.75" customHeight="1">
      <c r="A988" s="7" t="s">
        <v>16</v>
      </c>
      <c r="B988" s="7">
        <v>978.0</v>
      </c>
      <c r="C988" s="1"/>
      <c r="D988" s="2"/>
      <c r="E988" s="2"/>
      <c r="F988" s="2"/>
      <c r="G988" s="2"/>
      <c r="H988" s="2"/>
      <c r="I988" s="2"/>
      <c r="J988" s="2"/>
      <c r="K988" s="3"/>
      <c r="P988" s="3"/>
      <c r="Q988" s="3"/>
      <c r="R988" s="3"/>
    </row>
    <row r="989" ht="15.75" customHeight="1">
      <c r="A989" s="7" t="s">
        <v>16</v>
      </c>
      <c r="B989" s="7">
        <v>979.0</v>
      </c>
      <c r="C989" s="1"/>
      <c r="D989" s="2"/>
      <c r="E989" s="2"/>
      <c r="F989" s="2"/>
      <c r="G989" s="2"/>
      <c r="H989" s="2"/>
      <c r="I989" s="2"/>
      <c r="J989" s="2"/>
      <c r="K989" s="3"/>
      <c r="P989" s="3"/>
      <c r="Q989" s="3"/>
      <c r="R989" s="3"/>
    </row>
    <row r="990" ht="15.75" customHeight="1">
      <c r="A990" s="7" t="s">
        <v>16</v>
      </c>
      <c r="B990" s="7">
        <v>980.0</v>
      </c>
      <c r="C990" s="1"/>
      <c r="D990" s="2"/>
      <c r="E990" s="2"/>
      <c r="F990" s="2"/>
      <c r="G990" s="2"/>
      <c r="H990" s="2"/>
      <c r="I990" s="2"/>
      <c r="J990" s="2"/>
      <c r="K990" s="3"/>
      <c r="P990" s="3"/>
      <c r="Q990" s="3"/>
      <c r="R990" s="3"/>
    </row>
    <row r="991" ht="15.75" customHeight="1">
      <c r="A991" s="7" t="s">
        <v>16</v>
      </c>
      <c r="B991" s="7">
        <v>981.0</v>
      </c>
      <c r="C991" s="1"/>
      <c r="D991" s="2"/>
      <c r="E991" s="2"/>
      <c r="F991" s="2"/>
      <c r="G991" s="2"/>
      <c r="H991" s="2"/>
      <c r="I991" s="2"/>
      <c r="J991" s="2"/>
      <c r="K991" s="3"/>
      <c r="P991" s="3"/>
      <c r="Q991" s="3"/>
      <c r="R991" s="3"/>
    </row>
    <row r="992" ht="15.75" customHeight="1">
      <c r="A992" s="7" t="s">
        <v>16</v>
      </c>
      <c r="B992" s="7">
        <v>982.0</v>
      </c>
      <c r="C992" s="1"/>
      <c r="D992" s="2"/>
      <c r="E992" s="2"/>
      <c r="F992" s="2"/>
      <c r="G992" s="2"/>
      <c r="H992" s="2"/>
      <c r="I992" s="2"/>
      <c r="J992" s="2"/>
      <c r="K992" s="3"/>
      <c r="P992" s="3"/>
      <c r="Q992" s="3"/>
      <c r="R992" s="3"/>
    </row>
    <row r="993" ht="15.75" customHeight="1">
      <c r="A993" s="7" t="s">
        <v>16</v>
      </c>
      <c r="B993" s="7">
        <v>983.0</v>
      </c>
      <c r="C993" s="1"/>
      <c r="D993" s="2"/>
      <c r="E993" s="2"/>
      <c r="F993" s="2"/>
      <c r="G993" s="2"/>
      <c r="H993" s="2"/>
      <c r="I993" s="2"/>
      <c r="J993" s="2"/>
      <c r="K993" s="3"/>
      <c r="P993" s="3"/>
      <c r="Q993" s="3"/>
      <c r="R993" s="3"/>
    </row>
    <row r="994" ht="15.75" customHeight="1">
      <c r="A994" s="7" t="s">
        <v>16</v>
      </c>
      <c r="B994" s="7">
        <v>984.0</v>
      </c>
      <c r="C994" s="1"/>
      <c r="D994" s="2"/>
      <c r="E994" s="2"/>
      <c r="F994" s="2"/>
      <c r="G994" s="2"/>
      <c r="H994" s="2"/>
      <c r="I994" s="2"/>
      <c r="J994" s="2"/>
      <c r="K994" s="3"/>
      <c r="P994" s="3"/>
      <c r="Q994" s="3"/>
      <c r="R994" s="3"/>
    </row>
    <row r="995" ht="15.75" customHeight="1">
      <c r="A995" s="7" t="s">
        <v>16</v>
      </c>
      <c r="B995" s="7">
        <v>985.0</v>
      </c>
      <c r="C995" s="1"/>
      <c r="D995" s="2"/>
      <c r="E995" s="2"/>
      <c r="F995" s="2"/>
      <c r="G995" s="2"/>
      <c r="H995" s="2"/>
      <c r="I995" s="2"/>
      <c r="J995" s="2"/>
      <c r="K995" s="3"/>
      <c r="P995" s="3"/>
      <c r="Q995" s="3"/>
      <c r="R995" s="3"/>
    </row>
    <row r="996" ht="15.75" customHeight="1">
      <c r="A996" s="7" t="s">
        <v>16</v>
      </c>
      <c r="B996" s="7">
        <v>986.0</v>
      </c>
      <c r="C996" s="1"/>
      <c r="D996" s="2"/>
      <c r="E996" s="2"/>
      <c r="F996" s="2"/>
      <c r="G996" s="2"/>
      <c r="H996" s="2"/>
      <c r="I996" s="2"/>
      <c r="J996" s="2"/>
      <c r="K996" s="3"/>
      <c r="P996" s="3"/>
      <c r="Q996" s="3"/>
      <c r="R996" s="3"/>
    </row>
    <row r="997" ht="15.75" customHeight="1">
      <c r="A997" s="7" t="s">
        <v>16</v>
      </c>
      <c r="B997" s="7">
        <v>987.0</v>
      </c>
      <c r="C997" s="1"/>
      <c r="D997" s="2"/>
      <c r="E997" s="2"/>
      <c r="F997" s="2"/>
      <c r="G997" s="2"/>
      <c r="H997" s="2"/>
      <c r="I997" s="2"/>
      <c r="J997" s="2"/>
      <c r="K997" s="3"/>
      <c r="P997" s="3"/>
      <c r="Q997" s="3"/>
      <c r="R997" s="3"/>
    </row>
    <row r="998" ht="15.75" customHeight="1">
      <c r="A998" s="7" t="s">
        <v>16</v>
      </c>
      <c r="B998" s="7">
        <v>988.0</v>
      </c>
      <c r="C998" s="1"/>
      <c r="D998" s="2"/>
      <c r="E998" s="2"/>
      <c r="F998" s="2"/>
      <c r="G998" s="2"/>
      <c r="H998" s="2"/>
      <c r="I998" s="2"/>
      <c r="J998" s="2"/>
      <c r="K998" s="3"/>
      <c r="P998" s="3"/>
      <c r="Q998" s="3"/>
      <c r="R998" s="3"/>
    </row>
    <row r="999" ht="15.75" customHeight="1">
      <c r="A999" s="7" t="s">
        <v>16</v>
      </c>
      <c r="B999" s="7">
        <v>989.0</v>
      </c>
      <c r="C999" s="1"/>
      <c r="D999" s="2"/>
      <c r="E999" s="2"/>
      <c r="F999" s="2"/>
      <c r="G999" s="2"/>
      <c r="H999" s="2"/>
      <c r="I999" s="2"/>
      <c r="J999" s="2"/>
      <c r="K999" s="3"/>
      <c r="P999" s="3"/>
      <c r="Q999" s="3"/>
      <c r="R999" s="3"/>
    </row>
    <row r="1000" ht="15.75" customHeight="1">
      <c r="A1000" s="7" t="s">
        <v>16</v>
      </c>
      <c r="B1000" s="7">
        <v>990.0</v>
      </c>
      <c r="C1000" s="1"/>
      <c r="D1000" s="2"/>
      <c r="E1000" s="2"/>
      <c r="F1000" s="2"/>
      <c r="G1000" s="2"/>
      <c r="H1000" s="2"/>
      <c r="I1000" s="2"/>
      <c r="J1000" s="2"/>
      <c r="K1000" s="3"/>
      <c r="P1000" s="3"/>
      <c r="Q1000" s="3"/>
      <c r="R1000" s="3"/>
    </row>
    <row r="1001" ht="15.75" customHeight="1">
      <c r="A1001" s="7" t="s">
        <v>16</v>
      </c>
      <c r="B1001" s="7">
        <v>991.0</v>
      </c>
      <c r="C1001" s="1"/>
      <c r="D1001" s="2"/>
      <c r="E1001" s="2"/>
      <c r="F1001" s="2"/>
      <c r="G1001" s="2"/>
      <c r="H1001" s="2"/>
      <c r="I1001" s="2"/>
      <c r="J1001" s="2"/>
      <c r="K1001" s="3"/>
      <c r="P1001" s="3"/>
      <c r="Q1001" s="3"/>
      <c r="R1001" s="3"/>
    </row>
    <row r="1002" ht="15.75" customHeight="1">
      <c r="A1002" s="7" t="s">
        <v>16</v>
      </c>
      <c r="B1002" s="7">
        <v>992.0</v>
      </c>
      <c r="C1002" s="1"/>
      <c r="D1002" s="2"/>
      <c r="E1002" s="2"/>
      <c r="F1002" s="2"/>
      <c r="G1002" s="2"/>
      <c r="H1002" s="2"/>
      <c r="I1002" s="2"/>
      <c r="J1002" s="2"/>
      <c r="K1002" s="3"/>
      <c r="P1002" s="3"/>
      <c r="Q1002" s="3"/>
      <c r="R1002" s="3"/>
    </row>
    <row r="1003" ht="15.75" customHeight="1">
      <c r="A1003" s="7" t="s">
        <v>16</v>
      </c>
      <c r="B1003" s="7">
        <v>993.0</v>
      </c>
      <c r="C1003" s="1"/>
      <c r="D1003" s="2"/>
      <c r="E1003" s="2"/>
      <c r="F1003" s="2"/>
      <c r="G1003" s="2"/>
      <c r="H1003" s="2"/>
      <c r="I1003" s="2"/>
      <c r="J1003" s="2"/>
      <c r="K1003" s="3"/>
      <c r="P1003" s="3"/>
      <c r="Q1003" s="3"/>
      <c r="R1003" s="3"/>
    </row>
    <row r="1004" ht="15.75" customHeight="1">
      <c r="A1004" s="7" t="s">
        <v>16</v>
      </c>
      <c r="B1004" s="7">
        <v>994.0</v>
      </c>
      <c r="C1004" s="1"/>
      <c r="D1004" s="2"/>
      <c r="E1004" s="2"/>
      <c r="F1004" s="2"/>
      <c r="G1004" s="2"/>
      <c r="H1004" s="2"/>
      <c r="I1004" s="2"/>
      <c r="J1004" s="2"/>
      <c r="K1004" s="3"/>
      <c r="P1004" s="3"/>
      <c r="Q1004" s="3"/>
      <c r="R1004" s="3"/>
    </row>
    <row r="1005" ht="15.75" customHeight="1">
      <c r="A1005" s="7" t="s">
        <v>16</v>
      </c>
      <c r="B1005" s="7">
        <v>995.0</v>
      </c>
      <c r="C1005" s="1"/>
      <c r="D1005" s="2"/>
      <c r="E1005" s="2"/>
      <c r="F1005" s="2"/>
      <c r="G1005" s="2"/>
      <c r="H1005" s="2"/>
      <c r="I1005" s="2"/>
      <c r="J1005" s="2"/>
      <c r="K1005" s="3"/>
      <c r="P1005" s="3"/>
      <c r="Q1005" s="3"/>
      <c r="R1005" s="3"/>
    </row>
    <row r="1006" ht="15.75" customHeight="1">
      <c r="A1006" s="7" t="s">
        <v>16</v>
      </c>
      <c r="B1006" s="7">
        <v>996.0</v>
      </c>
      <c r="C1006" s="1"/>
      <c r="D1006" s="2"/>
      <c r="E1006" s="2"/>
      <c r="F1006" s="2"/>
      <c r="G1006" s="2"/>
      <c r="H1006" s="2"/>
      <c r="I1006" s="2"/>
      <c r="J1006" s="2"/>
      <c r="K1006" s="3"/>
      <c r="P1006" s="3"/>
      <c r="Q1006" s="3"/>
      <c r="R1006" s="3"/>
    </row>
    <row r="1007" ht="15.75" customHeight="1">
      <c r="A1007" s="7" t="s">
        <v>16</v>
      </c>
      <c r="B1007" s="7">
        <v>997.0</v>
      </c>
      <c r="C1007" s="1"/>
      <c r="D1007" s="2"/>
      <c r="E1007" s="2"/>
      <c r="F1007" s="2"/>
      <c r="G1007" s="2"/>
      <c r="H1007" s="2"/>
      <c r="I1007" s="2"/>
      <c r="J1007" s="2"/>
      <c r="K1007" s="3"/>
      <c r="P1007" s="3"/>
      <c r="Q1007" s="3"/>
      <c r="R1007" s="3"/>
    </row>
    <row r="1008" ht="15.75" customHeight="1">
      <c r="A1008" s="7" t="s">
        <v>16</v>
      </c>
      <c r="B1008" s="7">
        <v>998.0</v>
      </c>
      <c r="C1008" s="1"/>
      <c r="D1008" s="2"/>
      <c r="E1008" s="2"/>
      <c r="F1008" s="2"/>
      <c r="G1008" s="2"/>
      <c r="H1008" s="2"/>
      <c r="I1008" s="2"/>
      <c r="J1008" s="2"/>
      <c r="K1008" s="3"/>
      <c r="P1008" s="3"/>
      <c r="Q1008" s="3"/>
      <c r="R1008" s="3"/>
    </row>
    <row r="1009" ht="15.75" customHeight="1">
      <c r="A1009" s="7" t="s">
        <v>16</v>
      </c>
      <c r="B1009" s="7">
        <v>999.0</v>
      </c>
      <c r="C1009" s="1"/>
      <c r="D1009" s="2"/>
      <c r="E1009" s="2"/>
      <c r="F1009" s="2"/>
      <c r="G1009" s="2"/>
      <c r="H1009" s="2"/>
      <c r="I1009" s="2"/>
      <c r="J1009" s="2"/>
      <c r="K1009" s="3"/>
      <c r="P1009" s="3"/>
      <c r="Q1009" s="3"/>
      <c r="R1009" s="3"/>
    </row>
    <row r="1010" ht="15.75" customHeight="1">
      <c r="A1010" s="7" t="s">
        <v>16</v>
      </c>
      <c r="B1010" s="7">
        <v>1000.0</v>
      </c>
      <c r="C1010" s="1"/>
      <c r="D1010" s="2"/>
      <c r="E1010" s="2"/>
      <c r="F1010" s="2"/>
      <c r="G1010" s="2"/>
      <c r="H1010" s="2"/>
      <c r="I1010" s="2"/>
      <c r="J1010" s="2"/>
      <c r="K1010" s="3"/>
      <c r="P1010" s="3"/>
      <c r="Q1010" s="3"/>
      <c r="R1010" s="3"/>
    </row>
    <row r="1011" ht="15.75" customHeight="1">
      <c r="A1011" s="7" t="s">
        <v>16</v>
      </c>
      <c r="B1011" s="7">
        <v>1001.0</v>
      </c>
      <c r="C1011" s="1"/>
      <c r="D1011" s="2"/>
      <c r="E1011" s="2"/>
      <c r="F1011" s="2"/>
      <c r="G1011" s="2"/>
      <c r="H1011" s="2"/>
      <c r="I1011" s="2"/>
      <c r="J1011" s="2"/>
      <c r="K1011" s="3"/>
      <c r="P1011" s="3"/>
      <c r="Q1011" s="3"/>
      <c r="R1011" s="3"/>
    </row>
    <row r="1012" ht="15.75" customHeight="1">
      <c r="A1012" s="7" t="s">
        <v>16</v>
      </c>
      <c r="B1012" s="7">
        <v>1002.0</v>
      </c>
      <c r="C1012" s="1"/>
      <c r="D1012" s="2"/>
      <c r="E1012" s="2"/>
      <c r="F1012" s="2"/>
      <c r="G1012" s="2"/>
      <c r="H1012" s="2"/>
      <c r="I1012" s="2"/>
      <c r="J1012" s="2"/>
      <c r="K1012" s="3"/>
      <c r="P1012" s="3"/>
      <c r="Q1012" s="3"/>
      <c r="R1012" s="3"/>
    </row>
    <row r="1013" ht="15.75" customHeight="1">
      <c r="A1013" s="7" t="s">
        <v>16</v>
      </c>
      <c r="B1013" s="7">
        <v>1003.0</v>
      </c>
      <c r="C1013" s="1"/>
      <c r="D1013" s="2"/>
      <c r="E1013" s="2"/>
      <c r="F1013" s="2"/>
      <c r="G1013" s="2"/>
      <c r="H1013" s="2"/>
      <c r="I1013" s="2"/>
      <c r="J1013" s="2"/>
      <c r="K1013" s="3"/>
      <c r="P1013" s="3"/>
      <c r="Q1013" s="3"/>
      <c r="R1013" s="3"/>
    </row>
    <row r="1014" ht="15.75" customHeight="1">
      <c r="C1014" s="1"/>
      <c r="D1014" s="2"/>
      <c r="E1014" s="2"/>
      <c r="F1014" s="2"/>
      <c r="G1014" s="2"/>
      <c r="H1014" s="2"/>
      <c r="I1014" s="2"/>
      <c r="J1014" s="2"/>
      <c r="K1014" s="3"/>
      <c r="P1014" s="3"/>
      <c r="Q1014" s="3"/>
      <c r="R1014" s="3"/>
    </row>
    <row r="1015" ht="15.75" customHeight="1">
      <c r="C1015" s="1"/>
      <c r="D1015" s="2"/>
      <c r="E1015" s="2"/>
      <c r="F1015" s="2"/>
      <c r="G1015" s="2"/>
      <c r="H1015" s="2"/>
      <c r="I1015" s="2"/>
      <c r="J1015" s="2"/>
      <c r="K1015" s="3"/>
      <c r="P1015" s="3"/>
      <c r="Q1015" s="3"/>
      <c r="R1015" s="3"/>
    </row>
  </sheetData>
  <autoFilter ref="$A$3:$R$1015"/>
  <mergeCells count="1">
    <mergeCell ref="C2:J2"/>
  </mergeCells>
  <dataValidations>
    <dataValidation type="list" allowBlank="1" sqref="I4:J14 I15:I18 I19:J32 I33:I36 I37:J38 I39:I42 I43:J44 I45 I46:J56 I57:I60 I61:J74 I75:I78 I79:J80 I81:I84 I85:J86 I87 I88:J90">
      <formula1>$Q$3:$Q$9</formula1>
    </dataValidation>
    <dataValidation type="list" allowBlank="1" sqref="J15:J18 J33:J36 J39:J42 J45 J57:J60 J75:J78 J81:J84 J87 E4:H1013">
      <formula1>$P$3:$P$17</formula1>
    </dataValidation>
    <dataValidation type="list" allowBlank="1" sqref="D4:D148">
      <formula1>$O$3:$O$7</formula1>
    </dataValidation>
  </dataValidations>
  <printOptions/>
  <pageMargins bottom="0.7519685039370079" footer="0.0" header="0.0" left="0.7007874015748032" right="0.7007874015748032" top="0.7519685039370079"/>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3.57"/>
    <col customWidth="1" min="5" max="5" width="9.57"/>
  </cols>
  <sheetData>
    <row r="3">
      <c r="O3" s="23"/>
      <c r="P3" s="23"/>
    </row>
    <row r="4">
      <c r="B4" s="24"/>
      <c r="C4" s="24"/>
      <c r="D4" s="24"/>
      <c r="E4" s="24"/>
      <c r="F4" s="24"/>
      <c r="O4" s="25" t="s">
        <v>32</v>
      </c>
      <c r="P4" s="25" t="s">
        <v>33</v>
      </c>
    </row>
    <row r="5">
      <c r="B5" s="26" t="s">
        <v>34</v>
      </c>
      <c r="C5" s="27"/>
      <c r="D5" s="27"/>
      <c r="E5" s="27"/>
      <c r="F5" s="27"/>
      <c r="G5" s="27"/>
      <c r="H5" s="27"/>
      <c r="I5" s="27"/>
      <c r="J5" s="27"/>
      <c r="K5" s="27"/>
      <c r="L5" s="27"/>
      <c r="M5" s="28"/>
      <c r="O5" s="25" t="s">
        <v>35</v>
      </c>
      <c r="P5" s="23" t="str">
        <f t="shared" ref="P5:P9" si="1">#REF!</f>
        <v>#REF!</v>
      </c>
    </row>
    <row r="6">
      <c r="B6" s="29"/>
      <c r="M6" s="30"/>
      <c r="O6" s="25" t="s">
        <v>36</v>
      </c>
      <c r="P6" s="23" t="str">
        <f t="shared" si="1"/>
        <v>#REF!</v>
      </c>
    </row>
    <row r="7">
      <c r="B7" s="24"/>
      <c r="C7" s="24"/>
      <c r="D7" s="24"/>
      <c r="E7" s="24"/>
      <c r="F7" s="24"/>
      <c r="O7" s="25" t="s">
        <v>37</v>
      </c>
      <c r="P7" s="23" t="str">
        <f t="shared" si="1"/>
        <v>#REF!</v>
      </c>
    </row>
    <row r="8">
      <c r="B8" s="31" t="s">
        <v>38</v>
      </c>
      <c r="C8" s="32"/>
      <c r="D8" s="33">
        <f>'Custo Final'!J16</f>
        <v>1.558877384</v>
      </c>
      <c r="E8" s="34" t="s">
        <v>39</v>
      </c>
      <c r="F8" s="24"/>
      <c r="O8" s="25" t="s">
        <v>40</v>
      </c>
      <c r="P8" s="23" t="str">
        <f t="shared" si="1"/>
        <v>#REF!</v>
      </c>
    </row>
    <row r="9">
      <c r="B9" s="32"/>
      <c r="C9" s="32"/>
      <c r="D9" s="32"/>
      <c r="E9" s="24"/>
      <c r="F9" s="24"/>
      <c r="O9" s="25" t="s">
        <v>41</v>
      </c>
      <c r="P9" s="23" t="str">
        <f t="shared" si="1"/>
        <v>#REF!</v>
      </c>
    </row>
    <row r="10">
      <c r="B10" s="31" t="s">
        <v>42</v>
      </c>
      <c r="C10" s="32"/>
      <c r="D10" s="33">
        <f>'Custo Final'!K16</f>
        <v>0.4891496771</v>
      </c>
      <c r="E10" s="34" t="s">
        <v>39</v>
      </c>
      <c r="F10" s="24"/>
      <c r="O10" s="25" t="s">
        <v>38</v>
      </c>
      <c r="P10" s="35">
        <f>'Custo Final'!J16</f>
        <v>1.558877384</v>
      </c>
    </row>
    <row r="11">
      <c r="B11" s="32"/>
      <c r="C11" s="32"/>
      <c r="D11" s="32"/>
      <c r="E11" s="24"/>
      <c r="F11" s="24"/>
      <c r="O11" s="25" t="s">
        <v>42</v>
      </c>
      <c r="P11" s="35">
        <f>'Custo Final'!K16</f>
        <v>0.4891496771</v>
      </c>
    </row>
    <row r="12">
      <c r="B12" s="31" t="s">
        <v>43</v>
      </c>
      <c r="C12" s="32"/>
      <c r="D12" s="33">
        <f>'Custo Final'!L16</f>
        <v>0.2872343111</v>
      </c>
      <c r="E12" s="34" t="s">
        <v>39</v>
      </c>
      <c r="F12" s="24"/>
      <c r="O12" s="25" t="s">
        <v>43</v>
      </c>
      <c r="P12" s="35">
        <f>'Custo Final'!L16</f>
        <v>0.2872343111</v>
      </c>
    </row>
    <row r="13">
      <c r="B13" s="32"/>
      <c r="C13" s="32"/>
      <c r="D13" s="32"/>
      <c r="E13" s="24"/>
      <c r="F13" s="24"/>
      <c r="O13" s="25"/>
      <c r="P13" s="23"/>
    </row>
    <row r="14">
      <c r="B14" s="31" t="s">
        <v>40</v>
      </c>
      <c r="C14" s="32"/>
      <c r="D14" s="33" t="str">
        <f>#REF!</f>
        <v>#REF!</v>
      </c>
      <c r="E14" s="34" t="s">
        <v>39</v>
      </c>
      <c r="F14" s="24"/>
      <c r="O14" s="25"/>
      <c r="P14" s="23"/>
    </row>
    <row r="15">
      <c r="B15" s="32"/>
      <c r="C15" s="32"/>
      <c r="D15" s="32"/>
      <c r="E15" s="24"/>
      <c r="F15" s="24"/>
      <c r="O15" s="36"/>
      <c r="P15" s="37"/>
    </row>
    <row r="16">
      <c r="B16" s="31" t="s">
        <v>35</v>
      </c>
      <c r="C16" s="32"/>
      <c r="D16" s="33" t="str">
        <f>#REF!</f>
        <v>#REF!</v>
      </c>
      <c r="E16" s="34" t="s">
        <v>39</v>
      </c>
      <c r="F16" s="24"/>
      <c r="O16" s="37"/>
      <c r="P16" s="37"/>
    </row>
    <row r="17">
      <c r="B17" s="32"/>
      <c r="C17" s="32"/>
      <c r="D17" s="32"/>
      <c r="E17" s="24"/>
      <c r="F17" s="24"/>
      <c r="O17" s="37"/>
      <c r="P17" s="37"/>
    </row>
    <row r="18">
      <c r="B18" s="31" t="s">
        <v>41</v>
      </c>
      <c r="C18" s="32"/>
      <c r="D18" s="33" t="str">
        <f>#REF!</f>
        <v>#REF!</v>
      </c>
      <c r="E18" s="34" t="s">
        <v>39</v>
      </c>
      <c r="F18" s="24"/>
      <c r="O18" s="37"/>
      <c r="P18" s="37"/>
    </row>
    <row r="19">
      <c r="B19" s="32"/>
      <c r="C19" s="32"/>
      <c r="D19" s="32"/>
      <c r="E19" s="24"/>
      <c r="F19" s="24"/>
      <c r="O19" s="37"/>
      <c r="P19" s="37"/>
    </row>
    <row r="20">
      <c r="B20" s="31" t="s">
        <v>37</v>
      </c>
      <c r="C20" s="32"/>
      <c r="D20" s="33" t="str">
        <f>#REF!</f>
        <v>#REF!</v>
      </c>
      <c r="E20" s="34" t="s">
        <v>39</v>
      </c>
      <c r="F20" s="24"/>
      <c r="O20" s="37"/>
      <c r="P20" s="37"/>
    </row>
    <row r="21">
      <c r="B21" s="32"/>
      <c r="C21" s="32"/>
      <c r="D21" s="32"/>
      <c r="E21" s="24"/>
      <c r="F21" s="24"/>
    </row>
    <row r="22">
      <c r="B22" s="31" t="s">
        <v>36</v>
      </c>
      <c r="C22" s="32"/>
      <c r="D22" s="33" t="str">
        <f>#REF!</f>
        <v>#REF!</v>
      </c>
      <c r="E22" s="34" t="s">
        <v>39</v>
      </c>
      <c r="F22" s="24"/>
    </row>
    <row r="23">
      <c r="B23" s="24"/>
      <c r="C23" s="24"/>
      <c r="D23" s="24"/>
      <c r="E23" s="24"/>
      <c r="F23" s="24"/>
    </row>
    <row r="24">
      <c r="B24" s="24"/>
      <c r="C24" s="24"/>
      <c r="D24" s="24"/>
      <c r="E24" s="24"/>
      <c r="F24" s="24"/>
    </row>
    <row r="26">
      <c r="B26" s="26" t="s">
        <v>44</v>
      </c>
      <c r="C26" s="27"/>
      <c r="D26" s="27"/>
      <c r="E26" s="27"/>
      <c r="F26" s="27"/>
      <c r="G26" s="27"/>
      <c r="H26" s="27"/>
      <c r="I26" s="27"/>
      <c r="J26" s="27"/>
      <c r="K26" s="27"/>
      <c r="L26" s="27"/>
      <c r="M26" s="28"/>
    </row>
    <row r="27">
      <c r="B27" s="29"/>
      <c r="M27" s="30"/>
    </row>
  </sheetData>
  <mergeCells count="2">
    <mergeCell ref="B5:M6"/>
    <mergeCell ref="B26:M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3" max="3" width="3.71"/>
    <col customWidth="1" min="4" max="4" width="17.14"/>
    <col customWidth="1" min="5" max="5" width="4.0"/>
    <col customWidth="1" min="7" max="7" width="5.0"/>
    <col customWidth="1" min="8" max="8" width="16.29"/>
  </cols>
  <sheetData>
    <row r="4">
      <c r="E4" s="38"/>
      <c r="F4" s="38"/>
    </row>
    <row r="5"/>
    <row r="6"/>
    <row r="7"/>
    <row r="8"/>
    <row r="9"/>
    <row r="10"/>
    <row r="11"/>
    <row r="23">
      <c r="A23" s="45" t="s">
        <v>60</v>
      </c>
      <c r="B23" s="46"/>
      <c r="C23" s="46"/>
      <c r="D23" s="46"/>
      <c r="E23" s="46"/>
      <c r="F23" s="46"/>
      <c r="G23" s="46"/>
      <c r="H23" s="47"/>
    </row>
    <row r="24">
      <c r="C24" s="48"/>
      <c r="D24" s="48"/>
      <c r="E24" s="48"/>
      <c r="F24" s="48"/>
      <c r="G24" s="48"/>
      <c r="H24" s="48"/>
    </row>
    <row r="25">
      <c r="C25" s="49"/>
      <c r="D25" s="50" t="s">
        <v>63</v>
      </c>
      <c r="E25" s="48"/>
      <c r="F25" s="50" t="s">
        <v>64</v>
      </c>
      <c r="G25" s="48"/>
      <c r="H25" s="50" t="s">
        <v>65</v>
      </c>
    </row>
    <row r="26"/>
    <row r="27">
      <c r="A27" s="51" t="s">
        <v>66</v>
      </c>
      <c r="C27" s="52"/>
      <c r="D27" s="53">
        <f>'Parâmetros'!D30/1000</f>
        <v>0.08</v>
      </c>
      <c r="E27" s="52"/>
      <c r="F27" s="54">
        <f>D27*'Parâmetros'!H2</f>
        <v>3.48</v>
      </c>
      <c r="G27" s="52"/>
      <c r="H27" s="54">
        <f>F27*12</f>
        <v>41.76</v>
      </c>
      <c r="I27" s="55"/>
    </row>
    <row r="28">
      <c r="A28" s="56"/>
      <c r="B28" s="56"/>
      <c r="C28" s="52"/>
      <c r="D28" s="52"/>
      <c r="E28" s="52"/>
      <c r="F28" s="52"/>
      <c r="G28" s="52"/>
      <c r="H28" s="52"/>
    </row>
    <row r="29">
      <c r="A29" s="51" t="s">
        <v>67</v>
      </c>
      <c r="C29" s="52"/>
      <c r="D29" s="54">
        <f>'Parâmetros'!D31/1000</f>
        <v>0.5</v>
      </c>
      <c r="E29" s="52"/>
      <c r="F29" s="54">
        <f>D29*'Parâmetros'!H2</f>
        <v>21.75</v>
      </c>
      <c r="G29" s="52"/>
      <c r="H29" s="54">
        <f>F29*12</f>
        <v>261</v>
      </c>
      <c r="I29" s="55"/>
    </row>
    <row r="30">
      <c r="A30" s="56"/>
      <c r="B30" s="56"/>
      <c r="C30" s="52"/>
      <c r="D30" s="52"/>
      <c r="E30" s="52"/>
      <c r="F30" s="52"/>
      <c r="G30" s="52"/>
      <c r="H30" s="52"/>
    </row>
    <row r="31">
      <c r="A31" s="57" t="s">
        <v>68</v>
      </c>
      <c r="C31" s="52"/>
      <c r="D31" s="54">
        <f>'Parâmetros'!D33/1000</f>
        <v>9.3</v>
      </c>
      <c r="E31" s="52"/>
      <c r="F31" s="54">
        <f>D31*'Parâmetros'!H2</f>
        <v>404.55</v>
      </c>
      <c r="G31" s="52"/>
      <c r="H31" s="54">
        <f>F31*12</f>
        <v>4854.6</v>
      </c>
      <c r="I31" s="55"/>
    </row>
    <row r="34">
      <c r="A34" s="58" t="s">
        <v>70</v>
      </c>
      <c r="D34" s="59">
        <f>'Custo Final'!C40</f>
        <v>9510.687823</v>
      </c>
      <c r="E34" s="60"/>
      <c r="F34" s="59">
        <f>'Custo Final'!D40</f>
        <v>413714.9203</v>
      </c>
      <c r="G34" s="60"/>
      <c r="H34" s="59">
        <f>'Custo Final'!E40</f>
        <v>4964579.043</v>
      </c>
      <c r="J34" s="61"/>
    </row>
  </sheetData>
  <mergeCells count="5">
    <mergeCell ref="A23:H23"/>
    <mergeCell ref="A27:B27"/>
    <mergeCell ref="A29:B29"/>
    <mergeCell ref="A31:B31"/>
    <mergeCell ref="A34:B34"/>
  </mergeCells>
  <drawing r:id="rId4"/>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2" t="s">
        <v>49</v>
      </c>
      <c r="C1" s="63"/>
    </row>
    <row r="2">
      <c r="A2" s="64" t="s">
        <v>71</v>
      </c>
      <c r="B2" s="65">
        <f>'Custo Final'!C28/'Parâmetros'!H13*1000</f>
        <v>413.5156359</v>
      </c>
    </row>
    <row r="3">
      <c r="A3" s="66" t="s">
        <v>72</v>
      </c>
      <c r="B3" s="65">
        <f>'Custo Final'!D28/'Parâmetros'!H13*1000</f>
        <v>213.1421874</v>
      </c>
    </row>
    <row r="4">
      <c r="A4" s="66" t="s">
        <v>73</v>
      </c>
      <c r="B4" s="65">
        <f>'Custo Final'!E28/'Parâmetros'!H13*1000</f>
        <v>161.0438311</v>
      </c>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30.43"/>
    <col customWidth="1" min="3" max="3" width="29.14"/>
    <col customWidth="1" min="4" max="4" width="15.43"/>
    <col customWidth="1" min="5" max="5" width="18.71"/>
    <col customWidth="1" min="7" max="7" width="20.57"/>
    <col customWidth="1" min="8" max="8" width="18.0"/>
    <col customWidth="1" min="11" max="12" width="21.14"/>
    <col customWidth="1" min="13" max="14" width="17.86"/>
  </cols>
  <sheetData>
    <row r="1">
      <c r="G1" s="67"/>
      <c r="H1" s="67"/>
    </row>
    <row r="3">
      <c r="B3" s="68" t="s">
        <v>74</v>
      </c>
      <c r="C3" s="69"/>
      <c r="D3" s="69"/>
      <c r="E3" s="69"/>
      <c r="F3" s="69"/>
      <c r="G3" s="69"/>
      <c r="H3" s="69"/>
      <c r="I3" s="69"/>
      <c r="J3" s="69"/>
      <c r="K3" s="69"/>
      <c r="L3" s="69"/>
    </row>
    <row r="4">
      <c r="B4" s="70" t="s">
        <v>45</v>
      </c>
      <c r="C4" s="71" t="s">
        <v>75</v>
      </c>
      <c r="D4" s="72" t="s">
        <v>76</v>
      </c>
      <c r="E4" s="72" t="s">
        <v>59</v>
      </c>
      <c r="F4" s="72" t="s">
        <v>55</v>
      </c>
      <c r="G4" s="70" t="s">
        <v>77</v>
      </c>
      <c r="H4" s="73" t="s">
        <v>78</v>
      </c>
      <c r="I4" s="70" t="s">
        <v>79</v>
      </c>
      <c r="J4" s="74" t="s">
        <v>80</v>
      </c>
      <c r="K4" s="66" t="s">
        <v>81</v>
      </c>
      <c r="L4" s="66" t="s">
        <v>82</v>
      </c>
    </row>
    <row r="5">
      <c r="B5" s="75" t="s">
        <v>52</v>
      </c>
      <c r="C5" s="75" t="s">
        <v>1</v>
      </c>
      <c r="D5" s="76">
        <f>SUMIF('Equipamentos- Lote'!$C$6:$C$66,C5,'Equipamentos- Lote'!$T$6:$T$66)</f>
        <v>33.47801021</v>
      </c>
      <c r="E5" s="76">
        <f>SUMIF('Equipamentos- Lote'!$C$6:$C$996,C5,'Equipamentos- Lote'!$X$6:$X$996)</f>
        <v>9.05597584</v>
      </c>
      <c r="F5" s="76">
        <f>SUMIF('Equipamentos- Lote'!$C$6:$C$996,C5,'Equipamentos- Lote'!$O$6:$O$996)</f>
        <v>24.99712693</v>
      </c>
      <c r="G5" s="76">
        <f t="shared" ref="G5:G15" si="1">SUM(D5:F5)</f>
        <v>67.53111299</v>
      </c>
      <c r="H5" s="76">
        <f>SUM('Insumos-Consumíveis'!J4:J12)</f>
        <v>129.706</v>
      </c>
      <c r="I5" s="76">
        <f t="shared" ref="I5:I15" si="2">SUM(G5,H5)</f>
        <v>197.237113</v>
      </c>
      <c r="J5" s="76">
        <f>$I$5/SUM('Parâmetros'!$D$30,'Parâmetros'!$D$31,'Parâmetros'!$D$33)</f>
        <v>0.01996327055</v>
      </c>
      <c r="K5" s="76">
        <f>$I$5/SUM('Parâmetros'!$D$30,'Parâmetros'!$D$31,'Parâmetros'!$D$33)</f>
        <v>0.01996327055</v>
      </c>
      <c r="L5" s="76">
        <f>$I$5/SUM('Parâmetros'!$D$30,'Parâmetros'!$D$31,'Parâmetros'!$D$33)</f>
        <v>0.01996327055</v>
      </c>
    </row>
    <row r="6">
      <c r="B6" s="75" t="s">
        <v>52</v>
      </c>
      <c r="C6" s="75" t="s">
        <v>83</v>
      </c>
      <c r="D6" s="76">
        <f>SUMIF('Equipamentos- Lote'!$C$6:$C$66,C6,'Equipamentos- Lote'!$T$6:$T$66)</f>
        <v>13.55982226</v>
      </c>
      <c r="E6" s="76">
        <f>SUMIF('Equipamentos- Lote'!$C$6:$C$66,C6,'Equipamentos- Lote'!$X$6:$X$66)</f>
        <v>0.3868833745</v>
      </c>
      <c r="F6" s="76">
        <f>SUMIF('Equipamentos- Lote'!$C$6:$C$66,C6,'Equipamentos- Lote'!$O$6:$O$66)</f>
        <v>11.00536751</v>
      </c>
      <c r="G6" s="76">
        <f t="shared" si="1"/>
        <v>24.95207315</v>
      </c>
      <c r="H6" s="76">
        <f>SUM('Insumos-Consumíveis'!J18:J25)</f>
        <v>112.18</v>
      </c>
      <c r="I6" s="76">
        <f t="shared" si="2"/>
        <v>137.1320731</v>
      </c>
      <c r="J6" s="76">
        <f>$I$6/SUM('Parâmetros'!$D$30,'Parâmetros'!$D$31,'Parâmetros'!$D$33)</f>
        <v>0.01387976449</v>
      </c>
      <c r="K6" s="76">
        <f>$I$6/SUM('Parâmetros'!$D$30,'Parâmetros'!$D$31,'Parâmetros'!$D$33)</f>
        <v>0.01387976449</v>
      </c>
      <c r="L6" s="76">
        <f>$I$6/SUM('Parâmetros'!$D$30,'Parâmetros'!$D$31,'Parâmetros'!$D$33)</f>
        <v>0.01387976449</v>
      </c>
    </row>
    <row r="7">
      <c r="B7" s="75" t="s">
        <v>52</v>
      </c>
      <c r="C7" s="75" t="s">
        <v>84</v>
      </c>
      <c r="D7" s="76">
        <f>SUMIF('Equipamentos- Lote'!$C$6:$C$66,C7,'Equipamentos- Lote'!$T$6:$T$66)</f>
        <v>85.88089726</v>
      </c>
      <c r="E7" s="76">
        <f>SUMIF('Equipamentos- Lote'!$C$6:$C$996,C7,'Equipamentos- Lote'!$X$6:$X$996)</f>
        <v>0.5479452055</v>
      </c>
      <c r="F7" s="76">
        <f>SUMIF('Equipamentos- Lote'!$C$6:$C$996,C7,'Equipamentos- Lote'!$O$6:$O$996)</f>
        <v>8.252069788</v>
      </c>
      <c r="G7" s="76">
        <f t="shared" si="1"/>
        <v>94.68091225</v>
      </c>
      <c r="H7" s="76">
        <f>SUM('Insumos-Consumíveis'!J30:J35)</f>
        <v>22.43</v>
      </c>
      <c r="I7" s="76">
        <f t="shared" si="2"/>
        <v>117.1109123</v>
      </c>
      <c r="J7" s="76">
        <f>$I$7/SUM('Parâmetros'!$D$30,'Parâmetros'!$D$31)</f>
        <v>0.201915366</v>
      </c>
      <c r="K7" s="76">
        <f>$I$7/SUM('Parâmetros'!$D$30,'Parâmetros'!$D$31)</f>
        <v>0.201915366</v>
      </c>
      <c r="L7" s="76">
        <v>0.0</v>
      </c>
    </row>
    <row r="8">
      <c r="B8" s="75" t="s">
        <v>52</v>
      </c>
      <c r="C8" s="75" t="s">
        <v>85</v>
      </c>
      <c r="D8" s="76">
        <f>SUMIF('Equipamentos- Lote'!$C$6:$C$66,C8,'Equipamentos- Lote'!$T$6:$T$66)</f>
        <v>6.193726027</v>
      </c>
      <c r="E8" s="76">
        <f>SUMIF('Equipamentos- Lote'!$C$6:$C$996,C8,'Equipamentos- Lote'!$X$6:$X$996)</f>
        <v>0</v>
      </c>
      <c r="F8" s="76">
        <f>SUMIF('Equipamentos- Lote'!$C$6:$C$996,C8,'Equipamentos- Lote'!$O$6:$O$996)</f>
        <v>102.882948</v>
      </c>
      <c r="G8" s="76">
        <f t="shared" si="1"/>
        <v>109.076674</v>
      </c>
      <c r="H8" s="76">
        <f>SUM('Insumos-Consumíveis'!J42:J48)</f>
        <v>8.57</v>
      </c>
      <c r="I8" s="76">
        <f t="shared" si="2"/>
        <v>117.646674</v>
      </c>
      <c r="J8" s="76">
        <v>0.0</v>
      </c>
      <c r="K8" s="77">
        <f>$I$8/SUM('Parâmetros'!$D$31,'Parâmetros'!$D$33)</f>
        <v>0.01200476266</v>
      </c>
      <c r="L8" s="77">
        <f>$I$8/SUM('Parâmetros'!$D$31,'Parâmetros'!$D$33)</f>
        <v>0.01200476266</v>
      </c>
    </row>
    <row r="9">
      <c r="B9" s="75" t="s">
        <v>54</v>
      </c>
      <c r="C9" s="75" t="s">
        <v>86</v>
      </c>
      <c r="D9" s="76">
        <f>SUM('Equipamentos - SSMA'!L5:L11000)</f>
        <v>53.06849315</v>
      </c>
      <c r="E9" s="76">
        <f>SUM('Equipamentos - SSMA'!$P$5:$P$1000)</f>
        <v>5.479452055</v>
      </c>
      <c r="F9" s="76">
        <f>SUM('Equipamentos - SSMA'!$I$5:$I$1000)</f>
        <v>10.69982659</v>
      </c>
      <c r="G9" s="76">
        <f t="shared" si="1"/>
        <v>69.2477718</v>
      </c>
      <c r="H9" s="76">
        <f>SUM('Insumos-Consumíveis'!$Y$3:$Y$15)</f>
        <v>384.5047487</v>
      </c>
      <c r="I9" s="76">
        <f t="shared" si="2"/>
        <v>453.7525205</v>
      </c>
      <c r="J9" s="76">
        <f>$I$9/SUM('Parâmetros'!$D$30,'Parâmetros'!$D$31,'Parâmetros'!$D$33)</f>
        <v>0.04592636848</v>
      </c>
      <c r="K9" s="76">
        <f>$I$9/SUM('Parâmetros'!$D$30,'Parâmetros'!$D$31,'Parâmetros'!$D$33)</f>
        <v>0.04592636848</v>
      </c>
      <c r="L9" s="76">
        <f>$I$9/SUM('Parâmetros'!$D$30,'Parâmetros'!$D$31,'Parâmetros'!$D$33)</f>
        <v>0.04592636848</v>
      </c>
    </row>
    <row r="10">
      <c r="A10" s="78"/>
      <c r="B10" s="79" t="s">
        <v>50</v>
      </c>
      <c r="C10" s="79" t="s">
        <v>87</v>
      </c>
      <c r="D10" s="80">
        <f>(SUMIF('Equipamentos - Caracterização'!$D$3:$D$1000,C10,'Equipamentos - Caracterização'!$O$3:$O$73))*'Parâmetros'!H18</f>
        <v>223.8479281</v>
      </c>
      <c r="E10" s="80">
        <f>(SUMIF('Equipamentos - Caracterização'!$D$3:$D$1000,C10,'Equipamentos - Caracterização'!$S$3:$S$1000))*'Parâmetros'!H18</f>
        <v>9.012328767</v>
      </c>
      <c r="F10" s="80">
        <f>(SUMIF('Equipamentos - Caracterização'!$D$3:$D$1000,C10,'Equipamentos - Caracterização'!$L$3:$L$1000))*'Parâmetros'!H18</f>
        <v>12.00543692</v>
      </c>
      <c r="G10" s="80">
        <f t="shared" si="1"/>
        <v>244.8656938</v>
      </c>
      <c r="H10" s="80">
        <f>(SUMIF('Insumos-Consumíveis'!$O$3:$O$1001,C10,'Insumos-Consumíveis'!$R$3:$R$1001))*'Parâmetros'!H18</f>
        <v>2.571</v>
      </c>
      <c r="I10" s="80">
        <f t="shared" si="2"/>
        <v>247.4366938</v>
      </c>
      <c r="J10" s="81">
        <f>$I$10/SUM('Parâmetros'!$D$30,'Parâmetros'!$D$31,'Parâmetros'!$D$33)</f>
        <v>0.02504419977</v>
      </c>
      <c r="K10" s="81">
        <f>$I$10/SUM('Parâmetros'!$D$30,'Parâmetros'!$D$31,'Parâmetros'!$D$33)</f>
        <v>0.02504419977</v>
      </c>
      <c r="L10" s="81">
        <f>$I$10/SUM('Parâmetros'!$D$30,'Parâmetros'!$D$31,'Parâmetros'!$D$33)</f>
        <v>0.02504419977</v>
      </c>
    </row>
    <row r="11">
      <c r="A11" s="78"/>
      <c r="B11" s="79" t="s">
        <v>50</v>
      </c>
      <c r="C11" s="79" t="s">
        <v>88</v>
      </c>
      <c r="D11" s="80">
        <f>(SUMIF('Equipamentos - Caracterização'!$D$3:$D$1000,C11,'Equipamentos - Caracterização'!$O$3:$O$73))*'Parâmetros'!H19</f>
        <v>214.1537458</v>
      </c>
      <c r="E11" s="80">
        <f>(SUMIF('Equipamentos - Caracterização'!$D$3:$D$1000,C11,'Equipamentos - Caracterização'!$S$3:$S$1000))*'Parâmetros'!H19</f>
        <v>72.9669863</v>
      </c>
      <c r="F11" s="80">
        <f>(SUMIF('Equipamentos - Caracterização'!$D$3:$D$1000,C11,'Equipamentos - Caracterização'!$L$3:$L$1000))*'Parâmetros'!H19</f>
        <v>23.25900526</v>
      </c>
      <c r="G11" s="80">
        <f t="shared" si="1"/>
        <v>310.3797373</v>
      </c>
      <c r="H11" s="80">
        <f>(SUMIF('Insumos-Consumíveis'!$O$3:$O$1001,C11,'Insumos-Consumíveis'!$R$3:$R$1001))*'Parâmetros'!H19</f>
        <v>40.2375</v>
      </c>
      <c r="I11" s="80">
        <f t="shared" si="2"/>
        <v>350.6172373</v>
      </c>
      <c r="J11" s="80">
        <f>$I$11/SUM('Parâmetros'!$D$30,'Parâmetros'!$D$31,'Parâmetros'!$D$33)</f>
        <v>0.03548757463</v>
      </c>
      <c r="K11" s="80">
        <f>$I$11/SUM('Parâmetros'!$D$30,'Parâmetros'!$D$31,'Parâmetros'!$D$33)</f>
        <v>0.03548757463</v>
      </c>
      <c r="L11" s="80">
        <f>$I$11/SUM('Parâmetros'!$D$30,'Parâmetros'!$D$31,'Parâmetros'!$D$33)</f>
        <v>0.03548757463</v>
      </c>
    </row>
    <row r="12">
      <c r="A12" s="78"/>
      <c r="B12" s="79" t="s">
        <v>50</v>
      </c>
      <c r="C12" s="79" t="s">
        <v>89</v>
      </c>
      <c r="D12" s="80">
        <f>(SUMIF('Equipamentos - Caracterização'!$D$3:$D$1000,C12,'Equipamentos - Caracterização'!$O$3:$O$73))*'Parâmetros'!H20</f>
        <v>2.773972603</v>
      </c>
      <c r="E12" s="80">
        <f>(SUMIF('Equipamentos - Caracterização'!$D$3:$D$1000,C12,'Equipamentos - Caracterização'!$S$3:$S$1000))*'Parâmetros'!H20</f>
        <v>1.035616438</v>
      </c>
      <c r="F12" s="80">
        <f>(SUMIF('Equipamentos - Caracterização'!$D$3:$D$1000,C12,'Equipamentos - Caracterização'!$L$3:$L$1000))*'Parâmetros'!H20</f>
        <v>12.34595376</v>
      </c>
      <c r="G12" s="80">
        <f t="shared" si="1"/>
        <v>16.1555428</v>
      </c>
      <c r="H12" s="80">
        <f>(SUMIF('Insumos-Consumíveis'!$O$3:$O$1001,C12,'Insumos-Consumíveis'!$R$3:$R$1001))*'Parâmetros'!H20</f>
        <v>12.3849</v>
      </c>
      <c r="I12" s="80">
        <f t="shared" si="2"/>
        <v>28.5404428</v>
      </c>
      <c r="J12" s="80">
        <f>$I$12/SUM('Parâmetros'!$D$30,'Parâmetros'!$D$31,'Parâmetros'!$D$33)</f>
        <v>0.002888708786</v>
      </c>
      <c r="K12" s="80">
        <f>$I$12/SUM('Parâmetros'!$D$30,'Parâmetros'!$D$31,'Parâmetros'!$D$33)</f>
        <v>0.002888708786</v>
      </c>
      <c r="L12" s="80">
        <f>$I$12/SUM('Parâmetros'!$D$30,'Parâmetros'!$D$31,'Parâmetros'!$D$33)</f>
        <v>0.002888708786</v>
      </c>
    </row>
    <row r="13">
      <c r="A13" s="78"/>
      <c r="B13" s="79" t="s">
        <v>50</v>
      </c>
      <c r="C13" s="79" t="s">
        <v>90</v>
      </c>
      <c r="D13" s="80">
        <f>(SUMIF('Equipamentos - Caracterização'!$D$3:$D$1000,C13,'Equipamentos - Caracterização'!$O$3:$O$73))*'Parâmetros'!H21</f>
        <v>205.9609034</v>
      </c>
      <c r="E13" s="80">
        <f>(SUMIF('Equipamentos - Caracterização'!$D$3:$D$1000,C13,'Equipamentos - Caracterização'!$S$3:$S$1000))*'Parâmetros'!H21</f>
        <v>97.99735959</v>
      </c>
      <c r="F13" s="80">
        <f>(SUMIF('Equipamentos - Caracterização'!$D$3:$D$1000,C13,'Equipamentos - Caracterização'!$L$3:$L$1000))*'Parâmetros'!H21</f>
        <v>69.47171064</v>
      </c>
      <c r="G13" s="80">
        <f t="shared" si="1"/>
        <v>373.4299737</v>
      </c>
      <c r="H13" s="80">
        <f>(SUMIF('Insumos-Consumíveis'!$O$3:$O$1001,C13,'Insumos-Consumíveis'!$R$3:$R$1001))*'Parâmetros'!H21</f>
        <v>14.856</v>
      </c>
      <c r="I13" s="80">
        <f t="shared" si="2"/>
        <v>388.2859737</v>
      </c>
      <c r="J13" s="81">
        <v>0.0</v>
      </c>
      <c r="K13" s="80">
        <f>$I$13/SUM('Parâmetros'!$D$31,'Parâmetros'!$D$33)</f>
        <v>0.03962101772</v>
      </c>
      <c r="L13" s="80">
        <f>$I$13/SUM('Parâmetros'!$D$31,'Parâmetros'!$D$33)</f>
        <v>0.03962101772</v>
      </c>
    </row>
    <row r="14">
      <c r="A14" s="78"/>
      <c r="B14" s="79" t="s">
        <v>50</v>
      </c>
      <c r="C14" s="79" t="s">
        <v>91</v>
      </c>
      <c r="D14" s="80">
        <f>(SUMIF('Equipamentos - Caracterização'!$D$3:$D$1000,C14,'Equipamentos - Caracterização'!$O$3:$O$73))*'Parâmetros'!H22</f>
        <v>32.97945205</v>
      </c>
      <c r="E14" s="80">
        <f>(SUMIF('Equipamentos - Caracterização'!$D$3:$D$1000,C14,'Equipamentos - Caracterização'!$S$3:$S$1000))*'Parâmetros'!H22</f>
        <v>0</v>
      </c>
      <c r="F14" s="80">
        <f>(SUMIF('Equipamentos - Caracterização'!$D$3:$D$1000,C14,'Equipamentos - Caracterização'!$L$3:$L$1000))*'Parâmetros'!H22</f>
        <v>1.28603685</v>
      </c>
      <c r="G14" s="80">
        <f t="shared" si="1"/>
        <v>34.2654889</v>
      </c>
      <c r="H14" s="80">
        <f>(SUMIF('Insumos-Consumíveis'!$O$3:$O$1001,C14,'Insumos-Consumíveis'!$R$3:$R$1001))*'Parâmetros'!H22</f>
        <v>55.44279008</v>
      </c>
      <c r="I14" s="80">
        <f t="shared" si="2"/>
        <v>89.70827899</v>
      </c>
      <c r="J14" s="80">
        <f>$I$14/'Parâmetros'!$D$30</f>
        <v>1.121353487</v>
      </c>
      <c r="K14" s="81">
        <v>0.0</v>
      </c>
      <c r="L14" s="81">
        <v>0.0</v>
      </c>
    </row>
    <row r="15">
      <c r="A15" s="78"/>
      <c r="B15" s="79" t="s">
        <v>50</v>
      </c>
      <c r="C15" s="79" t="s">
        <v>92</v>
      </c>
      <c r="D15" s="80">
        <f>(SUMIF('Equipamentos - Caracterização'!$D$3:$D$1000,C15,'Equipamentos - Caracterização'!$O$3:$O$73))*'Parâmetros'!H23</f>
        <v>210.7020548</v>
      </c>
      <c r="E15" s="80">
        <f>(SUMIF('Equipamentos - Caracterização'!$D$3:$D$1000,C15,'Equipamentos - Caracterização'!$S$3:$S$1000))*'Parâmetros'!H23</f>
        <v>39.04109589</v>
      </c>
      <c r="F15" s="80">
        <f>(SUMIF('Equipamentos - Caracterização'!$D$3:$D$1000,C15,'Equipamentos - Caracterização'!$L$3:$L$1000))*'Parâmetros'!H23</f>
        <v>19.29055275</v>
      </c>
      <c r="G15" s="80">
        <f t="shared" si="1"/>
        <v>269.0337034</v>
      </c>
      <c r="H15" s="80">
        <f>(SUMIF('Insumos-Consumíveis'!$O$3:$O$1001,C15,'Insumos-Consumíveis'!$R$3:$R$1001))*'Parâmetros'!H23</f>
        <v>644.0625</v>
      </c>
      <c r="I15" s="80">
        <f t="shared" si="2"/>
        <v>913.0962034</v>
      </c>
      <c r="J15" s="80">
        <f>$I$15/SUM('Parâmetros'!$D$30,'Parâmetros'!$D$31,'Parâmetros'!$D$33)</f>
        <v>0.09241864407</v>
      </c>
      <c r="K15" s="80">
        <f>$I$15/SUM('Parâmetros'!$D$30,'Parâmetros'!$D$31,'Parâmetros'!$D$33)</f>
        <v>0.09241864407</v>
      </c>
      <c r="L15" s="80">
        <f>$I$15/SUM('Parâmetros'!$D$30,'Parâmetros'!$D$31,'Parâmetros'!$D$33)</f>
        <v>0.09241864407</v>
      </c>
    </row>
    <row r="16">
      <c r="B16" s="82" t="s">
        <v>93</v>
      </c>
      <c r="C16" s="27"/>
      <c r="D16" s="27"/>
      <c r="E16" s="27"/>
      <c r="F16" s="27"/>
      <c r="G16" s="27"/>
      <c r="H16" s="27"/>
      <c r="I16" s="28"/>
      <c r="J16" s="83">
        <f t="shared" ref="J16:L16" si="3">SUM(J5:J15)</f>
        <v>1.558877384</v>
      </c>
      <c r="K16" s="83">
        <f t="shared" si="3"/>
        <v>0.4891496771</v>
      </c>
      <c r="L16" s="83">
        <f t="shared" si="3"/>
        <v>0.2872343111</v>
      </c>
    </row>
    <row r="20">
      <c r="B20" s="74" t="s">
        <v>49</v>
      </c>
      <c r="C20" s="74" t="s">
        <v>80</v>
      </c>
      <c r="D20" s="66" t="s">
        <v>81</v>
      </c>
      <c r="E20" s="66" t="s">
        <v>82</v>
      </c>
    </row>
    <row r="21">
      <c r="B21" s="66" t="s">
        <v>56</v>
      </c>
      <c r="C21" s="84">
        <f>Equipe!L15</f>
        <v>0.1159615744</v>
      </c>
      <c r="D21" s="85">
        <f>Equipe!L16</f>
        <v>0.1159615744</v>
      </c>
      <c r="E21" s="85">
        <f>Equipe!L17</f>
        <v>0.0391507341</v>
      </c>
      <c r="H21" s="86"/>
      <c r="I21" s="86"/>
      <c r="J21" s="86"/>
      <c r="K21" s="86"/>
      <c r="L21" s="86"/>
    </row>
    <row r="22">
      <c r="B22" s="66" t="s">
        <v>57</v>
      </c>
      <c r="C22" s="87">
        <f>Equipe!V18/SUM('Parâmetros'!D30:D31,'Parâmetros'!D33)</f>
        <v>0.418860859</v>
      </c>
      <c r="D22" s="88">
        <f>Equipe!V18/SUM('Parâmetros'!D30:D31,'Parâmetros'!D33)</f>
        <v>0.418860859</v>
      </c>
      <c r="E22" s="88">
        <f>Equipe!V18/SUM('Parâmetros'!D30:D31,'Parâmetros'!D33)</f>
        <v>0.418860859</v>
      </c>
      <c r="H22" s="86"/>
      <c r="I22" s="86"/>
      <c r="J22" s="86"/>
      <c r="K22" s="86"/>
      <c r="L22" s="86"/>
    </row>
    <row r="23">
      <c r="B23" s="66" t="s">
        <v>51</v>
      </c>
      <c r="C23" s="88">
        <f>'Parâmetros'!H10/SUM('Parâmetros'!D30,'Parâmetros'!D31,'Parâmetros'!D33)</f>
        <v>0.1163385918</v>
      </c>
      <c r="D23" s="88">
        <f>'Parâmetros'!H10/SUM('Parâmetros'!D30,'Parâmetros'!D31,'Parâmetros'!D33)</f>
        <v>0.1163385918</v>
      </c>
      <c r="E23" s="88">
        <f>'Parâmetros'!H10/SUM('Parâmetros'!D30,'Parâmetros'!D31,'Parâmetros'!D33)</f>
        <v>0.1163385918</v>
      </c>
      <c r="H23" s="86"/>
      <c r="I23" s="86"/>
      <c r="J23" s="86"/>
      <c r="K23" s="86"/>
      <c r="L23" s="86"/>
    </row>
    <row r="24">
      <c r="B24" s="66" t="s">
        <v>53</v>
      </c>
      <c r="C24" s="88">
        <f>(SUM(D5,D6,D9,D10:D12,D15)/SUM('Parâmetros'!$D$30,'Parâmetros'!$D$31,'Parâmetros'!$D$33))+(D14/'Parâmetros'!$D$30)+(D7/SUM('Parâmetros'!$D$30,'Parâmetros'!$D$31))</f>
        <v>0.636384921</v>
      </c>
      <c r="D24" s="88">
        <f>(SUM(D5,D6,D9,D10:D12,D15)/SUM('Parâmetros'!$D$30,'Parâmetros'!$D$31,'Parâmetros'!$D$33))+(D7/SUM('Parâmetros'!$D$30,'Parâmetros'!$D$31))+(D8/SUM('Parâmetros'!$D$31,'Parâmetros'!$D$33))+(D13/SUM('Parâmetros'!$D$31,'Parâmetros'!$D$33))</f>
        <v>0.2457902019</v>
      </c>
      <c r="E24" s="88">
        <f>(SUM(D5,D6,D9,D10:D12,D15)/SUM('Parâmetros'!$D$30,'Parâmetros'!$D$31,'Parâmetros'!$D$33))+(D8/SUM('Parâmetros'!$D$31,'Parâmetros'!$D$33))+(D13/SUM('Parâmetros'!$D$31,'Parâmetros'!$D$33))</f>
        <v>0.09771968936</v>
      </c>
      <c r="H24" s="86"/>
      <c r="I24" s="86"/>
      <c r="J24" s="86"/>
      <c r="K24" s="86"/>
      <c r="L24" s="86"/>
    </row>
    <row r="25">
      <c r="B25" s="66" t="s">
        <v>59</v>
      </c>
      <c r="C25" s="85">
        <f>(SUM(E5,E6,E9,E10:E12,E15)/SUM('Parâmetros'!$D$30,'Parâmetros'!$D$31,'Parâmetros'!$D$33))+(E14/'Parâmetros'!$D$30)+(E7/SUM('Parâmetros'!$D$30,'Parâmetros'!$D$31))</f>
        <v>0.01480893743</v>
      </c>
      <c r="D25" s="85">
        <f>(SUM(E5,E6,E9,E10:E12,E15)/SUM('Parâmetros'!$D$30,'Parâmetros'!$D$31,'Parâmetros'!$D$33))+(E7/SUM('Parâmetros'!$D$30,'Parâmetros'!$D$31))+(E8/SUM('Parâmetros'!$D$31,'Parâmetros'!$D$33))+(E13/SUM('Parâmetros'!$D$31,'Parâmetros'!$D$33))</f>
        <v>0.024808668</v>
      </c>
      <c r="E25" s="85">
        <f>(SUM(E5,E6,E9,E10:E12,E15)/SUM('Parâmetros'!$D$30,'Parâmetros'!$D$31,'Parâmetros'!$D$33))+(E8/SUM('Parâmetros'!$D$31,'Parâmetros'!$D$33))+(E13/SUM('Parâmetros'!$D$31,'Parâmetros'!$D$33))</f>
        <v>0.02386393489</v>
      </c>
      <c r="H25" s="86"/>
      <c r="I25" s="86"/>
      <c r="J25" s="86"/>
      <c r="K25" s="86"/>
      <c r="L25" s="86"/>
    </row>
    <row r="26">
      <c r="B26" s="66" t="s">
        <v>55</v>
      </c>
      <c r="C26" s="85">
        <f>(SUM(F5,F6,F9,F10:F12,F15)/SUM('Parâmetros'!$D$30,'Parâmetros'!$D$31,'Parâmetros'!$D$33))+(F14/'Parâmetros'!$D$30)+(F7/SUM('Parâmetros'!$D$30,'Parâmetros'!$D$31))</f>
        <v>0.04180147381</v>
      </c>
      <c r="D26" s="85">
        <f>(SUM(F5,F6,F9,F10:F12,F15)/SUM('Parâmetros'!$D$30,'Parâmetros'!$D$31,'Parâmetros'!$D$33))+(F7/SUM('Parâmetros'!$D$30,'Parâmetros'!$D$31))+(F8/SUM('Parâmetros'!$D$31,'Parâmetros'!$D$33))+(F13/SUM('Parâmetros'!$D$31,'Parâmetros'!$D$33))</f>
        <v>0.04331322325</v>
      </c>
      <c r="E26" s="85">
        <f>(SUM(F5,F6,F9,F10:F12,F15)/SUM('Parâmetros'!$D$30,'Parâmetros'!$D$31,'Parâmetros'!$D$33))+(F8/SUM('Parâmetros'!$D$31,'Parâmetros'!$D$33))+(F13/SUM('Parâmetros'!$D$31,'Parâmetros'!$D$33))</f>
        <v>0.02908551672</v>
      </c>
      <c r="H26" s="86"/>
      <c r="I26" s="86"/>
      <c r="J26" s="86"/>
      <c r="K26" s="86"/>
      <c r="L26" s="86"/>
    </row>
    <row r="27">
      <c r="B27" s="66" t="s">
        <v>58</v>
      </c>
      <c r="C27" s="85">
        <f>(SUM(H5,H6,H7,H9,H10:H12,H15)/SUM('Parâmetros'!$D$30,'Parâmetros'!$D$31,'Parâmetros'!$D$33))+(H14/'Parâmetros'!$D$30)+(H7/SUM('Parâmetros'!$D$30,'Parâmetros'!$D$31))</f>
        <v>0.8681522948</v>
      </c>
      <c r="D27" s="85">
        <f>(SUM(H5,H6,H9,H10:H12,H15)/SUM('Parâmetros'!$D$30,'Parâmetros'!$D$31,'Parâmetros'!$D$33))+(H7/SUM('Parâmetros'!$D$30,'Parâmetros'!$D$31))+(H8/SUM('Parâmetros'!$D$31,'Parâmetros'!$D$33))+(H13/SUM('Parâmetros'!$D$31,'Parâmetros'!$D$33))</f>
        <v>0.175237584</v>
      </c>
      <c r="E27" s="85">
        <f>(SUM(H5,H6,H9,H10:H12,H15)/SUM('Parâmetros'!$D$30,'Parâmetros'!$D$31,'Parâmetros'!$D$33))+(H8/SUM('Parâmetros'!$D$31,'Parâmetros'!$D$33))+(H13/SUM('Parâmetros'!$D$31,'Parâmetros'!$D$33))</f>
        <v>0.1365651702</v>
      </c>
      <c r="H27" s="86"/>
      <c r="I27" s="86"/>
      <c r="J27" s="86"/>
      <c r="K27" s="86"/>
      <c r="L27" s="86"/>
    </row>
    <row r="28">
      <c r="B28" s="66" t="s">
        <v>79</v>
      </c>
      <c r="C28" s="89">
        <f t="shared" ref="C28:E28" si="4">SUM(C21:C27)</f>
        <v>2.212308652</v>
      </c>
      <c r="D28" s="89">
        <f t="shared" si="4"/>
        <v>1.140310702</v>
      </c>
      <c r="E28" s="89">
        <f t="shared" si="4"/>
        <v>0.8615844961</v>
      </c>
      <c r="H28" s="86"/>
      <c r="I28" s="86"/>
      <c r="J28" s="86"/>
      <c r="K28" s="86"/>
      <c r="L28" s="86"/>
    </row>
    <row r="31">
      <c r="B31" s="90" t="s">
        <v>94</v>
      </c>
      <c r="C31" s="91"/>
      <c r="D31" s="91"/>
      <c r="E31" s="92"/>
    </row>
    <row r="32">
      <c r="B32" s="64" t="s">
        <v>61</v>
      </c>
      <c r="C32" s="64" t="s">
        <v>95</v>
      </c>
      <c r="D32" s="64" t="s">
        <v>96</v>
      </c>
      <c r="E32" s="64" t="s">
        <v>97</v>
      </c>
    </row>
    <row r="33">
      <c r="B33" s="66" t="s">
        <v>56</v>
      </c>
      <c r="C33" s="93">
        <f>Equipe!H7/16</f>
        <v>1182.353125</v>
      </c>
      <c r="D33" s="94">
        <f>C33*'Parâmetros'!$H$2</f>
        <v>51432.36094</v>
      </c>
      <c r="E33" s="85">
        <f t="shared" ref="E33:E40" si="5">D33*12</f>
        <v>617188.3313</v>
      </c>
      <c r="N33" s="44"/>
    </row>
    <row r="34">
      <c r="B34" s="66" t="s">
        <v>57</v>
      </c>
      <c r="C34" s="85">
        <f>Equipe!V18</f>
        <v>4138.345287</v>
      </c>
      <c r="D34" s="94">
        <f>C34*'Parâmetros'!$H$2</f>
        <v>180018.02</v>
      </c>
      <c r="E34" s="85">
        <f t="shared" si="5"/>
        <v>2160216.24</v>
      </c>
      <c r="N34" s="44"/>
    </row>
    <row r="35">
      <c r="B35" s="66" t="s">
        <v>69</v>
      </c>
      <c r="C35" s="85">
        <f>'Parâmetros'!H10</f>
        <v>1149.425287</v>
      </c>
      <c r="D35" s="94">
        <f>C35*'Parâmetros'!$H$2</f>
        <v>50000</v>
      </c>
      <c r="E35" s="85">
        <f t="shared" si="5"/>
        <v>600000</v>
      </c>
      <c r="N35" s="44"/>
    </row>
    <row r="36">
      <c r="B36" s="66" t="s">
        <v>53</v>
      </c>
      <c r="C36" s="85">
        <f>SUM(D5:D15)</f>
        <v>1082.599006</v>
      </c>
      <c r="D36" s="94">
        <f>C36*'Parâmetros'!$H$2</f>
        <v>47093.05674</v>
      </c>
      <c r="E36" s="85">
        <f t="shared" si="5"/>
        <v>565116.6809</v>
      </c>
      <c r="N36" s="44"/>
    </row>
    <row r="37">
      <c r="B37" s="66" t="s">
        <v>59</v>
      </c>
      <c r="C37" s="85">
        <f>SUM(E5:E15)</f>
        <v>235.5236435</v>
      </c>
      <c r="D37" s="94">
        <f>C37*'Parâmetros'!$H$2</f>
        <v>10245.27849</v>
      </c>
      <c r="E37" s="85">
        <f t="shared" si="5"/>
        <v>122943.3419</v>
      </c>
      <c r="N37" s="44"/>
    </row>
    <row r="38">
      <c r="B38" s="66" t="s">
        <v>55</v>
      </c>
      <c r="C38" s="85">
        <f>SUM(F5:F15)</f>
        <v>295.496035</v>
      </c>
      <c r="D38" s="94">
        <f>C38*'Parâmetros'!$H$2</f>
        <v>12854.07752</v>
      </c>
      <c r="E38" s="85">
        <f t="shared" si="5"/>
        <v>154248.9303</v>
      </c>
      <c r="N38" s="44"/>
    </row>
    <row r="39">
      <c r="B39" s="66" t="s">
        <v>58</v>
      </c>
      <c r="C39" s="85">
        <f>SUM(H5:H15)</f>
        <v>1426.945439</v>
      </c>
      <c r="D39" s="94">
        <f>C39*'Parâmetros'!$H$2</f>
        <v>62072.12659</v>
      </c>
      <c r="E39" s="85">
        <f t="shared" si="5"/>
        <v>744865.5191</v>
      </c>
      <c r="N39" s="44"/>
    </row>
    <row r="40">
      <c r="B40" s="66" t="s">
        <v>79</v>
      </c>
      <c r="C40" s="95">
        <f>SUM(C33:C39)</f>
        <v>9510.687823</v>
      </c>
      <c r="D40" s="96">
        <f>C40*'Parâmetros'!$H$2</f>
        <v>413714.9203</v>
      </c>
      <c r="E40" s="89">
        <f t="shared" si="5"/>
        <v>4964579.043</v>
      </c>
    </row>
    <row r="41">
      <c r="C41" s="97"/>
      <c r="D41" s="97"/>
      <c r="E41" s="97"/>
    </row>
    <row r="45">
      <c r="C45" s="86"/>
    </row>
  </sheetData>
  <customSheetViews>
    <customSheetView guid="{90499436-F017-4F6D-9643-FE646033B0E6}" filter="1" showAutoFilter="1">
      <autoFilter ref="$B$4:$L$15"/>
    </customSheetView>
    <customSheetView guid="{3AA2CB78-DD01-444A-A3B5-F84B7D3F6B5D}" filter="1" showAutoFilter="1">
      <autoFilter ref="$B$20:$E$28"/>
    </customSheetView>
  </customSheetViews>
  <mergeCells count="3">
    <mergeCell ref="B3:L3"/>
    <mergeCell ref="B16:I16"/>
    <mergeCell ref="B31:E31"/>
  </mergeCell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98" t="s">
        <v>45</v>
      </c>
      <c r="B1" s="99" t="s">
        <v>75</v>
      </c>
      <c r="C1" s="99" t="s">
        <v>76</v>
      </c>
      <c r="D1" s="99" t="s">
        <v>59</v>
      </c>
      <c r="E1" s="99" t="s">
        <v>55</v>
      </c>
      <c r="F1" s="99" t="s">
        <v>77</v>
      </c>
      <c r="G1" s="99" t="s">
        <v>78</v>
      </c>
      <c r="H1" s="99" t="s">
        <v>79</v>
      </c>
      <c r="I1" s="99" t="s">
        <v>80</v>
      </c>
      <c r="J1" s="99" t="s">
        <v>81</v>
      </c>
      <c r="K1" s="100" t="s">
        <v>82</v>
      </c>
    </row>
    <row r="2">
      <c r="A2" s="101" t="s">
        <v>52</v>
      </c>
      <c r="B2" s="102" t="s">
        <v>1</v>
      </c>
      <c r="C2" s="103">
        <v>37.60999843685264</v>
      </c>
      <c r="D2" s="103">
        <v>8.86299638820271</v>
      </c>
      <c r="E2" s="103">
        <v>24.9971269324</v>
      </c>
      <c r="F2" s="103">
        <v>71.47012175745536</v>
      </c>
      <c r="G2" s="103">
        <v>128.30599999999998</v>
      </c>
      <c r="H2" s="103">
        <v>199.77612175745534</v>
      </c>
      <c r="I2" s="103">
        <v>0.020605248030762562</v>
      </c>
      <c r="J2" s="103">
        <v>0.020605248030762562</v>
      </c>
      <c r="K2" s="104">
        <v>0.020605248030762562</v>
      </c>
    </row>
    <row r="3">
      <c r="A3" s="101" t="s">
        <v>52</v>
      </c>
      <c r="B3" s="102" t="s">
        <v>83</v>
      </c>
      <c r="C3" s="103">
        <v>7.855304077254452</v>
      </c>
      <c r="D3" s="103">
        <v>0.2772943334081892</v>
      </c>
      <c r="E3" s="103">
        <v>0.25409944761250003</v>
      </c>
      <c r="F3" s="103">
        <v>8.386697858275141</v>
      </c>
      <c r="G3" s="103">
        <v>112.18</v>
      </c>
      <c r="H3" s="103">
        <v>120.56669785827515</v>
      </c>
      <c r="I3" s="103">
        <v>0.012435453705703236</v>
      </c>
      <c r="J3" s="103">
        <v>0.012435453705703236</v>
      </c>
      <c r="K3" s="104">
        <v>0.012435453705703236</v>
      </c>
    </row>
    <row r="4">
      <c r="A4" s="101" t="s">
        <v>52</v>
      </c>
      <c r="B4" s="102" t="s">
        <v>84</v>
      </c>
      <c r="C4" s="103">
        <v>97.62319657647122</v>
      </c>
      <c r="D4" s="103">
        <v>0.547945205479452</v>
      </c>
      <c r="E4" s="103">
        <v>8.252069787500002</v>
      </c>
      <c r="F4" s="103">
        <v>106.42321156945067</v>
      </c>
      <c r="G4" s="103">
        <v>22.43</v>
      </c>
      <c r="H4" s="103">
        <v>128.85321156945068</v>
      </c>
      <c r="I4" s="103">
        <v>0.2233545009004172</v>
      </c>
      <c r="J4" s="103">
        <v>0.2233545009004172</v>
      </c>
      <c r="K4" s="104">
        <v>0.0</v>
      </c>
    </row>
    <row r="5">
      <c r="A5" s="101" t="s">
        <v>52</v>
      </c>
      <c r="B5" s="102" t="s">
        <v>85</v>
      </c>
      <c r="C5" s="103">
        <v>6.193726027397259</v>
      </c>
      <c r="D5" s="103">
        <v>0.0</v>
      </c>
      <c r="E5" s="103">
        <v>102.88294800000001</v>
      </c>
      <c r="F5" s="103">
        <v>109.07667402739727</v>
      </c>
      <c r="G5" s="103">
        <v>8.57</v>
      </c>
      <c r="H5" s="103">
        <v>117.64667402739727</v>
      </c>
      <c r="I5" s="103">
        <v>0.0</v>
      </c>
      <c r="J5" s="105">
        <v>0.012232562935003615</v>
      </c>
      <c r="K5" s="106">
        <v>0.012232562935003615</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14"/>
    <col customWidth="1" min="2" max="2" width="13.86"/>
    <col customWidth="1" min="3" max="3" width="27.14"/>
    <col customWidth="1" min="4" max="4" width="17.71"/>
    <col customWidth="1" min="5" max="5" width="8.71"/>
    <col customWidth="1" min="6" max="6" width="13.29"/>
    <col customWidth="1" min="7" max="7" width="27.29"/>
    <col customWidth="1" min="8" max="8" width="27.57"/>
    <col customWidth="1" min="9" max="9" width="17.29"/>
    <col customWidth="1" min="10" max="10" width="16.0"/>
    <col customWidth="1" min="11" max="11" width="16.43"/>
    <col customWidth="1" min="12" max="12" width="23.57"/>
    <col customWidth="1" min="13" max="17" width="14.43"/>
  </cols>
  <sheetData>
    <row r="1" ht="15.0" customHeight="1">
      <c r="A1" s="107"/>
      <c r="B1" s="108"/>
      <c r="C1" s="107"/>
      <c r="D1" s="107"/>
      <c r="E1" s="107"/>
      <c r="F1" s="107"/>
      <c r="G1" s="107"/>
      <c r="H1" s="107"/>
      <c r="I1" s="107"/>
      <c r="J1" s="107"/>
      <c r="K1" s="107"/>
      <c r="L1" s="107"/>
      <c r="M1" s="107"/>
      <c r="N1" s="107"/>
      <c r="O1" s="107"/>
      <c r="P1" s="107"/>
      <c r="Q1" s="107"/>
    </row>
    <row r="2" ht="15.0" customHeight="1">
      <c r="A2" s="107"/>
      <c r="B2" s="109" t="s">
        <v>98</v>
      </c>
      <c r="C2" s="110"/>
      <c r="D2" s="111"/>
      <c r="E2" s="112"/>
      <c r="F2" s="107"/>
      <c r="G2" s="113" t="s">
        <v>99</v>
      </c>
      <c r="H2" s="114">
        <v>43.5</v>
      </c>
      <c r="I2" s="107"/>
      <c r="J2" s="107"/>
      <c r="K2" s="107"/>
      <c r="L2" s="107"/>
      <c r="M2" s="107"/>
      <c r="N2" s="107"/>
      <c r="O2" s="107"/>
      <c r="P2" s="107"/>
      <c r="Q2" s="107"/>
    </row>
    <row r="3" ht="15.0" customHeight="1">
      <c r="A3" s="107"/>
      <c r="B3" s="107"/>
      <c r="C3" s="107"/>
      <c r="D3" s="107"/>
      <c r="E3" s="107"/>
      <c r="F3" s="107"/>
      <c r="G3" s="115"/>
      <c r="H3" s="108"/>
      <c r="I3" s="107"/>
      <c r="J3" s="107"/>
      <c r="K3" s="107"/>
      <c r="L3" s="107"/>
      <c r="M3" s="107"/>
      <c r="N3" s="107"/>
      <c r="O3" s="107"/>
      <c r="P3" s="107"/>
      <c r="Q3" s="107"/>
    </row>
    <row r="4">
      <c r="A4" s="107"/>
      <c r="B4" s="116" t="s">
        <v>100</v>
      </c>
      <c r="C4" s="117"/>
      <c r="D4" s="117"/>
      <c r="E4" s="118"/>
      <c r="F4" s="119"/>
      <c r="G4" s="115"/>
      <c r="H4" s="108"/>
      <c r="I4" s="107"/>
      <c r="J4" s="107"/>
      <c r="K4" s="107"/>
      <c r="L4" s="107"/>
      <c r="M4" s="107"/>
      <c r="N4" s="107"/>
      <c r="O4" s="107"/>
      <c r="P4" s="107"/>
      <c r="Q4" s="107"/>
    </row>
    <row r="5">
      <c r="A5" s="107"/>
      <c r="B5" s="120" t="s">
        <v>4</v>
      </c>
      <c r="C5" s="120" t="s">
        <v>101</v>
      </c>
      <c r="D5" s="120" t="s">
        <v>102</v>
      </c>
      <c r="E5" s="120" t="s">
        <v>103</v>
      </c>
      <c r="F5" s="119"/>
      <c r="G5" s="107"/>
      <c r="H5" s="107"/>
      <c r="I5" s="107"/>
      <c r="J5" s="107"/>
      <c r="P5" s="121"/>
      <c r="Q5" s="107"/>
    </row>
    <row r="6" ht="15.0" customHeight="1">
      <c r="A6" s="107"/>
      <c r="B6" s="122">
        <v>1.0</v>
      </c>
      <c r="C6" s="123" t="s">
        <v>104</v>
      </c>
      <c r="D6" s="124" t="s">
        <v>94</v>
      </c>
      <c r="E6" s="122"/>
      <c r="F6" s="119"/>
      <c r="G6" s="120" t="s">
        <v>105</v>
      </c>
      <c r="H6" s="125">
        <v>1.5E7</v>
      </c>
      <c r="I6" s="107"/>
      <c r="J6" s="108"/>
      <c r="P6" s="107"/>
      <c r="Q6" s="107"/>
    </row>
    <row r="7">
      <c r="A7" s="107"/>
      <c r="B7" s="122">
        <v>2.0</v>
      </c>
      <c r="C7" s="126" t="s">
        <v>106</v>
      </c>
      <c r="D7" s="124">
        <v>2.0</v>
      </c>
      <c r="E7" s="122"/>
      <c r="F7" s="119"/>
      <c r="G7" s="120" t="s">
        <v>107</v>
      </c>
      <c r="H7" s="127">
        <v>0.04</v>
      </c>
      <c r="I7" s="107"/>
      <c r="J7" s="107"/>
      <c r="P7" s="107"/>
      <c r="Q7" s="107"/>
    </row>
    <row r="8">
      <c r="A8" s="107"/>
      <c r="B8" s="122">
        <v>3.0</v>
      </c>
      <c r="C8" s="122" t="s">
        <v>108</v>
      </c>
      <c r="D8" s="124">
        <v>105.6</v>
      </c>
      <c r="E8" s="122" t="s">
        <v>109</v>
      </c>
      <c r="F8" s="119"/>
      <c r="G8" s="120" t="s">
        <v>110</v>
      </c>
      <c r="H8" s="128">
        <f>H6*H7</f>
        <v>600000</v>
      </c>
      <c r="I8" s="107"/>
      <c r="J8" s="108"/>
      <c r="P8" s="107"/>
      <c r="Q8" s="107"/>
    </row>
    <row r="9">
      <c r="A9" s="107"/>
      <c r="B9" s="122">
        <v>4.0</v>
      </c>
      <c r="C9" s="122" t="s">
        <v>111</v>
      </c>
      <c r="D9" s="129">
        <v>1.5</v>
      </c>
      <c r="E9" s="122" t="s">
        <v>112</v>
      </c>
      <c r="F9" s="119"/>
      <c r="G9" s="120" t="s">
        <v>113</v>
      </c>
      <c r="H9" s="128">
        <f>H8/12</f>
        <v>50000</v>
      </c>
      <c r="I9" s="107"/>
      <c r="J9" s="107"/>
      <c r="P9" s="107"/>
      <c r="Q9" s="107"/>
    </row>
    <row r="10">
      <c r="A10" s="107"/>
      <c r="B10" s="122">
        <v>5.0</v>
      </c>
      <c r="C10" s="122" t="s">
        <v>114</v>
      </c>
      <c r="D10" s="129">
        <v>0.75</v>
      </c>
      <c r="E10" s="122" t="s">
        <v>112</v>
      </c>
      <c r="F10" s="119"/>
      <c r="G10" s="120" t="s">
        <v>115</v>
      </c>
      <c r="H10" s="128">
        <f>H9/H2</f>
        <v>1149.425287</v>
      </c>
      <c r="I10" s="107"/>
      <c r="J10" s="108"/>
      <c r="P10" s="107"/>
      <c r="Q10" s="107"/>
    </row>
    <row r="11">
      <c r="A11" s="107"/>
      <c r="B11" s="122">
        <v>6.0</v>
      </c>
      <c r="C11" s="122" t="s">
        <v>116</v>
      </c>
      <c r="D11" s="124">
        <v>5.0</v>
      </c>
      <c r="E11" s="122" t="s">
        <v>112</v>
      </c>
      <c r="F11" s="119"/>
      <c r="G11" s="107"/>
      <c r="H11" s="107"/>
      <c r="I11" s="107"/>
      <c r="J11" s="108"/>
      <c r="P11" s="107"/>
      <c r="Q11" s="107"/>
    </row>
    <row r="12">
      <c r="A12" s="107"/>
      <c r="B12" s="122">
        <v>7.0</v>
      </c>
      <c r="C12" s="122" t="s">
        <v>117</v>
      </c>
      <c r="D12" s="129">
        <f>D11+D10+D9</f>
        <v>7.25</v>
      </c>
      <c r="E12" s="122" t="s">
        <v>118</v>
      </c>
      <c r="F12" s="119"/>
      <c r="G12" s="107"/>
      <c r="H12" s="107"/>
      <c r="I12" s="107"/>
      <c r="J12" s="108"/>
      <c r="P12" s="107"/>
      <c r="Q12" s="107"/>
    </row>
    <row r="13">
      <c r="A13" s="107"/>
      <c r="B13" s="122">
        <v>8.0</v>
      </c>
      <c r="C13" s="122" t="s">
        <v>119</v>
      </c>
      <c r="D13" s="130">
        <f>D14/100</f>
        <v>100</v>
      </c>
      <c r="E13" s="122" t="s">
        <v>120</v>
      </c>
      <c r="F13" s="119"/>
      <c r="G13" s="131" t="s">
        <v>121</v>
      </c>
      <c r="H13" s="125">
        <v>5.35</v>
      </c>
      <c r="I13" s="107"/>
      <c r="J13" s="107"/>
      <c r="P13" s="107"/>
      <c r="Q13" s="107"/>
    </row>
    <row r="14" ht="16.5" customHeight="1">
      <c r="A14" s="107"/>
      <c r="B14" s="122">
        <v>9.0</v>
      </c>
      <c r="C14" s="122" t="s">
        <v>122</v>
      </c>
      <c r="D14" s="124">
        <v>10000.0</v>
      </c>
      <c r="E14" s="122" t="s">
        <v>123</v>
      </c>
      <c r="F14" s="119"/>
      <c r="G14" s="131" t="s">
        <v>124</v>
      </c>
      <c r="H14" s="125">
        <v>6.22</v>
      </c>
      <c r="I14" s="107"/>
      <c r="J14" s="107"/>
      <c r="P14" s="107"/>
      <c r="Q14" s="107"/>
    </row>
    <row r="15">
      <c r="A15" s="107"/>
      <c r="B15" s="122">
        <v>10.0</v>
      </c>
      <c r="C15" s="122" t="s">
        <v>125</v>
      </c>
      <c r="D15" s="129">
        <v>0.1</v>
      </c>
      <c r="E15" s="122" t="s">
        <v>126</v>
      </c>
      <c r="F15" s="119"/>
      <c r="G15" s="107"/>
      <c r="H15" s="107"/>
      <c r="I15" s="107"/>
      <c r="J15" s="107"/>
      <c r="P15" s="107"/>
      <c r="Q15" s="107"/>
    </row>
    <row r="16" ht="22.5" customHeight="1">
      <c r="A16" s="107"/>
      <c r="B16" s="122">
        <v>11.0</v>
      </c>
      <c r="C16" s="122" t="s">
        <v>127</v>
      </c>
      <c r="D16" s="124">
        <v>100.0</v>
      </c>
      <c r="E16" s="122" t="s">
        <v>123</v>
      </c>
      <c r="F16" s="119"/>
      <c r="G16" s="107"/>
      <c r="H16" s="107"/>
      <c r="I16" s="107"/>
      <c r="J16" s="107"/>
      <c r="P16" s="107"/>
      <c r="Q16" s="107"/>
    </row>
    <row r="17" ht="15.0" customHeight="1">
      <c r="A17" s="107"/>
      <c r="B17" s="122">
        <v>12.0</v>
      </c>
      <c r="C17" s="122" t="s">
        <v>128</v>
      </c>
      <c r="D17" s="124">
        <v>2.0</v>
      </c>
      <c r="E17" s="122" t="s">
        <v>112</v>
      </c>
      <c r="F17" s="119"/>
      <c r="G17" s="120" t="s">
        <v>129</v>
      </c>
      <c r="H17" s="132" t="s">
        <v>130</v>
      </c>
      <c r="I17" s="132" t="s">
        <v>38</v>
      </c>
      <c r="J17" s="132" t="s">
        <v>42</v>
      </c>
      <c r="K17" s="132" t="s">
        <v>43</v>
      </c>
      <c r="P17" s="107"/>
      <c r="Q17" s="107"/>
    </row>
    <row r="18">
      <c r="A18" s="107"/>
      <c r="B18" s="122">
        <v>13.0</v>
      </c>
      <c r="C18" s="122" t="s">
        <v>131</v>
      </c>
      <c r="D18" s="124">
        <v>1.5</v>
      </c>
      <c r="E18" s="122" t="s">
        <v>112</v>
      </c>
      <c r="F18" s="133"/>
      <c r="G18" s="134" t="s">
        <v>87</v>
      </c>
      <c r="H18" s="135">
        <v>3.0</v>
      </c>
      <c r="I18" s="136" t="s">
        <v>132</v>
      </c>
      <c r="J18" s="136" t="s">
        <v>132</v>
      </c>
      <c r="K18" s="136" t="s">
        <v>132</v>
      </c>
      <c r="P18" s="107"/>
      <c r="Q18" s="107"/>
    </row>
    <row r="19" ht="15.0" customHeight="1">
      <c r="A19" s="107"/>
      <c r="B19" s="122">
        <v>14.0</v>
      </c>
      <c r="C19" s="122" t="s">
        <v>133</v>
      </c>
      <c r="D19" s="129">
        <v>2.5</v>
      </c>
      <c r="E19" s="122" t="s">
        <v>112</v>
      </c>
      <c r="F19" s="119"/>
      <c r="G19" s="134" t="s">
        <v>88</v>
      </c>
      <c r="H19" s="135">
        <v>3.0</v>
      </c>
      <c r="I19" s="136" t="s">
        <v>132</v>
      </c>
      <c r="J19" s="136" t="s">
        <v>132</v>
      </c>
      <c r="K19" s="136" t="s">
        <v>132</v>
      </c>
      <c r="L19" s="107"/>
      <c r="M19" s="107"/>
      <c r="N19" s="107"/>
      <c r="O19" s="107"/>
      <c r="P19" s="107"/>
      <c r="Q19" s="107"/>
    </row>
    <row r="20" ht="18.75" customHeight="1">
      <c r="A20" s="107"/>
      <c r="B20" s="122">
        <v>15.0</v>
      </c>
      <c r="C20" s="122" t="s">
        <v>134</v>
      </c>
      <c r="D20" s="129">
        <f>D17+D18</f>
        <v>3.5</v>
      </c>
      <c r="E20" s="122" t="s">
        <v>118</v>
      </c>
      <c r="F20" s="119"/>
      <c r="G20" s="137" t="s">
        <v>89</v>
      </c>
      <c r="H20" s="135">
        <v>3.0</v>
      </c>
      <c r="I20" s="136" t="s">
        <v>132</v>
      </c>
      <c r="J20" s="136" t="s">
        <v>132</v>
      </c>
      <c r="K20" s="136" t="s">
        <v>132</v>
      </c>
      <c r="L20" s="107"/>
      <c r="M20" s="107"/>
      <c r="N20" s="107"/>
      <c r="O20" s="107"/>
      <c r="P20" s="107"/>
      <c r="Q20" s="107"/>
    </row>
    <row r="21" ht="15.75" customHeight="1">
      <c r="A21" s="107"/>
      <c r="B21" s="122">
        <v>16.0</v>
      </c>
      <c r="C21" s="122" t="s">
        <v>135</v>
      </c>
      <c r="D21" s="129">
        <v>8.0</v>
      </c>
      <c r="E21" s="122" t="s">
        <v>118</v>
      </c>
      <c r="F21" s="138"/>
      <c r="G21" s="134" t="s">
        <v>90</v>
      </c>
      <c r="H21" s="135">
        <v>2.0</v>
      </c>
      <c r="I21" s="136" t="s">
        <v>18</v>
      </c>
      <c r="J21" s="136" t="s">
        <v>132</v>
      </c>
      <c r="K21" s="136" t="s">
        <v>132</v>
      </c>
      <c r="L21" s="107"/>
      <c r="M21" s="107"/>
      <c r="N21" s="107"/>
      <c r="O21" s="107"/>
      <c r="P21" s="107"/>
      <c r="Q21" s="107"/>
    </row>
    <row r="22" ht="15.75" customHeight="1">
      <c r="A22" s="107"/>
      <c r="B22" s="122">
        <v>17.0</v>
      </c>
      <c r="C22" s="122" t="s">
        <v>136</v>
      </c>
      <c r="D22" s="124">
        <v>1.0</v>
      </c>
      <c r="E22" s="122" t="s">
        <v>137</v>
      </c>
      <c r="F22" s="138"/>
      <c r="G22" s="137" t="s">
        <v>91</v>
      </c>
      <c r="H22" s="139">
        <v>1.0</v>
      </c>
      <c r="I22" s="136" t="s">
        <v>132</v>
      </c>
      <c r="J22" s="136" t="s">
        <v>18</v>
      </c>
      <c r="K22" s="136" t="s">
        <v>18</v>
      </c>
      <c r="L22" s="107"/>
      <c r="M22" s="107"/>
      <c r="N22" s="107"/>
      <c r="O22" s="107"/>
      <c r="P22" s="107"/>
      <c r="Q22" s="107"/>
    </row>
    <row r="23" ht="15.75" customHeight="1">
      <c r="A23" s="107"/>
      <c r="B23" s="122">
        <v>18.0</v>
      </c>
      <c r="C23" s="122" t="s">
        <v>138</v>
      </c>
      <c r="D23" s="129">
        <v>5.0</v>
      </c>
      <c r="E23" s="122" t="s">
        <v>139</v>
      </c>
      <c r="F23" s="138"/>
      <c r="G23" s="137" t="s">
        <v>92</v>
      </c>
      <c r="H23" s="139">
        <v>3.0</v>
      </c>
      <c r="I23" s="136" t="s">
        <v>132</v>
      </c>
      <c r="J23" s="136" t="s">
        <v>132</v>
      </c>
      <c r="K23" s="136" t="s">
        <v>132</v>
      </c>
      <c r="L23" s="107"/>
      <c r="M23" s="107"/>
      <c r="N23" s="107"/>
      <c r="O23" s="107"/>
      <c r="P23" s="107"/>
      <c r="Q23" s="107"/>
    </row>
    <row r="24" ht="15.75" customHeight="1">
      <c r="A24" s="107"/>
      <c r="B24" s="122">
        <v>19.0</v>
      </c>
      <c r="C24" s="122" t="s">
        <v>140</v>
      </c>
      <c r="D24" s="140">
        <f>D7*D22*D23</f>
        <v>10</v>
      </c>
      <c r="E24" s="122" t="s">
        <v>139</v>
      </c>
      <c r="F24" s="119"/>
      <c r="G24" s="107"/>
      <c r="H24" s="107"/>
      <c r="I24" s="107"/>
      <c r="J24" s="107"/>
      <c r="K24" s="107"/>
      <c r="L24" s="107"/>
      <c r="M24" s="107"/>
      <c r="N24" s="107"/>
      <c r="O24" s="107"/>
      <c r="P24" s="107"/>
      <c r="Q24" s="107"/>
    </row>
    <row r="25" ht="15.75" customHeight="1">
      <c r="A25" s="107"/>
      <c r="B25" s="122">
        <v>20.0</v>
      </c>
      <c r="C25" s="122" t="s">
        <v>141</v>
      </c>
      <c r="D25" s="124">
        <f>D12+D20</f>
        <v>10.75</v>
      </c>
      <c r="E25" s="122" t="s">
        <v>118</v>
      </c>
      <c r="F25" s="119"/>
      <c r="G25" s="107"/>
      <c r="H25" s="107"/>
      <c r="I25" s="107"/>
      <c r="J25" s="141"/>
      <c r="K25" s="107"/>
      <c r="L25" s="107"/>
      <c r="M25" s="107"/>
      <c r="N25" s="107"/>
      <c r="O25" s="107"/>
      <c r="P25" s="107"/>
      <c r="Q25" s="107"/>
    </row>
    <row r="26" ht="15.75" customHeight="1">
      <c r="A26" s="107"/>
      <c r="B26" s="119"/>
      <c r="C26" s="107"/>
      <c r="D26" s="107"/>
      <c r="E26" s="107"/>
      <c r="F26" s="107"/>
      <c r="G26" s="107"/>
      <c r="H26" s="107"/>
      <c r="I26" s="141"/>
      <c r="J26" s="107"/>
      <c r="K26" s="107"/>
      <c r="L26" s="107"/>
      <c r="M26" s="141"/>
      <c r="N26" s="141"/>
      <c r="O26" s="141"/>
      <c r="P26" s="141"/>
      <c r="Q26" s="107"/>
    </row>
    <row r="27" ht="15.75" customHeight="1">
      <c r="A27" s="107"/>
      <c r="B27" s="107"/>
      <c r="C27" s="107"/>
      <c r="D27" s="107"/>
      <c r="E27" s="107"/>
      <c r="F27" s="107"/>
      <c r="G27" s="107"/>
      <c r="H27" s="107"/>
      <c r="I27" s="141"/>
      <c r="J27" s="142"/>
      <c r="K27" s="141"/>
      <c r="L27" s="141"/>
      <c r="M27" s="141"/>
      <c r="N27" s="141"/>
      <c r="O27" s="141"/>
      <c r="P27" s="107"/>
      <c r="Q27" s="107"/>
    </row>
    <row r="28" ht="15.75" customHeight="1">
      <c r="A28" s="107"/>
      <c r="B28" s="143" t="s">
        <v>142</v>
      </c>
      <c r="C28" s="144"/>
      <c r="D28" s="144"/>
      <c r="E28" s="107"/>
      <c r="F28" s="145"/>
      <c r="G28" s="143" t="s">
        <v>143</v>
      </c>
      <c r="H28" s="144"/>
      <c r="I28" s="144"/>
      <c r="J28" s="144"/>
      <c r="K28" s="144"/>
      <c r="L28" s="141"/>
      <c r="M28" s="141"/>
      <c r="N28" s="141"/>
      <c r="O28" s="141"/>
      <c r="P28" s="107"/>
      <c r="Q28" s="107"/>
    </row>
    <row r="29" ht="15.75" customHeight="1">
      <c r="A29" s="107"/>
      <c r="B29" s="146" t="s">
        <v>144</v>
      </c>
      <c r="C29" s="146" t="s">
        <v>145</v>
      </c>
      <c r="D29" s="147" t="s">
        <v>146</v>
      </c>
      <c r="E29" s="148"/>
      <c r="F29" s="149"/>
      <c r="G29" s="146" t="s">
        <v>144</v>
      </c>
      <c r="H29" s="150" t="s">
        <v>147</v>
      </c>
      <c r="I29" s="151" t="s">
        <v>148</v>
      </c>
      <c r="J29" s="151" t="s">
        <v>149</v>
      </c>
      <c r="K29" s="151" t="s">
        <v>150</v>
      </c>
      <c r="L29" s="141"/>
      <c r="M29" s="141"/>
      <c r="N29" s="141"/>
      <c r="O29" s="141"/>
      <c r="P29" s="107"/>
      <c r="Q29" s="107"/>
    </row>
    <row r="30" ht="15.75" customHeight="1">
      <c r="A30" s="107"/>
      <c r="B30" s="152" t="s">
        <v>38</v>
      </c>
      <c r="C30" s="153">
        <v>0.008</v>
      </c>
      <c r="D30" s="154">
        <f>C30*D14</f>
        <v>80</v>
      </c>
      <c r="E30" s="155"/>
      <c r="F30" s="156"/>
      <c r="G30" s="157" t="s">
        <v>38</v>
      </c>
      <c r="H30" s="154">
        <f t="shared" ref="H30:H34" si="1">$D30*$D$24/$D$23</f>
        <v>160</v>
      </c>
      <c r="I30" s="158">
        <f t="shared" ref="I30:I34" si="2">H30/($D$21*$D$22)</f>
        <v>20</v>
      </c>
      <c r="J30" s="158">
        <f t="shared" ref="J30:J34" si="3">H30*$H$37</f>
        <v>40000</v>
      </c>
      <c r="K30" s="158">
        <f t="shared" ref="K30:K34" si="4">J30/12</f>
        <v>3333.333333</v>
      </c>
      <c r="L30" s="141"/>
      <c r="M30" s="141"/>
      <c r="N30" s="141"/>
      <c r="O30" s="141"/>
      <c r="P30" s="107"/>
      <c r="Q30" s="107"/>
    </row>
    <row r="31" ht="15.75" customHeight="1">
      <c r="A31" s="107"/>
      <c r="B31" s="152" t="s">
        <v>42</v>
      </c>
      <c r="C31" s="153">
        <v>0.05</v>
      </c>
      <c r="D31" s="154">
        <f>C31*D14</f>
        <v>500</v>
      </c>
      <c r="E31" s="155"/>
      <c r="F31" s="159"/>
      <c r="G31" s="157" t="s">
        <v>42</v>
      </c>
      <c r="H31" s="154">
        <f t="shared" si="1"/>
        <v>1000</v>
      </c>
      <c r="I31" s="158">
        <f t="shared" si="2"/>
        <v>125</v>
      </c>
      <c r="J31" s="158">
        <f t="shared" si="3"/>
        <v>250000</v>
      </c>
      <c r="K31" s="158">
        <f t="shared" si="4"/>
        <v>20833.33333</v>
      </c>
      <c r="L31" s="141"/>
      <c r="M31" s="141"/>
      <c r="N31" s="141"/>
      <c r="O31" s="141"/>
      <c r="P31" s="141"/>
      <c r="Q31" s="107"/>
    </row>
    <row r="32" ht="15.75" customHeight="1">
      <c r="A32" s="107"/>
      <c r="B32" s="160" t="s">
        <v>151</v>
      </c>
      <c r="C32" s="161">
        <v>0.058</v>
      </c>
      <c r="D32" s="162">
        <f>C32*D14</f>
        <v>580</v>
      </c>
      <c r="E32" s="155"/>
      <c r="F32" s="108"/>
      <c r="G32" s="160" t="s">
        <v>151</v>
      </c>
      <c r="H32" s="163">
        <f t="shared" si="1"/>
        <v>1160</v>
      </c>
      <c r="I32" s="163">
        <f t="shared" si="2"/>
        <v>145</v>
      </c>
      <c r="J32" s="163">
        <f t="shared" si="3"/>
        <v>290000</v>
      </c>
      <c r="K32" s="163">
        <f t="shared" si="4"/>
        <v>24166.66667</v>
      </c>
      <c r="L32" s="142"/>
      <c r="M32" s="141"/>
      <c r="N32" s="141"/>
      <c r="O32" s="141"/>
      <c r="P32" s="141"/>
      <c r="Q32" s="141"/>
    </row>
    <row r="33" ht="15.75" customHeight="1">
      <c r="A33" s="107"/>
      <c r="B33" s="157" t="s">
        <v>43</v>
      </c>
      <c r="C33" s="153">
        <v>0.93</v>
      </c>
      <c r="D33" s="154">
        <f>C33*D14</f>
        <v>9300</v>
      </c>
      <c r="E33" s="155"/>
      <c r="F33" s="108"/>
      <c r="G33" s="157" t="s">
        <v>43</v>
      </c>
      <c r="H33" s="154">
        <f t="shared" si="1"/>
        <v>18600</v>
      </c>
      <c r="I33" s="158">
        <f t="shared" si="2"/>
        <v>2325</v>
      </c>
      <c r="J33" s="158">
        <f t="shared" si="3"/>
        <v>4650000</v>
      </c>
      <c r="K33" s="158">
        <f t="shared" si="4"/>
        <v>387500</v>
      </c>
      <c r="L33" s="142"/>
      <c r="M33" s="141"/>
      <c r="N33" s="141"/>
      <c r="O33" s="141"/>
      <c r="P33" s="141"/>
      <c r="Q33" s="141"/>
    </row>
    <row r="34" ht="16.5" customHeight="1">
      <c r="A34" s="107"/>
      <c r="B34" s="160" t="s">
        <v>152</v>
      </c>
      <c r="C34" s="164">
        <f>100%-C33-C30-C31</f>
        <v>0.012</v>
      </c>
      <c r="D34" s="162">
        <f>C34*D14</f>
        <v>120</v>
      </c>
      <c r="E34" s="155"/>
      <c r="F34" s="108"/>
      <c r="G34" s="160" t="s">
        <v>152</v>
      </c>
      <c r="H34" s="163">
        <f t="shared" si="1"/>
        <v>240</v>
      </c>
      <c r="I34" s="163">
        <f t="shared" si="2"/>
        <v>30</v>
      </c>
      <c r="J34" s="163">
        <f t="shared" si="3"/>
        <v>60000</v>
      </c>
      <c r="K34" s="163">
        <f t="shared" si="4"/>
        <v>5000</v>
      </c>
      <c r="L34" s="142"/>
      <c r="M34" s="141"/>
      <c r="N34" s="141"/>
      <c r="O34" s="141"/>
      <c r="P34" s="141"/>
      <c r="Q34" s="141"/>
    </row>
    <row r="35" ht="15.75" customHeight="1">
      <c r="A35" s="107"/>
      <c r="E35" s="165"/>
      <c r="F35" s="107"/>
      <c r="G35" s="166" t="s">
        <v>153</v>
      </c>
      <c r="H35" s="107"/>
      <c r="I35" s="107"/>
      <c r="J35" s="107"/>
      <c r="K35" s="167"/>
      <c r="L35" s="167"/>
      <c r="M35" s="107"/>
      <c r="N35" s="107"/>
      <c r="O35" s="141"/>
      <c r="P35" s="141"/>
      <c r="Q35" s="141"/>
    </row>
    <row r="36" ht="15.75" customHeight="1">
      <c r="A36" s="107"/>
      <c r="B36" s="166" t="s">
        <v>154</v>
      </c>
      <c r="E36" s="165"/>
      <c r="F36" s="107"/>
      <c r="G36" s="166" t="s">
        <v>155</v>
      </c>
      <c r="I36" s="107"/>
      <c r="J36" s="107"/>
      <c r="K36" s="167"/>
      <c r="L36" s="107"/>
      <c r="M36" s="107"/>
      <c r="N36" s="107"/>
      <c r="O36" s="141"/>
      <c r="P36" s="141"/>
      <c r="Q36" s="107"/>
    </row>
    <row r="37" ht="15.75" customHeight="1">
      <c r="A37" s="107"/>
      <c r="E37" s="165"/>
      <c r="F37" s="107"/>
      <c r="G37" s="166" t="s">
        <v>156</v>
      </c>
      <c r="H37" s="168">
        <v>250.0</v>
      </c>
      <c r="I37" s="107"/>
      <c r="J37" s="107"/>
      <c r="K37" s="167"/>
      <c r="L37" s="107"/>
      <c r="M37" s="107"/>
      <c r="N37" s="107"/>
      <c r="O37" s="107"/>
      <c r="P37" s="107"/>
      <c r="Q37" s="107"/>
    </row>
    <row r="38" ht="15.75" customHeight="1">
      <c r="A38" s="107"/>
      <c r="E38" s="107"/>
      <c r="F38" s="107"/>
      <c r="G38" s="169" t="s">
        <v>157</v>
      </c>
      <c r="H38" s="107"/>
      <c r="I38" s="107"/>
      <c r="J38" s="107"/>
      <c r="K38" s="107"/>
      <c r="L38" s="107"/>
      <c r="M38" s="107"/>
      <c r="N38" s="107"/>
      <c r="O38" s="107"/>
      <c r="P38" s="107"/>
      <c r="Q38" s="107"/>
    </row>
    <row r="39" ht="15.75" customHeight="1">
      <c r="A39" s="107"/>
      <c r="E39" s="37"/>
      <c r="F39" s="107"/>
      <c r="G39" s="170" t="s">
        <v>158</v>
      </c>
      <c r="H39" s="107"/>
      <c r="I39" s="107"/>
      <c r="J39" s="107"/>
      <c r="K39" s="107"/>
      <c r="L39" s="107"/>
      <c r="M39" s="107"/>
      <c r="N39" s="107"/>
      <c r="O39" s="107"/>
      <c r="P39" s="107"/>
      <c r="Q39" s="107"/>
    </row>
    <row r="40" ht="15.75" customHeight="1">
      <c r="A40" s="107"/>
      <c r="B40" s="107"/>
      <c r="C40" s="107"/>
      <c r="D40" s="107"/>
      <c r="E40" s="37"/>
      <c r="F40" s="107"/>
      <c r="G40" s="107"/>
      <c r="H40" s="107"/>
      <c r="I40" s="107"/>
      <c r="J40" s="107"/>
      <c r="K40" s="107"/>
      <c r="L40" s="107"/>
      <c r="M40" s="107"/>
      <c r="N40" s="107"/>
      <c r="O40" s="107"/>
      <c r="P40" s="107"/>
      <c r="Q40" s="107"/>
    </row>
    <row r="41" ht="15.75" customHeight="1">
      <c r="A41" s="107"/>
      <c r="B41" s="107"/>
      <c r="C41" s="107"/>
      <c r="D41" s="107"/>
      <c r="E41" s="37"/>
      <c r="F41" s="107"/>
      <c r="G41" s="107"/>
      <c r="H41" s="107"/>
      <c r="I41" s="107"/>
      <c r="J41" s="107"/>
      <c r="K41" s="107"/>
      <c r="L41" s="107"/>
      <c r="M41" s="107"/>
      <c r="N41" s="107"/>
      <c r="O41" s="107"/>
      <c r="P41" s="107"/>
      <c r="Q41" s="107"/>
    </row>
    <row r="42" ht="15.75" customHeight="1">
      <c r="A42" s="107"/>
      <c r="B42" s="107"/>
      <c r="C42" s="107"/>
      <c r="D42" s="107"/>
      <c r="E42" s="37"/>
      <c r="F42" s="107"/>
      <c r="G42" s="107"/>
      <c r="H42" s="107"/>
      <c r="I42" s="107"/>
      <c r="J42" s="107"/>
      <c r="K42" s="107"/>
      <c r="L42" s="107"/>
      <c r="M42" s="107"/>
      <c r="N42" s="107"/>
      <c r="O42" s="107"/>
      <c r="P42" s="107"/>
      <c r="Q42" s="107"/>
    </row>
    <row r="43" ht="15.75" customHeight="1">
      <c r="A43" s="107"/>
      <c r="B43" s="107"/>
      <c r="C43" s="107"/>
      <c r="D43" s="107"/>
      <c r="E43" s="37"/>
      <c r="F43" s="107"/>
      <c r="G43" s="107"/>
      <c r="H43" s="107"/>
      <c r="I43" s="107"/>
      <c r="J43" s="107"/>
      <c r="K43" s="107"/>
      <c r="L43" s="107"/>
      <c r="M43" s="107"/>
      <c r="N43" s="107"/>
      <c r="O43" s="107"/>
      <c r="P43" s="107"/>
      <c r="Q43" s="107"/>
    </row>
    <row r="44" ht="15.75" customHeight="1">
      <c r="A44" s="107"/>
      <c r="B44" s="107"/>
      <c r="C44" s="107"/>
      <c r="D44" s="107"/>
      <c r="E44" s="107"/>
      <c r="F44" s="107"/>
      <c r="G44" s="107"/>
      <c r="H44" s="107"/>
      <c r="I44" s="107"/>
      <c r="J44" s="107"/>
      <c r="K44" s="107"/>
      <c r="L44" s="107"/>
      <c r="M44" s="107"/>
      <c r="N44" s="107"/>
      <c r="O44" s="107"/>
      <c r="P44" s="107"/>
      <c r="Q44" s="107"/>
    </row>
    <row r="45" ht="15.75" customHeight="1">
      <c r="A45" s="107"/>
      <c r="B45" s="107"/>
      <c r="C45" s="107"/>
      <c r="D45" s="107"/>
      <c r="E45" s="107"/>
      <c r="F45" s="107"/>
      <c r="G45" s="107"/>
      <c r="H45" s="107"/>
      <c r="I45" s="107"/>
      <c r="J45" s="107"/>
      <c r="K45" s="107"/>
      <c r="L45" s="107"/>
      <c r="M45" s="107"/>
      <c r="N45" s="107"/>
      <c r="O45" s="107"/>
      <c r="P45" s="107"/>
      <c r="Q45" s="107"/>
    </row>
    <row r="46" ht="15.75" customHeight="1">
      <c r="A46" s="107"/>
      <c r="B46" s="107"/>
      <c r="C46" s="107"/>
      <c r="D46" s="107"/>
      <c r="E46" s="107"/>
      <c r="F46" s="107"/>
      <c r="G46" s="107"/>
      <c r="H46" s="107"/>
      <c r="I46" s="107"/>
      <c r="J46" s="107"/>
      <c r="K46" s="107"/>
      <c r="L46" s="107"/>
      <c r="M46" s="107"/>
      <c r="N46" s="107"/>
      <c r="O46" s="107"/>
      <c r="P46" s="107"/>
      <c r="Q46" s="107"/>
    </row>
    <row r="47" ht="15.75" customHeight="1">
      <c r="A47" s="107"/>
      <c r="B47" s="107"/>
      <c r="C47" s="107"/>
      <c r="D47" s="107"/>
      <c r="E47" s="107"/>
      <c r="F47" s="107"/>
      <c r="G47" s="107"/>
      <c r="H47" s="107"/>
      <c r="I47" s="107"/>
      <c r="J47" s="107"/>
      <c r="K47" s="107"/>
      <c r="L47" s="107"/>
      <c r="M47" s="107"/>
      <c r="N47" s="107"/>
      <c r="O47" s="107"/>
      <c r="P47" s="107"/>
      <c r="Q47" s="107"/>
    </row>
    <row r="48" ht="15.75" customHeight="1">
      <c r="A48" s="107"/>
      <c r="B48" s="107"/>
      <c r="C48" s="107"/>
      <c r="D48" s="107"/>
      <c r="E48" s="107"/>
      <c r="F48" s="107"/>
      <c r="G48" s="107"/>
      <c r="H48" s="107"/>
      <c r="I48" s="107"/>
      <c r="J48" s="107"/>
      <c r="K48" s="107"/>
      <c r="L48" s="107"/>
      <c r="M48" s="107"/>
      <c r="N48" s="107"/>
      <c r="O48" s="107"/>
      <c r="P48" s="107"/>
      <c r="Q48" s="107"/>
    </row>
    <row r="49" ht="15.75" customHeight="1">
      <c r="A49" s="107"/>
      <c r="B49" s="107"/>
      <c r="C49" s="107"/>
      <c r="D49" s="107"/>
      <c r="E49" s="107"/>
      <c r="F49" s="107"/>
      <c r="G49" s="107"/>
      <c r="H49" s="107"/>
      <c r="I49" s="107"/>
      <c r="J49" s="107"/>
      <c r="K49" s="107"/>
      <c r="L49" s="107"/>
      <c r="M49" s="107"/>
      <c r="N49" s="107"/>
      <c r="O49" s="107"/>
      <c r="P49" s="107"/>
      <c r="Q49" s="107"/>
    </row>
    <row r="50" ht="15.75" customHeight="1">
      <c r="A50" s="107"/>
      <c r="B50" s="107"/>
      <c r="C50" s="107"/>
      <c r="D50" s="107"/>
      <c r="E50" s="107"/>
      <c r="F50" s="107"/>
      <c r="G50" s="107"/>
      <c r="H50" s="107"/>
      <c r="I50" s="107"/>
      <c r="J50" s="107"/>
      <c r="K50" s="107"/>
      <c r="L50" s="107"/>
      <c r="M50" s="107"/>
      <c r="N50" s="107"/>
      <c r="O50" s="107"/>
      <c r="P50" s="107"/>
      <c r="Q50" s="107"/>
    </row>
    <row r="51" ht="15.75" customHeight="1">
      <c r="A51" s="107"/>
      <c r="B51" s="107"/>
      <c r="C51" s="107"/>
      <c r="D51" s="107"/>
      <c r="E51" s="107"/>
      <c r="F51" s="107"/>
      <c r="G51" s="107"/>
      <c r="H51" s="107"/>
      <c r="I51" s="107"/>
      <c r="J51" s="107"/>
      <c r="K51" s="107"/>
      <c r="L51" s="107"/>
      <c r="M51" s="107"/>
      <c r="N51" s="107"/>
      <c r="O51" s="107"/>
      <c r="P51" s="107"/>
      <c r="Q51" s="107"/>
    </row>
    <row r="52" ht="15.75" customHeight="1">
      <c r="A52" s="107"/>
      <c r="B52" s="107"/>
      <c r="C52" s="107"/>
      <c r="D52" s="107"/>
      <c r="E52" s="107"/>
      <c r="F52" s="107"/>
      <c r="G52" s="107"/>
      <c r="H52" s="107"/>
      <c r="I52" s="107"/>
      <c r="J52" s="107"/>
      <c r="K52" s="107"/>
      <c r="L52" s="107"/>
      <c r="M52" s="107"/>
      <c r="N52" s="107"/>
      <c r="O52" s="107"/>
      <c r="P52" s="107"/>
      <c r="Q52" s="107"/>
    </row>
    <row r="53" ht="15.75" customHeight="1">
      <c r="A53" s="107"/>
      <c r="B53" s="107"/>
      <c r="C53" s="107"/>
      <c r="D53" s="107"/>
      <c r="E53" s="107"/>
      <c r="F53" s="107"/>
      <c r="G53" s="107"/>
      <c r="H53" s="107"/>
      <c r="I53" s="107"/>
      <c r="J53" s="107"/>
      <c r="K53" s="107"/>
      <c r="L53" s="107"/>
      <c r="M53" s="107"/>
      <c r="N53" s="107"/>
      <c r="O53" s="107"/>
      <c r="P53" s="107"/>
      <c r="Q53" s="107"/>
    </row>
    <row r="54" ht="15.75" customHeight="1">
      <c r="A54" s="107"/>
      <c r="B54" s="107"/>
      <c r="C54" s="107"/>
      <c r="D54" s="107"/>
      <c r="E54" s="107"/>
      <c r="F54" s="107"/>
      <c r="G54" s="107"/>
      <c r="H54" s="107"/>
      <c r="I54" s="107"/>
      <c r="J54" s="107"/>
      <c r="K54" s="107"/>
      <c r="L54" s="107"/>
      <c r="M54" s="107"/>
      <c r="N54" s="107"/>
      <c r="O54" s="107"/>
      <c r="P54" s="107"/>
      <c r="Q54" s="107"/>
    </row>
    <row r="55" ht="15.75" customHeight="1">
      <c r="A55" s="107"/>
      <c r="B55" s="107"/>
      <c r="C55" s="107"/>
      <c r="D55" s="107"/>
      <c r="E55" s="107"/>
      <c r="F55" s="107"/>
      <c r="G55" s="107"/>
      <c r="H55" s="107"/>
      <c r="I55" s="107"/>
      <c r="J55" s="107"/>
      <c r="K55" s="142"/>
      <c r="L55" s="107"/>
      <c r="M55" s="107"/>
      <c r="N55" s="107"/>
      <c r="O55" s="107"/>
      <c r="P55" s="107"/>
      <c r="Q55" s="107"/>
    </row>
    <row r="56" ht="15.75" customHeight="1">
      <c r="A56" s="107"/>
      <c r="B56" s="107"/>
      <c r="C56" s="107"/>
      <c r="D56" s="107"/>
      <c r="E56" s="107"/>
      <c r="F56" s="107"/>
      <c r="G56" s="107"/>
      <c r="H56" s="107"/>
      <c r="I56" s="107"/>
      <c r="J56" s="107"/>
      <c r="K56" s="142"/>
      <c r="L56" s="107"/>
      <c r="M56" s="107"/>
      <c r="N56" s="107"/>
      <c r="O56" s="107"/>
      <c r="P56" s="107"/>
      <c r="Q56" s="107"/>
    </row>
    <row r="57" ht="15.75" customHeight="1">
      <c r="A57" s="107"/>
      <c r="B57" s="107"/>
      <c r="C57" s="107"/>
      <c r="D57" s="107"/>
      <c r="E57" s="107"/>
      <c r="F57" s="107"/>
      <c r="G57" s="107"/>
      <c r="H57" s="107"/>
      <c r="I57" s="107"/>
      <c r="J57" s="107"/>
      <c r="K57" s="142"/>
      <c r="L57" s="107"/>
      <c r="M57" s="107"/>
      <c r="N57" s="107"/>
      <c r="O57" s="107"/>
      <c r="P57" s="107"/>
      <c r="Q57" s="107"/>
    </row>
    <row r="58" ht="15.75" customHeight="1">
      <c r="A58" s="107"/>
      <c r="B58" s="107"/>
      <c r="C58" s="107"/>
      <c r="D58" s="107"/>
      <c r="E58" s="107"/>
      <c r="F58" s="107"/>
      <c r="G58" s="107"/>
      <c r="H58" s="107"/>
      <c r="I58" s="107"/>
      <c r="J58" s="107"/>
      <c r="K58" s="142"/>
      <c r="L58" s="107"/>
      <c r="M58" s="107"/>
      <c r="N58" s="107"/>
      <c r="O58" s="107"/>
      <c r="P58" s="107"/>
      <c r="Q58" s="107"/>
    </row>
    <row r="59" ht="15.75" customHeight="1">
      <c r="A59" s="107"/>
      <c r="B59" s="107"/>
      <c r="C59" s="107"/>
      <c r="D59" s="107"/>
      <c r="E59" s="107"/>
      <c r="F59" s="107"/>
      <c r="G59" s="107"/>
      <c r="H59" s="107"/>
      <c r="I59" s="107"/>
      <c r="J59" s="107"/>
      <c r="K59" s="142"/>
      <c r="L59" s="107"/>
      <c r="M59" s="107"/>
      <c r="N59" s="107"/>
      <c r="O59" s="107"/>
      <c r="P59" s="107"/>
      <c r="Q59" s="107"/>
    </row>
    <row r="60" ht="15.75" customHeight="1">
      <c r="A60" s="107"/>
      <c r="B60" s="107"/>
      <c r="C60" s="107"/>
      <c r="D60" s="107"/>
      <c r="E60" s="107"/>
      <c r="F60" s="107"/>
      <c r="G60" s="107"/>
      <c r="H60" s="107"/>
      <c r="I60" s="107"/>
      <c r="J60" s="107"/>
      <c r="K60" s="142"/>
      <c r="L60" s="107"/>
      <c r="M60" s="107"/>
      <c r="N60" s="107"/>
      <c r="O60" s="107"/>
      <c r="P60" s="107"/>
      <c r="Q60" s="107"/>
    </row>
    <row r="61" ht="15.75" customHeight="1">
      <c r="A61" s="107"/>
      <c r="B61" s="107"/>
      <c r="C61" s="107"/>
      <c r="D61" s="107"/>
      <c r="E61" s="107"/>
      <c r="F61" s="107"/>
      <c r="G61" s="107"/>
      <c r="H61" s="107"/>
      <c r="I61" s="107"/>
      <c r="J61" s="107"/>
      <c r="K61" s="142"/>
      <c r="L61" s="107"/>
      <c r="M61" s="107"/>
      <c r="N61" s="107"/>
      <c r="O61" s="107"/>
      <c r="P61" s="107"/>
      <c r="Q61" s="107"/>
    </row>
    <row r="62" ht="15.75" customHeight="1">
      <c r="A62" s="107"/>
      <c r="B62" s="107"/>
      <c r="C62" s="107"/>
      <c r="D62" s="107"/>
      <c r="E62" s="107"/>
      <c r="F62" s="107"/>
      <c r="G62" s="107"/>
      <c r="H62" s="107"/>
      <c r="I62" s="107"/>
      <c r="J62" s="107"/>
      <c r="K62" s="142"/>
      <c r="L62" s="107"/>
      <c r="M62" s="107"/>
      <c r="N62" s="107"/>
      <c r="O62" s="107"/>
      <c r="P62" s="107"/>
      <c r="Q62" s="107"/>
    </row>
    <row r="63" ht="15.75" customHeight="1">
      <c r="A63" s="107"/>
      <c r="B63" s="107"/>
      <c r="C63" s="107"/>
      <c r="D63" s="107"/>
      <c r="E63" s="107"/>
      <c r="F63" s="107"/>
      <c r="G63" s="107"/>
      <c r="H63" s="107"/>
      <c r="I63" s="107"/>
      <c r="J63" s="107"/>
      <c r="K63" s="142"/>
      <c r="L63" s="107"/>
      <c r="M63" s="107"/>
      <c r="N63" s="107"/>
      <c r="O63" s="107"/>
      <c r="P63" s="107"/>
      <c r="Q63" s="107"/>
    </row>
    <row r="64" ht="15.75" customHeight="1">
      <c r="A64" s="107"/>
      <c r="B64" s="107"/>
      <c r="C64" s="107"/>
      <c r="D64" s="107"/>
      <c r="E64" s="107"/>
      <c r="F64" s="107"/>
      <c r="G64" s="107"/>
      <c r="H64" s="107"/>
      <c r="I64" s="107"/>
      <c r="J64" s="107"/>
      <c r="K64" s="142"/>
      <c r="L64" s="107"/>
      <c r="M64" s="107"/>
      <c r="N64" s="107"/>
      <c r="O64" s="107"/>
      <c r="P64" s="107"/>
      <c r="Q64" s="107"/>
    </row>
    <row r="65" ht="15.75" customHeight="1">
      <c r="A65" s="107"/>
      <c r="B65" s="107"/>
      <c r="C65" s="107"/>
      <c r="D65" s="107"/>
      <c r="E65" s="107"/>
      <c r="F65" s="107"/>
      <c r="G65" s="107"/>
      <c r="H65" s="107"/>
      <c r="I65" s="107"/>
      <c r="J65" s="107"/>
      <c r="K65" s="142"/>
      <c r="L65" s="107"/>
      <c r="M65" s="107"/>
      <c r="N65" s="107"/>
      <c r="O65" s="107"/>
      <c r="P65" s="107"/>
      <c r="Q65" s="107"/>
    </row>
    <row r="66" ht="15.75" customHeight="1">
      <c r="A66" s="107"/>
      <c r="B66" s="107"/>
      <c r="C66" s="107"/>
      <c r="D66" s="107"/>
      <c r="E66" s="107"/>
      <c r="F66" s="107"/>
      <c r="G66" s="107"/>
      <c r="H66" s="107"/>
      <c r="I66" s="107"/>
      <c r="J66" s="107"/>
      <c r="K66" s="142"/>
      <c r="L66" s="107"/>
      <c r="M66" s="107"/>
      <c r="N66" s="107"/>
      <c r="O66" s="107"/>
      <c r="P66" s="107"/>
      <c r="Q66" s="107"/>
    </row>
    <row r="67" ht="15.75" customHeight="1">
      <c r="A67" s="107"/>
      <c r="B67" s="107"/>
      <c r="C67" s="107"/>
      <c r="D67" s="107"/>
      <c r="E67" s="107"/>
      <c r="F67" s="107"/>
      <c r="G67" s="107"/>
      <c r="H67" s="107"/>
      <c r="I67" s="107"/>
      <c r="J67" s="107"/>
      <c r="K67" s="142"/>
      <c r="L67" s="107"/>
      <c r="M67" s="107"/>
      <c r="N67" s="107"/>
      <c r="O67" s="107"/>
      <c r="P67" s="107"/>
      <c r="Q67" s="107"/>
    </row>
    <row r="68" ht="15.75" customHeight="1">
      <c r="A68" s="107"/>
      <c r="B68" s="107"/>
      <c r="C68" s="107"/>
      <c r="D68" s="107"/>
      <c r="E68" s="107"/>
      <c r="F68" s="107"/>
      <c r="G68" s="107"/>
      <c r="H68" s="107"/>
      <c r="I68" s="107"/>
      <c r="J68" s="107"/>
      <c r="K68" s="142"/>
      <c r="L68" s="107"/>
      <c r="M68" s="107"/>
      <c r="N68" s="107"/>
      <c r="O68" s="107"/>
      <c r="P68" s="107"/>
      <c r="Q68" s="107"/>
    </row>
    <row r="69" ht="15.75" customHeight="1">
      <c r="A69" s="107"/>
      <c r="B69" s="107"/>
      <c r="C69" s="107"/>
      <c r="D69" s="107"/>
      <c r="E69" s="107"/>
      <c r="F69" s="107"/>
      <c r="G69" s="107"/>
      <c r="H69" s="107"/>
      <c r="I69" s="107"/>
      <c r="J69" s="107"/>
      <c r="K69" s="142"/>
      <c r="L69" s="107"/>
      <c r="M69" s="107"/>
      <c r="N69" s="107"/>
      <c r="O69" s="107"/>
      <c r="P69" s="107"/>
      <c r="Q69" s="107"/>
    </row>
    <row r="70" ht="15.75" customHeight="1">
      <c r="A70" s="107"/>
      <c r="B70" s="107"/>
      <c r="C70" s="107"/>
      <c r="D70" s="107"/>
      <c r="E70" s="107"/>
      <c r="F70" s="107"/>
      <c r="G70" s="107"/>
      <c r="H70" s="107"/>
      <c r="I70" s="107"/>
      <c r="J70" s="107"/>
      <c r="K70" s="142"/>
      <c r="L70" s="107"/>
      <c r="M70" s="107"/>
      <c r="N70" s="107"/>
      <c r="O70" s="107"/>
      <c r="P70" s="107"/>
      <c r="Q70" s="107"/>
    </row>
    <row r="71" ht="15.75" customHeight="1">
      <c r="A71" s="107"/>
      <c r="B71" s="107"/>
      <c r="C71" s="107"/>
      <c r="D71" s="107"/>
      <c r="E71" s="107"/>
      <c r="F71" s="107"/>
      <c r="G71" s="107"/>
      <c r="H71" s="107"/>
      <c r="I71" s="107"/>
      <c r="J71" s="107"/>
      <c r="K71" s="142"/>
      <c r="L71" s="107"/>
      <c r="M71" s="107"/>
      <c r="N71" s="107"/>
      <c r="O71" s="107"/>
      <c r="P71" s="107"/>
      <c r="Q71" s="107"/>
    </row>
    <row r="72" ht="15.75" customHeight="1">
      <c r="A72" s="107"/>
      <c r="B72" s="107"/>
      <c r="C72" s="107"/>
      <c r="D72" s="107"/>
      <c r="E72" s="107"/>
      <c r="F72" s="107"/>
      <c r="G72" s="107"/>
      <c r="H72" s="107"/>
      <c r="I72" s="107"/>
      <c r="J72" s="107"/>
      <c r="K72" s="142"/>
      <c r="L72" s="107"/>
      <c r="M72" s="107"/>
      <c r="N72" s="107"/>
      <c r="O72" s="107"/>
      <c r="P72" s="107"/>
      <c r="Q72" s="107"/>
    </row>
    <row r="73" ht="15.75" customHeight="1">
      <c r="A73" s="107"/>
      <c r="B73" s="107"/>
      <c r="C73" s="107"/>
      <c r="D73" s="107"/>
      <c r="E73" s="107"/>
      <c r="F73" s="107"/>
      <c r="G73" s="107"/>
      <c r="H73" s="107"/>
      <c r="I73" s="107"/>
      <c r="J73" s="107"/>
      <c r="K73" s="142"/>
      <c r="L73" s="107"/>
      <c r="M73" s="107"/>
      <c r="N73" s="107"/>
      <c r="O73" s="107"/>
      <c r="P73" s="107"/>
      <c r="Q73" s="107"/>
    </row>
    <row r="74" ht="15.75" customHeight="1">
      <c r="A74" s="107"/>
      <c r="B74" s="107"/>
      <c r="C74" s="107"/>
      <c r="D74" s="107"/>
      <c r="E74" s="107"/>
      <c r="F74" s="107"/>
      <c r="G74" s="107"/>
      <c r="H74" s="107"/>
      <c r="I74" s="107"/>
      <c r="J74" s="107"/>
      <c r="K74" s="142"/>
      <c r="L74" s="107"/>
      <c r="M74" s="107"/>
      <c r="N74" s="107"/>
      <c r="O74" s="107"/>
      <c r="P74" s="107"/>
      <c r="Q74" s="107"/>
    </row>
    <row r="75" ht="15.75" customHeight="1">
      <c r="A75" s="107"/>
      <c r="B75" s="107"/>
      <c r="C75" s="107"/>
      <c r="D75" s="107"/>
      <c r="E75" s="107"/>
      <c r="F75" s="107"/>
      <c r="G75" s="107"/>
      <c r="H75" s="107"/>
      <c r="I75" s="107"/>
      <c r="J75" s="107"/>
      <c r="K75" s="142"/>
      <c r="L75" s="107"/>
      <c r="M75" s="107"/>
      <c r="N75" s="107"/>
      <c r="O75" s="107"/>
      <c r="P75" s="107"/>
      <c r="Q75" s="107"/>
    </row>
    <row r="76" ht="15.75" customHeight="1">
      <c r="A76" s="107"/>
      <c r="B76" s="107"/>
      <c r="C76" s="107"/>
      <c r="D76" s="107"/>
      <c r="E76" s="107"/>
      <c r="F76" s="107"/>
      <c r="G76" s="107"/>
      <c r="H76" s="107"/>
      <c r="I76" s="107"/>
      <c r="J76" s="107"/>
      <c r="K76" s="142"/>
      <c r="L76" s="107"/>
      <c r="M76" s="107"/>
      <c r="N76" s="107"/>
      <c r="O76" s="107"/>
      <c r="P76" s="107"/>
      <c r="Q76" s="107"/>
    </row>
    <row r="77" ht="15.75" customHeight="1">
      <c r="A77" s="107"/>
      <c r="B77" s="107"/>
      <c r="C77" s="107"/>
      <c r="D77" s="107"/>
      <c r="E77" s="107"/>
      <c r="F77" s="107"/>
      <c r="G77" s="107"/>
      <c r="H77" s="107"/>
      <c r="I77" s="107"/>
      <c r="J77" s="107"/>
      <c r="K77" s="142"/>
      <c r="L77" s="107"/>
      <c r="M77" s="107"/>
      <c r="N77" s="107"/>
      <c r="O77" s="107"/>
      <c r="P77" s="107"/>
      <c r="Q77" s="107"/>
    </row>
    <row r="78" ht="15.75" customHeight="1">
      <c r="A78" s="107"/>
      <c r="B78" s="107"/>
      <c r="C78" s="107"/>
      <c r="D78" s="107"/>
      <c r="E78" s="107"/>
      <c r="F78" s="107"/>
      <c r="G78" s="107"/>
      <c r="H78" s="107"/>
      <c r="I78" s="107"/>
      <c r="J78" s="107"/>
      <c r="K78" s="142"/>
      <c r="L78" s="107"/>
      <c r="M78" s="107"/>
      <c r="N78" s="107"/>
      <c r="O78" s="107"/>
      <c r="P78" s="107"/>
      <c r="Q78" s="107"/>
    </row>
    <row r="79" ht="15.75" customHeight="1">
      <c r="A79" s="107"/>
      <c r="B79" s="107"/>
      <c r="C79" s="107"/>
      <c r="D79" s="107"/>
      <c r="E79" s="107"/>
      <c r="F79" s="107"/>
      <c r="G79" s="107"/>
      <c r="H79" s="107"/>
      <c r="I79" s="107"/>
      <c r="J79" s="107"/>
      <c r="K79" s="142"/>
      <c r="L79" s="107"/>
      <c r="M79" s="107"/>
      <c r="N79" s="107"/>
      <c r="O79" s="107"/>
      <c r="P79" s="107"/>
      <c r="Q79" s="107"/>
    </row>
    <row r="80" ht="15.75" customHeight="1">
      <c r="A80" s="107"/>
      <c r="B80" s="107"/>
      <c r="C80" s="107"/>
      <c r="D80" s="107"/>
      <c r="E80" s="107"/>
      <c r="F80" s="107"/>
      <c r="G80" s="107"/>
      <c r="H80" s="107"/>
      <c r="I80" s="107"/>
      <c r="J80" s="107"/>
      <c r="K80" s="142"/>
      <c r="L80" s="107"/>
      <c r="M80" s="107"/>
      <c r="N80" s="107"/>
      <c r="O80" s="107"/>
      <c r="P80" s="107"/>
      <c r="Q80" s="107"/>
    </row>
    <row r="81" ht="15.75" customHeight="1">
      <c r="A81" s="107"/>
      <c r="B81" s="107"/>
      <c r="C81" s="107"/>
      <c r="D81" s="107"/>
      <c r="E81" s="107"/>
      <c r="F81" s="107"/>
      <c r="G81" s="107"/>
      <c r="H81" s="107"/>
      <c r="I81" s="107"/>
      <c r="J81" s="107"/>
      <c r="K81" s="142"/>
      <c r="L81" s="107"/>
      <c r="M81" s="107"/>
      <c r="N81" s="107"/>
      <c r="O81" s="107"/>
      <c r="P81" s="107"/>
      <c r="Q81" s="107"/>
    </row>
    <row r="82" ht="15.75" customHeight="1">
      <c r="A82" s="107"/>
      <c r="B82" s="107"/>
      <c r="C82" s="107"/>
      <c r="D82" s="107"/>
      <c r="E82" s="107"/>
      <c r="F82" s="107"/>
      <c r="G82" s="107"/>
      <c r="H82" s="107"/>
      <c r="I82" s="107"/>
      <c r="J82" s="107"/>
      <c r="K82" s="142"/>
      <c r="L82" s="107"/>
      <c r="M82" s="107"/>
      <c r="N82" s="107"/>
      <c r="O82" s="107"/>
      <c r="P82" s="107"/>
      <c r="Q82" s="107"/>
    </row>
    <row r="83" ht="15.75" customHeight="1">
      <c r="A83" s="107"/>
      <c r="B83" s="107"/>
      <c r="C83" s="107"/>
      <c r="D83" s="107"/>
      <c r="E83" s="107"/>
      <c r="F83" s="107"/>
      <c r="G83" s="107"/>
      <c r="H83" s="107"/>
      <c r="I83" s="107"/>
      <c r="J83" s="107"/>
      <c r="K83" s="142"/>
      <c r="L83" s="107"/>
      <c r="M83" s="107"/>
      <c r="N83" s="107"/>
      <c r="O83" s="107"/>
      <c r="P83" s="107"/>
      <c r="Q83" s="107"/>
    </row>
    <row r="84" ht="15.75" customHeight="1">
      <c r="A84" s="107"/>
      <c r="B84" s="107"/>
      <c r="C84" s="107"/>
      <c r="D84" s="107"/>
      <c r="E84" s="107"/>
      <c r="F84" s="107"/>
      <c r="G84" s="107"/>
      <c r="H84" s="107"/>
      <c r="I84" s="107"/>
      <c r="J84" s="107"/>
      <c r="K84" s="142"/>
      <c r="L84" s="107"/>
      <c r="M84" s="107"/>
      <c r="N84" s="107"/>
      <c r="O84" s="107"/>
      <c r="P84" s="107"/>
      <c r="Q84" s="107"/>
    </row>
    <row r="85" ht="15.75" customHeight="1">
      <c r="A85" s="107"/>
      <c r="B85" s="107"/>
      <c r="C85" s="107"/>
      <c r="D85" s="107"/>
      <c r="E85" s="107"/>
      <c r="F85" s="107"/>
      <c r="G85" s="107"/>
      <c r="H85" s="107"/>
      <c r="I85" s="107"/>
      <c r="J85" s="107"/>
      <c r="K85" s="142"/>
      <c r="L85" s="107"/>
      <c r="M85" s="107"/>
      <c r="N85" s="107"/>
      <c r="O85" s="107"/>
      <c r="P85" s="107"/>
      <c r="Q85" s="107"/>
    </row>
    <row r="86" ht="15.75" customHeight="1">
      <c r="A86" s="107"/>
      <c r="B86" s="107"/>
      <c r="C86" s="107"/>
      <c r="D86" s="107"/>
      <c r="E86" s="107"/>
      <c r="F86" s="107"/>
      <c r="G86" s="107"/>
      <c r="H86" s="107"/>
      <c r="I86" s="107"/>
      <c r="J86" s="107"/>
      <c r="K86" s="142"/>
      <c r="L86" s="107"/>
      <c r="M86" s="107"/>
      <c r="N86" s="107"/>
      <c r="O86" s="107"/>
      <c r="P86" s="107"/>
      <c r="Q86" s="107"/>
    </row>
    <row r="87" ht="15.75" customHeight="1">
      <c r="A87" s="107"/>
      <c r="B87" s="107"/>
      <c r="C87" s="107"/>
      <c r="D87" s="107"/>
      <c r="E87" s="107"/>
      <c r="F87" s="107"/>
      <c r="G87" s="107"/>
      <c r="H87" s="107"/>
      <c r="I87" s="107"/>
      <c r="J87" s="107"/>
      <c r="K87" s="142"/>
      <c r="L87" s="107"/>
      <c r="M87" s="107"/>
      <c r="N87" s="107"/>
      <c r="O87" s="107"/>
      <c r="P87" s="107"/>
      <c r="Q87" s="107"/>
    </row>
    <row r="88" ht="15.75" customHeight="1">
      <c r="A88" s="107"/>
      <c r="B88" s="107"/>
      <c r="C88" s="107"/>
      <c r="D88" s="107"/>
      <c r="E88" s="107"/>
      <c r="F88" s="107"/>
      <c r="G88" s="107"/>
      <c r="H88" s="107"/>
      <c r="I88" s="107"/>
      <c r="J88" s="107"/>
      <c r="K88" s="142"/>
      <c r="L88" s="107"/>
      <c r="M88" s="107"/>
      <c r="N88" s="107"/>
      <c r="O88" s="107"/>
      <c r="P88" s="107"/>
      <c r="Q88" s="107"/>
    </row>
    <row r="89" ht="15.75" customHeight="1">
      <c r="A89" s="107"/>
      <c r="B89" s="107"/>
      <c r="C89" s="107"/>
      <c r="D89" s="107"/>
      <c r="E89" s="107"/>
      <c r="F89" s="107"/>
      <c r="G89" s="107"/>
      <c r="H89" s="107"/>
      <c r="I89" s="107"/>
      <c r="J89" s="107"/>
      <c r="K89" s="142"/>
      <c r="L89" s="107"/>
      <c r="M89" s="107"/>
      <c r="N89" s="107"/>
      <c r="O89" s="107"/>
      <c r="P89" s="107"/>
      <c r="Q89" s="107"/>
    </row>
    <row r="90" ht="15.75" customHeight="1">
      <c r="A90" s="107"/>
      <c r="B90" s="107"/>
      <c r="C90" s="107"/>
      <c r="D90" s="107"/>
      <c r="E90" s="107"/>
      <c r="F90" s="107"/>
      <c r="G90" s="107"/>
      <c r="H90" s="107"/>
      <c r="I90" s="107"/>
      <c r="J90" s="107"/>
      <c r="K90" s="142"/>
      <c r="L90" s="107"/>
      <c r="M90" s="107"/>
      <c r="N90" s="107"/>
      <c r="O90" s="107"/>
      <c r="P90" s="107"/>
      <c r="Q90" s="107"/>
    </row>
    <row r="91" ht="15.75" customHeight="1">
      <c r="A91" s="107"/>
      <c r="B91" s="107"/>
      <c r="C91" s="107"/>
      <c r="D91" s="107"/>
      <c r="E91" s="107"/>
      <c r="F91" s="107"/>
      <c r="G91" s="107"/>
      <c r="H91" s="107"/>
      <c r="I91" s="107"/>
      <c r="J91" s="107"/>
      <c r="K91" s="142"/>
      <c r="L91" s="107"/>
      <c r="M91" s="107"/>
      <c r="N91" s="107"/>
      <c r="O91" s="107"/>
      <c r="P91" s="107"/>
      <c r="Q91" s="107"/>
    </row>
    <row r="92" ht="15.75" customHeight="1">
      <c r="A92" s="107"/>
      <c r="B92" s="107"/>
      <c r="C92" s="107"/>
      <c r="D92" s="107"/>
      <c r="E92" s="107"/>
      <c r="F92" s="107"/>
      <c r="G92" s="107"/>
      <c r="H92" s="107"/>
      <c r="I92" s="107"/>
      <c r="J92" s="107"/>
      <c r="K92" s="142"/>
      <c r="L92" s="107"/>
      <c r="M92" s="107"/>
      <c r="N92" s="107"/>
      <c r="O92" s="107"/>
      <c r="P92" s="107"/>
      <c r="Q92" s="107"/>
    </row>
    <row r="93" ht="15.75" customHeight="1">
      <c r="A93" s="107"/>
      <c r="B93" s="107"/>
      <c r="C93" s="107"/>
      <c r="D93" s="107"/>
      <c r="E93" s="107"/>
      <c r="F93" s="107"/>
      <c r="G93" s="107"/>
      <c r="H93" s="107"/>
      <c r="I93" s="107"/>
      <c r="J93" s="107"/>
      <c r="K93" s="142"/>
      <c r="L93" s="107"/>
      <c r="M93" s="107"/>
      <c r="N93" s="107"/>
      <c r="O93" s="107"/>
      <c r="P93" s="107"/>
      <c r="Q93" s="107"/>
    </row>
    <row r="94" ht="15.75" customHeight="1">
      <c r="A94" s="107"/>
      <c r="B94" s="107"/>
      <c r="C94" s="107"/>
      <c r="D94" s="107"/>
      <c r="E94" s="107"/>
      <c r="F94" s="107"/>
      <c r="G94" s="107"/>
      <c r="H94" s="107"/>
      <c r="I94" s="107"/>
      <c r="J94" s="107"/>
      <c r="K94" s="142"/>
      <c r="L94" s="107"/>
      <c r="M94" s="107"/>
      <c r="N94" s="107"/>
      <c r="O94" s="107"/>
      <c r="P94" s="107"/>
      <c r="Q94" s="107"/>
    </row>
    <row r="95" ht="15.75" customHeight="1">
      <c r="A95" s="107"/>
      <c r="B95" s="107"/>
      <c r="C95" s="107"/>
      <c r="D95" s="107"/>
      <c r="E95" s="107"/>
      <c r="F95" s="107"/>
      <c r="G95" s="107"/>
      <c r="H95" s="107"/>
      <c r="I95" s="107"/>
      <c r="J95" s="107"/>
      <c r="K95" s="142"/>
      <c r="L95" s="107"/>
      <c r="M95" s="107"/>
      <c r="N95" s="107"/>
      <c r="O95" s="107"/>
      <c r="P95" s="107"/>
      <c r="Q95" s="107"/>
    </row>
    <row r="96" ht="15.75" customHeight="1">
      <c r="A96" s="107"/>
      <c r="B96" s="107"/>
      <c r="C96" s="107"/>
      <c r="D96" s="107"/>
      <c r="E96" s="107"/>
      <c r="F96" s="107"/>
      <c r="G96" s="107"/>
      <c r="H96" s="107"/>
      <c r="I96" s="107"/>
      <c r="J96" s="107"/>
      <c r="K96" s="142"/>
      <c r="L96" s="107"/>
      <c r="M96" s="107"/>
      <c r="N96" s="107"/>
      <c r="O96" s="107"/>
      <c r="P96" s="107"/>
      <c r="Q96" s="107"/>
    </row>
    <row r="97" ht="15.75" customHeight="1">
      <c r="A97" s="107"/>
      <c r="B97" s="107"/>
      <c r="C97" s="107"/>
      <c r="D97" s="107"/>
      <c r="E97" s="107"/>
      <c r="F97" s="107"/>
      <c r="G97" s="107"/>
      <c r="H97" s="107"/>
      <c r="I97" s="107"/>
      <c r="J97" s="107"/>
      <c r="K97" s="142"/>
      <c r="L97" s="107"/>
      <c r="M97" s="107"/>
      <c r="N97" s="107"/>
      <c r="O97" s="107"/>
      <c r="P97" s="107"/>
      <c r="Q97" s="107"/>
    </row>
    <row r="98" ht="15.75" customHeight="1">
      <c r="A98" s="107"/>
      <c r="B98" s="107"/>
      <c r="C98" s="107"/>
      <c r="D98" s="107"/>
      <c r="E98" s="107"/>
      <c r="F98" s="107"/>
      <c r="G98" s="107"/>
      <c r="H98" s="107"/>
      <c r="I98" s="107"/>
      <c r="J98" s="107"/>
      <c r="K98" s="142"/>
      <c r="L98" s="107"/>
      <c r="M98" s="107"/>
      <c r="N98" s="107"/>
      <c r="O98" s="107"/>
      <c r="P98" s="107"/>
      <c r="Q98" s="107"/>
    </row>
    <row r="99" ht="15.75" customHeight="1">
      <c r="A99" s="107"/>
      <c r="B99" s="107"/>
      <c r="C99" s="107"/>
      <c r="D99" s="107"/>
      <c r="E99" s="107"/>
      <c r="F99" s="107"/>
      <c r="G99" s="107"/>
      <c r="H99" s="107"/>
      <c r="I99" s="107"/>
      <c r="J99" s="107"/>
      <c r="K99" s="142"/>
      <c r="L99" s="107"/>
      <c r="M99" s="107"/>
      <c r="N99" s="107"/>
      <c r="O99" s="107"/>
      <c r="P99" s="107"/>
      <c r="Q99" s="107"/>
    </row>
    <row r="100" ht="15.75" customHeight="1">
      <c r="A100" s="107"/>
      <c r="B100" s="107"/>
      <c r="C100" s="107"/>
      <c r="D100" s="107"/>
      <c r="E100" s="107"/>
      <c r="F100" s="107"/>
      <c r="G100" s="107"/>
      <c r="H100" s="107"/>
      <c r="I100" s="107"/>
      <c r="J100" s="107"/>
      <c r="K100" s="142"/>
      <c r="L100" s="107"/>
      <c r="M100" s="107"/>
      <c r="N100" s="107"/>
      <c r="O100" s="107"/>
      <c r="P100" s="107"/>
      <c r="Q100" s="107"/>
    </row>
    <row r="101" ht="15.75" customHeight="1">
      <c r="A101" s="107"/>
      <c r="B101" s="107"/>
      <c r="C101" s="107"/>
      <c r="D101" s="107"/>
      <c r="E101" s="107"/>
      <c r="F101" s="107"/>
      <c r="G101" s="107"/>
      <c r="H101" s="107"/>
      <c r="I101" s="107"/>
      <c r="J101" s="107"/>
      <c r="K101" s="142"/>
      <c r="L101" s="107"/>
      <c r="M101" s="107"/>
      <c r="N101" s="107"/>
      <c r="O101" s="107"/>
      <c r="P101" s="107"/>
      <c r="Q101" s="107"/>
    </row>
    <row r="102" ht="15.75" customHeight="1">
      <c r="A102" s="107"/>
      <c r="B102" s="107"/>
      <c r="C102" s="107"/>
      <c r="D102" s="107"/>
      <c r="E102" s="107"/>
      <c r="F102" s="107"/>
      <c r="G102" s="107"/>
      <c r="H102" s="107"/>
      <c r="I102" s="107"/>
      <c r="J102" s="107"/>
      <c r="K102" s="142"/>
      <c r="L102" s="107"/>
      <c r="M102" s="107"/>
      <c r="N102" s="107"/>
      <c r="O102" s="107"/>
      <c r="P102" s="107"/>
      <c r="Q102" s="107"/>
    </row>
    <row r="103" ht="15.75" customHeight="1">
      <c r="A103" s="107"/>
      <c r="B103" s="107"/>
      <c r="C103" s="107"/>
      <c r="D103" s="107"/>
      <c r="E103" s="107"/>
      <c r="F103" s="107"/>
      <c r="G103" s="107"/>
      <c r="H103" s="107"/>
      <c r="I103" s="107"/>
      <c r="J103" s="107"/>
      <c r="K103" s="142"/>
      <c r="L103" s="107"/>
      <c r="M103" s="107"/>
      <c r="N103" s="107"/>
      <c r="O103" s="107"/>
      <c r="P103" s="107"/>
      <c r="Q103" s="107"/>
    </row>
    <row r="104" ht="15.75" customHeight="1">
      <c r="A104" s="107"/>
      <c r="B104" s="107"/>
      <c r="C104" s="107"/>
      <c r="D104" s="107"/>
      <c r="E104" s="107"/>
      <c r="F104" s="107"/>
      <c r="G104" s="107"/>
      <c r="H104" s="107"/>
      <c r="I104" s="107"/>
      <c r="J104" s="107"/>
      <c r="K104" s="142"/>
      <c r="L104" s="107"/>
      <c r="M104" s="107"/>
      <c r="N104" s="107"/>
      <c r="O104" s="107"/>
      <c r="P104" s="107"/>
      <c r="Q104" s="107"/>
    </row>
    <row r="105" ht="15.75" customHeight="1">
      <c r="A105" s="107"/>
      <c r="B105" s="107"/>
      <c r="C105" s="107"/>
      <c r="D105" s="107"/>
      <c r="E105" s="107"/>
      <c r="F105" s="107"/>
      <c r="G105" s="107"/>
      <c r="H105" s="107"/>
      <c r="I105" s="107"/>
      <c r="J105" s="107"/>
      <c r="K105" s="142"/>
      <c r="L105" s="107"/>
      <c r="M105" s="107"/>
      <c r="N105" s="107"/>
      <c r="O105" s="107"/>
      <c r="P105" s="107"/>
      <c r="Q105" s="107"/>
    </row>
    <row r="106" ht="15.75" customHeight="1">
      <c r="A106" s="107"/>
      <c r="B106" s="107"/>
      <c r="C106" s="107"/>
      <c r="D106" s="107"/>
      <c r="E106" s="107"/>
      <c r="F106" s="107"/>
      <c r="G106" s="107"/>
      <c r="H106" s="107"/>
      <c r="I106" s="107"/>
      <c r="J106" s="107"/>
      <c r="K106" s="142"/>
      <c r="L106" s="107"/>
      <c r="M106" s="107"/>
      <c r="N106" s="107"/>
      <c r="O106" s="107"/>
      <c r="P106" s="107"/>
      <c r="Q106" s="107"/>
    </row>
    <row r="107" ht="15.75" customHeight="1">
      <c r="A107" s="107"/>
      <c r="B107" s="107"/>
      <c r="C107" s="107"/>
      <c r="D107" s="107"/>
      <c r="E107" s="107"/>
      <c r="F107" s="107"/>
      <c r="G107" s="107"/>
      <c r="H107" s="107"/>
      <c r="I107" s="107"/>
      <c r="J107" s="107"/>
      <c r="K107" s="142"/>
      <c r="L107" s="107"/>
      <c r="M107" s="107"/>
      <c r="N107" s="107"/>
      <c r="O107" s="107"/>
      <c r="P107" s="107"/>
      <c r="Q107" s="107"/>
    </row>
    <row r="108" ht="15.75" customHeight="1">
      <c r="A108" s="107"/>
      <c r="B108" s="107"/>
      <c r="C108" s="107"/>
      <c r="D108" s="107"/>
      <c r="E108" s="107"/>
      <c r="F108" s="107"/>
      <c r="G108" s="107"/>
      <c r="H108" s="107"/>
      <c r="I108" s="107"/>
      <c r="J108" s="107"/>
      <c r="K108" s="142"/>
      <c r="L108" s="107"/>
      <c r="M108" s="107"/>
      <c r="N108" s="107"/>
      <c r="O108" s="107"/>
      <c r="P108" s="107"/>
      <c r="Q108" s="107"/>
    </row>
    <row r="109" ht="15.75" customHeight="1">
      <c r="A109" s="107"/>
      <c r="B109" s="107"/>
      <c r="C109" s="107"/>
      <c r="D109" s="107"/>
      <c r="E109" s="107"/>
      <c r="F109" s="107"/>
      <c r="G109" s="107"/>
      <c r="H109" s="107"/>
      <c r="I109" s="107"/>
      <c r="J109" s="107"/>
      <c r="K109" s="142"/>
      <c r="L109" s="107"/>
      <c r="M109" s="107"/>
      <c r="N109" s="107"/>
      <c r="O109" s="107"/>
      <c r="P109" s="107"/>
      <c r="Q109" s="107"/>
    </row>
    <row r="110" ht="15.75" customHeight="1">
      <c r="A110" s="107"/>
      <c r="B110" s="107"/>
      <c r="C110" s="107"/>
      <c r="D110" s="107"/>
      <c r="E110" s="107"/>
      <c r="F110" s="107"/>
      <c r="G110" s="107"/>
      <c r="H110" s="107"/>
      <c r="I110" s="107"/>
      <c r="J110" s="107"/>
      <c r="K110" s="142"/>
      <c r="L110" s="107"/>
      <c r="M110" s="107"/>
      <c r="N110" s="107"/>
      <c r="O110" s="107"/>
      <c r="P110" s="107"/>
      <c r="Q110" s="107"/>
    </row>
    <row r="111" ht="15.75" customHeight="1">
      <c r="A111" s="107"/>
      <c r="B111" s="107"/>
      <c r="C111" s="107"/>
      <c r="D111" s="107"/>
      <c r="E111" s="107"/>
      <c r="F111" s="107"/>
      <c r="G111" s="107"/>
      <c r="H111" s="107"/>
      <c r="I111" s="107"/>
      <c r="J111" s="107"/>
      <c r="K111" s="142"/>
      <c r="L111" s="107"/>
      <c r="M111" s="107"/>
      <c r="N111" s="107"/>
      <c r="O111" s="107"/>
      <c r="P111" s="107"/>
      <c r="Q111" s="107"/>
    </row>
    <row r="112" ht="15.75" customHeight="1">
      <c r="A112" s="107"/>
      <c r="B112" s="107"/>
      <c r="C112" s="107"/>
      <c r="D112" s="107"/>
      <c r="E112" s="107"/>
      <c r="F112" s="107"/>
      <c r="G112" s="107"/>
      <c r="H112" s="107"/>
      <c r="I112" s="107"/>
      <c r="J112" s="107"/>
      <c r="K112" s="142"/>
      <c r="L112" s="107"/>
      <c r="M112" s="107"/>
      <c r="N112" s="107"/>
      <c r="O112" s="107"/>
      <c r="P112" s="107"/>
      <c r="Q112" s="107"/>
    </row>
    <row r="113" ht="15.75" customHeight="1">
      <c r="A113" s="107"/>
      <c r="B113" s="107"/>
      <c r="C113" s="107"/>
      <c r="D113" s="107"/>
      <c r="E113" s="107"/>
      <c r="F113" s="107"/>
      <c r="G113" s="107"/>
      <c r="H113" s="107"/>
      <c r="I113" s="107"/>
      <c r="J113" s="107"/>
      <c r="K113" s="142"/>
      <c r="L113" s="107"/>
      <c r="M113" s="107"/>
      <c r="N113" s="107"/>
      <c r="O113" s="107"/>
      <c r="P113" s="107"/>
      <c r="Q113" s="107"/>
    </row>
    <row r="114" ht="15.75" customHeight="1">
      <c r="A114" s="107"/>
      <c r="B114" s="107"/>
      <c r="C114" s="107"/>
      <c r="D114" s="107"/>
      <c r="E114" s="107"/>
      <c r="F114" s="107"/>
      <c r="G114" s="107"/>
      <c r="H114" s="107"/>
      <c r="I114" s="107"/>
      <c r="J114" s="107"/>
      <c r="K114" s="142"/>
      <c r="L114" s="107"/>
      <c r="M114" s="107"/>
      <c r="N114" s="107"/>
      <c r="O114" s="107"/>
      <c r="P114" s="107"/>
      <c r="Q114" s="107"/>
    </row>
    <row r="115" ht="15.75" customHeight="1">
      <c r="A115" s="107"/>
      <c r="B115" s="107"/>
      <c r="C115" s="107"/>
      <c r="D115" s="107"/>
      <c r="E115" s="107"/>
      <c r="F115" s="107"/>
      <c r="G115" s="107"/>
      <c r="H115" s="107"/>
      <c r="I115" s="107"/>
      <c r="J115" s="107"/>
      <c r="K115" s="142"/>
      <c r="L115" s="107"/>
      <c r="M115" s="107"/>
      <c r="N115" s="107"/>
      <c r="O115" s="107"/>
      <c r="P115" s="107"/>
      <c r="Q115" s="107"/>
    </row>
    <row r="116" ht="15.75" customHeight="1">
      <c r="A116" s="107"/>
      <c r="B116" s="107"/>
      <c r="C116" s="107"/>
      <c r="D116" s="107"/>
      <c r="E116" s="107"/>
      <c r="F116" s="107"/>
      <c r="G116" s="107"/>
      <c r="H116" s="107"/>
      <c r="I116" s="107"/>
      <c r="J116" s="107"/>
      <c r="K116" s="142"/>
      <c r="L116" s="107"/>
      <c r="M116" s="107"/>
      <c r="N116" s="107"/>
      <c r="O116" s="107"/>
      <c r="P116" s="107"/>
      <c r="Q116" s="107"/>
    </row>
    <row r="117" ht="15.75" customHeight="1">
      <c r="A117" s="107"/>
      <c r="B117" s="107"/>
      <c r="C117" s="107"/>
      <c r="D117" s="107"/>
      <c r="E117" s="107"/>
      <c r="F117" s="107"/>
      <c r="G117" s="107"/>
      <c r="H117" s="107"/>
      <c r="I117" s="107"/>
      <c r="J117" s="107"/>
      <c r="K117" s="142"/>
      <c r="L117" s="107"/>
      <c r="M117" s="107"/>
      <c r="N117" s="107"/>
      <c r="O117" s="107"/>
      <c r="P117" s="107"/>
      <c r="Q117" s="107"/>
    </row>
    <row r="118" ht="15.75" customHeight="1">
      <c r="A118" s="107"/>
      <c r="B118" s="107"/>
      <c r="C118" s="107"/>
      <c r="D118" s="107"/>
      <c r="E118" s="107"/>
      <c r="F118" s="107"/>
      <c r="G118" s="107"/>
      <c r="H118" s="107"/>
      <c r="I118" s="107"/>
      <c r="J118" s="107"/>
      <c r="K118" s="142"/>
      <c r="L118" s="107"/>
      <c r="M118" s="107"/>
      <c r="N118" s="107"/>
      <c r="O118" s="107"/>
      <c r="P118" s="107"/>
      <c r="Q118" s="107"/>
    </row>
    <row r="119" ht="15.75" customHeight="1">
      <c r="A119" s="107"/>
      <c r="B119" s="107"/>
      <c r="C119" s="107"/>
      <c r="D119" s="107"/>
      <c r="E119" s="107"/>
      <c r="F119" s="107"/>
      <c r="G119" s="107"/>
      <c r="H119" s="107"/>
      <c r="I119" s="107"/>
      <c r="J119" s="107"/>
      <c r="K119" s="142"/>
      <c r="L119" s="107"/>
      <c r="M119" s="107"/>
      <c r="N119" s="107"/>
      <c r="O119" s="107"/>
      <c r="P119" s="107"/>
      <c r="Q119" s="107"/>
    </row>
    <row r="120" ht="15.75" customHeight="1">
      <c r="A120" s="107"/>
      <c r="B120" s="107"/>
      <c r="C120" s="107"/>
      <c r="D120" s="107"/>
      <c r="E120" s="107"/>
      <c r="F120" s="107"/>
      <c r="G120" s="107"/>
      <c r="H120" s="107"/>
      <c r="I120" s="107"/>
      <c r="J120" s="107"/>
      <c r="K120" s="142"/>
      <c r="L120" s="107"/>
      <c r="M120" s="107"/>
      <c r="N120" s="107"/>
      <c r="O120" s="107"/>
      <c r="P120" s="107"/>
      <c r="Q120" s="107"/>
    </row>
    <row r="121" ht="15.75" customHeight="1">
      <c r="A121" s="107"/>
      <c r="B121" s="107"/>
      <c r="C121" s="107"/>
      <c r="D121" s="107"/>
      <c r="E121" s="107"/>
      <c r="F121" s="107"/>
      <c r="G121" s="107"/>
      <c r="H121" s="107"/>
      <c r="I121" s="107"/>
      <c r="J121" s="107"/>
      <c r="K121" s="142"/>
      <c r="L121" s="107"/>
      <c r="M121" s="107"/>
      <c r="N121" s="107"/>
      <c r="O121" s="107"/>
      <c r="P121" s="107"/>
      <c r="Q121" s="107"/>
    </row>
    <row r="122" ht="15.75" customHeight="1">
      <c r="A122" s="107"/>
      <c r="B122" s="107"/>
      <c r="C122" s="107"/>
      <c r="D122" s="107"/>
      <c r="E122" s="107"/>
      <c r="F122" s="107"/>
      <c r="G122" s="107"/>
      <c r="H122" s="107"/>
      <c r="I122" s="107"/>
      <c r="J122" s="107"/>
      <c r="K122" s="142"/>
      <c r="L122" s="107"/>
      <c r="M122" s="107"/>
      <c r="N122" s="107"/>
      <c r="O122" s="107"/>
      <c r="P122" s="107"/>
      <c r="Q122" s="107"/>
    </row>
    <row r="123" ht="15.75" customHeight="1">
      <c r="A123" s="107"/>
      <c r="B123" s="107"/>
      <c r="C123" s="107"/>
      <c r="D123" s="107"/>
      <c r="E123" s="107"/>
      <c r="F123" s="107"/>
      <c r="G123" s="107"/>
      <c r="H123" s="107"/>
      <c r="I123" s="107"/>
      <c r="J123" s="107"/>
      <c r="K123" s="142"/>
      <c r="L123" s="107"/>
      <c r="M123" s="107"/>
      <c r="N123" s="107"/>
      <c r="O123" s="107"/>
      <c r="P123" s="107"/>
      <c r="Q123" s="107"/>
    </row>
    <row r="124" ht="15.75" customHeight="1">
      <c r="A124" s="107"/>
      <c r="B124" s="107"/>
      <c r="C124" s="107"/>
      <c r="D124" s="107"/>
      <c r="E124" s="107"/>
      <c r="F124" s="107"/>
      <c r="G124" s="107"/>
      <c r="H124" s="107"/>
      <c r="I124" s="107"/>
      <c r="J124" s="107"/>
      <c r="K124" s="142"/>
      <c r="L124" s="107"/>
      <c r="M124" s="107"/>
      <c r="N124" s="107"/>
      <c r="O124" s="107"/>
      <c r="P124" s="107"/>
      <c r="Q124" s="107"/>
    </row>
    <row r="125" ht="15.75" customHeight="1">
      <c r="A125" s="107"/>
      <c r="B125" s="107"/>
      <c r="C125" s="107"/>
      <c r="D125" s="107"/>
      <c r="E125" s="107"/>
      <c r="F125" s="107"/>
      <c r="G125" s="107"/>
      <c r="H125" s="107"/>
      <c r="I125" s="107"/>
      <c r="J125" s="107"/>
      <c r="K125" s="142"/>
      <c r="L125" s="107"/>
      <c r="M125" s="107"/>
      <c r="N125" s="107"/>
      <c r="O125" s="107"/>
      <c r="P125" s="107"/>
      <c r="Q125" s="107"/>
    </row>
    <row r="126" ht="15.75" customHeight="1">
      <c r="A126" s="107"/>
      <c r="B126" s="107"/>
      <c r="C126" s="107"/>
      <c r="D126" s="107"/>
      <c r="E126" s="107"/>
      <c r="F126" s="107"/>
      <c r="G126" s="107"/>
      <c r="H126" s="107"/>
      <c r="I126" s="107"/>
      <c r="J126" s="107"/>
      <c r="K126" s="142"/>
      <c r="L126" s="107"/>
      <c r="M126" s="107"/>
      <c r="N126" s="107"/>
      <c r="O126" s="107"/>
      <c r="P126" s="107"/>
      <c r="Q126" s="107"/>
    </row>
    <row r="127" ht="15.75" customHeight="1">
      <c r="A127" s="107"/>
      <c r="B127" s="107"/>
      <c r="C127" s="107"/>
      <c r="D127" s="107"/>
      <c r="E127" s="107"/>
      <c r="F127" s="107"/>
      <c r="G127" s="107"/>
      <c r="H127" s="107"/>
      <c r="I127" s="107"/>
      <c r="J127" s="107"/>
      <c r="K127" s="142"/>
      <c r="L127" s="107"/>
      <c r="M127" s="107"/>
      <c r="N127" s="107"/>
      <c r="O127" s="107"/>
      <c r="P127" s="107"/>
      <c r="Q127" s="107"/>
    </row>
    <row r="128" ht="15.75" customHeight="1">
      <c r="A128" s="107"/>
      <c r="B128" s="107"/>
      <c r="C128" s="107"/>
      <c r="D128" s="107"/>
      <c r="E128" s="107"/>
      <c r="F128" s="107"/>
      <c r="G128" s="107"/>
      <c r="H128" s="107"/>
      <c r="I128" s="107"/>
      <c r="J128" s="107"/>
      <c r="K128" s="142"/>
      <c r="L128" s="107"/>
      <c r="M128" s="107"/>
      <c r="N128" s="107"/>
      <c r="O128" s="107"/>
      <c r="P128" s="107"/>
      <c r="Q128" s="107"/>
    </row>
    <row r="129" ht="15.75" customHeight="1">
      <c r="A129" s="107"/>
      <c r="B129" s="107"/>
      <c r="C129" s="107"/>
      <c r="D129" s="107"/>
      <c r="E129" s="107"/>
      <c r="F129" s="107"/>
      <c r="G129" s="107"/>
      <c r="H129" s="107"/>
      <c r="I129" s="107"/>
      <c r="J129" s="107"/>
      <c r="K129" s="142"/>
      <c r="L129" s="107"/>
      <c r="M129" s="107"/>
      <c r="N129" s="107"/>
      <c r="O129" s="107"/>
      <c r="P129" s="107"/>
      <c r="Q129" s="107"/>
    </row>
    <row r="130" ht="15.75" customHeight="1">
      <c r="A130" s="107"/>
      <c r="B130" s="107"/>
      <c r="C130" s="107"/>
      <c r="D130" s="107"/>
      <c r="E130" s="107"/>
      <c r="F130" s="107"/>
      <c r="G130" s="107"/>
      <c r="H130" s="107"/>
      <c r="I130" s="107"/>
      <c r="J130" s="107"/>
      <c r="K130" s="142"/>
      <c r="L130" s="107"/>
      <c r="M130" s="107"/>
      <c r="N130" s="107"/>
      <c r="O130" s="107"/>
      <c r="P130" s="107"/>
      <c r="Q130" s="107"/>
    </row>
    <row r="131" ht="15.75" customHeight="1">
      <c r="A131" s="107"/>
      <c r="B131" s="107"/>
      <c r="C131" s="107"/>
      <c r="D131" s="107"/>
      <c r="E131" s="107"/>
      <c r="F131" s="107"/>
      <c r="G131" s="107"/>
      <c r="H131" s="107"/>
      <c r="I131" s="107"/>
      <c r="J131" s="107"/>
      <c r="K131" s="142"/>
      <c r="L131" s="107"/>
      <c r="M131" s="107"/>
      <c r="N131" s="107"/>
      <c r="O131" s="107"/>
      <c r="P131" s="107"/>
      <c r="Q131" s="107"/>
    </row>
    <row r="132" ht="15.75" customHeight="1">
      <c r="A132" s="107"/>
      <c r="B132" s="107"/>
      <c r="C132" s="107"/>
      <c r="D132" s="107"/>
      <c r="E132" s="107"/>
      <c r="F132" s="107"/>
      <c r="G132" s="107"/>
      <c r="H132" s="107"/>
      <c r="I132" s="107"/>
      <c r="J132" s="107"/>
      <c r="K132" s="142"/>
      <c r="L132" s="107"/>
      <c r="M132" s="107"/>
      <c r="N132" s="107"/>
      <c r="O132" s="107"/>
      <c r="P132" s="107"/>
      <c r="Q132" s="107"/>
    </row>
    <row r="133" ht="15.75" customHeight="1">
      <c r="A133" s="107"/>
      <c r="B133" s="107"/>
      <c r="C133" s="107"/>
      <c r="D133" s="107"/>
      <c r="E133" s="107"/>
      <c r="F133" s="107"/>
      <c r="G133" s="107"/>
      <c r="H133" s="107"/>
      <c r="I133" s="107"/>
      <c r="J133" s="107"/>
      <c r="K133" s="142"/>
      <c r="L133" s="107"/>
      <c r="M133" s="107"/>
      <c r="N133" s="107"/>
      <c r="O133" s="107"/>
      <c r="P133" s="107"/>
      <c r="Q133" s="107"/>
    </row>
    <row r="134" ht="15.75" customHeight="1">
      <c r="A134" s="107"/>
      <c r="B134" s="107"/>
      <c r="C134" s="107"/>
      <c r="D134" s="107"/>
      <c r="E134" s="107"/>
      <c r="F134" s="107"/>
      <c r="G134" s="107"/>
      <c r="H134" s="107"/>
      <c r="I134" s="107"/>
      <c r="J134" s="107"/>
      <c r="K134" s="142"/>
      <c r="L134" s="107"/>
      <c r="M134" s="107"/>
      <c r="N134" s="107"/>
      <c r="O134" s="107"/>
      <c r="P134" s="107"/>
      <c r="Q134" s="107"/>
    </row>
    <row r="135" ht="15.75" customHeight="1">
      <c r="A135" s="107"/>
      <c r="B135" s="107"/>
      <c r="C135" s="107"/>
      <c r="D135" s="107"/>
      <c r="E135" s="107"/>
      <c r="F135" s="107"/>
      <c r="G135" s="107"/>
      <c r="H135" s="107"/>
      <c r="I135" s="107"/>
      <c r="J135" s="107"/>
      <c r="K135" s="142"/>
      <c r="L135" s="107"/>
      <c r="M135" s="107"/>
      <c r="N135" s="107"/>
      <c r="O135" s="107"/>
      <c r="P135" s="107"/>
      <c r="Q135" s="107"/>
    </row>
    <row r="136" ht="15.75" customHeight="1">
      <c r="A136" s="107"/>
      <c r="B136" s="107"/>
      <c r="C136" s="107"/>
      <c r="D136" s="107"/>
      <c r="E136" s="107"/>
      <c r="F136" s="107"/>
      <c r="G136" s="107"/>
      <c r="H136" s="107"/>
      <c r="I136" s="107"/>
      <c r="J136" s="107"/>
      <c r="K136" s="142"/>
      <c r="L136" s="107"/>
      <c r="M136" s="107"/>
      <c r="N136" s="107"/>
      <c r="O136" s="107"/>
      <c r="P136" s="107"/>
      <c r="Q136" s="107"/>
    </row>
    <row r="137" ht="15.75" customHeight="1">
      <c r="A137" s="107"/>
      <c r="B137" s="107"/>
      <c r="C137" s="107"/>
      <c r="D137" s="107"/>
      <c r="E137" s="107"/>
      <c r="F137" s="107"/>
      <c r="G137" s="107"/>
      <c r="H137" s="107"/>
      <c r="I137" s="107"/>
      <c r="J137" s="107"/>
      <c r="K137" s="142"/>
      <c r="L137" s="107"/>
      <c r="M137" s="107"/>
      <c r="N137" s="107"/>
      <c r="O137" s="107"/>
      <c r="P137" s="107"/>
      <c r="Q137" s="107"/>
    </row>
    <row r="138" ht="15.75" customHeight="1">
      <c r="A138" s="107"/>
      <c r="B138" s="107"/>
      <c r="C138" s="107"/>
      <c r="D138" s="107"/>
      <c r="E138" s="107"/>
      <c r="F138" s="107"/>
      <c r="G138" s="107"/>
      <c r="H138" s="107"/>
      <c r="I138" s="107"/>
      <c r="J138" s="107"/>
      <c r="K138" s="142"/>
      <c r="L138" s="107"/>
      <c r="M138" s="107"/>
      <c r="N138" s="107"/>
      <c r="O138" s="107"/>
      <c r="P138" s="107"/>
      <c r="Q138" s="107"/>
    </row>
    <row r="139" ht="15.75" customHeight="1">
      <c r="A139" s="107"/>
      <c r="B139" s="107"/>
      <c r="C139" s="107"/>
      <c r="D139" s="107"/>
      <c r="E139" s="107"/>
      <c r="F139" s="107"/>
      <c r="G139" s="107"/>
      <c r="H139" s="107"/>
      <c r="I139" s="107"/>
      <c r="J139" s="107"/>
      <c r="K139" s="142"/>
      <c r="L139" s="107"/>
      <c r="M139" s="107"/>
      <c r="N139" s="107"/>
      <c r="O139" s="107"/>
      <c r="P139" s="107"/>
      <c r="Q139" s="107"/>
    </row>
    <row r="140" ht="15.75" customHeight="1">
      <c r="A140" s="107"/>
      <c r="B140" s="107"/>
      <c r="C140" s="107"/>
      <c r="D140" s="107"/>
      <c r="E140" s="107"/>
      <c r="F140" s="107"/>
      <c r="G140" s="107"/>
      <c r="H140" s="107"/>
      <c r="I140" s="107"/>
      <c r="J140" s="107"/>
      <c r="K140" s="142"/>
      <c r="L140" s="107"/>
      <c r="M140" s="107"/>
      <c r="N140" s="107"/>
      <c r="O140" s="107"/>
      <c r="P140" s="107"/>
      <c r="Q140" s="107"/>
    </row>
    <row r="141" ht="15.75" customHeight="1">
      <c r="A141" s="107"/>
      <c r="B141" s="107"/>
      <c r="C141" s="107"/>
      <c r="D141" s="107"/>
      <c r="E141" s="107"/>
      <c r="F141" s="107"/>
      <c r="G141" s="107"/>
      <c r="H141" s="107"/>
      <c r="I141" s="107"/>
      <c r="J141" s="107"/>
      <c r="K141" s="142"/>
      <c r="L141" s="107"/>
      <c r="M141" s="107"/>
      <c r="N141" s="107"/>
      <c r="O141" s="107"/>
      <c r="P141" s="107"/>
      <c r="Q141" s="107"/>
    </row>
    <row r="142" ht="15.75" customHeight="1">
      <c r="A142" s="107"/>
      <c r="B142" s="107"/>
      <c r="C142" s="107"/>
      <c r="D142" s="107"/>
      <c r="E142" s="107"/>
      <c r="F142" s="107"/>
      <c r="G142" s="107"/>
      <c r="H142" s="107"/>
      <c r="I142" s="107"/>
      <c r="J142" s="107"/>
      <c r="K142" s="142"/>
      <c r="L142" s="107"/>
      <c r="M142" s="107"/>
      <c r="N142" s="107"/>
      <c r="O142" s="107"/>
      <c r="P142" s="107"/>
      <c r="Q142" s="107"/>
    </row>
    <row r="143" ht="15.75" customHeight="1">
      <c r="A143" s="107"/>
      <c r="B143" s="107"/>
      <c r="C143" s="107"/>
      <c r="D143" s="107"/>
      <c r="E143" s="107"/>
      <c r="F143" s="107"/>
      <c r="G143" s="107"/>
      <c r="H143" s="107"/>
      <c r="I143" s="107"/>
      <c r="J143" s="107"/>
      <c r="K143" s="142"/>
      <c r="L143" s="107"/>
      <c r="M143" s="107"/>
      <c r="N143" s="107"/>
      <c r="O143" s="107"/>
      <c r="P143" s="107"/>
      <c r="Q143" s="107"/>
    </row>
    <row r="144" ht="15.75" customHeight="1">
      <c r="A144" s="107"/>
      <c r="B144" s="107"/>
      <c r="C144" s="107"/>
      <c r="D144" s="107"/>
      <c r="E144" s="107"/>
      <c r="F144" s="107"/>
      <c r="G144" s="107"/>
      <c r="H144" s="107"/>
      <c r="I144" s="107"/>
      <c r="J144" s="107"/>
      <c r="K144" s="142"/>
      <c r="L144" s="107"/>
      <c r="M144" s="107"/>
      <c r="N144" s="107"/>
      <c r="O144" s="107"/>
      <c r="P144" s="107"/>
      <c r="Q144" s="107"/>
    </row>
    <row r="145" ht="15.75" customHeight="1">
      <c r="A145" s="107"/>
      <c r="B145" s="107"/>
      <c r="C145" s="107"/>
      <c r="D145" s="107"/>
      <c r="E145" s="107"/>
      <c r="F145" s="107"/>
      <c r="G145" s="107"/>
      <c r="H145" s="107"/>
      <c r="I145" s="107"/>
      <c r="J145" s="107"/>
      <c r="K145" s="142"/>
      <c r="L145" s="107"/>
      <c r="M145" s="107"/>
      <c r="N145" s="107"/>
      <c r="O145" s="107"/>
      <c r="P145" s="107"/>
      <c r="Q145" s="107"/>
    </row>
    <row r="146" ht="15.75" customHeight="1">
      <c r="A146" s="107"/>
      <c r="B146" s="107"/>
      <c r="C146" s="107"/>
      <c r="D146" s="107"/>
      <c r="E146" s="107"/>
      <c r="F146" s="107"/>
      <c r="G146" s="107"/>
      <c r="H146" s="107"/>
      <c r="I146" s="107"/>
      <c r="J146" s="107"/>
      <c r="K146" s="142"/>
      <c r="L146" s="107"/>
      <c r="M146" s="107"/>
      <c r="N146" s="107"/>
      <c r="O146" s="107"/>
      <c r="P146" s="107"/>
      <c r="Q146" s="107"/>
    </row>
    <row r="147" ht="15.75" customHeight="1">
      <c r="A147" s="107"/>
      <c r="B147" s="107"/>
      <c r="C147" s="107"/>
      <c r="D147" s="107"/>
      <c r="E147" s="107"/>
      <c r="F147" s="107"/>
      <c r="G147" s="107"/>
      <c r="H147" s="107"/>
      <c r="I147" s="107"/>
      <c r="J147" s="107"/>
      <c r="K147" s="142"/>
      <c r="L147" s="107"/>
      <c r="M147" s="107"/>
      <c r="N147" s="107"/>
      <c r="O147" s="107"/>
      <c r="P147" s="107"/>
      <c r="Q147" s="107"/>
    </row>
    <row r="148" ht="15.75" customHeight="1">
      <c r="A148" s="107"/>
      <c r="B148" s="107"/>
      <c r="C148" s="107"/>
      <c r="D148" s="107"/>
      <c r="E148" s="107"/>
      <c r="F148" s="107"/>
      <c r="G148" s="107"/>
      <c r="H148" s="107"/>
      <c r="I148" s="107"/>
      <c r="J148" s="107"/>
      <c r="K148" s="142"/>
      <c r="L148" s="107"/>
      <c r="M148" s="107"/>
      <c r="N148" s="107"/>
      <c r="O148" s="107"/>
      <c r="P148" s="107"/>
      <c r="Q148" s="107"/>
    </row>
    <row r="149" ht="15.75" customHeight="1">
      <c r="A149" s="107"/>
      <c r="B149" s="107"/>
      <c r="C149" s="107"/>
      <c r="D149" s="107"/>
      <c r="E149" s="107"/>
      <c r="F149" s="107"/>
      <c r="G149" s="107"/>
      <c r="H149" s="107"/>
      <c r="I149" s="107"/>
      <c r="J149" s="107"/>
      <c r="K149" s="142"/>
      <c r="L149" s="107"/>
      <c r="M149" s="107"/>
      <c r="N149" s="107"/>
      <c r="O149" s="107"/>
      <c r="P149" s="107"/>
      <c r="Q149" s="107"/>
    </row>
    <row r="150" ht="15.75" customHeight="1">
      <c r="A150" s="107"/>
      <c r="B150" s="107"/>
      <c r="C150" s="107"/>
      <c r="D150" s="107"/>
      <c r="E150" s="107"/>
      <c r="F150" s="107"/>
      <c r="G150" s="107"/>
      <c r="H150" s="107"/>
      <c r="I150" s="107"/>
      <c r="J150" s="107"/>
      <c r="K150" s="142"/>
      <c r="L150" s="107"/>
      <c r="M150" s="107"/>
      <c r="N150" s="107"/>
      <c r="O150" s="107"/>
      <c r="P150" s="107"/>
      <c r="Q150" s="107"/>
    </row>
    <row r="151" ht="15.75" customHeight="1">
      <c r="A151" s="107"/>
      <c r="B151" s="107"/>
      <c r="C151" s="107"/>
      <c r="D151" s="107"/>
      <c r="E151" s="107"/>
      <c r="F151" s="107"/>
      <c r="G151" s="107"/>
      <c r="H151" s="107"/>
      <c r="I151" s="107"/>
      <c r="J151" s="107"/>
      <c r="K151" s="142"/>
      <c r="L151" s="107"/>
      <c r="M151" s="107"/>
      <c r="N151" s="107"/>
      <c r="O151" s="107"/>
      <c r="P151" s="107"/>
      <c r="Q151" s="107"/>
    </row>
    <row r="152" ht="15.75" customHeight="1">
      <c r="A152" s="107"/>
      <c r="B152" s="107"/>
      <c r="C152" s="107"/>
      <c r="D152" s="107"/>
      <c r="E152" s="107"/>
      <c r="F152" s="107"/>
      <c r="G152" s="107"/>
      <c r="H152" s="107"/>
      <c r="I152" s="107"/>
      <c r="J152" s="107"/>
      <c r="K152" s="142"/>
      <c r="L152" s="107"/>
      <c r="M152" s="107"/>
      <c r="N152" s="107"/>
      <c r="O152" s="107"/>
      <c r="P152" s="107"/>
      <c r="Q152" s="107"/>
    </row>
    <row r="153" ht="15.75" customHeight="1">
      <c r="A153" s="107"/>
      <c r="B153" s="107"/>
      <c r="C153" s="107"/>
      <c r="D153" s="107"/>
      <c r="E153" s="107"/>
      <c r="F153" s="107"/>
      <c r="G153" s="107"/>
      <c r="H153" s="107"/>
      <c r="I153" s="107"/>
      <c r="J153" s="107"/>
      <c r="K153" s="142"/>
      <c r="L153" s="107"/>
      <c r="M153" s="107"/>
      <c r="N153" s="107"/>
      <c r="O153" s="107"/>
      <c r="P153" s="107"/>
      <c r="Q153" s="107"/>
    </row>
    <row r="154" ht="15.75" customHeight="1">
      <c r="A154" s="107"/>
      <c r="B154" s="107"/>
      <c r="C154" s="107"/>
      <c r="D154" s="107"/>
      <c r="E154" s="107"/>
      <c r="F154" s="107"/>
      <c r="G154" s="107"/>
      <c r="H154" s="107"/>
      <c r="I154" s="107"/>
      <c r="J154" s="107"/>
      <c r="K154" s="142"/>
      <c r="L154" s="107"/>
      <c r="M154" s="107"/>
      <c r="N154" s="107"/>
      <c r="O154" s="107"/>
      <c r="P154" s="107"/>
      <c r="Q154" s="107"/>
    </row>
    <row r="155" ht="15.75" customHeight="1">
      <c r="A155" s="107"/>
      <c r="B155" s="107"/>
      <c r="C155" s="107"/>
      <c r="D155" s="107"/>
      <c r="E155" s="107"/>
      <c r="F155" s="107"/>
      <c r="G155" s="107"/>
      <c r="H155" s="107"/>
      <c r="I155" s="107"/>
      <c r="J155" s="107"/>
      <c r="K155" s="142"/>
      <c r="L155" s="107"/>
      <c r="M155" s="107"/>
      <c r="N155" s="107"/>
      <c r="O155" s="107"/>
      <c r="P155" s="107"/>
      <c r="Q155" s="107"/>
    </row>
    <row r="156" ht="15.75" customHeight="1">
      <c r="A156" s="107"/>
      <c r="B156" s="107"/>
      <c r="C156" s="107"/>
      <c r="D156" s="107"/>
      <c r="E156" s="107"/>
      <c r="F156" s="107"/>
      <c r="G156" s="107"/>
      <c r="H156" s="107"/>
      <c r="I156" s="107"/>
      <c r="J156" s="107"/>
      <c r="K156" s="142"/>
      <c r="L156" s="107"/>
      <c r="M156" s="107"/>
      <c r="N156" s="107"/>
      <c r="O156" s="107"/>
      <c r="P156" s="107"/>
      <c r="Q156" s="107"/>
    </row>
    <row r="157" ht="15.75" customHeight="1">
      <c r="A157" s="107"/>
      <c r="B157" s="107"/>
      <c r="C157" s="107"/>
      <c r="D157" s="107"/>
      <c r="E157" s="107"/>
      <c r="F157" s="107"/>
      <c r="G157" s="107"/>
      <c r="H157" s="107"/>
      <c r="I157" s="107"/>
      <c r="J157" s="107"/>
      <c r="K157" s="142"/>
      <c r="L157" s="107"/>
      <c r="M157" s="107"/>
      <c r="N157" s="107"/>
      <c r="O157" s="107"/>
      <c r="P157" s="107"/>
      <c r="Q157" s="107"/>
    </row>
    <row r="158" ht="15.75" customHeight="1">
      <c r="A158" s="107"/>
      <c r="B158" s="107"/>
      <c r="C158" s="107"/>
      <c r="D158" s="107"/>
      <c r="E158" s="107"/>
      <c r="F158" s="107"/>
      <c r="G158" s="107"/>
      <c r="H158" s="107"/>
      <c r="I158" s="107"/>
      <c r="J158" s="107"/>
      <c r="K158" s="142"/>
      <c r="L158" s="107"/>
      <c r="M158" s="107"/>
      <c r="N158" s="107"/>
      <c r="O158" s="107"/>
      <c r="P158" s="107"/>
      <c r="Q158" s="107"/>
    </row>
    <row r="159" ht="15.75" customHeight="1">
      <c r="A159" s="107"/>
      <c r="B159" s="107"/>
      <c r="C159" s="107"/>
      <c r="D159" s="107"/>
      <c r="E159" s="107"/>
      <c r="F159" s="107"/>
      <c r="G159" s="107"/>
      <c r="H159" s="107"/>
      <c r="I159" s="107"/>
      <c r="J159" s="107"/>
      <c r="K159" s="142"/>
      <c r="L159" s="107"/>
      <c r="M159" s="107"/>
      <c r="N159" s="107"/>
      <c r="O159" s="107"/>
      <c r="P159" s="107"/>
      <c r="Q159" s="107"/>
    </row>
    <row r="160" ht="15.75" customHeight="1">
      <c r="A160" s="107"/>
      <c r="B160" s="107"/>
      <c r="C160" s="107"/>
      <c r="D160" s="107"/>
      <c r="E160" s="107"/>
      <c r="F160" s="107"/>
      <c r="G160" s="107"/>
      <c r="H160" s="107"/>
      <c r="I160" s="107"/>
      <c r="J160" s="107"/>
      <c r="K160" s="142"/>
      <c r="L160" s="107"/>
      <c r="M160" s="107"/>
      <c r="N160" s="107"/>
      <c r="O160" s="107"/>
      <c r="P160" s="107"/>
      <c r="Q160" s="107"/>
    </row>
    <row r="161" ht="15.75" customHeight="1">
      <c r="A161" s="107"/>
      <c r="B161" s="107"/>
      <c r="C161" s="107"/>
      <c r="D161" s="107"/>
      <c r="E161" s="107"/>
      <c r="F161" s="107"/>
      <c r="G161" s="107"/>
      <c r="H161" s="107"/>
      <c r="I161" s="107"/>
      <c r="J161" s="107"/>
      <c r="K161" s="142"/>
      <c r="L161" s="107"/>
      <c r="M161" s="107"/>
      <c r="N161" s="107"/>
      <c r="O161" s="107"/>
      <c r="P161" s="107"/>
      <c r="Q161" s="107"/>
    </row>
    <row r="162" ht="15.75" customHeight="1">
      <c r="A162" s="107"/>
      <c r="B162" s="107"/>
      <c r="C162" s="107"/>
      <c r="D162" s="107"/>
      <c r="E162" s="107"/>
      <c r="F162" s="107"/>
      <c r="G162" s="107"/>
      <c r="H162" s="107"/>
      <c r="I162" s="107"/>
      <c r="J162" s="107"/>
      <c r="K162" s="142"/>
      <c r="L162" s="107"/>
      <c r="M162" s="107"/>
      <c r="N162" s="107"/>
      <c r="O162" s="107"/>
      <c r="P162" s="107"/>
      <c r="Q162" s="107"/>
    </row>
    <row r="163" ht="15.75" customHeight="1">
      <c r="A163" s="107"/>
      <c r="B163" s="107"/>
      <c r="C163" s="107"/>
      <c r="D163" s="107"/>
      <c r="E163" s="107"/>
      <c r="F163" s="107"/>
      <c r="G163" s="107"/>
      <c r="H163" s="107"/>
      <c r="I163" s="107"/>
      <c r="J163" s="107"/>
      <c r="K163" s="142"/>
      <c r="L163" s="107"/>
      <c r="M163" s="107"/>
      <c r="N163" s="107"/>
      <c r="O163" s="107"/>
      <c r="P163" s="107"/>
      <c r="Q163" s="107"/>
    </row>
    <row r="164" ht="15.75" customHeight="1">
      <c r="A164" s="107"/>
      <c r="B164" s="107"/>
      <c r="C164" s="107"/>
      <c r="D164" s="107"/>
      <c r="E164" s="107"/>
      <c r="F164" s="107"/>
      <c r="G164" s="107"/>
      <c r="H164" s="107"/>
      <c r="I164" s="107"/>
      <c r="J164" s="107"/>
      <c r="K164" s="142"/>
      <c r="L164" s="107"/>
      <c r="M164" s="107"/>
      <c r="N164" s="107"/>
      <c r="O164" s="107"/>
      <c r="P164" s="107"/>
      <c r="Q164" s="107"/>
    </row>
    <row r="165" ht="15.75" customHeight="1">
      <c r="A165" s="107"/>
      <c r="B165" s="107"/>
      <c r="C165" s="107"/>
      <c r="D165" s="107"/>
      <c r="E165" s="107"/>
      <c r="F165" s="107"/>
      <c r="G165" s="107"/>
      <c r="H165" s="107"/>
      <c r="I165" s="107"/>
      <c r="J165" s="107"/>
      <c r="K165" s="142"/>
      <c r="L165" s="107"/>
      <c r="M165" s="107"/>
      <c r="N165" s="107"/>
      <c r="O165" s="107"/>
      <c r="P165" s="107"/>
      <c r="Q165" s="107"/>
    </row>
    <row r="166" ht="15.75" customHeight="1">
      <c r="A166" s="107"/>
      <c r="B166" s="107"/>
      <c r="C166" s="107"/>
      <c r="D166" s="107"/>
      <c r="E166" s="107"/>
      <c r="F166" s="107"/>
      <c r="G166" s="107"/>
      <c r="H166" s="107"/>
      <c r="I166" s="107"/>
      <c r="J166" s="107"/>
      <c r="K166" s="142"/>
      <c r="L166" s="107"/>
      <c r="M166" s="107"/>
      <c r="N166" s="107"/>
      <c r="O166" s="107"/>
      <c r="P166" s="107"/>
      <c r="Q166" s="107"/>
    </row>
    <row r="167" ht="15.75" customHeight="1">
      <c r="A167" s="107"/>
      <c r="B167" s="107"/>
      <c r="C167" s="107"/>
      <c r="D167" s="107"/>
      <c r="E167" s="107"/>
      <c r="F167" s="107"/>
      <c r="G167" s="107"/>
      <c r="H167" s="107"/>
      <c r="I167" s="107"/>
      <c r="J167" s="107"/>
      <c r="K167" s="142"/>
      <c r="L167" s="107"/>
      <c r="M167" s="107"/>
      <c r="N167" s="107"/>
      <c r="O167" s="107"/>
      <c r="P167" s="107"/>
      <c r="Q167" s="107"/>
    </row>
    <row r="168" ht="15.75" customHeight="1">
      <c r="A168" s="107"/>
      <c r="B168" s="107"/>
      <c r="C168" s="107"/>
      <c r="D168" s="107"/>
      <c r="E168" s="107"/>
      <c r="F168" s="107"/>
      <c r="G168" s="107"/>
      <c r="H168" s="107"/>
      <c r="I168" s="107"/>
      <c r="J168" s="107"/>
      <c r="K168" s="142"/>
      <c r="L168" s="107"/>
      <c r="M168" s="107"/>
      <c r="N168" s="107"/>
      <c r="O168" s="107"/>
      <c r="P168" s="107"/>
      <c r="Q168" s="107"/>
    </row>
    <row r="169" ht="15.75" customHeight="1">
      <c r="A169" s="107"/>
      <c r="B169" s="107"/>
      <c r="C169" s="107"/>
      <c r="D169" s="107"/>
      <c r="E169" s="107"/>
      <c r="F169" s="107"/>
      <c r="G169" s="107"/>
      <c r="H169" s="107"/>
      <c r="I169" s="107"/>
      <c r="J169" s="107"/>
      <c r="K169" s="142"/>
      <c r="L169" s="107"/>
      <c r="M169" s="107"/>
      <c r="N169" s="107"/>
      <c r="O169" s="107"/>
      <c r="P169" s="107"/>
      <c r="Q169" s="107"/>
    </row>
    <row r="170" ht="15.75" customHeight="1">
      <c r="A170" s="107"/>
      <c r="B170" s="107"/>
      <c r="C170" s="107"/>
      <c r="D170" s="107"/>
      <c r="E170" s="107"/>
      <c r="F170" s="107"/>
      <c r="G170" s="107"/>
      <c r="H170" s="107"/>
      <c r="I170" s="107"/>
      <c r="J170" s="107"/>
      <c r="K170" s="142"/>
      <c r="L170" s="107"/>
      <c r="M170" s="107"/>
      <c r="N170" s="107"/>
      <c r="O170" s="107"/>
      <c r="P170" s="107"/>
      <c r="Q170" s="107"/>
    </row>
    <row r="171" ht="15.75" customHeight="1">
      <c r="A171" s="107"/>
      <c r="B171" s="107"/>
      <c r="C171" s="107"/>
      <c r="D171" s="107"/>
      <c r="E171" s="107"/>
      <c r="F171" s="107"/>
      <c r="G171" s="107"/>
      <c r="H171" s="107"/>
      <c r="I171" s="107"/>
      <c r="J171" s="107"/>
      <c r="K171" s="142"/>
      <c r="L171" s="107"/>
      <c r="M171" s="107"/>
      <c r="N171" s="107"/>
      <c r="O171" s="107"/>
      <c r="P171" s="107"/>
      <c r="Q171" s="107"/>
    </row>
    <row r="172" ht="15.75" customHeight="1">
      <c r="A172" s="107"/>
      <c r="B172" s="107"/>
      <c r="C172" s="107"/>
      <c r="D172" s="107"/>
      <c r="E172" s="107"/>
      <c r="F172" s="107"/>
      <c r="G172" s="107"/>
      <c r="H172" s="107"/>
      <c r="I172" s="107"/>
      <c r="J172" s="107"/>
      <c r="K172" s="142"/>
      <c r="L172" s="107"/>
      <c r="M172" s="107"/>
      <c r="N172" s="107"/>
      <c r="O172" s="107"/>
      <c r="P172" s="107"/>
      <c r="Q172" s="107"/>
    </row>
    <row r="173" ht="15.75" customHeight="1">
      <c r="A173" s="107"/>
      <c r="B173" s="107"/>
      <c r="C173" s="107"/>
      <c r="D173" s="107"/>
      <c r="E173" s="107"/>
      <c r="F173" s="107"/>
      <c r="G173" s="107"/>
      <c r="H173" s="107"/>
      <c r="I173" s="107"/>
      <c r="J173" s="107"/>
      <c r="K173" s="142"/>
      <c r="L173" s="107"/>
      <c r="M173" s="107"/>
      <c r="N173" s="107"/>
      <c r="O173" s="107"/>
      <c r="P173" s="107"/>
      <c r="Q173" s="107"/>
    </row>
    <row r="174" ht="15.75" customHeight="1">
      <c r="A174" s="107"/>
      <c r="B174" s="107"/>
      <c r="C174" s="107"/>
      <c r="D174" s="107"/>
      <c r="E174" s="107"/>
      <c r="F174" s="107"/>
      <c r="G174" s="107"/>
      <c r="H174" s="107"/>
      <c r="I174" s="107"/>
      <c r="J174" s="107"/>
      <c r="K174" s="142"/>
      <c r="L174" s="107"/>
      <c r="M174" s="107"/>
      <c r="N174" s="107"/>
      <c r="O174" s="107"/>
      <c r="P174" s="107"/>
      <c r="Q174" s="107"/>
    </row>
    <row r="175" ht="15.75" customHeight="1">
      <c r="A175" s="107"/>
      <c r="B175" s="107"/>
      <c r="C175" s="107"/>
      <c r="D175" s="107"/>
      <c r="E175" s="107"/>
      <c r="F175" s="107"/>
      <c r="G175" s="107"/>
      <c r="H175" s="107"/>
      <c r="I175" s="107"/>
      <c r="J175" s="107"/>
      <c r="K175" s="142"/>
      <c r="L175" s="107"/>
      <c r="M175" s="107"/>
      <c r="N175" s="107"/>
      <c r="O175" s="107"/>
      <c r="P175" s="107"/>
      <c r="Q175" s="107"/>
    </row>
    <row r="176" ht="15.75" customHeight="1">
      <c r="A176" s="107"/>
      <c r="B176" s="107"/>
      <c r="C176" s="107"/>
      <c r="D176" s="107"/>
      <c r="E176" s="107"/>
      <c r="F176" s="107"/>
      <c r="G176" s="107"/>
      <c r="H176" s="107"/>
      <c r="I176" s="107"/>
      <c r="J176" s="107"/>
      <c r="K176" s="142"/>
      <c r="L176" s="107"/>
      <c r="M176" s="107"/>
      <c r="N176" s="107"/>
      <c r="O176" s="107"/>
      <c r="P176" s="107"/>
      <c r="Q176" s="107"/>
    </row>
    <row r="177" ht="15.75" customHeight="1">
      <c r="A177" s="107"/>
      <c r="B177" s="107"/>
      <c r="C177" s="107"/>
      <c r="D177" s="107"/>
      <c r="E177" s="107"/>
      <c r="F177" s="107"/>
      <c r="G177" s="107"/>
      <c r="H177" s="107"/>
      <c r="I177" s="107"/>
      <c r="J177" s="107"/>
      <c r="K177" s="142"/>
      <c r="L177" s="107"/>
      <c r="M177" s="107"/>
      <c r="N177" s="107"/>
      <c r="O177" s="107"/>
      <c r="P177" s="107"/>
      <c r="Q177" s="107"/>
    </row>
    <row r="178" ht="15.75" customHeight="1">
      <c r="A178" s="107"/>
      <c r="B178" s="107"/>
      <c r="C178" s="107"/>
      <c r="D178" s="107"/>
      <c r="E178" s="107"/>
      <c r="F178" s="107"/>
      <c r="G178" s="107"/>
      <c r="H178" s="107"/>
      <c r="I178" s="107"/>
      <c r="J178" s="107"/>
      <c r="K178" s="142"/>
      <c r="L178" s="107"/>
      <c r="M178" s="107"/>
      <c r="N178" s="107"/>
      <c r="O178" s="107"/>
      <c r="P178" s="107"/>
      <c r="Q178" s="107"/>
    </row>
    <row r="179" ht="15.75" customHeight="1">
      <c r="A179" s="107"/>
      <c r="B179" s="107"/>
      <c r="C179" s="107"/>
      <c r="D179" s="107"/>
      <c r="E179" s="107"/>
      <c r="F179" s="107"/>
      <c r="G179" s="107"/>
      <c r="H179" s="107"/>
      <c r="I179" s="107"/>
      <c r="J179" s="107"/>
      <c r="K179" s="142"/>
      <c r="L179" s="107"/>
      <c r="M179" s="107"/>
      <c r="N179" s="107"/>
      <c r="O179" s="107"/>
      <c r="P179" s="107"/>
      <c r="Q179" s="107"/>
    </row>
    <row r="180" ht="15.75" customHeight="1">
      <c r="A180" s="107"/>
      <c r="B180" s="107"/>
      <c r="C180" s="107"/>
      <c r="D180" s="107"/>
      <c r="E180" s="107"/>
      <c r="F180" s="107"/>
      <c r="G180" s="107"/>
      <c r="H180" s="107"/>
      <c r="I180" s="107"/>
      <c r="J180" s="107"/>
      <c r="K180" s="142"/>
      <c r="L180" s="107"/>
      <c r="M180" s="107"/>
      <c r="N180" s="107"/>
      <c r="O180" s="107"/>
      <c r="P180" s="107"/>
      <c r="Q180" s="107"/>
    </row>
    <row r="181" ht="15.75" customHeight="1">
      <c r="A181" s="107"/>
      <c r="B181" s="107"/>
      <c r="C181" s="107"/>
      <c r="D181" s="107"/>
      <c r="E181" s="107"/>
      <c r="F181" s="107"/>
      <c r="G181" s="107"/>
      <c r="H181" s="107"/>
      <c r="I181" s="107"/>
      <c r="J181" s="107"/>
      <c r="K181" s="142"/>
      <c r="L181" s="107"/>
      <c r="M181" s="107"/>
      <c r="N181" s="107"/>
      <c r="O181" s="107"/>
      <c r="P181" s="107"/>
      <c r="Q181" s="107"/>
    </row>
    <row r="182" ht="15.75" customHeight="1">
      <c r="A182" s="107"/>
      <c r="B182" s="107"/>
      <c r="C182" s="107"/>
      <c r="D182" s="107"/>
      <c r="E182" s="107"/>
      <c r="F182" s="107"/>
      <c r="G182" s="107"/>
      <c r="H182" s="107"/>
      <c r="I182" s="107"/>
      <c r="J182" s="107"/>
      <c r="K182" s="142"/>
      <c r="L182" s="107"/>
      <c r="M182" s="107"/>
      <c r="N182" s="107"/>
      <c r="O182" s="107"/>
      <c r="P182" s="107"/>
      <c r="Q182" s="107"/>
    </row>
    <row r="183" ht="15.75" customHeight="1">
      <c r="A183" s="107"/>
      <c r="B183" s="107"/>
      <c r="C183" s="107"/>
      <c r="D183" s="107"/>
      <c r="E183" s="107"/>
      <c r="F183" s="107"/>
      <c r="G183" s="107"/>
      <c r="H183" s="107"/>
      <c r="I183" s="107"/>
      <c r="J183" s="107"/>
      <c r="K183" s="142"/>
      <c r="L183" s="107"/>
      <c r="M183" s="107"/>
      <c r="N183" s="107"/>
      <c r="O183" s="107"/>
      <c r="P183" s="107"/>
      <c r="Q183" s="107"/>
    </row>
    <row r="184" ht="15.75" customHeight="1">
      <c r="A184" s="107"/>
      <c r="B184" s="107"/>
      <c r="C184" s="107"/>
      <c r="D184" s="107"/>
      <c r="E184" s="107"/>
      <c r="F184" s="107"/>
      <c r="G184" s="107"/>
      <c r="H184" s="107"/>
      <c r="I184" s="107"/>
      <c r="J184" s="107"/>
      <c r="K184" s="142"/>
      <c r="L184" s="107"/>
      <c r="M184" s="107"/>
      <c r="N184" s="107"/>
      <c r="O184" s="107"/>
      <c r="P184" s="107"/>
      <c r="Q184" s="107"/>
    </row>
    <row r="185" ht="15.75" customHeight="1">
      <c r="A185" s="107"/>
      <c r="B185" s="107"/>
      <c r="C185" s="107"/>
      <c r="D185" s="107"/>
      <c r="E185" s="107"/>
      <c r="F185" s="107"/>
      <c r="G185" s="107"/>
      <c r="H185" s="107"/>
      <c r="I185" s="107"/>
      <c r="J185" s="107"/>
      <c r="K185" s="142"/>
      <c r="L185" s="107"/>
      <c r="M185" s="107"/>
      <c r="N185" s="107"/>
      <c r="O185" s="107"/>
      <c r="P185" s="107"/>
      <c r="Q185" s="107"/>
    </row>
    <row r="186" ht="15.75" customHeight="1">
      <c r="A186" s="107"/>
      <c r="B186" s="107"/>
      <c r="C186" s="107"/>
      <c r="D186" s="107"/>
      <c r="E186" s="107"/>
      <c r="F186" s="107"/>
      <c r="G186" s="107"/>
      <c r="H186" s="107"/>
      <c r="I186" s="107"/>
      <c r="J186" s="107"/>
      <c r="K186" s="142"/>
      <c r="L186" s="107"/>
      <c r="M186" s="107"/>
      <c r="N186" s="107"/>
      <c r="O186" s="107"/>
      <c r="P186" s="107"/>
      <c r="Q186" s="107"/>
    </row>
    <row r="187" ht="15.75" customHeight="1">
      <c r="A187" s="107"/>
      <c r="B187" s="107"/>
      <c r="C187" s="107"/>
      <c r="D187" s="107"/>
      <c r="E187" s="107"/>
      <c r="F187" s="107"/>
      <c r="G187" s="107"/>
      <c r="H187" s="107"/>
      <c r="I187" s="107"/>
      <c r="J187" s="107"/>
      <c r="K187" s="142"/>
      <c r="L187" s="107"/>
      <c r="M187" s="107"/>
      <c r="N187" s="107"/>
      <c r="O187" s="107"/>
      <c r="P187" s="107"/>
      <c r="Q187" s="107"/>
    </row>
    <row r="188" ht="15.75" customHeight="1">
      <c r="A188" s="107"/>
      <c r="B188" s="107"/>
      <c r="C188" s="107"/>
      <c r="D188" s="107"/>
      <c r="E188" s="107"/>
      <c r="F188" s="107"/>
      <c r="G188" s="107"/>
      <c r="H188" s="107"/>
      <c r="I188" s="107"/>
      <c r="J188" s="107"/>
      <c r="K188" s="142"/>
      <c r="L188" s="107"/>
      <c r="M188" s="107"/>
      <c r="N188" s="107"/>
      <c r="O188" s="107"/>
      <c r="P188" s="107"/>
      <c r="Q188" s="107"/>
    </row>
    <row r="189" ht="15.75" customHeight="1">
      <c r="A189" s="107"/>
      <c r="B189" s="107"/>
      <c r="C189" s="107"/>
      <c r="D189" s="107"/>
      <c r="E189" s="107"/>
      <c r="F189" s="107"/>
      <c r="G189" s="107"/>
      <c r="H189" s="107"/>
      <c r="I189" s="107"/>
      <c r="J189" s="107"/>
      <c r="K189" s="142"/>
      <c r="L189" s="107"/>
      <c r="M189" s="107"/>
      <c r="N189" s="107"/>
      <c r="O189" s="107"/>
      <c r="P189" s="107"/>
      <c r="Q189" s="107"/>
    </row>
    <row r="190" ht="15.75" customHeight="1">
      <c r="A190" s="107"/>
      <c r="B190" s="107"/>
      <c r="C190" s="107"/>
      <c r="D190" s="107"/>
      <c r="E190" s="107"/>
      <c r="F190" s="107"/>
      <c r="G190" s="107"/>
      <c r="H190" s="107"/>
      <c r="I190" s="107"/>
      <c r="J190" s="107"/>
      <c r="K190" s="142"/>
      <c r="L190" s="107"/>
      <c r="M190" s="107"/>
      <c r="N190" s="107"/>
      <c r="O190" s="107"/>
      <c r="P190" s="107"/>
      <c r="Q190" s="107"/>
    </row>
    <row r="191" ht="15.75" customHeight="1">
      <c r="A191" s="107"/>
      <c r="B191" s="107"/>
      <c r="C191" s="107"/>
      <c r="D191" s="107"/>
      <c r="E191" s="107"/>
      <c r="F191" s="107"/>
      <c r="G191" s="107"/>
      <c r="H191" s="107"/>
      <c r="I191" s="107"/>
      <c r="J191" s="107"/>
      <c r="K191" s="142"/>
      <c r="L191" s="107"/>
      <c r="M191" s="107"/>
      <c r="N191" s="107"/>
      <c r="O191" s="107"/>
      <c r="P191" s="107"/>
      <c r="Q191" s="107"/>
    </row>
    <row r="192" ht="15.75" customHeight="1">
      <c r="A192" s="107"/>
      <c r="B192" s="107"/>
      <c r="C192" s="107"/>
      <c r="D192" s="107"/>
      <c r="E192" s="107"/>
      <c r="F192" s="107"/>
      <c r="G192" s="107"/>
      <c r="H192" s="107"/>
      <c r="I192" s="107"/>
      <c r="J192" s="107"/>
      <c r="K192" s="142"/>
      <c r="L192" s="107"/>
      <c r="M192" s="107"/>
      <c r="N192" s="107"/>
      <c r="O192" s="107"/>
      <c r="P192" s="107"/>
      <c r="Q192" s="107"/>
    </row>
    <row r="193" ht="15.75" customHeight="1">
      <c r="A193" s="107"/>
      <c r="B193" s="107"/>
      <c r="C193" s="107"/>
      <c r="D193" s="107"/>
      <c r="E193" s="107"/>
      <c r="F193" s="107"/>
      <c r="G193" s="107"/>
      <c r="H193" s="107"/>
      <c r="I193" s="107"/>
      <c r="J193" s="107"/>
      <c r="K193" s="142"/>
      <c r="L193" s="107"/>
      <c r="M193" s="107"/>
      <c r="N193" s="107"/>
      <c r="O193" s="107"/>
      <c r="P193" s="107"/>
      <c r="Q193" s="107"/>
    </row>
    <row r="194" ht="15.75" customHeight="1">
      <c r="A194" s="107"/>
      <c r="B194" s="107"/>
      <c r="C194" s="107"/>
      <c r="D194" s="107"/>
      <c r="E194" s="107"/>
      <c r="F194" s="107"/>
      <c r="G194" s="107"/>
      <c r="H194" s="107"/>
      <c r="I194" s="107"/>
      <c r="J194" s="107"/>
      <c r="K194" s="142"/>
      <c r="L194" s="107"/>
      <c r="M194" s="107"/>
      <c r="N194" s="107"/>
      <c r="O194" s="107"/>
      <c r="P194" s="107"/>
      <c r="Q194" s="107"/>
    </row>
    <row r="195" ht="15.75" customHeight="1">
      <c r="A195" s="107"/>
      <c r="B195" s="107"/>
      <c r="C195" s="107"/>
      <c r="D195" s="107"/>
      <c r="E195" s="107"/>
      <c r="F195" s="107"/>
      <c r="G195" s="107"/>
      <c r="H195" s="107"/>
      <c r="I195" s="107"/>
      <c r="J195" s="107"/>
      <c r="K195" s="142"/>
      <c r="L195" s="107"/>
      <c r="M195" s="107"/>
      <c r="N195" s="107"/>
      <c r="O195" s="107"/>
      <c r="P195" s="107"/>
      <c r="Q195" s="107"/>
    </row>
    <row r="196" ht="15.75" customHeight="1">
      <c r="A196" s="107"/>
      <c r="B196" s="107"/>
      <c r="C196" s="107"/>
      <c r="D196" s="107"/>
      <c r="E196" s="107"/>
      <c r="F196" s="107"/>
      <c r="G196" s="107"/>
      <c r="H196" s="107"/>
      <c r="I196" s="107"/>
      <c r="J196" s="107"/>
      <c r="K196" s="142"/>
      <c r="L196" s="107"/>
      <c r="M196" s="107"/>
      <c r="N196" s="107"/>
      <c r="O196" s="107"/>
      <c r="P196" s="107"/>
      <c r="Q196" s="107"/>
    </row>
    <row r="197" ht="15.75" customHeight="1">
      <c r="A197" s="107"/>
      <c r="B197" s="107"/>
      <c r="C197" s="107"/>
      <c r="D197" s="107"/>
      <c r="E197" s="107"/>
      <c r="F197" s="107"/>
      <c r="G197" s="107"/>
      <c r="H197" s="107"/>
      <c r="I197" s="107"/>
      <c r="J197" s="107"/>
      <c r="K197" s="142"/>
      <c r="L197" s="107"/>
      <c r="M197" s="107"/>
      <c r="N197" s="107"/>
      <c r="O197" s="107"/>
      <c r="P197" s="107"/>
      <c r="Q197" s="107"/>
    </row>
    <row r="198" ht="15.75" customHeight="1">
      <c r="A198" s="107"/>
      <c r="B198" s="107"/>
      <c r="C198" s="107"/>
      <c r="D198" s="107"/>
      <c r="E198" s="107"/>
      <c r="F198" s="107"/>
      <c r="G198" s="107"/>
      <c r="H198" s="107"/>
      <c r="I198" s="107"/>
      <c r="J198" s="107"/>
      <c r="K198" s="142"/>
      <c r="L198" s="107"/>
      <c r="M198" s="107"/>
      <c r="N198" s="107"/>
      <c r="O198" s="107"/>
      <c r="P198" s="107"/>
      <c r="Q198" s="107"/>
    </row>
    <row r="199" ht="15.75" customHeight="1">
      <c r="A199" s="107"/>
      <c r="B199" s="107"/>
      <c r="C199" s="107"/>
      <c r="D199" s="107"/>
      <c r="E199" s="107"/>
      <c r="F199" s="107"/>
      <c r="G199" s="107"/>
      <c r="H199" s="107"/>
      <c r="I199" s="107"/>
      <c r="J199" s="107"/>
      <c r="K199" s="142"/>
      <c r="L199" s="107"/>
      <c r="M199" s="107"/>
      <c r="N199" s="107"/>
      <c r="O199" s="107"/>
      <c r="P199" s="107"/>
      <c r="Q199" s="107"/>
    </row>
    <row r="200" ht="15.75" customHeight="1">
      <c r="A200" s="107"/>
      <c r="B200" s="107"/>
      <c r="C200" s="107"/>
      <c r="D200" s="107"/>
      <c r="E200" s="107"/>
      <c r="F200" s="107"/>
      <c r="G200" s="107"/>
      <c r="H200" s="107"/>
      <c r="I200" s="107"/>
      <c r="J200" s="107"/>
      <c r="K200" s="142"/>
      <c r="L200" s="107"/>
      <c r="M200" s="107"/>
      <c r="N200" s="107"/>
      <c r="O200" s="107"/>
      <c r="P200" s="107"/>
      <c r="Q200" s="107"/>
    </row>
    <row r="201" ht="15.75" customHeight="1">
      <c r="A201" s="107"/>
      <c r="B201" s="107"/>
      <c r="C201" s="107"/>
      <c r="D201" s="107"/>
      <c r="E201" s="107"/>
      <c r="F201" s="107"/>
      <c r="G201" s="107"/>
      <c r="H201" s="107"/>
      <c r="I201" s="107"/>
      <c r="J201" s="107"/>
      <c r="K201" s="142"/>
      <c r="L201" s="107"/>
      <c r="M201" s="107"/>
      <c r="N201" s="107"/>
      <c r="O201" s="107"/>
      <c r="P201" s="107"/>
      <c r="Q201" s="107"/>
    </row>
    <row r="202" ht="15.75" customHeight="1">
      <c r="A202" s="107"/>
      <c r="B202" s="107"/>
      <c r="C202" s="107"/>
      <c r="D202" s="107"/>
      <c r="E202" s="107"/>
      <c r="F202" s="107"/>
      <c r="G202" s="107"/>
      <c r="H202" s="107"/>
      <c r="I202" s="107"/>
      <c r="J202" s="107"/>
      <c r="K202" s="142"/>
      <c r="L202" s="107"/>
      <c r="M202" s="107"/>
      <c r="N202" s="107"/>
      <c r="O202" s="107"/>
      <c r="P202" s="107"/>
      <c r="Q202" s="107"/>
    </row>
    <row r="203" ht="15.75" customHeight="1">
      <c r="A203" s="107"/>
      <c r="B203" s="107"/>
      <c r="C203" s="107"/>
      <c r="D203" s="107"/>
      <c r="E203" s="107"/>
      <c r="F203" s="107"/>
      <c r="G203" s="107"/>
      <c r="H203" s="107"/>
      <c r="I203" s="107"/>
      <c r="J203" s="107"/>
      <c r="K203" s="142"/>
      <c r="L203" s="107"/>
      <c r="M203" s="107"/>
      <c r="N203" s="107"/>
      <c r="O203" s="107"/>
      <c r="P203" s="107"/>
      <c r="Q203" s="107"/>
    </row>
    <row r="204" ht="15.75" customHeight="1">
      <c r="A204" s="107"/>
      <c r="B204" s="107"/>
      <c r="C204" s="107"/>
      <c r="D204" s="107"/>
      <c r="E204" s="107"/>
      <c r="F204" s="107"/>
      <c r="G204" s="107"/>
      <c r="H204" s="107"/>
      <c r="I204" s="107"/>
      <c r="J204" s="107"/>
      <c r="K204" s="142"/>
      <c r="L204" s="107"/>
      <c r="M204" s="107"/>
      <c r="N204" s="107"/>
      <c r="O204" s="107"/>
      <c r="P204" s="107"/>
      <c r="Q204" s="107"/>
    </row>
    <row r="205" ht="15.75" customHeight="1">
      <c r="A205" s="107"/>
      <c r="B205" s="107"/>
      <c r="C205" s="107"/>
      <c r="D205" s="107"/>
      <c r="E205" s="107"/>
      <c r="F205" s="107"/>
      <c r="G205" s="107"/>
      <c r="H205" s="107"/>
      <c r="I205" s="107"/>
      <c r="J205" s="107"/>
      <c r="K205" s="142"/>
      <c r="L205" s="107"/>
      <c r="M205" s="107"/>
      <c r="N205" s="107"/>
      <c r="O205" s="107"/>
      <c r="P205" s="107"/>
      <c r="Q205" s="107"/>
    </row>
    <row r="206" ht="15.75" customHeight="1">
      <c r="A206" s="107"/>
      <c r="B206" s="107"/>
      <c r="C206" s="107"/>
      <c r="D206" s="107"/>
      <c r="E206" s="107"/>
      <c r="F206" s="107"/>
      <c r="G206" s="107"/>
      <c r="H206" s="107"/>
      <c r="I206" s="107"/>
      <c r="J206" s="107"/>
      <c r="K206" s="142"/>
      <c r="L206" s="107"/>
      <c r="M206" s="107"/>
      <c r="N206" s="107"/>
      <c r="O206" s="107"/>
      <c r="P206" s="107"/>
      <c r="Q206" s="107"/>
    </row>
    <row r="207" ht="15.75" customHeight="1">
      <c r="A207" s="107"/>
      <c r="B207" s="107"/>
      <c r="C207" s="107"/>
      <c r="D207" s="107"/>
      <c r="E207" s="107"/>
      <c r="F207" s="107"/>
      <c r="G207" s="107"/>
      <c r="H207" s="107"/>
      <c r="I207" s="107"/>
      <c r="J207" s="107"/>
      <c r="K207" s="142"/>
      <c r="L207" s="107"/>
      <c r="M207" s="107"/>
      <c r="N207" s="107"/>
      <c r="O207" s="107"/>
      <c r="P207" s="107"/>
      <c r="Q207" s="107"/>
    </row>
    <row r="208" ht="15.75" customHeight="1">
      <c r="A208" s="107"/>
      <c r="B208" s="107"/>
      <c r="C208" s="107"/>
      <c r="D208" s="107"/>
      <c r="E208" s="107"/>
      <c r="F208" s="107"/>
      <c r="G208" s="107"/>
      <c r="H208" s="107"/>
      <c r="I208" s="107"/>
      <c r="J208" s="107"/>
      <c r="K208" s="142"/>
      <c r="L208" s="107"/>
      <c r="M208" s="107"/>
      <c r="N208" s="107"/>
      <c r="O208" s="107"/>
      <c r="P208" s="107"/>
      <c r="Q208" s="107"/>
    </row>
    <row r="209" ht="15.75" customHeight="1">
      <c r="A209" s="107"/>
      <c r="B209" s="107"/>
      <c r="C209" s="107"/>
      <c r="D209" s="107"/>
      <c r="E209" s="107"/>
      <c r="F209" s="107"/>
      <c r="G209" s="107"/>
      <c r="H209" s="107"/>
      <c r="I209" s="107"/>
      <c r="J209" s="107"/>
      <c r="K209" s="142"/>
      <c r="L209" s="107"/>
      <c r="M209" s="107"/>
      <c r="N209" s="107"/>
      <c r="O209" s="107"/>
      <c r="P209" s="107"/>
      <c r="Q209" s="107"/>
    </row>
    <row r="210" ht="15.75" customHeight="1">
      <c r="A210" s="107"/>
      <c r="B210" s="107"/>
      <c r="C210" s="107"/>
      <c r="D210" s="107"/>
      <c r="E210" s="107"/>
      <c r="F210" s="107"/>
      <c r="G210" s="107"/>
      <c r="H210" s="107"/>
      <c r="I210" s="107"/>
      <c r="J210" s="107"/>
      <c r="K210" s="142"/>
      <c r="L210" s="107"/>
      <c r="M210" s="107"/>
      <c r="N210" s="107"/>
      <c r="O210" s="107"/>
      <c r="P210" s="107"/>
      <c r="Q210" s="107"/>
    </row>
    <row r="211" ht="15.75" customHeight="1">
      <c r="A211" s="107"/>
      <c r="B211" s="107"/>
      <c r="C211" s="107"/>
      <c r="D211" s="107"/>
      <c r="E211" s="107"/>
      <c r="F211" s="107"/>
      <c r="G211" s="107"/>
      <c r="H211" s="107"/>
      <c r="I211" s="107"/>
      <c r="J211" s="107"/>
      <c r="K211" s="142"/>
      <c r="L211" s="107"/>
      <c r="M211" s="107"/>
      <c r="N211" s="107"/>
      <c r="O211" s="107"/>
      <c r="P211" s="107"/>
      <c r="Q211" s="107"/>
    </row>
    <row r="212" ht="15.75" customHeight="1">
      <c r="A212" s="107"/>
      <c r="B212" s="107"/>
      <c r="C212" s="107"/>
      <c r="D212" s="107"/>
      <c r="E212" s="107"/>
      <c r="F212" s="107"/>
      <c r="G212" s="107"/>
      <c r="H212" s="107"/>
      <c r="I212" s="107"/>
      <c r="J212" s="107"/>
      <c r="K212" s="142"/>
      <c r="L212" s="107"/>
      <c r="M212" s="107"/>
      <c r="N212" s="107"/>
      <c r="O212" s="107"/>
      <c r="P212" s="107"/>
      <c r="Q212" s="107"/>
    </row>
    <row r="213" ht="15.75" customHeight="1">
      <c r="A213" s="107"/>
      <c r="B213" s="107"/>
      <c r="C213" s="107"/>
      <c r="D213" s="107"/>
      <c r="E213" s="107"/>
      <c r="F213" s="107"/>
      <c r="G213" s="107"/>
      <c r="H213" s="107"/>
      <c r="I213" s="107"/>
      <c r="J213" s="107"/>
      <c r="K213" s="142"/>
      <c r="L213" s="107"/>
      <c r="M213" s="107"/>
      <c r="N213" s="107"/>
      <c r="O213" s="107"/>
      <c r="P213" s="107"/>
      <c r="Q213" s="107"/>
    </row>
    <row r="214" ht="15.75" customHeight="1">
      <c r="A214" s="107"/>
      <c r="B214" s="107"/>
      <c r="C214" s="107"/>
      <c r="D214" s="107"/>
      <c r="E214" s="107"/>
      <c r="F214" s="107"/>
      <c r="G214" s="107"/>
      <c r="H214" s="107"/>
      <c r="I214" s="107"/>
      <c r="J214" s="107"/>
      <c r="K214" s="142"/>
      <c r="L214" s="107"/>
      <c r="M214" s="107"/>
      <c r="N214" s="107"/>
      <c r="O214" s="107"/>
      <c r="P214" s="107"/>
      <c r="Q214" s="107"/>
    </row>
    <row r="215" ht="15.75" customHeight="1">
      <c r="A215" s="107"/>
      <c r="B215" s="107"/>
      <c r="C215" s="107"/>
      <c r="D215" s="107"/>
      <c r="E215" s="107"/>
      <c r="F215" s="107"/>
      <c r="G215" s="107"/>
      <c r="H215" s="107"/>
      <c r="I215" s="107"/>
      <c r="J215" s="107"/>
      <c r="K215" s="142"/>
      <c r="L215" s="107"/>
      <c r="M215" s="107"/>
      <c r="N215" s="107"/>
      <c r="O215" s="107"/>
      <c r="P215" s="107"/>
      <c r="Q215" s="107"/>
    </row>
    <row r="216" ht="15.75" customHeight="1">
      <c r="A216" s="107"/>
      <c r="B216" s="107"/>
      <c r="C216" s="107"/>
      <c r="D216" s="107"/>
      <c r="E216" s="107"/>
      <c r="F216" s="107"/>
      <c r="G216" s="107"/>
      <c r="H216" s="107"/>
      <c r="I216" s="107"/>
      <c r="J216" s="107"/>
      <c r="K216" s="142"/>
      <c r="L216" s="107"/>
      <c r="M216" s="107"/>
      <c r="N216" s="107"/>
      <c r="O216" s="107"/>
      <c r="P216" s="107"/>
      <c r="Q216" s="107"/>
    </row>
    <row r="217" ht="15.75" customHeight="1">
      <c r="A217" s="107"/>
      <c r="B217" s="107"/>
      <c r="C217" s="107"/>
      <c r="D217" s="107"/>
      <c r="E217" s="107"/>
      <c r="F217" s="107"/>
      <c r="G217" s="107"/>
      <c r="H217" s="107"/>
      <c r="I217" s="107"/>
      <c r="J217" s="107"/>
      <c r="K217" s="142"/>
      <c r="L217" s="107"/>
      <c r="M217" s="107"/>
      <c r="N217" s="107"/>
      <c r="O217" s="107"/>
      <c r="P217" s="107"/>
      <c r="Q217" s="107"/>
    </row>
    <row r="218" ht="15.75" customHeight="1">
      <c r="A218" s="107"/>
      <c r="B218" s="107"/>
      <c r="C218" s="107"/>
      <c r="D218" s="107"/>
      <c r="E218" s="107"/>
      <c r="F218" s="107"/>
      <c r="G218" s="107"/>
      <c r="H218" s="107"/>
      <c r="I218" s="107"/>
      <c r="J218" s="107"/>
      <c r="K218" s="142"/>
      <c r="L218" s="107"/>
      <c r="M218" s="107"/>
      <c r="N218" s="107"/>
      <c r="O218" s="107"/>
      <c r="P218" s="107"/>
      <c r="Q218" s="107"/>
    </row>
    <row r="219" ht="15.75" customHeight="1">
      <c r="A219" s="107"/>
      <c r="B219" s="107"/>
      <c r="C219" s="107"/>
      <c r="D219" s="107"/>
      <c r="E219" s="107"/>
      <c r="F219" s="107"/>
      <c r="G219" s="107"/>
      <c r="H219" s="107"/>
      <c r="I219" s="107"/>
      <c r="J219" s="107"/>
      <c r="K219" s="142"/>
      <c r="L219" s="107"/>
      <c r="M219" s="107"/>
      <c r="N219" s="107"/>
      <c r="O219" s="107"/>
      <c r="P219" s="107"/>
      <c r="Q219" s="107"/>
    </row>
    <row r="220" ht="15.75" customHeight="1">
      <c r="A220" s="107"/>
      <c r="B220" s="107"/>
      <c r="C220" s="107"/>
      <c r="D220" s="107"/>
      <c r="E220" s="107"/>
      <c r="F220" s="107"/>
      <c r="G220" s="107"/>
      <c r="H220" s="107"/>
      <c r="I220" s="107"/>
      <c r="J220" s="107"/>
      <c r="K220" s="142"/>
      <c r="L220" s="107"/>
      <c r="M220" s="107"/>
      <c r="N220" s="107"/>
      <c r="O220" s="107"/>
      <c r="P220" s="107"/>
      <c r="Q220" s="107"/>
    </row>
    <row r="221" ht="15.75" customHeight="1">
      <c r="A221" s="107"/>
      <c r="B221" s="107"/>
      <c r="C221" s="107"/>
      <c r="D221" s="107"/>
      <c r="E221" s="107"/>
      <c r="F221" s="107"/>
      <c r="G221" s="107"/>
      <c r="H221" s="107"/>
      <c r="I221" s="107"/>
      <c r="J221" s="107"/>
      <c r="K221" s="142"/>
      <c r="L221" s="107"/>
      <c r="M221" s="107"/>
      <c r="N221" s="107"/>
      <c r="O221" s="107"/>
      <c r="P221" s="107"/>
      <c r="Q221" s="107"/>
    </row>
    <row r="222" ht="15.75" customHeight="1">
      <c r="A222" s="107"/>
      <c r="B222" s="107"/>
      <c r="C222" s="107"/>
      <c r="D222" s="107"/>
      <c r="E222" s="107"/>
      <c r="F222" s="107"/>
      <c r="G222" s="107"/>
      <c r="H222" s="107"/>
      <c r="I222" s="107"/>
      <c r="J222" s="107"/>
      <c r="K222" s="142"/>
      <c r="L222" s="107"/>
      <c r="M222" s="107"/>
      <c r="N222" s="107"/>
      <c r="O222" s="107"/>
      <c r="P222" s="107"/>
      <c r="Q222" s="107"/>
    </row>
    <row r="223" ht="15.75" customHeight="1">
      <c r="A223" s="107"/>
      <c r="B223" s="107"/>
      <c r="C223" s="107"/>
      <c r="D223" s="107"/>
      <c r="E223" s="107"/>
      <c r="F223" s="107"/>
      <c r="G223" s="107"/>
      <c r="H223" s="107"/>
      <c r="I223" s="107"/>
      <c r="J223" s="107"/>
      <c r="K223" s="142"/>
      <c r="L223" s="107"/>
      <c r="M223" s="107"/>
      <c r="N223" s="107"/>
      <c r="O223" s="107"/>
      <c r="P223" s="107"/>
      <c r="Q223" s="107"/>
    </row>
    <row r="224" ht="15.75" customHeight="1">
      <c r="A224" s="107"/>
      <c r="B224" s="107"/>
      <c r="C224" s="107"/>
      <c r="D224" s="107"/>
      <c r="E224" s="107"/>
      <c r="F224" s="107"/>
      <c r="G224" s="107"/>
      <c r="H224" s="107"/>
      <c r="I224" s="107"/>
      <c r="J224" s="107"/>
      <c r="K224" s="142"/>
      <c r="L224" s="107"/>
      <c r="M224" s="107"/>
      <c r="N224" s="107"/>
      <c r="O224" s="107"/>
      <c r="P224" s="107"/>
      <c r="Q224" s="107"/>
    </row>
    <row r="225" ht="15.75" customHeight="1">
      <c r="A225" s="107"/>
      <c r="B225" s="107"/>
      <c r="C225" s="107"/>
      <c r="D225" s="107"/>
      <c r="E225" s="107"/>
      <c r="F225" s="107"/>
      <c r="G225" s="107"/>
      <c r="H225" s="107"/>
      <c r="I225" s="107"/>
      <c r="J225" s="107"/>
      <c r="K225" s="142"/>
      <c r="L225" s="107"/>
      <c r="M225" s="107"/>
      <c r="N225" s="107"/>
      <c r="O225" s="107"/>
      <c r="P225" s="107"/>
      <c r="Q225" s="107"/>
    </row>
    <row r="226" ht="15.75" customHeight="1">
      <c r="A226" s="107"/>
      <c r="B226" s="107"/>
      <c r="C226" s="107"/>
      <c r="D226" s="107"/>
      <c r="E226" s="107"/>
      <c r="F226" s="107"/>
      <c r="G226" s="107"/>
      <c r="H226" s="107"/>
      <c r="I226" s="107"/>
      <c r="J226" s="107"/>
      <c r="K226" s="142"/>
      <c r="L226" s="107"/>
      <c r="M226" s="107"/>
      <c r="N226" s="107"/>
      <c r="O226" s="107"/>
      <c r="P226" s="107"/>
      <c r="Q226" s="107"/>
    </row>
    <row r="227" ht="15.75" customHeight="1">
      <c r="A227" s="107"/>
      <c r="B227" s="107"/>
      <c r="C227" s="107"/>
      <c r="D227" s="107"/>
      <c r="E227" s="107"/>
      <c r="F227" s="107"/>
      <c r="G227" s="107"/>
      <c r="H227" s="107"/>
      <c r="I227" s="107"/>
      <c r="J227" s="107"/>
      <c r="K227" s="142"/>
      <c r="L227" s="107"/>
      <c r="M227" s="107"/>
      <c r="N227" s="107"/>
      <c r="O227" s="107"/>
      <c r="P227" s="107"/>
      <c r="Q227" s="107"/>
    </row>
    <row r="228" ht="15.75" customHeight="1">
      <c r="A228" s="107"/>
      <c r="B228" s="107"/>
      <c r="C228" s="107"/>
      <c r="D228" s="107"/>
      <c r="E228" s="107"/>
      <c r="F228" s="107"/>
      <c r="G228" s="107"/>
      <c r="H228" s="107"/>
      <c r="I228" s="107"/>
      <c r="J228" s="107"/>
      <c r="K228" s="142"/>
      <c r="L228" s="107"/>
      <c r="M228" s="107"/>
      <c r="N228" s="107"/>
      <c r="O228" s="107"/>
      <c r="P228" s="107"/>
      <c r="Q228" s="107"/>
    </row>
    <row r="229" ht="15.75" customHeight="1">
      <c r="A229" s="107"/>
      <c r="B229" s="107"/>
      <c r="C229" s="107"/>
      <c r="D229" s="107"/>
      <c r="E229" s="107"/>
      <c r="F229" s="107"/>
      <c r="G229" s="107"/>
      <c r="H229" s="107"/>
      <c r="I229" s="107"/>
      <c r="J229" s="107"/>
      <c r="K229" s="142"/>
      <c r="L229" s="107"/>
      <c r="M229" s="107"/>
      <c r="N229" s="107"/>
      <c r="O229" s="107"/>
      <c r="P229" s="107"/>
      <c r="Q229" s="107"/>
    </row>
    <row r="230" ht="15.75" customHeight="1">
      <c r="A230" s="107"/>
      <c r="B230" s="107"/>
      <c r="C230" s="107"/>
      <c r="D230" s="107"/>
      <c r="E230" s="107"/>
      <c r="F230" s="107"/>
      <c r="G230" s="107"/>
      <c r="H230" s="107"/>
      <c r="I230" s="107"/>
      <c r="J230" s="107"/>
      <c r="K230" s="142"/>
      <c r="L230" s="107"/>
      <c r="M230" s="107"/>
      <c r="N230" s="107"/>
      <c r="O230" s="107"/>
      <c r="P230" s="107"/>
      <c r="Q230" s="107"/>
    </row>
    <row r="231" ht="15.75" customHeight="1">
      <c r="A231" s="107"/>
      <c r="B231" s="107"/>
      <c r="C231" s="107"/>
      <c r="D231" s="107"/>
      <c r="E231" s="107"/>
      <c r="F231" s="107"/>
      <c r="G231" s="107"/>
      <c r="H231" s="107"/>
      <c r="I231" s="107"/>
      <c r="J231" s="107"/>
      <c r="K231" s="142"/>
      <c r="L231" s="107"/>
      <c r="M231" s="107"/>
      <c r="N231" s="107"/>
      <c r="O231" s="107"/>
      <c r="P231" s="107"/>
      <c r="Q231" s="107"/>
    </row>
    <row r="232" ht="15.75" customHeight="1">
      <c r="A232" s="107"/>
      <c r="B232" s="107"/>
      <c r="C232" s="107"/>
      <c r="D232" s="107"/>
      <c r="E232" s="107"/>
      <c r="F232" s="107"/>
      <c r="G232" s="107"/>
      <c r="H232" s="107"/>
      <c r="I232" s="107"/>
      <c r="J232" s="107"/>
      <c r="K232" s="142"/>
      <c r="L232" s="107"/>
      <c r="M232" s="107"/>
      <c r="N232" s="107"/>
      <c r="O232" s="107"/>
      <c r="P232" s="107"/>
      <c r="Q232" s="107"/>
    </row>
    <row r="233" ht="15.75" customHeight="1">
      <c r="A233" s="107"/>
      <c r="B233" s="107"/>
      <c r="C233" s="107"/>
      <c r="D233" s="107"/>
      <c r="E233" s="107"/>
      <c r="F233" s="107"/>
      <c r="G233" s="107"/>
      <c r="H233" s="107"/>
      <c r="I233" s="107"/>
      <c r="J233" s="107"/>
      <c r="K233" s="142"/>
      <c r="L233" s="107"/>
      <c r="M233" s="107"/>
      <c r="N233" s="107"/>
      <c r="O233" s="107"/>
      <c r="P233" s="107"/>
      <c r="Q233" s="107"/>
    </row>
    <row r="234" ht="15.75" customHeight="1">
      <c r="A234" s="107"/>
      <c r="B234" s="107"/>
      <c r="C234" s="107"/>
      <c r="D234" s="107"/>
      <c r="E234" s="107"/>
      <c r="F234" s="107"/>
      <c r="G234" s="107"/>
      <c r="H234" s="107"/>
      <c r="I234" s="107"/>
      <c r="J234" s="107"/>
      <c r="K234" s="142"/>
      <c r="L234" s="107"/>
      <c r="M234" s="107"/>
      <c r="N234" s="107"/>
      <c r="O234" s="107"/>
      <c r="P234" s="107"/>
      <c r="Q234" s="107"/>
    </row>
    <row r="235" ht="15.75" customHeight="1">
      <c r="A235" s="107"/>
      <c r="B235" s="107"/>
      <c r="C235" s="107"/>
      <c r="D235" s="107"/>
      <c r="E235" s="107"/>
      <c r="F235" s="107"/>
      <c r="G235" s="107"/>
      <c r="H235" s="107"/>
      <c r="I235" s="107"/>
      <c r="J235" s="107"/>
      <c r="K235" s="142"/>
      <c r="L235" s="107"/>
      <c r="M235" s="107"/>
      <c r="N235" s="107"/>
      <c r="O235" s="107"/>
      <c r="P235" s="107"/>
      <c r="Q235" s="107"/>
    </row>
    <row r="236" ht="15.75" customHeight="1">
      <c r="A236" s="107"/>
      <c r="B236" s="107"/>
      <c r="C236" s="107"/>
      <c r="D236" s="107"/>
      <c r="E236" s="107"/>
      <c r="F236" s="107"/>
      <c r="G236" s="107"/>
      <c r="H236" s="107"/>
      <c r="I236" s="107"/>
      <c r="J236" s="107"/>
      <c r="K236" s="142"/>
      <c r="L236" s="107"/>
      <c r="M236" s="107"/>
      <c r="N236" s="107"/>
      <c r="O236" s="107"/>
      <c r="P236" s="107"/>
      <c r="Q236" s="107"/>
    </row>
    <row r="237" ht="15.75" customHeight="1">
      <c r="A237" s="107"/>
      <c r="B237" s="107"/>
      <c r="C237" s="107"/>
      <c r="D237" s="107"/>
      <c r="E237" s="107"/>
      <c r="F237" s="107"/>
      <c r="G237" s="107"/>
      <c r="H237" s="107"/>
      <c r="I237" s="107"/>
      <c r="J237" s="107"/>
      <c r="K237" s="142"/>
      <c r="L237" s="107"/>
      <c r="M237" s="107"/>
      <c r="N237" s="107"/>
      <c r="O237" s="107"/>
      <c r="P237" s="107"/>
      <c r="Q237" s="107"/>
    </row>
    <row r="238" ht="15.75" customHeight="1">
      <c r="A238" s="107"/>
      <c r="B238" s="107"/>
      <c r="C238" s="107"/>
      <c r="D238" s="107"/>
      <c r="E238" s="107"/>
      <c r="F238" s="107"/>
      <c r="G238" s="107"/>
      <c r="H238" s="107"/>
      <c r="I238" s="107"/>
      <c r="J238" s="107"/>
      <c r="K238" s="142"/>
      <c r="L238" s="107"/>
      <c r="M238" s="107"/>
      <c r="N238" s="107"/>
      <c r="O238" s="107"/>
      <c r="P238" s="107"/>
      <c r="Q238" s="107"/>
    </row>
    <row r="239" ht="15.75" customHeight="1">
      <c r="A239" s="107"/>
      <c r="B239" s="107"/>
      <c r="C239" s="107"/>
      <c r="D239" s="107"/>
      <c r="E239" s="107"/>
      <c r="F239" s="107"/>
      <c r="G239" s="107"/>
      <c r="H239" s="107"/>
      <c r="I239" s="107"/>
      <c r="J239" s="107"/>
      <c r="K239" s="142"/>
      <c r="L239" s="107"/>
      <c r="M239" s="107"/>
      <c r="N239" s="107"/>
      <c r="O239" s="107"/>
      <c r="P239" s="107"/>
      <c r="Q239" s="107"/>
    </row>
    <row r="240" ht="15.75" customHeight="1">
      <c r="A240" s="107"/>
      <c r="B240" s="107"/>
      <c r="C240" s="107"/>
      <c r="D240" s="107"/>
      <c r="E240" s="107"/>
      <c r="F240" s="107"/>
      <c r="G240" s="107"/>
      <c r="H240" s="107"/>
      <c r="I240" s="107"/>
      <c r="J240" s="107"/>
      <c r="K240" s="142"/>
      <c r="L240" s="107"/>
      <c r="M240" s="107"/>
      <c r="N240" s="107"/>
      <c r="O240" s="107"/>
      <c r="P240" s="107"/>
      <c r="Q240" s="107"/>
    </row>
    <row r="241" ht="15.75" customHeight="1">
      <c r="A241" s="107"/>
      <c r="B241" s="107"/>
      <c r="C241" s="107"/>
      <c r="D241" s="107"/>
      <c r="E241" s="107"/>
      <c r="F241" s="107"/>
      <c r="G241" s="107"/>
      <c r="H241" s="107"/>
      <c r="I241" s="107"/>
      <c r="J241" s="107"/>
      <c r="K241" s="142"/>
      <c r="L241" s="107"/>
      <c r="M241" s="107"/>
      <c r="N241" s="107"/>
      <c r="O241" s="107"/>
      <c r="P241" s="107"/>
      <c r="Q241" s="107"/>
    </row>
    <row r="242" ht="15.75" customHeight="1">
      <c r="A242" s="107"/>
      <c r="B242" s="107"/>
      <c r="C242" s="107"/>
      <c r="D242" s="107"/>
      <c r="E242" s="107"/>
      <c r="F242" s="107"/>
      <c r="G242" s="107"/>
      <c r="H242" s="107"/>
      <c r="I242" s="107"/>
      <c r="J242" s="107"/>
      <c r="K242" s="142"/>
      <c r="L242" s="107"/>
      <c r="M242" s="107"/>
      <c r="N242" s="107"/>
      <c r="O242" s="107"/>
      <c r="P242" s="107"/>
      <c r="Q242" s="107"/>
    </row>
    <row r="243" ht="15.75" customHeight="1">
      <c r="A243" s="107"/>
      <c r="B243" s="107"/>
      <c r="C243" s="107"/>
      <c r="D243" s="107"/>
      <c r="E243" s="107"/>
      <c r="F243" s="107"/>
      <c r="G243" s="107"/>
      <c r="H243" s="107"/>
      <c r="I243" s="107"/>
      <c r="J243" s="107"/>
      <c r="K243" s="142"/>
      <c r="L243" s="107"/>
      <c r="M243" s="107"/>
      <c r="N243" s="107"/>
      <c r="O243" s="107"/>
      <c r="P243" s="107"/>
      <c r="Q243" s="107"/>
    </row>
    <row r="244" ht="15.75" customHeight="1">
      <c r="A244" s="107"/>
      <c r="B244" s="107"/>
      <c r="C244" s="107"/>
      <c r="D244" s="107"/>
      <c r="E244" s="107"/>
      <c r="F244" s="107"/>
      <c r="G244" s="107"/>
      <c r="H244" s="107"/>
      <c r="I244" s="107"/>
      <c r="J244" s="107"/>
      <c r="K244" s="142"/>
      <c r="L244" s="107"/>
      <c r="M244" s="107"/>
      <c r="N244" s="107"/>
      <c r="O244" s="107"/>
      <c r="P244" s="107"/>
      <c r="Q244" s="107"/>
    </row>
    <row r="245" ht="15.75" customHeight="1">
      <c r="A245" s="107"/>
      <c r="B245" s="107"/>
      <c r="C245" s="107"/>
      <c r="D245" s="107"/>
      <c r="E245" s="107"/>
      <c r="F245" s="107"/>
      <c r="G245" s="107"/>
      <c r="H245" s="107"/>
      <c r="I245" s="107"/>
      <c r="J245" s="107"/>
      <c r="K245" s="142"/>
      <c r="L245" s="107"/>
      <c r="M245" s="107"/>
      <c r="N245" s="107"/>
      <c r="O245" s="107"/>
      <c r="P245" s="107"/>
      <c r="Q245" s="107"/>
    </row>
    <row r="246" ht="15.75" customHeight="1">
      <c r="A246" s="107"/>
      <c r="B246" s="107"/>
      <c r="C246" s="107"/>
      <c r="D246" s="107"/>
      <c r="E246" s="107"/>
      <c r="F246" s="107"/>
      <c r="G246" s="107"/>
      <c r="H246" s="107"/>
      <c r="I246" s="107"/>
      <c r="J246" s="107"/>
      <c r="K246" s="142"/>
      <c r="L246" s="107"/>
      <c r="M246" s="107"/>
      <c r="N246" s="107"/>
      <c r="O246" s="107"/>
      <c r="P246" s="107"/>
      <c r="Q246" s="107"/>
    </row>
    <row r="247" ht="15.75" customHeight="1">
      <c r="A247" s="107"/>
      <c r="B247" s="107"/>
      <c r="C247" s="107"/>
      <c r="D247" s="107"/>
      <c r="E247" s="107"/>
      <c r="F247" s="107"/>
      <c r="G247" s="107"/>
      <c r="H247" s="107"/>
      <c r="I247" s="107"/>
      <c r="J247" s="107"/>
      <c r="K247" s="142"/>
      <c r="L247" s="107"/>
      <c r="M247" s="107"/>
      <c r="N247" s="107"/>
      <c r="O247" s="107"/>
      <c r="P247" s="107"/>
      <c r="Q247" s="107"/>
    </row>
    <row r="248" ht="15.75" customHeight="1">
      <c r="A248" s="107"/>
      <c r="B248" s="107"/>
      <c r="C248" s="107"/>
      <c r="D248" s="107"/>
      <c r="E248" s="107"/>
      <c r="F248" s="107"/>
      <c r="G248" s="107"/>
      <c r="H248" s="107"/>
      <c r="I248" s="107"/>
      <c r="J248" s="107"/>
      <c r="K248" s="142"/>
      <c r="L248" s="107"/>
      <c r="M248" s="107"/>
      <c r="N248" s="107"/>
      <c r="O248" s="107"/>
      <c r="P248" s="107"/>
      <c r="Q248" s="107"/>
    </row>
    <row r="249" ht="15.75" customHeight="1">
      <c r="A249" s="107"/>
      <c r="B249" s="107"/>
      <c r="C249" s="107"/>
      <c r="D249" s="107"/>
      <c r="E249" s="107"/>
      <c r="F249" s="107"/>
      <c r="G249" s="107"/>
      <c r="H249" s="107"/>
      <c r="I249" s="107"/>
      <c r="J249" s="107"/>
      <c r="K249" s="142"/>
      <c r="L249" s="107"/>
      <c r="M249" s="107"/>
      <c r="N249" s="107"/>
      <c r="O249" s="107"/>
      <c r="P249" s="107"/>
      <c r="Q249" s="107"/>
    </row>
    <row r="250" ht="15.75" customHeight="1">
      <c r="A250" s="107"/>
      <c r="B250" s="107"/>
      <c r="C250" s="107"/>
      <c r="D250" s="107"/>
      <c r="E250" s="107"/>
      <c r="F250" s="107"/>
      <c r="G250" s="107"/>
      <c r="H250" s="107"/>
      <c r="I250" s="107"/>
      <c r="J250" s="107"/>
      <c r="K250" s="142"/>
      <c r="L250" s="107"/>
      <c r="M250" s="107"/>
      <c r="N250" s="107"/>
      <c r="O250" s="107"/>
      <c r="P250" s="107"/>
      <c r="Q250" s="107"/>
    </row>
    <row r="251" ht="15.75" customHeight="1">
      <c r="A251" s="107"/>
      <c r="B251" s="107"/>
      <c r="C251" s="107"/>
      <c r="D251" s="107"/>
      <c r="E251" s="107"/>
      <c r="F251" s="107"/>
      <c r="G251" s="107"/>
      <c r="H251" s="107"/>
      <c r="I251" s="107"/>
      <c r="J251" s="107"/>
      <c r="K251" s="142"/>
      <c r="L251" s="107"/>
      <c r="M251" s="107"/>
      <c r="N251" s="107"/>
      <c r="O251" s="107"/>
      <c r="P251" s="107"/>
      <c r="Q251" s="107"/>
    </row>
    <row r="252" ht="15.75" customHeight="1">
      <c r="A252" s="107"/>
      <c r="B252" s="107"/>
      <c r="C252" s="107"/>
      <c r="D252" s="107"/>
      <c r="E252" s="107"/>
      <c r="F252" s="107"/>
      <c r="G252" s="107"/>
      <c r="H252" s="107"/>
      <c r="I252" s="107"/>
      <c r="J252" s="107"/>
      <c r="K252" s="142"/>
      <c r="L252" s="107"/>
      <c r="M252" s="107"/>
      <c r="N252" s="107"/>
      <c r="O252" s="107"/>
      <c r="P252" s="107"/>
      <c r="Q252" s="107"/>
    </row>
    <row r="253" ht="15.75" customHeight="1">
      <c r="A253" s="107"/>
      <c r="B253" s="107"/>
      <c r="C253" s="107"/>
      <c r="D253" s="107"/>
      <c r="E253" s="107"/>
      <c r="F253" s="107"/>
      <c r="G253" s="107"/>
      <c r="H253" s="107"/>
      <c r="I253" s="107"/>
      <c r="J253" s="107"/>
      <c r="K253" s="142"/>
      <c r="L253" s="107"/>
      <c r="M253" s="107"/>
      <c r="N253" s="107"/>
      <c r="O253" s="107"/>
      <c r="P253" s="107"/>
      <c r="Q253" s="107"/>
    </row>
    <row r="254" ht="15.75" customHeight="1">
      <c r="A254" s="107"/>
      <c r="B254" s="107"/>
      <c r="C254" s="107"/>
      <c r="D254" s="107"/>
      <c r="E254" s="107"/>
      <c r="F254" s="107"/>
      <c r="G254" s="107"/>
      <c r="H254" s="107"/>
      <c r="I254" s="107"/>
      <c r="J254" s="107"/>
      <c r="K254" s="142"/>
      <c r="L254" s="107"/>
      <c r="M254" s="107"/>
      <c r="N254" s="107"/>
      <c r="O254" s="107"/>
      <c r="P254" s="107"/>
      <c r="Q254" s="107"/>
    </row>
    <row r="255" ht="15.75" customHeight="1">
      <c r="A255" s="107"/>
      <c r="B255" s="107"/>
      <c r="C255" s="107"/>
      <c r="D255" s="107"/>
      <c r="E255" s="107"/>
      <c r="F255" s="107"/>
      <c r="G255" s="107"/>
      <c r="H255" s="107"/>
      <c r="I255" s="107"/>
      <c r="J255" s="107"/>
      <c r="K255" s="142"/>
      <c r="L255" s="107"/>
      <c r="M255" s="107"/>
      <c r="N255" s="107"/>
      <c r="O255" s="107"/>
      <c r="P255" s="107"/>
      <c r="Q255" s="107"/>
    </row>
    <row r="256" ht="15.75" customHeight="1">
      <c r="A256" s="107"/>
      <c r="B256" s="107"/>
      <c r="C256" s="107"/>
      <c r="D256" s="107"/>
      <c r="E256" s="107"/>
      <c r="F256" s="107"/>
      <c r="G256" s="107"/>
      <c r="H256" s="107"/>
      <c r="I256" s="107"/>
      <c r="J256" s="107"/>
      <c r="K256" s="142"/>
      <c r="L256" s="107"/>
      <c r="M256" s="107"/>
      <c r="N256" s="107"/>
      <c r="O256" s="107"/>
      <c r="P256" s="107"/>
      <c r="Q256" s="107"/>
    </row>
    <row r="257" ht="15.75" customHeight="1">
      <c r="A257" s="107"/>
      <c r="B257" s="107"/>
      <c r="C257" s="107"/>
      <c r="D257" s="107"/>
      <c r="E257" s="107"/>
      <c r="F257" s="107"/>
      <c r="G257" s="107"/>
      <c r="H257" s="107"/>
      <c r="I257" s="107"/>
      <c r="J257" s="107"/>
      <c r="K257" s="142"/>
      <c r="L257" s="107"/>
      <c r="M257" s="107"/>
      <c r="N257" s="107"/>
      <c r="O257" s="107"/>
      <c r="P257" s="107"/>
      <c r="Q257" s="107"/>
    </row>
    <row r="258" ht="15.75" customHeight="1">
      <c r="A258" s="107"/>
      <c r="B258" s="107"/>
      <c r="C258" s="107"/>
      <c r="D258" s="107"/>
      <c r="E258" s="107"/>
      <c r="F258" s="107"/>
      <c r="G258" s="107"/>
      <c r="H258" s="107"/>
      <c r="I258" s="107"/>
      <c r="J258" s="107"/>
      <c r="K258" s="142"/>
      <c r="L258" s="107"/>
      <c r="M258" s="107"/>
      <c r="N258" s="107"/>
      <c r="O258" s="107"/>
      <c r="P258" s="107"/>
      <c r="Q258" s="107"/>
    </row>
    <row r="259" ht="15.75" customHeight="1">
      <c r="A259" s="107"/>
      <c r="B259" s="107"/>
      <c r="C259" s="107"/>
      <c r="D259" s="107"/>
      <c r="E259" s="107"/>
      <c r="F259" s="107"/>
      <c r="G259" s="107"/>
      <c r="H259" s="107"/>
      <c r="I259" s="107"/>
      <c r="J259" s="107"/>
      <c r="K259" s="142"/>
      <c r="L259" s="107"/>
      <c r="M259" s="107"/>
      <c r="N259" s="107"/>
      <c r="O259" s="107"/>
      <c r="P259" s="107"/>
      <c r="Q259" s="107"/>
    </row>
    <row r="260" ht="15.75" customHeight="1">
      <c r="A260" s="107"/>
      <c r="B260" s="107"/>
      <c r="C260" s="107"/>
      <c r="D260" s="107"/>
      <c r="E260" s="107"/>
      <c r="F260" s="107"/>
      <c r="G260" s="107"/>
      <c r="H260" s="107"/>
      <c r="I260" s="107"/>
      <c r="J260" s="107"/>
      <c r="K260" s="142"/>
      <c r="L260" s="107"/>
      <c r="M260" s="107"/>
      <c r="N260" s="107"/>
      <c r="O260" s="107"/>
      <c r="P260" s="107"/>
      <c r="Q260" s="107"/>
    </row>
    <row r="261" ht="15.75" customHeight="1">
      <c r="A261" s="107"/>
      <c r="B261" s="107"/>
      <c r="C261" s="107"/>
      <c r="D261" s="107"/>
      <c r="E261" s="107"/>
      <c r="F261" s="107"/>
      <c r="G261" s="107"/>
      <c r="H261" s="107"/>
      <c r="I261" s="107"/>
      <c r="J261" s="107"/>
      <c r="K261" s="142"/>
      <c r="L261" s="107"/>
      <c r="M261" s="107"/>
      <c r="N261" s="107"/>
      <c r="O261" s="107"/>
      <c r="P261" s="107"/>
      <c r="Q261" s="107"/>
    </row>
    <row r="262" ht="15.75" customHeight="1">
      <c r="A262" s="107"/>
      <c r="B262" s="107"/>
      <c r="C262" s="107"/>
      <c r="D262" s="107"/>
      <c r="E262" s="107"/>
      <c r="F262" s="107"/>
      <c r="G262" s="107"/>
      <c r="H262" s="107"/>
      <c r="I262" s="107"/>
      <c r="J262" s="107"/>
      <c r="K262" s="142"/>
      <c r="L262" s="107"/>
      <c r="M262" s="107"/>
      <c r="N262" s="107"/>
      <c r="O262" s="107"/>
      <c r="P262" s="107"/>
      <c r="Q262" s="107"/>
    </row>
    <row r="263" ht="15.75" customHeight="1">
      <c r="A263" s="107"/>
      <c r="B263" s="107"/>
      <c r="C263" s="107"/>
      <c r="D263" s="107"/>
      <c r="E263" s="107"/>
      <c r="F263" s="107"/>
      <c r="G263" s="107"/>
      <c r="H263" s="107"/>
      <c r="I263" s="107"/>
      <c r="J263" s="107"/>
      <c r="K263" s="142"/>
      <c r="L263" s="107"/>
      <c r="M263" s="107"/>
      <c r="N263" s="107"/>
      <c r="O263" s="107"/>
      <c r="P263" s="107"/>
      <c r="Q263" s="107"/>
    </row>
    <row r="264" ht="15.75" customHeight="1">
      <c r="A264" s="107"/>
      <c r="B264" s="107"/>
      <c r="C264" s="107"/>
      <c r="D264" s="107"/>
      <c r="E264" s="107"/>
      <c r="F264" s="107"/>
      <c r="G264" s="107"/>
      <c r="H264" s="107"/>
      <c r="I264" s="107"/>
      <c r="J264" s="107"/>
      <c r="K264" s="142"/>
      <c r="L264" s="107"/>
      <c r="M264" s="107"/>
      <c r="N264" s="107"/>
      <c r="O264" s="107"/>
      <c r="P264" s="107"/>
      <c r="Q264" s="107"/>
    </row>
    <row r="265" ht="15.75" customHeight="1">
      <c r="A265" s="107"/>
      <c r="B265" s="107"/>
      <c r="C265" s="107"/>
      <c r="D265" s="107"/>
      <c r="E265" s="107"/>
      <c r="F265" s="107"/>
      <c r="G265" s="107"/>
      <c r="H265" s="107"/>
      <c r="I265" s="107"/>
      <c r="J265" s="107"/>
      <c r="K265" s="107"/>
      <c r="L265" s="107"/>
      <c r="M265" s="107"/>
      <c r="N265" s="107"/>
      <c r="O265" s="107"/>
      <c r="P265" s="107"/>
      <c r="Q265" s="107"/>
    </row>
    <row r="266" ht="15.75" customHeight="1">
      <c r="A266" s="107"/>
      <c r="B266" s="107"/>
      <c r="C266" s="107"/>
      <c r="D266" s="107"/>
      <c r="E266" s="107"/>
      <c r="F266" s="107"/>
      <c r="G266" s="107"/>
      <c r="H266" s="107"/>
      <c r="I266" s="107"/>
      <c r="J266" s="107"/>
      <c r="K266" s="107"/>
      <c r="L266" s="107"/>
      <c r="M266" s="107"/>
      <c r="N266" s="107"/>
      <c r="O266" s="107"/>
      <c r="P266" s="107"/>
      <c r="Q266" s="107"/>
    </row>
    <row r="267" ht="15.75" customHeight="1">
      <c r="A267" s="107"/>
      <c r="B267" s="107"/>
      <c r="C267" s="107"/>
      <c r="D267" s="107"/>
      <c r="E267" s="107"/>
      <c r="F267" s="107"/>
      <c r="G267" s="107"/>
      <c r="H267" s="107"/>
      <c r="I267" s="107"/>
      <c r="J267" s="107"/>
      <c r="K267" s="107"/>
      <c r="L267" s="107"/>
      <c r="M267" s="107"/>
      <c r="N267" s="107"/>
      <c r="O267" s="107"/>
      <c r="P267" s="107"/>
      <c r="Q267" s="107"/>
    </row>
    <row r="268" ht="15.75" customHeight="1">
      <c r="A268" s="107"/>
      <c r="B268" s="107"/>
      <c r="C268" s="107"/>
      <c r="D268" s="107"/>
      <c r="E268" s="107"/>
      <c r="F268" s="107"/>
      <c r="G268" s="107"/>
      <c r="H268" s="107"/>
      <c r="I268" s="107"/>
      <c r="J268" s="107"/>
      <c r="K268" s="107"/>
      <c r="L268" s="107"/>
      <c r="M268" s="107"/>
      <c r="N268" s="107"/>
      <c r="O268" s="107"/>
      <c r="P268" s="107"/>
      <c r="Q268" s="107"/>
    </row>
    <row r="269" ht="15.75" customHeight="1">
      <c r="A269" s="107"/>
      <c r="B269" s="107"/>
      <c r="C269" s="107"/>
      <c r="D269" s="107"/>
      <c r="E269" s="107"/>
      <c r="F269" s="107"/>
      <c r="G269" s="107"/>
      <c r="H269" s="107"/>
      <c r="I269" s="107"/>
      <c r="J269" s="107"/>
      <c r="K269" s="107"/>
      <c r="L269" s="107"/>
      <c r="M269" s="107"/>
      <c r="N269" s="107"/>
      <c r="O269" s="107"/>
      <c r="P269" s="107"/>
      <c r="Q269" s="107"/>
    </row>
    <row r="270" ht="15.75" customHeight="1">
      <c r="A270" s="107"/>
      <c r="B270" s="107"/>
      <c r="C270" s="107"/>
      <c r="D270" s="107"/>
      <c r="E270" s="107"/>
      <c r="F270" s="107"/>
      <c r="G270" s="107"/>
      <c r="H270" s="107"/>
      <c r="I270" s="107"/>
      <c r="J270" s="107"/>
      <c r="K270" s="107"/>
      <c r="L270" s="107"/>
      <c r="M270" s="107"/>
      <c r="N270" s="107"/>
      <c r="O270" s="107"/>
      <c r="P270" s="107"/>
      <c r="Q270" s="107"/>
    </row>
    <row r="271" ht="15.75" customHeight="1">
      <c r="A271" s="107"/>
      <c r="B271" s="107"/>
      <c r="C271" s="107"/>
      <c r="D271" s="107"/>
      <c r="E271" s="107"/>
      <c r="F271" s="107"/>
      <c r="G271" s="107"/>
      <c r="H271" s="107"/>
      <c r="I271" s="107"/>
      <c r="J271" s="107"/>
      <c r="K271" s="107"/>
      <c r="L271" s="107"/>
      <c r="M271" s="107"/>
      <c r="N271" s="107"/>
      <c r="O271" s="107"/>
      <c r="P271" s="107"/>
      <c r="Q271" s="107"/>
    </row>
    <row r="272" ht="15.75" customHeight="1">
      <c r="A272" s="107"/>
      <c r="B272" s="107"/>
      <c r="C272" s="107"/>
      <c r="D272" s="107"/>
      <c r="E272" s="107"/>
      <c r="F272" s="107"/>
      <c r="G272" s="107"/>
      <c r="H272" s="107"/>
      <c r="I272" s="107"/>
      <c r="J272" s="107"/>
      <c r="K272" s="107"/>
      <c r="L272" s="107"/>
      <c r="M272" s="107"/>
      <c r="N272" s="107"/>
      <c r="O272" s="107"/>
      <c r="P272" s="107"/>
      <c r="Q272" s="107"/>
    </row>
    <row r="273" ht="15.75" customHeight="1">
      <c r="A273" s="107"/>
      <c r="B273" s="107"/>
      <c r="C273" s="107"/>
      <c r="D273" s="107"/>
      <c r="E273" s="107"/>
      <c r="F273" s="107"/>
      <c r="G273" s="107"/>
      <c r="H273" s="107"/>
      <c r="I273" s="107"/>
      <c r="J273" s="107"/>
      <c r="K273" s="107"/>
      <c r="L273" s="107"/>
      <c r="M273" s="107"/>
      <c r="N273" s="107"/>
      <c r="O273" s="107"/>
      <c r="P273" s="107"/>
      <c r="Q273" s="107"/>
    </row>
    <row r="274" ht="15.75" customHeight="1">
      <c r="A274" s="107"/>
      <c r="B274" s="107"/>
      <c r="C274" s="107"/>
      <c r="D274" s="107"/>
      <c r="E274" s="107"/>
      <c r="F274" s="107"/>
      <c r="G274" s="107"/>
      <c r="H274" s="107"/>
      <c r="I274" s="107"/>
      <c r="J274" s="107"/>
      <c r="K274" s="107"/>
      <c r="L274" s="107"/>
      <c r="M274" s="107"/>
      <c r="N274" s="107"/>
      <c r="O274" s="107"/>
      <c r="P274" s="107"/>
      <c r="Q274" s="107"/>
    </row>
    <row r="275" ht="15.75" customHeight="1">
      <c r="A275" s="107"/>
      <c r="B275" s="107"/>
      <c r="C275" s="107"/>
      <c r="D275" s="107"/>
      <c r="E275" s="107"/>
      <c r="F275" s="107"/>
      <c r="G275" s="107"/>
      <c r="H275" s="107"/>
      <c r="I275" s="107"/>
      <c r="J275" s="107"/>
      <c r="K275" s="107"/>
      <c r="L275" s="107"/>
      <c r="M275" s="107"/>
      <c r="N275" s="107"/>
      <c r="O275" s="107"/>
      <c r="P275" s="107"/>
      <c r="Q275" s="107"/>
    </row>
    <row r="276" ht="15.75" customHeight="1">
      <c r="A276" s="107"/>
      <c r="B276" s="107"/>
      <c r="C276" s="107"/>
      <c r="D276" s="107"/>
      <c r="E276" s="107"/>
      <c r="F276" s="107"/>
      <c r="G276" s="107"/>
      <c r="H276" s="107"/>
      <c r="I276" s="107"/>
      <c r="J276" s="107"/>
      <c r="K276" s="107"/>
      <c r="L276" s="107"/>
      <c r="M276" s="107"/>
      <c r="N276" s="107"/>
      <c r="O276" s="107"/>
      <c r="P276" s="107"/>
      <c r="Q276" s="107"/>
    </row>
    <row r="277" ht="15.75" customHeight="1">
      <c r="A277" s="107"/>
      <c r="B277" s="107"/>
      <c r="C277" s="107"/>
      <c r="D277" s="107"/>
      <c r="E277" s="107"/>
      <c r="F277" s="107"/>
      <c r="G277" s="107"/>
      <c r="H277" s="107"/>
      <c r="I277" s="107"/>
      <c r="J277" s="107"/>
      <c r="K277" s="107"/>
      <c r="L277" s="107"/>
      <c r="M277" s="107"/>
      <c r="N277" s="107"/>
      <c r="O277" s="107"/>
      <c r="P277" s="107"/>
      <c r="Q277" s="107"/>
    </row>
    <row r="278" ht="15.75" customHeight="1">
      <c r="A278" s="107"/>
      <c r="B278" s="107"/>
      <c r="C278" s="107"/>
      <c r="D278" s="107"/>
      <c r="E278" s="107"/>
      <c r="F278" s="107"/>
      <c r="G278" s="107"/>
      <c r="H278" s="107"/>
      <c r="I278" s="107"/>
      <c r="J278" s="107"/>
      <c r="K278" s="107"/>
      <c r="L278" s="107"/>
      <c r="M278" s="107"/>
      <c r="N278" s="107"/>
      <c r="O278" s="107"/>
      <c r="P278" s="107"/>
      <c r="Q278" s="107"/>
    </row>
    <row r="279" ht="15.75" customHeight="1">
      <c r="A279" s="107"/>
      <c r="B279" s="107"/>
      <c r="C279" s="107"/>
      <c r="D279" s="107"/>
      <c r="E279" s="107"/>
      <c r="F279" s="107"/>
      <c r="G279" s="107"/>
      <c r="H279" s="107"/>
      <c r="I279" s="107"/>
      <c r="J279" s="107"/>
      <c r="K279" s="107"/>
      <c r="L279" s="107"/>
      <c r="M279" s="107"/>
      <c r="N279" s="107"/>
      <c r="O279" s="107"/>
      <c r="P279" s="107"/>
      <c r="Q279" s="107"/>
    </row>
    <row r="280" ht="15.75" customHeight="1">
      <c r="A280" s="107"/>
      <c r="B280" s="107"/>
      <c r="C280" s="107"/>
      <c r="D280" s="107"/>
      <c r="E280" s="107"/>
      <c r="F280" s="107"/>
      <c r="G280" s="107"/>
      <c r="H280" s="107"/>
      <c r="I280" s="107"/>
      <c r="J280" s="107"/>
      <c r="K280" s="107"/>
      <c r="L280" s="107"/>
      <c r="M280" s="107"/>
      <c r="N280" s="107"/>
      <c r="O280" s="107"/>
      <c r="P280" s="107"/>
      <c r="Q280" s="107"/>
    </row>
    <row r="281" ht="15.75" customHeight="1">
      <c r="A281" s="107"/>
      <c r="B281" s="107"/>
      <c r="C281" s="107"/>
      <c r="D281" s="107"/>
      <c r="E281" s="107"/>
      <c r="F281" s="107"/>
      <c r="G281" s="107"/>
      <c r="H281" s="107"/>
      <c r="I281" s="107"/>
      <c r="J281" s="107"/>
      <c r="K281" s="107"/>
      <c r="L281" s="107"/>
      <c r="M281" s="107"/>
      <c r="N281" s="107"/>
      <c r="O281" s="107"/>
      <c r="P281" s="107"/>
      <c r="Q281" s="107"/>
    </row>
    <row r="282" ht="15.75" customHeight="1">
      <c r="A282" s="107"/>
      <c r="B282" s="107"/>
      <c r="C282" s="107"/>
      <c r="D282" s="107"/>
      <c r="E282" s="107"/>
      <c r="F282" s="107"/>
      <c r="G282" s="107"/>
      <c r="H282" s="107"/>
      <c r="I282" s="107"/>
      <c r="J282" s="107"/>
      <c r="K282" s="107"/>
      <c r="L282" s="107"/>
      <c r="M282" s="107"/>
      <c r="N282" s="107"/>
      <c r="O282" s="107"/>
      <c r="P282" s="107"/>
      <c r="Q282" s="107"/>
    </row>
    <row r="283" ht="15.75" customHeight="1">
      <c r="A283" s="107"/>
      <c r="B283" s="107"/>
      <c r="C283" s="107"/>
      <c r="D283" s="107"/>
      <c r="E283" s="107"/>
      <c r="F283" s="107"/>
      <c r="G283" s="107"/>
      <c r="H283" s="107"/>
      <c r="I283" s="107"/>
      <c r="J283" s="107"/>
      <c r="K283" s="107"/>
      <c r="L283" s="107"/>
      <c r="M283" s="107"/>
      <c r="N283" s="107"/>
      <c r="O283" s="107"/>
      <c r="P283" s="107"/>
      <c r="Q283" s="107"/>
    </row>
    <row r="284" ht="15.75" customHeight="1">
      <c r="A284" s="107"/>
      <c r="B284" s="107"/>
      <c r="C284" s="107"/>
      <c r="D284" s="107"/>
      <c r="E284" s="107"/>
      <c r="F284" s="107"/>
      <c r="G284" s="107"/>
      <c r="H284" s="107"/>
      <c r="I284" s="107"/>
      <c r="J284" s="107"/>
      <c r="K284" s="107"/>
      <c r="L284" s="107"/>
      <c r="M284" s="107"/>
      <c r="N284" s="107"/>
      <c r="O284" s="107"/>
      <c r="P284" s="107"/>
      <c r="Q284" s="107"/>
    </row>
    <row r="285" ht="15.75" customHeight="1">
      <c r="A285" s="107"/>
      <c r="B285" s="107"/>
      <c r="C285" s="107"/>
      <c r="D285" s="107"/>
      <c r="E285" s="107"/>
      <c r="F285" s="107"/>
      <c r="G285" s="107"/>
      <c r="H285" s="107"/>
      <c r="I285" s="107"/>
      <c r="J285" s="107"/>
      <c r="K285" s="107"/>
      <c r="L285" s="107"/>
      <c r="M285" s="107"/>
      <c r="N285" s="107"/>
      <c r="O285" s="107"/>
      <c r="P285" s="107"/>
      <c r="Q285" s="107"/>
    </row>
    <row r="286" ht="15.75" customHeight="1">
      <c r="A286" s="107"/>
      <c r="B286" s="107"/>
      <c r="C286" s="107"/>
      <c r="D286" s="107"/>
      <c r="E286" s="107"/>
      <c r="F286" s="107"/>
      <c r="G286" s="107"/>
      <c r="H286" s="107"/>
      <c r="I286" s="107"/>
      <c r="J286" s="107"/>
      <c r="K286" s="107"/>
      <c r="L286" s="107"/>
      <c r="M286" s="107"/>
      <c r="N286" s="107"/>
      <c r="O286" s="107"/>
      <c r="P286" s="107"/>
      <c r="Q286" s="107"/>
    </row>
    <row r="287" ht="15.75" customHeight="1">
      <c r="A287" s="107"/>
      <c r="B287" s="107"/>
      <c r="C287" s="107"/>
      <c r="D287" s="107"/>
      <c r="E287" s="107"/>
      <c r="F287" s="107"/>
      <c r="G287" s="107"/>
      <c r="H287" s="107"/>
      <c r="I287" s="107"/>
      <c r="J287" s="107"/>
      <c r="K287" s="107"/>
      <c r="L287" s="107"/>
      <c r="M287" s="107"/>
      <c r="N287" s="107"/>
      <c r="O287" s="107"/>
      <c r="P287" s="107"/>
      <c r="Q287" s="107"/>
    </row>
    <row r="288" ht="15.75" customHeight="1">
      <c r="A288" s="107"/>
      <c r="B288" s="107"/>
      <c r="C288" s="107"/>
      <c r="D288" s="107"/>
      <c r="E288" s="107"/>
      <c r="F288" s="107"/>
      <c r="G288" s="107"/>
      <c r="H288" s="107"/>
      <c r="I288" s="107"/>
      <c r="J288" s="107"/>
      <c r="K288" s="107"/>
      <c r="L288" s="107"/>
      <c r="M288" s="107"/>
      <c r="N288" s="107"/>
      <c r="O288" s="107"/>
      <c r="P288" s="107"/>
      <c r="Q288" s="107"/>
    </row>
    <row r="289" ht="15.75" customHeight="1">
      <c r="A289" s="107"/>
      <c r="B289" s="107"/>
      <c r="C289" s="107"/>
      <c r="D289" s="107"/>
      <c r="E289" s="107"/>
      <c r="F289" s="107"/>
      <c r="G289" s="107"/>
      <c r="H289" s="107"/>
      <c r="I289" s="107"/>
      <c r="J289" s="107"/>
      <c r="K289" s="107"/>
      <c r="L289" s="107"/>
      <c r="M289" s="107"/>
      <c r="N289" s="107"/>
      <c r="O289" s="107"/>
      <c r="P289" s="107"/>
      <c r="Q289" s="107"/>
    </row>
    <row r="290" ht="15.75" customHeight="1">
      <c r="A290" s="107"/>
      <c r="B290" s="107"/>
      <c r="C290" s="107"/>
      <c r="D290" s="107"/>
      <c r="E290" s="107"/>
      <c r="F290" s="107"/>
      <c r="G290" s="107"/>
      <c r="H290" s="107"/>
      <c r="I290" s="107"/>
      <c r="J290" s="107"/>
      <c r="K290" s="107"/>
      <c r="L290" s="107"/>
      <c r="M290" s="107"/>
      <c r="N290" s="107"/>
      <c r="O290" s="107"/>
      <c r="P290" s="107"/>
      <c r="Q290" s="107"/>
    </row>
    <row r="291" ht="15.75" customHeight="1">
      <c r="A291" s="107"/>
      <c r="B291" s="107"/>
      <c r="C291" s="107"/>
      <c r="D291" s="107"/>
      <c r="E291" s="107"/>
      <c r="F291" s="107"/>
      <c r="G291" s="107"/>
      <c r="H291" s="107"/>
      <c r="I291" s="107"/>
      <c r="J291" s="107"/>
      <c r="K291" s="107"/>
      <c r="L291" s="107"/>
      <c r="M291" s="107"/>
      <c r="N291" s="107"/>
      <c r="O291" s="107"/>
      <c r="P291" s="107"/>
      <c r="Q291" s="107"/>
    </row>
    <row r="292" ht="15.75" customHeight="1">
      <c r="A292" s="107"/>
      <c r="B292" s="107"/>
      <c r="C292" s="107"/>
      <c r="D292" s="107"/>
      <c r="E292" s="107"/>
      <c r="F292" s="107"/>
      <c r="G292" s="107"/>
      <c r="H292" s="107"/>
      <c r="I292" s="107"/>
      <c r="J292" s="107"/>
      <c r="K292" s="107"/>
      <c r="L292" s="107"/>
      <c r="M292" s="107"/>
      <c r="N292" s="107"/>
      <c r="O292" s="107"/>
      <c r="P292" s="107"/>
      <c r="Q292" s="107"/>
    </row>
    <row r="293" ht="15.75" customHeight="1">
      <c r="A293" s="107"/>
      <c r="B293" s="107"/>
      <c r="C293" s="107"/>
      <c r="D293" s="107"/>
      <c r="E293" s="107"/>
      <c r="F293" s="107"/>
      <c r="G293" s="107"/>
      <c r="H293" s="107"/>
      <c r="I293" s="107"/>
      <c r="J293" s="107"/>
      <c r="K293" s="107"/>
      <c r="L293" s="107"/>
      <c r="M293" s="107"/>
      <c r="N293" s="107"/>
      <c r="O293" s="107"/>
      <c r="P293" s="107"/>
      <c r="Q293" s="107"/>
    </row>
    <row r="294" ht="15.75" customHeight="1">
      <c r="A294" s="107"/>
      <c r="B294" s="107"/>
      <c r="C294" s="107"/>
      <c r="D294" s="107"/>
      <c r="E294" s="107"/>
      <c r="F294" s="107"/>
      <c r="G294" s="107"/>
      <c r="H294" s="107"/>
      <c r="I294" s="107"/>
      <c r="J294" s="107"/>
      <c r="K294" s="107"/>
      <c r="L294" s="107"/>
      <c r="M294" s="107"/>
      <c r="N294" s="107"/>
      <c r="O294" s="107"/>
      <c r="P294" s="107"/>
      <c r="Q294" s="107"/>
    </row>
    <row r="295" ht="15.75" customHeight="1">
      <c r="A295" s="107"/>
      <c r="B295" s="107"/>
      <c r="C295" s="107"/>
      <c r="D295" s="107"/>
      <c r="E295" s="107"/>
      <c r="F295" s="107"/>
      <c r="G295" s="107"/>
      <c r="H295" s="107"/>
      <c r="I295" s="107"/>
      <c r="J295" s="107"/>
      <c r="K295" s="107"/>
      <c r="L295" s="107"/>
      <c r="M295" s="107"/>
      <c r="N295" s="107"/>
      <c r="O295" s="107"/>
      <c r="P295" s="107"/>
      <c r="Q295" s="107"/>
    </row>
    <row r="296" ht="15.75" customHeight="1">
      <c r="A296" s="107"/>
      <c r="B296" s="107"/>
      <c r="C296" s="107"/>
      <c r="D296" s="107"/>
      <c r="E296" s="107"/>
      <c r="F296" s="107"/>
      <c r="G296" s="107"/>
      <c r="H296" s="107"/>
      <c r="I296" s="107"/>
      <c r="J296" s="107"/>
      <c r="K296" s="107"/>
      <c r="L296" s="107"/>
      <c r="M296" s="107"/>
      <c r="N296" s="107"/>
      <c r="O296" s="107"/>
      <c r="P296" s="107"/>
      <c r="Q296" s="107"/>
    </row>
    <row r="297" ht="15.75" customHeight="1">
      <c r="A297" s="107"/>
      <c r="B297" s="107"/>
      <c r="C297" s="107"/>
      <c r="D297" s="107"/>
      <c r="E297" s="107"/>
      <c r="F297" s="107"/>
      <c r="G297" s="107"/>
      <c r="H297" s="107"/>
      <c r="I297" s="107"/>
      <c r="J297" s="107"/>
      <c r="K297" s="107"/>
      <c r="L297" s="107"/>
      <c r="M297" s="107"/>
      <c r="N297" s="107"/>
      <c r="O297" s="107"/>
      <c r="P297" s="107"/>
      <c r="Q297" s="107"/>
    </row>
    <row r="298" ht="15.75" customHeight="1">
      <c r="A298" s="107"/>
      <c r="B298" s="107"/>
      <c r="C298" s="107"/>
      <c r="D298" s="107"/>
      <c r="E298" s="107"/>
      <c r="F298" s="107"/>
      <c r="G298" s="107"/>
      <c r="H298" s="107"/>
      <c r="I298" s="107"/>
      <c r="J298" s="107"/>
      <c r="K298" s="107"/>
      <c r="L298" s="107"/>
      <c r="M298" s="107"/>
      <c r="N298" s="107"/>
      <c r="O298" s="107"/>
      <c r="P298" s="107"/>
      <c r="Q298" s="107"/>
    </row>
    <row r="299" ht="15.75" customHeight="1">
      <c r="A299" s="107"/>
      <c r="B299" s="107"/>
      <c r="C299" s="107"/>
      <c r="D299" s="107"/>
      <c r="E299" s="107"/>
      <c r="F299" s="107"/>
      <c r="G299" s="107"/>
      <c r="H299" s="107"/>
      <c r="I299" s="107"/>
      <c r="J299" s="107"/>
      <c r="K299" s="107"/>
      <c r="L299" s="107"/>
      <c r="M299" s="107"/>
      <c r="N299" s="107"/>
      <c r="O299" s="107"/>
      <c r="P299" s="107"/>
      <c r="Q299" s="107"/>
    </row>
    <row r="300" ht="15.75" customHeight="1">
      <c r="A300" s="107"/>
      <c r="B300" s="107"/>
      <c r="C300" s="107"/>
      <c r="D300" s="107"/>
      <c r="E300" s="107"/>
      <c r="F300" s="107"/>
      <c r="G300" s="107"/>
      <c r="H300" s="107"/>
      <c r="I300" s="107"/>
      <c r="J300" s="107"/>
      <c r="K300" s="107"/>
      <c r="L300" s="107"/>
      <c r="M300" s="107"/>
      <c r="N300" s="107"/>
      <c r="O300" s="107"/>
      <c r="P300" s="107"/>
      <c r="Q300" s="107"/>
    </row>
    <row r="301" ht="15.75" customHeight="1">
      <c r="A301" s="107"/>
      <c r="B301" s="107"/>
      <c r="C301" s="107"/>
      <c r="D301" s="107"/>
      <c r="E301" s="107"/>
      <c r="F301" s="107"/>
      <c r="G301" s="107"/>
      <c r="H301" s="107"/>
      <c r="I301" s="107"/>
      <c r="J301" s="107"/>
      <c r="K301" s="107"/>
      <c r="L301" s="107"/>
      <c r="M301" s="107"/>
      <c r="N301" s="107"/>
      <c r="O301" s="107"/>
      <c r="P301" s="107"/>
      <c r="Q301" s="107"/>
    </row>
    <row r="302" ht="15.75" customHeight="1">
      <c r="A302" s="107"/>
      <c r="B302" s="107"/>
      <c r="C302" s="107"/>
      <c r="D302" s="107"/>
      <c r="E302" s="107"/>
      <c r="F302" s="107"/>
      <c r="G302" s="107"/>
      <c r="H302" s="107"/>
      <c r="I302" s="107"/>
      <c r="J302" s="107"/>
      <c r="K302" s="107"/>
      <c r="L302" s="107"/>
      <c r="M302" s="107"/>
      <c r="N302" s="107"/>
      <c r="O302" s="107"/>
      <c r="P302" s="107"/>
      <c r="Q302" s="107"/>
    </row>
    <row r="303" ht="15.75" customHeight="1">
      <c r="A303" s="107"/>
      <c r="B303" s="107"/>
      <c r="C303" s="107"/>
      <c r="D303" s="107"/>
      <c r="E303" s="107"/>
      <c r="F303" s="107"/>
      <c r="G303" s="107"/>
      <c r="H303" s="107"/>
      <c r="I303" s="107"/>
      <c r="J303" s="107"/>
      <c r="K303" s="107"/>
      <c r="L303" s="107"/>
      <c r="M303" s="107"/>
      <c r="N303" s="107"/>
      <c r="O303" s="107"/>
      <c r="P303" s="107"/>
      <c r="Q303" s="107"/>
    </row>
    <row r="304" ht="15.75" customHeight="1">
      <c r="A304" s="107"/>
      <c r="B304" s="107"/>
      <c r="C304" s="107"/>
      <c r="D304" s="107"/>
      <c r="E304" s="107"/>
      <c r="F304" s="107"/>
      <c r="G304" s="107"/>
      <c r="H304" s="107"/>
      <c r="I304" s="107"/>
      <c r="J304" s="107"/>
      <c r="K304" s="107"/>
      <c r="L304" s="107"/>
      <c r="M304" s="107"/>
      <c r="N304" s="107"/>
      <c r="O304" s="107"/>
      <c r="P304" s="107"/>
      <c r="Q304" s="107"/>
    </row>
    <row r="305" ht="15.75" customHeight="1">
      <c r="A305" s="107"/>
      <c r="B305" s="107"/>
      <c r="C305" s="107"/>
      <c r="D305" s="107"/>
      <c r="E305" s="107"/>
      <c r="F305" s="107"/>
      <c r="G305" s="107"/>
      <c r="H305" s="107"/>
      <c r="I305" s="107"/>
      <c r="J305" s="107"/>
      <c r="K305" s="107"/>
      <c r="L305" s="107"/>
      <c r="M305" s="107"/>
      <c r="N305" s="107"/>
      <c r="O305" s="107"/>
      <c r="P305" s="107"/>
      <c r="Q305" s="107"/>
    </row>
    <row r="306" ht="15.75" customHeight="1">
      <c r="A306" s="107"/>
      <c r="B306" s="107"/>
      <c r="C306" s="107"/>
      <c r="D306" s="107"/>
      <c r="E306" s="107"/>
      <c r="F306" s="107"/>
      <c r="G306" s="107"/>
      <c r="H306" s="107"/>
      <c r="I306" s="107"/>
      <c r="J306" s="107"/>
      <c r="K306" s="107"/>
      <c r="L306" s="107"/>
      <c r="M306" s="107"/>
      <c r="N306" s="107"/>
      <c r="O306" s="107"/>
      <c r="P306" s="107"/>
      <c r="Q306" s="107"/>
    </row>
    <row r="307" ht="15.75" customHeight="1">
      <c r="A307" s="107"/>
      <c r="B307" s="107"/>
      <c r="C307" s="107"/>
      <c r="D307" s="107"/>
      <c r="E307" s="107"/>
      <c r="F307" s="107"/>
      <c r="G307" s="107"/>
      <c r="H307" s="107"/>
      <c r="I307" s="107"/>
      <c r="J307" s="107"/>
      <c r="K307" s="107"/>
      <c r="L307" s="107"/>
      <c r="M307" s="107"/>
      <c r="N307" s="107"/>
      <c r="O307" s="107"/>
      <c r="P307" s="107"/>
      <c r="Q307" s="107"/>
    </row>
    <row r="308" ht="15.75" customHeight="1">
      <c r="A308" s="107"/>
      <c r="B308" s="107"/>
      <c r="C308" s="107"/>
      <c r="D308" s="107"/>
      <c r="E308" s="107"/>
      <c r="F308" s="107"/>
      <c r="G308" s="107"/>
      <c r="H308" s="107"/>
      <c r="I308" s="107"/>
      <c r="J308" s="107"/>
      <c r="K308" s="107"/>
      <c r="L308" s="107"/>
      <c r="M308" s="107"/>
      <c r="N308" s="107"/>
      <c r="O308" s="107"/>
      <c r="P308" s="107"/>
      <c r="Q308" s="107"/>
    </row>
    <row r="309" ht="15.75" customHeight="1">
      <c r="A309" s="107"/>
      <c r="B309" s="107"/>
      <c r="C309" s="107"/>
      <c r="D309" s="107"/>
      <c r="E309" s="107"/>
      <c r="F309" s="107"/>
      <c r="G309" s="107"/>
      <c r="H309" s="107"/>
      <c r="I309" s="107"/>
      <c r="J309" s="107"/>
      <c r="K309" s="107"/>
      <c r="L309" s="107"/>
      <c r="M309" s="107"/>
      <c r="N309" s="107"/>
      <c r="O309" s="107"/>
      <c r="P309" s="107"/>
      <c r="Q309" s="107"/>
    </row>
    <row r="310" ht="15.75" customHeight="1">
      <c r="A310" s="107"/>
      <c r="B310" s="107"/>
      <c r="C310" s="107"/>
      <c r="D310" s="107"/>
      <c r="E310" s="107"/>
      <c r="F310" s="107"/>
      <c r="G310" s="107"/>
      <c r="H310" s="107"/>
      <c r="I310" s="107"/>
      <c r="J310" s="107"/>
      <c r="K310" s="107"/>
      <c r="L310" s="107"/>
      <c r="M310" s="107"/>
      <c r="N310" s="107"/>
      <c r="O310" s="107"/>
      <c r="P310" s="107"/>
      <c r="Q310" s="107"/>
    </row>
    <row r="311" ht="15.75" customHeight="1">
      <c r="A311" s="107"/>
      <c r="B311" s="107"/>
      <c r="C311" s="107"/>
      <c r="D311" s="107"/>
      <c r="E311" s="107"/>
      <c r="F311" s="107"/>
      <c r="G311" s="107"/>
      <c r="H311" s="107"/>
      <c r="I311" s="107"/>
      <c r="J311" s="107"/>
      <c r="K311" s="107"/>
      <c r="L311" s="107"/>
      <c r="M311" s="107"/>
      <c r="N311" s="107"/>
      <c r="O311" s="107"/>
      <c r="P311" s="107"/>
      <c r="Q311" s="107"/>
    </row>
    <row r="312" ht="15.75" customHeight="1">
      <c r="A312" s="107"/>
      <c r="B312" s="107"/>
      <c r="C312" s="107"/>
      <c r="D312" s="107"/>
      <c r="E312" s="107"/>
      <c r="F312" s="107"/>
      <c r="G312" s="107"/>
      <c r="H312" s="107"/>
      <c r="I312" s="107"/>
      <c r="J312" s="107"/>
      <c r="K312" s="107"/>
      <c r="L312" s="107"/>
      <c r="M312" s="107"/>
      <c r="N312" s="107"/>
      <c r="O312" s="107"/>
      <c r="P312" s="107"/>
      <c r="Q312" s="107"/>
    </row>
    <row r="313" ht="15.75" customHeight="1">
      <c r="A313" s="107"/>
      <c r="B313" s="107"/>
      <c r="C313" s="107"/>
      <c r="D313" s="107"/>
      <c r="E313" s="107"/>
      <c r="F313" s="107"/>
      <c r="G313" s="107"/>
      <c r="H313" s="107"/>
      <c r="I313" s="107"/>
      <c r="J313" s="107"/>
      <c r="K313" s="107"/>
      <c r="L313" s="107"/>
      <c r="M313" s="107"/>
      <c r="N313" s="107"/>
      <c r="O313" s="107"/>
      <c r="P313" s="107"/>
      <c r="Q313" s="107"/>
    </row>
    <row r="314" ht="15.75" customHeight="1">
      <c r="A314" s="107"/>
      <c r="B314" s="107"/>
      <c r="C314" s="107"/>
      <c r="D314" s="107"/>
      <c r="E314" s="107"/>
      <c r="F314" s="107"/>
      <c r="G314" s="107"/>
      <c r="H314" s="107"/>
      <c r="I314" s="107"/>
      <c r="J314" s="107"/>
      <c r="K314" s="107"/>
      <c r="L314" s="107"/>
      <c r="M314" s="107"/>
      <c r="N314" s="107"/>
      <c r="O314" s="107"/>
      <c r="P314" s="107"/>
      <c r="Q314" s="107"/>
    </row>
    <row r="315" ht="15.75" customHeight="1">
      <c r="A315" s="107"/>
      <c r="B315" s="107"/>
      <c r="C315" s="107"/>
      <c r="D315" s="107"/>
      <c r="E315" s="107"/>
      <c r="F315" s="107"/>
      <c r="G315" s="107"/>
      <c r="H315" s="107"/>
      <c r="I315" s="107"/>
      <c r="J315" s="107"/>
      <c r="K315" s="107"/>
      <c r="L315" s="107"/>
      <c r="M315" s="107"/>
      <c r="N315" s="107"/>
      <c r="O315" s="107"/>
      <c r="P315" s="107"/>
      <c r="Q315" s="107"/>
    </row>
    <row r="316" ht="15.75" customHeight="1">
      <c r="A316" s="107"/>
      <c r="B316" s="107"/>
      <c r="C316" s="107"/>
      <c r="D316" s="107"/>
      <c r="E316" s="107"/>
      <c r="F316" s="107"/>
      <c r="G316" s="107"/>
      <c r="H316" s="107"/>
      <c r="I316" s="107"/>
      <c r="J316" s="107"/>
      <c r="K316" s="107"/>
      <c r="L316" s="107"/>
      <c r="M316" s="107"/>
      <c r="N316" s="107"/>
      <c r="O316" s="107"/>
      <c r="P316" s="107"/>
      <c r="Q316" s="107"/>
    </row>
    <row r="317" ht="15.75" customHeight="1">
      <c r="A317" s="107"/>
      <c r="B317" s="107"/>
      <c r="C317" s="107"/>
      <c r="D317" s="107"/>
      <c r="E317" s="107"/>
      <c r="F317" s="107"/>
      <c r="G317" s="107"/>
      <c r="H317" s="107"/>
      <c r="I317" s="107"/>
      <c r="J317" s="107"/>
      <c r="K317" s="107"/>
      <c r="L317" s="107"/>
      <c r="M317" s="107"/>
      <c r="N317" s="107"/>
      <c r="O317" s="107"/>
      <c r="P317" s="107"/>
      <c r="Q317" s="107"/>
    </row>
    <row r="318" ht="15.75" customHeight="1">
      <c r="A318" s="107"/>
      <c r="B318" s="107"/>
      <c r="C318" s="107"/>
      <c r="D318" s="107"/>
      <c r="E318" s="107"/>
      <c r="F318" s="107"/>
      <c r="G318" s="107"/>
      <c r="H318" s="107"/>
      <c r="I318" s="107"/>
      <c r="J318" s="107"/>
      <c r="K318" s="107"/>
      <c r="L318" s="107"/>
      <c r="M318" s="107"/>
      <c r="N318" s="107"/>
      <c r="O318" s="107"/>
      <c r="P318" s="107"/>
      <c r="Q318" s="107"/>
    </row>
    <row r="319" ht="15.75" customHeight="1">
      <c r="A319" s="107"/>
      <c r="B319" s="107"/>
      <c r="C319" s="107"/>
      <c r="D319" s="107"/>
      <c r="E319" s="107"/>
      <c r="F319" s="107"/>
      <c r="G319" s="107"/>
      <c r="H319" s="107"/>
      <c r="I319" s="107"/>
      <c r="J319" s="107"/>
      <c r="K319" s="107"/>
      <c r="L319" s="107"/>
      <c r="M319" s="107"/>
      <c r="N319" s="107"/>
      <c r="O319" s="107"/>
      <c r="P319" s="107"/>
      <c r="Q319" s="107"/>
    </row>
    <row r="320" ht="15.75" customHeight="1">
      <c r="A320" s="107"/>
      <c r="B320" s="107"/>
      <c r="C320" s="107"/>
      <c r="D320" s="107"/>
      <c r="E320" s="107"/>
      <c r="F320" s="107"/>
      <c r="G320" s="107"/>
      <c r="H320" s="107"/>
      <c r="I320" s="107"/>
      <c r="J320" s="107"/>
      <c r="K320" s="107"/>
      <c r="L320" s="107"/>
      <c r="M320" s="107"/>
      <c r="N320" s="107"/>
      <c r="O320" s="107"/>
      <c r="P320" s="107"/>
      <c r="Q320" s="107"/>
    </row>
    <row r="321" ht="15.75" customHeight="1">
      <c r="A321" s="107"/>
      <c r="B321" s="107"/>
      <c r="C321" s="107"/>
      <c r="D321" s="107"/>
      <c r="E321" s="107"/>
      <c r="F321" s="107"/>
      <c r="G321" s="107"/>
      <c r="H321" s="107"/>
      <c r="I321" s="107"/>
      <c r="J321" s="107"/>
      <c r="K321" s="107"/>
      <c r="L321" s="107"/>
      <c r="M321" s="107"/>
      <c r="N321" s="107"/>
      <c r="O321" s="107"/>
      <c r="P321" s="107"/>
      <c r="Q321" s="107"/>
    </row>
    <row r="322" ht="15.75" customHeight="1">
      <c r="A322" s="107"/>
      <c r="B322" s="107"/>
      <c r="C322" s="107"/>
      <c r="D322" s="107"/>
      <c r="E322" s="107"/>
      <c r="F322" s="107"/>
      <c r="G322" s="107"/>
      <c r="H322" s="107"/>
      <c r="I322" s="107"/>
      <c r="J322" s="107"/>
      <c r="K322" s="107"/>
      <c r="L322" s="107"/>
      <c r="M322" s="107"/>
      <c r="N322" s="107"/>
      <c r="O322" s="107"/>
      <c r="P322" s="107"/>
      <c r="Q322" s="107"/>
    </row>
    <row r="323" ht="15.75" customHeight="1">
      <c r="A323" s="107"/>
      <c r="B323" s="107"/>
      <c r="C323" s="107"/>
      <c r="D323" s="107"/>
      <c r="E323" s="107"/>
      <c r="F323" s="107"/>
      <c r="G323" s="107"/>
      <c r="H323" s="107"/>
      <c r="I323" s="107"/>
      <c r="J323" s="107"/>
      <c r="K323" s="107"/>
      <c r="L323" s="107"/>
      <c r="M323" s="107"/>
      <c r="N323" s="107"/>
      <c r="O323" s="107"/>
      <c r="P323" s="107"/>
      <c r="Q323" s="107"/>
    </row>
    <row r="324" ht="15.75" customHeight="1">
      <c r="A324" s="107"/>
      <c r="B324" s="107"/>
      <c r="C324" s="107"/>
      <c r="D324" s="107"/>
      <c r="E324" s="107"/>
      <c r="F324" s="107"/>
      <c r="G324" s="107"/>
      <c r="H324" s="107"/>
      <c r="I324" s="107"/>
      <c r="J324" s="107"/>
      <c r="K324" s="107"/>
      <c r="L324" s="107"/>
      <c r="M324" s="107"/>
      <c r="N324" s="107"/>
      <c r="O324" s="107"/>
      <c r="P324" s="107"/>
      <c r="Q324" s="107"/>
    </row>
    <row r="325" ht="15.75" customHeight="1">
      <c r="A325" s="107"/>
      <c r="B325" s="107"/>
      <c r="C325" s="107"/>
      <c r="D325" s="107"/>
      <c r="E325" s="107"/>
      <c r="F325" s="107"/>
      <c r="G325" s="107"/>
      <c r="H325" s="107"/>
      <c r="I325" s="107"/>
      <c r="J325" s="107"/>
      <c r="K325" s="107"/>
      <c r="L325" s="107"/>
      <c r="M325" s="107"/>
      <c r="N325" s="107"/>
      <c r="O325" s="107"/>
      <c r="P325" s="107"/>
      <c r="Q325" s="107"/>
    </row>
    <row r="326" ht="15.75" customHeight="1">
      <c r="A326" s="107"/>
      <c r="B326" s="107"/>
      <c r="C326" s="107"/>
      <c r="D326" s="107"/>
      <c r="E326" s="107"/>
      <c r="F326" s="107"/>
      <c r="G326" s="107"/>
      <c r="H326" s="107"/>
      <c r="I326" s="107"/>
      <c r="J326" s="107"/>
      <c r="K326" s="107"/>
      <c r="L326" s="107"/>
      <c r="M326" s="107"/>
      <c r="N326" s="107"/>
      <c r="O326" s="107"/>
      <c r="P326" s="107"/>
      <c r="Q326" s="107"/>
    </row>
    <row r="327" ht="15.75" customHeight="1">
      <c r="A327" s="107"/>
      <c r="B327" s="107"/>
      <c r="C327" s="107"/>
      <c r="D327" s="107"/>
      <c r="E327" s="107"/>
      <c r="F327" s="107"/>
      <c r="G327" s="107"/>
      <c r="H327" s="107"/>
      <c r="I327" s="107"/>
      <c r="J327" s="107"/>
      <c r="K327" s="107"/>
      <c r="L327" s="107"/>
      <c r="M327" s="107"/>
      <c r="N327" s="107"/>
      <c r="O327" s="107"/>
      <c r="P327" s="107"/>
      <c r="Q327" s="107"/>
    </row>
    <row r="328" ht="15.75" customHeight="1">
      <c r="A328" s="107"/>
      <c r="B328" s="107"/>
      <c r="C328" s="107"/>
      <c r="D328" s="107"/>
      <c r="E328" s="107"/>
      <c r="F328" s="107"/>
      <c r="G328" s="107"/>
      <c r="H328" s="107"/>
      <c r="I328" s="107"/>
      <c r="J328" s="107"/>
      <c r="K328" s="107"/>
      <c r="L328" s="107"/>
      <c r="M328" s="107"/>
      <c r="N328" s="107"/>
      <c r="O328" s="107"/>
      <c r="P328" s="107"/>
      <c r="Q328" s="107"/>
    </row>
    <row r="329" ht="15.75" customHeight="1">
      <c r="A329" s="107"/>
      <c r="B329" s="107"/>
      <c r="C329" s="107"/>
      <c r="D329" s="107"/>
      <c r="E329" s="107"/>
      <c r="F329" s="107"/>
      <c r="G329" s="107"/>
      <c r="H329" s="107"/>
      <c r="I329" s="107"/>
      <c r="J329" s="107"/>
      <c r="K329" s="107"/>
      <c r="L329" s="107"/>
      <c r="M329" s="107"/>
      <c r="N329" s="107"/>
      <c r="O329" s="107"/>
      <c r="P329" s="107"/>
      <c r="Q329" s="107"/>
    </row>
    <row r="330" ht="15.75" customHeight="1">
      <c r="A330" s="107"/>
      <c r="B330" s="107"/>
      <c r="C330" s="107"/>
      <c r="D330" s="107"/>
      <c r="E330" s="107"/>
      <c r="F330" s="107"/>
      <c r="G330" s="107"/>
      <c r="H330" s="107"/>
      <c r="I330" s="107"/>
      <c r="J330" s="107"/>
      <c r="K330" s="107"/>
      <c r="L330" s="107"/>
      <c r="M330" s="107"/>
      <c r="N330" s="107"/>
      <c r="O330" s="107"/>
      <c r="P330" s="107"/>
      <c r="Q330" s="107"/>
    </row>
    <row r="331" ht="15.75" customHeight="1">
      <c r="A331" s="107"/>
      <c r="B331" s="107"/>
      <c r="C331" s="107"/>
      <c r="D331" s="107"/>
      <c r="E331" s="107"/>
      <c r="F331" s="107"/>
      <c r="G331" s="107"/>
      <c r="H331" s="107"/>
      <c r="I331" s="107"/>
      <c r="J331" s="107"/>
      <c r="K331" s="107"/>
      <c r="L331" s="107"/>
      <c r="M331" s="107"/>
      <c r="N331" s="107"/>
      <c r="O331" s="107"/>
      <c r="P331" s="107"/>
      <c r="Q331" s="107"/>
    </row>
    <row r="332" ht="15.75" customHeight="1">
      <c r="A332" s="107"/>
      <c r="B332" s="107"/>
      <c r="C332" s="107"/>
      <c r="D332" s="107"/>
      <c r="E332" s="107"/>
      <c r="F332" s="107"/>
      <c r="G332" s="107"/>
      <c r="H332" s="107"/>
      <c r="I332" s="107"/>
      <c r="J332" s="107"/>
      <c r="K332" s="107"/>
      <c r="L332" s="107"/>
      <c r="M332" s="107"/>
      <c r="N332" s="107"/>
      <c r="O332" s="107"/>
      <c r="P332" s="107"/>
      <c r="Q332" s="107"/>
    </row>
    <row r="333" ht="15.75" customHeight="1">
      <c r="A333" s="107"/>
      <c r="B333" s="107"/>
      <c r="C333" s="107"/>
      <c r="D333" s="107"/>
      <c r="E333" s="107"/>
      <c r="F333" s="107"/>
      <c r="G333" s="107"/>
      <c r="H333" s="107"/>
      <c r="I333" s="107"/>
      <c r="J333" s="107"/>
      <c r="K333" s="107"/>
      <c r="L333" s="107"/>
      <c r="M333" s="107"/>
      <c r="N333" s="107"/>
      <c r="O333" s="107"/>
      <c r="P333" s="107"/>
      <c r="Q333" s="107"/>
    </row>
    <row r="334" ht="15.75" customHeight="1">
      <c r="A334" s="107"/>
      <c r="B334" s="107"/>
      <c r="C334" s="107"/>
      <c r="D334" s="107"/>
      <c r="E334" s="107"/>
      <c r="F334" s="107"/>
      <c r="G334" s="107"/>
      <c r="H334" s="107"/>
      <c r="I334" s="107"/>
      <c r="J334" s="107"/>
      <c r="K334" s="107"/>
      <c r="L334" s="107"/>
      <c r="M334" s="107"/>
      <c r="N334" s="107"/>
      <c r="O334" s="107"/>
      <c r="P334" s="107"/>
      <c r="Q334" s="107"/>
    </row>
    <row r="335" ht="15.75" customHeight="1">
      <c r="A335" s="107"/>
      <c r="B335" s="107"/>
      <c r="C335" s="107"/>
      <c r="D335" s="107"/>
      <c r="E335" s="107"/>
      <c r="F335" s="107"/>
      <c r="G335" s="107"/>
      <c r="H335" s="107"/>
      <c r="I335" s="107"/>
      <c r="J335" s="107"/>
      <c r="K335" s="107"/>
      <c r="L335" s="107"/>
      <c r="M335" s="107"/>
      <c r="N335" s="107"/>
      <c r="O335" s="107"/>
      <c r="P335" s="107"/>
      <c r="Q335" s="107"/>
    </row>
    <row r="336" ht="15.75" customHeight="1">
      <c r="A336" s="107"/>
      <c r="B336" s="107"/>
      <c r="C336" s="107"/>
      <c r="D336" s="107"/>
      <c r="E336" s="107"/>
      <c r="F336" s="107"/>
      <c r="G336" s="107"/>
      <c r="H336" s="107"/>
      <c r="I336" s="107"/>
      <c r="J336" s="107"/>
      <c r="K336" s="107"/>
      <c r="L336" s="107"/>
      <c r="M336" s="107"/>
      <c r="N336" s="107"/>
      <c r="O336" s="107"/>
      <c r="P336" s="107"/>
      <c r="Q336" s="107"/>
    </row>
    <row r="337" ht="15.75" customHeight="1">
      <c r="A337" s="107"/>
      <c r="B337" s="107"/>
      <c r="C337" s="107"/>
      <c r="D337" s="107"/>
      <c r="E337" s="107"/>
      <c r="F337" s="107"/>
      <c r="G337" s="107"/>
      <c r="H337" s="107"/>
      <c r="I337" s="107"/>
      <c r="J337" s="107"/>
      <c r="K337" s="107"/>
      <c r="L337" s="107"/>
      <c r="M337" s="107"/>
      <c r="N337" s="107"/>
      <c r="O337" s="107"/>
      <c r="P337" s="107"/>
      <c r="Q337" s="107"/>
    </row>
    <row r="338" ht="15.75" customHeight="1">
      <c r="A338" s="107"/>
      <c r="B338" s="107"/>
      <c r="C338" s="107"/>
      <c r="D338" s="107"/>
      <c r="E338" s="107"/>
      <c r="F338" s="107"/>
      <c r="G338" s="107"/>
      <c r="H338" s="107"/>
      <c r="I338" s="107"/>
      <c r="J338" s="107"/>
      <c r="K338" s="107"/>
      <c r="L338" s="107"/>
      <c r="M338" s="107"/>
      <c r="N338" s="107"/>
      <c r="O338" s="107"/>
      <c r="P338" s="107"/>
      <c r="Q338" s="107"/>
    </row>
    <row r="339" ht="15.75" customHeight="1">
      <c r="A339" s="107"/>
      <c r="B339" s="107"/>
      <c r="C339" s="107"/>
      <c r="D339" s="107"/>
      <c r="E339" s="107"/>
      <c r="F339" s="107"/>
      <c r="G339" s="107"/>
      <c r="H339" s="107"/>
      <c r="I339" s="107"/>
      <c r="J339" s="107"/>
      <c r="K339" s="107"/>
      <c r="L339" s="107"/>
      <c r="M339" s="107"/>
      <c r="N339" s="107"/>
      <c r="O339" s="107"/>
      <c r="P339" s="107"/>
      <c r="Q339" s="107"/>
    </row>
    <row r="340" ht="15.75" customHeight="1">
      <c r="A340" s="107"/>
      <c r="B340" s="107"/>
      <c r="C340" s="107"/>
      <c r="D340" s="107"/>
      <c r="E340" s="107"/>
      <c r="F340" s="107"/>
      <c r="G340" s="107"/>
      <c r="H340" s="107"/>
      <c r="I340" s="107"/>
      <c r="J340" s="107"/>
      <c r="K340" s="107"/>
      <c r="L340" s="107"/>
      <c r="M340" s="107"/>
      <c r="N340" s="107"/>
      <c r="O340" s="107"/>
      <c r="P340" s="107"/>
      <c r="Q340" s="107"/>
    </row>
    <row r="341" ht="15.75" customHeight="1">
      <c r="A341" s="107"/>
      <c r="B341" s="107"/>
      <c r="C341" s="107"/>
      <c r="D341" s="107"/>
      <c r="E341" s="107"/>
      <c r="F341" s="107"/>
      <c r="G341" s="107"/>
      <c r="H341" s="107"/>
      <c r="I341" s="107"/>
      <c r="J341" s="107"/>
      <c r="K341" s="107"/>
      <c r="L341" s="107"/>
      <c r="M341" s="107"/>
      <c r="N341" s="107"/>
      <c r="O341" s="107"/>
      <c r="P341" s="107"/>
      <c r="Q341" s="107"/>
    </row>
    <row r="342" ht="15.75" customHeight="1">
      <c r="A342" s="107"/>
      <c r="B342" s="107"/>
      <c r="C342" s="107"/>
      <c r="D342" s="107"/>
      <c r="E342" s="107"/>
      <c r="F342" s="107"/>
      <c r="G342" s="107"/>
      <c r="H342" s="107"/>
      <c r="I342" s="107"/>
      <c r="J342" s="107"/>
      <c r="K342" s="107"/>
      <c r="L342" s="107"/>
      <c r="M342" s="107"/>
      <c r="N342" s="107"/>
      <c r="O342" s="107"/>
      <c r="P342" s="107"/>
      <c r="Q342" s="107"/>
    </row>
    <row r="343" ht="15.75" customHeight="1">
      <c r="A343" s="107"/>
      <c r="B343" s="107"/>
      <c r="C343" s="107"/>
      <c r="D343" s="107"/>
      <c r="E343" s="107"/>
      <c r="F343" s="107"/>
      <c r="G343" s="107"/>
      <c r="H343" s="107"/>
      <c r="I343" s="107"/>
      <c r="J343" s="107"/>
      <c r="K343" s="107"/>
      <c r="L343" s="107"/>
      <c r="M343" s="107"/>
      <c r="N343" s="107"/>
      <c r="O343" s="107"/>
      <c r="P343" s="107"/>
      <c r="Q343" s="107"/>
    </row>
    <row r="344" ht="15.75" customHeight="1">
      <c r="A344" s="107"/>
      <c r="B344" s="107"/>
      <c r="C344" s="107"/>
      <c r="D344" s="107"/>
      <c r="E344" s="107"/>
      <c r="F344" s="107"/>
      <c r="G344" s="107"/>
      <c r="H344" s="107"/>
      <c r="I344" s="107"/>
      <c r="J344" s="107"/>
      <c r="K344" s="107"/>
      <c r="L344" s="107"/>
      <c r="M344" s="107"/>
      <c r="N344" s="107"/>
      <c r="O344" s="107"/>
      <c r="P344" s="107"/>
      <c r="Q344" s="107"/>
    </row>
    <row r="345" ht="15.75" customHeight="1">
      <c r="A345" s="107"/>
      <c r="B345" s="107"/>
      <c r="C345" s="107"/>
      <c r="D345" s="107"/>
      <c r="E345" s="107"/>
      <c r="F345" s="107"/>
      <c r="G345" s="107"/>
      <c r="H345" s="107"/>
      <c r="I345" s="107"/>
      <c r="J345" s="107"/>
      <c r="K345" s="107"/>
      <c r="L345" s="107"/>
      <c r="M345" s="107"/>
      <c r="N345" s="107"/>
      <c r="O345" s="107"/>
      <c r="P345" s="107"/>
      <c r="Q345" s="107"/>
    </row>
    <row r="346" ht="15.75" customHeight="1">
      <c r="A346" s="107"/>
      <c r="B346" s="107"/>
      <c r="C346" s="107"/>
      <c r="D346" s="107"/>
      <c r="E346" s="107"/>
      <c r="F346" s="107"/>
      <c r="G346" s="107"/>
      <c r="H346" s="107"/>
      <c r="I346" s="107"/>
      <c r="J346" s="107"/>
      <c r="K346" s="107"/>
      <c r="L346" s="107"/>
      <c r="M346" s="107"/>
      <c r="N346" s="107"/>
      <c r="O346" s="107"/>
      <c r="P346" s="107"/>
      <c r="Q346" s="107"/>
    </row>
    <row r="347" ht="15.75" customHeight="1">
      <c r="A347" s="107"/>
      <c r="B347" s="107"/>
      <c r="C347" s="107"/>
      <c r="D347" s="107"/>
      <c r="E347" s="107"/>
      <c r="F347" s="107"/>
      <c r="G347" s="107"/>
      <c r="H347" s="107"/>
      <c r="I347" s="107"/>
      <c r="J347" s="107"/>
      <c r="K347" s="107"/>
      <c r="L347" s="107"/>
      <c r="M347" s="107"/>
      <c r="N347" s="107"/>
      <c r="O347" s="107"/>
      <c r="P347" s="107"/>
      <c r="Q347" s="107"/>
    </row>
    <row r="348" ht="15.75" customHeight="1">
      <c r="A348" s="107"/>
      <c r="B348" s="107"/>
      <c r="C348" s="107"/>
      <c r="D348" s="107"/>
      <c r="E348" s="107"/>
      <c r="F348" s="107"/>
      <c r="G348" s="107"/>
      <c r="H348" s="107"/>
      <c r="I348" s="107"/>
      <c r="J348" s="107"/>
      <c r="K348" s="107"/>
      <c r="L348" s="107"/>
      <c r="M348" s="107"/>
      <c r="N348" s="107"/>
      <c r="O348" s="107"/>
      <c r="P348" s="107"/>
      <c r="Q348" s="107"/>
    </row>
    <row r="349" ht="15.75" customHeight="1">
      <c r="A349" s="107"/>
      <c r="B349" s="107"/>
      <c r="C349" s="107"/>
      <c r="D349" s="107"/>
      <c r="E349" s="107"/>
      <c r="F349" s="107"/>
      <c r="G349" s="107"/>
      <c r="H349" s="107"/>
      <c r="I349" s="107"/>
      <c r="J349" s="107"/>
      <c r="K349" s="107"/>
      <c r="L349" s="107"/>
      <c r="M349" s="107"/>
      <c r="N349" s="107"/>
      <c r="O349" s="107"/>
      <c r="P349" s="107"/>
      <c r="Q349" s="107"/>
    </row>
    <row r="350" ht="15.75" customHeight="1">
      <c r="A350" s="107"/>
      <c r="B350" s="107"/>
      <c r="C350" s="107"/>
      <c r="D350" s="107"/>
      <c r="E350" s="107"/>
      <c r="F350" s="107"/>
      <c r="G350" s="107"/>
      <c r="H350" s="107"/>
      <c r="I350" s="107"/>
      <c r="J350" s="107"/>
      <c r="K350" s="107"/>
      <c r="L350" s="107"/>
      <c r="M350" s="107"/>
      <c r="N350" s="107"/>
      <c r="O350" s="107"/>
      <c r="P350" s="107"/>
      <c r="Q350" s="107"/>
    </row>
    <row r="351" ht="15.75" customHeight="1">
      <c r="A351" s="107"/>
      <c r="B351" s="107"/>
      <c r="C351" s="107"/>
      <c r="D351" s="107"/>
      <c r="E351" s="107"/>
      <c r="F351" s="107"/>
      <c r="G351" s="107"/>
      <c r="H351" s="107"/>
      <c r="I351" s="107"/>
      <c r="J351" s="107"/>
      <c r="K351" s="107"/>
      <c r="L351" s="107"/>
      <c r="M351" s="107"/>
      <c r="N351" s="107"/>
      <c r="O351" s="107"/>
      <c r="P351" s="107"/>
      <c r="Q351" s="107"/>
    </row>
    <row r="352" ht="15.75" customHeight="1">
      <c r="A352" s="107"/>
      <c r="B352" s="107"/>
      <c r="C352" s="107"/>
      <c r="D352" s="107"/>
      <c r="E352" s="107"/>
      <c r="F352" s="107"/>
      <c r="G352" s="107"/>
      <c r="H352" s="107"/>
      <c r="I352" s="107"/>
      <c r="J352" s="107"/>
      <c r="K352" s="107"/>
      <c r="L352" s="107"/>
      <c r="M352" s="107"/>
      <c r="N352" s="107"/>
      <c r="O352" s="107"/>
      <c r="P352" s="107"/>
      <c r="Q352" s="107"/>
    </row>
    <row r="353" ht="15.75" customHeight="1">
      <c r="A353" s="107"/>
      <c r="B353" s="107"/>
      <c r="C353" s="107"/>
      <c r="D353" s="107"/>
      <c r="E353" s="107"/>
      <c r="F353" s="107"/>
      <c r="G353" s="107"/>
      <c r="H353" s="107"/>
      <c r="I353" s="107"/>
      <c r="J353" s="107"/>
      <c r="K353" s="107"/>
      <c r="L353" s="107"/>
      <c r="M353" s="107"/>
      <c r="N353" s="107"/>
      <c r="O353" s="107"/>
      <c r="P353" s="107"/>
      <c r="Q353" s="107"/>
    </row>
    <row r="354" ht="15.75" customHeight="1">
      <c r="A354" s="107"/>
      <c r="B354" s="107"/>
      <c r="C354" s="107"/>
      <c r="D354" s="107"/>
      <c r="E354" s="107"/>
      <c r="F354" s="107"/>
      <c r="G354" s="107"/>
      <c r="H354" s="107"/>
      <c r="I354" s="107"/>
      <c r="J354" s="107"/>
      <c r="K354" s="107"/>
      <c r="L354" s="107"/>
      <c r="M354" s="107"/>
      <c r="N354" s="107"/>
      <c r="O354" s="107"/>
      <c r="P354" s="107"/>
      <c r="Q354" s="107"/>
    </row>
    <row r="355" ht="15.75" customHeight="1">
      <c r="A355" s="107"/>
      <c r="B355" s="107"/>
      <c r="C355" s="107"/>
      <c r="D355" s="107"/>
      <c r="E355" s="107"/>
      <c r="F355" s="107"/>
      <c r="G355" s="107"/>
      <c r="H355" s="107"/>
      <c r="I355" s="107"/>
      <c r="J355" s="107"/>
      <c r="K355" s="107"/>
      <c r="L355" s="107"/>
      <c r="M355" s="107"/>
      <c r="N355" s="107"/>
      <c r="O355" s="107"/>
      <c r="P355" s="107"/>
      <c r="Q355" s="107"/>
    </row>
    <row r="356" ht="15.75" customHeight="1">
      <c r="A356" s="107"/>
      <c r="B356" s="107"/>
      <c r="C356" s="107"/>
      <c r="D356" s="107"/>
      <c r="E356" s="107"/>
      <c r="F356" s="107"/>
      <c r="G356" s="107"/>
      <c r="H356" s="107"/>
      <c r="I356" s="107"/>
      <c r="J356" s="107"/>
      <c r="K356" s="107"/>
      <c r="L356" s="107"/>
      <c r="M356" s="107"/>
      <c r="N356" s="107"/>
      <c r="O356" s="107"/>
      <c r="P356" s="107"/>
      <c r="Q356" s="107"/>
    </row>
    <row r="357" ht="15.75" customHeight="1">
      <c r="A357" s="107"/>
      <c r="B357" s="107"/>
      <c r="C357" s="107"/>
      <c r="D357" s="107"/>
      <c r="E357" s="107"/>
      <c r="F357" s="107"/>
      <c r="G357" s="107"/>
      <c r="H357" s="107"/>
      <c r="I357" s="107"/>
      <c r="J357" s="107"/>
      <c r="K357" s="107"/>
      <c r="L357" s="107"/>
      <c r="M357" s="107"/>
      <c r="N357" s="107"/>
      <c r="O357" s="107"/>
      <c r="P357" s="107"/>
      <c r="Q357" s="107"/>
    </row>
    <row r="358" ht="15.75" customHeight="1">
      <c r="A358" s="107"/>
      <c r="B358" s="107"/>
      <c r="C358" s="107"/>
      <c r="D358" s="107"/>
      <c r="E358" s="107"/>
      <c r="F358" s="107"/>
      <c r="G358" s="107"/>
      <c r="H358" s="107"/>
      <c r="I358" s="107"/>
      <c r="J358" s="107"/>
      <c r="K358" s="107"/>
      <c r="L358" s="107"/>
      <c r="M358" s="107"/>
      <c r="N358" s="107"/>
      <c r="O358" s="107"/>
      <c r="P358" s="107"/>
      <c r="Q358" s="107"/>
    </row>
    <row r="359" ht="15.75" customHeight="1">
      <c r="A359" s="107"/>
      <c r="B359" s="107"/>
      <c r="C359" s="107"/>
      <c r="D359" s="107"/>
      <c r="E359" s="107"/>
      <c r="F359" s="107"/>
      <c r="G359" s="107"/>
      <c r="H359" s="107"/>
      <c r="I359" s="107"/>
      <c r="J359" s="107"/>
      <c r="K359" s="107"/>
      <c r="L359" s="107"/>
      <c r="M359" s="107"/>
      <c r="N359" s="107"/>
      <c r="O359" s="107"/>
      <c r="P359" s="107"/>
      <c r="Q359" s="107"/>
    </row>
    <row r="360" ht="15.75" customHeight="1">
      <c r="A360" s="107"/>
      <c r="B360" s="107"/>
      <c r="C360" s="107"/>
      <c r="D360" s="107"/>
      <c r="E360" s="107"/>
      <c r="F360" s="107"/>
      <c r="G360" s="107"/>
      <c r="H360" s="107"/>
      <c r="I360" s="107"/>
      <c r="J360" s="107"/>
      <c r="K360" s="107"/>
      <c r="L360" s="107"/>
      <c r="M360" s="107"/>
      <c r="N360" s="107"/>
      <c r="O360" s="107"/>
      <c r="P360" s="107"/>
      <c r="Q360" s="107"/>
    </row>
    <row r="361" ht="15.75" customHeight="1">
      <c r="A361" s="107"/>
      <c r="B361" s="107"/>
      <c r="C361" s="107"/>
      <c r="D361" s="107"/>
      <c r="E361" s="107"/>
      <c r="F361" s="107"/>
      <c r="G361" s="107"/>
      <c r="H361" s="107"/>
      <c r="I361" s="107"/>
      <c r="J361" s="107"/>
      <c r="K361" s="107"/>
      <c r="L361" s="107"/>
      <c r="M361" s="107"/>
      <c r="N361" s="107"/>
      <c r="O361" s="107"/>
      <c r="P361" s="107"/>
      <c r="Q361" s="107"/>
    </row>
    <row r="362" ht="15.75" customHeight="1">
      <c r="A362" s="107"/>
      <c r="B362" s="107"/>
      <c r="C362" s="107"/>
      <c r="D362" s="107"/>
      <c r="E362" s="107"/>
      <c r="F362" s="107"/>
      <c r="G362" s="107"/>
      <c r="H362" s="107"/>
      <c r="I362" s="107"/>
      <c r="J362" s="107"/>
      <c r="K362" s="107"/>
      <c r="L362" s="107"/>
      <c r="M362" s="107"/>
      <c r="N362" s="107"/>
      <c r="O362" s="107"/>
      <c r="P362" s="107"/>
      <c r="Q362" s="107"/>
    </row>
    <row r="363" ht="15.75" customHeight="1">
      <c r="A363" s="107"/>
      <c r="B363" s="107"/>
      <c r="C363" s="107"/>
      <c r="D363" s="107"/>
      <c r="E363" s="107"/>
      <c r="F363" s="107"/>
      <c r="G363" s="107"/>
      <c r="H363" s="107"/>
      <c r="I363" s="107"/>
      <c r="J363" s="107"/>
      <c r="K363" s="107"/>
      <c r="L363" s="107"/>
      <c r="M363" s="107"/>
      <c r="N363" s="107"/>
      <c r="O363" s="107"/>
      <c r="P363" s="107"/>
      <c r="Q363" s="107"/>
    </row>
    <row r="364" ht="15.75" customHeight="1">
      <c r="A364" s="107"/>
      <c r="B364" s="107"/>
      <c r="C364" s="107"/>
      <c r="D364" s="107"/>
      <c r="E364" s="107"/>
      <c r="F364" s="107"/>
      <c r="G364" s="107"/>
      <c r="H364" s="107"/>
      <c r="I364" s="107"/>
      <c r="J364" s="107"/>
      <c r="K364" s="107"/>
      <c r="L364" s="107"/>
      <c r="M364" s="107"/>
      <c r="N364" s="107"/>
      <c r="O364" s="107"/>
      <c r="P364" s="107"/>
      <c r="Q364" s="107"/>
    </row>
    <row r="365" ht="15.75" customHeight="1">
      <c r="A365" s="107"/>
      <c r="B365" s="107"/>
      <c r="C365" s="107"/>
      <c r="D365" s="107"/>
      <c r="E365" s="107"/>
      <c r="F365" s="107"/>
      <c r="G365" s="107"/>
      <c r="H365" s="107"/>
      <c r="I365" s="107"/>
      <c r="J365" s="107"/>
      <c r="K365" s="107"/>
      <c r="L365" s="107"/>
      <c r="M365" s="107"/>
      <c r="N365" s="107"/>
      <c r="O365" s="107"/>
      <c r="P365" s="107"/>
      <c r="Q365" s="107"/>
    </row>
    <row r="366" ht="15.75" customHeight="1">
      <c r="A366" s="107"/>
      <c r="B366" s="107"/>
      <c r="C366" s="107"/>
      <c r="D366" s="107"/>
      <c r="E366" s="107"/>
      <c r="F366" s="107"/>
      <c r="G366" s="107"/>
      <c r="H366" s="107"/>
      <c r="I366" s="107"/>
      <c r="J366" s="107"/>
      <c r="K366" s="107"/>
      <c r="L366" s="107"/>
      <c r="M366" s="107"/>
      <c r="N366" s="107"/>
      <c r="O366" s="107"/>
      <c r="P366" s="107"/>
      <c r="Q366" s="107"/>
    </row>
    <row r="367" ht="15.75" customHeight="1">
      <c r="A367" s="107"/>
      <c r="B367" s="107"/>
      <c r="C367" s="107"/>
      <c r="D367" s="107"/>
      <c r="E367" s="107"/>
      <c r="F367" s="107"/>
      <c r="G367" s="107"/>
      <c r="H367" s="107"/>
      <c r="I367" s="107"/>
      <c r="J367" s="107"/>
      <c r="K367" s="107"/>
      <c r="L367" s="107"/>
      <c r="M367" s="107"/>
      <c r="N367" s="107"/>
      <c r="O367" s="107"/>
      <c r="P367" s="107"/>
      <c r="Q367" s="107"/>
    </row>
    <row r="368" ht="15.75" customHeight="1">
      <c r="A368" s="107"/>
      <c r="B368" s="107"/>
      <c r="C368" s="107"/>
      <c r="D368" s="107"/>
      <c r="E368" s="107"/>
      <c r="F368" s="107"/>
      <c r="G368" s="107"/>
      <c r="H368" s="107"/>
      <c r="I368" s="107"/>
      <c r="J368" s="107"/>
      <c r="K368" s="107"/>
      <c r="L368" s="107"/>
      <c r="M368" s="107"/>
      <c r="N368" s="107"/>
      <c r="O368" s="107"/>
      <c r="P368" s="107"/>
      <c r="Q368" s="107"/>
    </row>
    <row r="369" ht="15.75" customHeight="1">
      <c r="A369" s="107"/>
      <c r="B369" s="107"/>
      <c r="C369" s="107"/>
      <c r="D369" s="107"/>
      <c r="E369" s="107"/>
      <c r="F369" s="107"/>
      <c r="G369" s="107"/>
      <c r="H369" s="107"/>
      <c r="I369" s="107"/>
      <c r="J369" s="107"/>
      <c r="K369" s="107"/>
      <c r="L369" s="107"/>
      <c r="M369" s="107"/>
      <c r="N369" s="107"/>
      <c r="O369" s="107"/>
      <c r="P369" s="107"/>
      <c r="Q369" s="107"/>
    </row>
    <row r="370" ht="15.75" customHeight="1">
      <c r="A370" s="107"/>
      <c r="B370" s="107"/>
      <c r="C370" s="107"/>
      <c r="D370" s="107"/>
      <c r="E370" s="107"/>
      <c r="F370" s="107"/>
      <c r="G370" s="107"/>
      <c r="H370" s="107"/>
      <c r="I370" s="107"/>
      <c r="J370" s="107"/>
      <c r="K370" s="107"/>
      <c r="L370" s="107"/>
      <c r="M370" s="107"/>
      <c r="N370" s="107"/>
      <c r="O370" s="107"/>
      <c r="P370" s="107"/>
      <c r="Q370" s="107"/>
    </row>
    <row r="371" ht="15.75" customHeight="1">
      <c r="A371" s="107"/>
      <c r="B371" s="107"/>
      <c r="C371" s="107"/>
      <c r="D371" s="107"/>
      <c r="E371" s="107"/>
      <c r="F371" s="107"/>
      <c r="G371" s="107"/>
      <c r="H371" s="107"/>
      <c r="I371" s="107"/>
      <c r="J371" s="107"/>
      <c r="K371" s="107"/>
      <c r="L371" s="107"/>
      <c r="M371" s="107"/>
      <c r="N371" s="107"/>
      <c r="O371" s="107"/>
      <c r="P371" s="107"/>
      <c r="Q371" s="107"/>
    </row>
    <row r="372" ht="15.75" customHeight="1">
      <c r="A372" s="107"/>
      <c r="B372" s="107"/>
      <c r="C372" s="107"/>
      <c r="D372" s="107"/>
      <c r="E372" s="107"/>
      <c r="F372" s="107"/>
      <c r="G372" s="107"/>
      <c r="H372" s="107"/>
      <c r="I372" s="107"/>
      <c r="J372" s="107"/>
      <c r="K372" s="107"/>
      <c r="L372" s="107"/>
      <c r="M372" s="107"/>
      <c r="N372" s="107"/>
      <c r="O372" s="107"/>
      <c r="P372" s="107"/>
      <c r="Q372" s="107"/>
    </row>
    <row r="373" ht="15.75" customHeight="1">
      <c r="A373" s="107"/>
      <c r="B373" s="107"/>
      <c r="C373" s="107"/>
      <c r="D373" s="107"/>
      <c r="E373" s="107"/>
      <c r="F373" s="107"/>
      <c r="G373" s="107"/>
      <c r="H373" s="107"/>
      <c r="I373" s="107"/>
      <c r="J373" s="107"/>
      <c r="K373" s="107"/>
      <c r="L373" s="107"/>
      <c r="M373" s="107"/>
      <c r="N373" s="107"/>
      <c r="O373" s="107"/>
      <c r="P373" s="107"/>
      <c r="Q373" s="107"/>
    </row>
    <row r="374" ht="15.75" customHeight="1">
      <c r="A374" s="107"/>
      <c r="B374" s="107"/>
      <c r="C374" s="107"/>
      <c r="D374" s="107"/>
      <c r="E374" s="107"/>
      <c r="F374" s="107"/>
      <c r="G374" s="107"/>
      <c r="H374" s="107"/>
      <c r="I374" s="107"/>
      <c r="J374" s="107"/>
      <c r="K374" s="107"/>
      <c r="L374" s="107"/>
      <c r="M374" s="107"/>
      <c r="N374" s="107"/>
      <c r="O374" s="107"/>
      <c r="P374" s="107"/>
      <c r="Q374" s="107"/>
    </row>
    <row r="375" ht="15.75" customHeight="1">
      <c r="A375" s="107"/>
      <c r="B375" s="107"/>
      <c r="C375" s="107"/>
      <c r="D375" s="107"/>
      <c r="E375" s="107"/>
      <c r="F375" s="107"/>
      <c r="G375" s="107"/>
      <c r="H375" s="107"/>
      <c r="I375" s="107"/>
      <c r="J375" s="107"/>
      <c r="K375" s="107"/>
      <c r="L375" s="107"/>
      <c r="M375" s="107"/>
      <c r="N375" s="107"/>
      <c r="O375" s="107"/>
      <c r="P375" s="107"/>
      <c r="Q375" s="107"/>
    </row>
    <row r="376" ht="15.75" customHeight="1">
      <c r="A376" s="107"/>
      <c r="B376" s="107"/>
      <c r="C376" s="107"/>
      <c r="D376" s="107"/>
      <c r="E376" s="107"/>
      <c r="F376" s="107"/>
      <c r="G376" s="107"/>
      <c r="H376" s="107"/>
      <c r="I376" s="107"/>
      <c r="J376" s="107"/>
      <c r="K376" s="107"/>
      <c r="L376" s="107"/>
      <c r="M376" s="107"/>
      <c r="N376" s="107"/>
      <c r="O376" s="107"/>
      <c r="P376" s="107"/>
      <c r="Q376" s="107"/>
    </row>
    <row r="377" ht="15.75" customHeight="1">
      <c r="A377" s="107"/>
      <c r="B377" s="107"/>
      <c r="C377" s="107"/>
      <c r="D377" s="107"/>
      <c r="E377" s="107"/>
      <c r="F377" s="107"/>
      <c r="G377" s="107"/>
      <c r="H377" s="107"/>
      <c r="I377" s="107"/>
      <c r="J377" s="107"/>
      <c r="K377" s="107"/>
      <c r="L377" s="107"/>
      <c r="M377" s="107"/>
      <c r="N377" s="107"/>
      <c r="O377" s="107"/>
      <c r="P377" s="107"/>
      <c r="Q377" s="107"/>
    </row>
    <row r="378" ht="15.75" customHeight="1">
      <c r="A378" s="107"/>
      <c r="B378" s="107"/>
      <c r="C378" s="107"/>
      <c r="D378" s="107"/>
      <c r="E378" s="107"/>
      <c r="F378" s="107"/>
      <c r="G378" s="107"/>
      <c r="H378" s="107"/>
      <c r="I378" s="107"/>
      <c r="J378" s="107"/>
      <c r="K378" s="107"/>
      <c r="L378" s="107"/>
      <c r="M378" s="107"/>
      <c r="N378" s="107"/>
      <c r="O378" s="107"/>
      <c r="P378" s="107"/>
      <c r="Q378" s="107"/>
    </row>
    <row r="379" ht="15.75" customHeight="1">
      <c r="A379" s="107"/>
      <c r="B379" s="107"/>
      <c r="C379" s="107"/>
      <c r="D379" s="107"/>
      <c r="E379" s="107"/>
      <c r="F379" s="107"/>
      <c r="G379" s="107"/>
      <c r="H379" s="107"/>
      <c r="I379" s="107"/>
      <c r="J379" s="107"/>
      <c r="K379" s="107"/>
      <c r="L379" s="107"/>
      <c r="M379" s="107"/>
      <c r="N379" s="107"/>
      <c r="O379" s="107"/>
      <c r="P379" s="107"/>
      <c r="Q379" s="107"/>
    </row>
    <row r="380" ht="15.75" customHeight="1">
      <c r="A380" s="107"/>
      <c r="B380" s="107"/>
      <c r="C380" s="107"/>
      <c r="D380" s="107"/>
      <c r="E380" s="107"/>
      <c r="F380" s="107"/>
      <c r="G380" s="107"/>
      <c r="H380" s="107"/>
      <c r="I380" s="107"/>
      <c r="J380" s="107"/>
      <c r="K380" s="107"/>
      <c r="L380" s="107"/>
      <c r="M380" s="107"/>
      <c r="N380" s="107"/>
      <c r="O380" s="107"/>
      <c r="P380" s="107"/>
      <c r="Q380" s="107"/>
    </row>
    <row r="381" ht="15.75" customHeight="1">
      <c r="A381" s="107"/>
      <c r="B381" s="107"/>
      <c r="C381" s="107"/>
      <c r="D381" s="107"/>
      <c r="E381" s="107"/>
      <c r="F381" s="107"/>
      <c r="G381" s="107"/>
      <c r="H381" s="107"/>
      <c r="I381" s="107"/>
      <c r="J381" s="107"/>
      <c r="K381" s="107"/>
      <c r="L381" s="107"/>
      <c r="M381" s="107"/>
      <c r="N381" s="107"/>
      <c r="O381" s="107"/>
      <c r="P381" s="107"/>
      <c r="Q381" s="107"/>
    </row>
    <row r="382" ht="15.75" customHeight="1">
      <c r="A382" s="107"/>
      <c r="B382" s="107"/>
      <c r="C382" s="107"/>
      <c r="D382" s="107"/>
      <c r="E382" s="107"/>
      <c r="F382" s="107"/>
      <c r="G382" s="107"/>
      <c r="H382" s="107"/>
      <c r="I382" s="107"/>
      <c r="J382" s="107"/>
      <c r="K382" s="107"/>
      <c r="L382" s="107"/>
      <c r="M382" s="107"/>
      <c r="N382" s="107"/>
      <c r="O382" s="107"/>
      <c r="P382" s="107"/>
      <c r="Q382" s="107"/>
    </row>
    <row r="383" ht="15.75" customHeight="1">
      <c r="A383" s="107"/>
      <c r="B383" s="107"/>
      <c r="C383" s="107"/>
      <c r="D383" s="107"/>
      <c r="E383" s="107"/>
      <c r="F383" s="107"/>
      <c r="G383" s="107"/>
      <c r="H383" s="107"/>
      <c r="I383" s="107"/>
      <c r="J383" s="107"/>
      <c r="K383" s="107"/>
      <c r="L383" s="107"/>
      <c r="M383" s="107"/>
      <c r="N383" s="107"/>
      <c r="O383" s="107"/>
      <c r="P383" s="107"/>
      <c r="Q383" s="107"/>
    </row>
    <row r="384" ht="15.75" customHeight="1">
      <c r="A384" s="107"/>
      <c r="B384" s="107"/>
      <c r="C384" s="107"/>
      <c r="D384" s="107"/>
      <c r="E384" s="107"/>
      <c r="F384" s="107"/>
      <c r="G384" s="107"/>
      <c r="H384" s="107"/>
      <c r="I384" s="107"/>
      <c r="J384" s="107"/>
      <c r="K384" s="107"/>
      <c r="L384" s="107"/>
      <c r="M384" s="107"/>
      <c r="N384" s="107"/>
      <c r="O384" s="107"/>
      <c r="P384" s="107"/>
      <c r="Q384" s="107"/>
    </row>
    <row r="385" ht="15.75" customHeight="1">
      <c r="A385" s="107"/>
      <c r="B385" s="107"/>
      <c r="C385" s="107"/>
      <c r="D385" s="107"/>
      <c r="E385" s="107"/>
      <c r="F385" s="107"/>
      <c r="G385" s="107"/>
      <c r="H385" s="107"/>
      <c r="I385" s="107"/>
      <c r="J385" s="107"/>
      <c r="K385" s="107"/>
      <c r="L385" s="107"/>
      <c r="M385" s="107"/>
      <c r="N385" s="107"/>
      <c r="O385" s="107"/>
      <c r="P385" s="107"/>
      <c r="Q385" s="107"/>
    </row>
    <row r="386" ht="15.75" customHeight="1">
      <c r="A386" s="107"/>
      <c r="B386" s="107"/>
      <c r="C386" s="107"/>
      <c r="D386" s="107"/>
      <c r="E386" s="107"/>
      <c r="F386" s="107"/>
      <c r="G386" s="107"/>
      <c r="H386" s="107"/>
      <c r="I386" s="107"/>
      <c r="J386" s="107"/>
      <c r="K386" s="107"/>
      <c r="L386" s="107"/>
      <c r="M386" s="107"/>
      <c r="N386" s="107"/>
      <c r="O386" s="107"/>
      <c r="P386" s="107"/>
      <c r="Q386" s="107"/>
    </row>
    <row r="387" ht="15.75" customHeight="1">
      <c r="A387" s="107"/>
      <c r="B387" s="107"/>
      <c r="C387" s="107"/>
      <c r="D387" s="107"/>
      <c r="E387" s="107"/>
      <c r="F387" s="107"/>
      <c r="G387" s="107"/>
      <c r="H387" s="107"/>
      <c r="I387" s="107"/>
      <c r="J387" s="107"/>
      <c r="K387" s="107"/>
      <c r="L387" s="107"/>
      <c r="M387" s="107"/>
      <c r="N387" s="107"/>
      <c r="O387" s="107"/>
      <c r="P387" s="107"/>
      <c r="Q387" s="107"/>
    </row>
    <row r="388" ht="15.75" customHeight="1">
      <c r="A388" s="107"/>
      <c r="B388" s="107"/>
      <c r="C388" s="107"/>
      <c r="D388" s="107"/>
      <c r="E388" s="107"/>
      <c r="F388" s="107"/>
      <c r="G388" s="107"/>
      <c r="H388" s="107"/>
      <c r="I388" s="107"/>
      <c r="J388" s="107"/>
      <c r="K388" s="107"/>
      <c r="L388" s="107"/>
      <c r="M388" s="107"/>
      <c r="N388" s="107"/>
      <c r="O388" s="107"/>
      <c r="P388" s="107"/>
      <c r="Q388" s="107"/>
    </row>
    <row r="389" ht="15.75" customHeight="1">
      <c r="A389" s="107"/>
      <c r="B389" s="107"/>
      <c r="C389" s="107"/>
      <c r="D389" s="107"/>
      <c r="E389" s="107"/>
      <c r="F389" s="107"/>
      <c r="G389" s="107"/>
      <c r="H389" s="107"/>
      <c r="I389" s="107"/>
      <c r="J389" s="107"/>
      <c r="K389" s="107"/>
      <c r="L389" s="107"/>
      <c r="M389" s="107"/>
      <c r="N389" s="107"/>
      <c r="O389" s="107"/>
      <c r="P389" s="107"/>
      <c r="Q389" s="107"/>
    </row>
    <row r="390" ht="15.75" customHeight="1">
      <c r="A390" s="107"/>
      <c r="B390" s="107"/>
      <c r="C390" s="107"/>
      <c r="D390" s="107"/>
      <c r="E390" s="107"/>
      <c r="F390" s="107"/>
      <c r="G390" s="107"/>
      <c r="H390" s="107"/>
      <c r="I390" s="107"/>
      <c r="J390" s="107"/>
      <c r="K390" s="107"/>
      <c r="L390" s="107"/>
      <c r="M390" s="107"/>
      <c r="N390" s="107"/>
      <c r="O390" s="107"/>
      <c r="P390" s="107"/>
      <c r="Q390" s="107"/>
    </row>
    <row r="391" ht="15.75" customHeight="1">
      <c r="A391" s="107"/>
      <c r="B391" s="107"/>
      <c r="C391" s="107"/>
      <c r="D391" s="107"/>
      <c r="E391" s="107"/>
      <c r="F391" s="107"/>
      <c r="G391" s="107"/>
      <c r="H391" s="107"/>
      <c r="I391" s="107"/>
      <c r="J391" s="107"/>
      <c r="K391" s="107"/>
      <c r="L391" s="107"/>
      <c r="M391" s="107"/>
      <c r="N391" s="107"/>
      <c r="O391" s="107"/>
      <c r="P391" s="107"/>
      <c r="Q391" s="107"/>
    </row>
    <row r="392" ht="15.75" customHeight="1">
      <c r="A392" s="107"/>
      <c r="B392" s="107"/>
      <c r="C392" s="107"/>
      <c r="D392" s="107"/>
      <c r="E392" s="107"/>
      <c r="F392" s="107"/>
      <c r="G392" s="107"/>
      <c r="H392" s="107"/>
      <c r="I392" s="107"/>
      <c r="J392" s="107"/>
      <c r="K392" s="107"/>
      <c r="L392" s="107"/>
      <c r="M392" s="107"/>
      <c r="N392" s="107"/>
      <c r="O392" s="107"/>
      <c r="P392" s="107"/>
      <c r="Q392" s="107"/>
    </row>
    <row r="393" ht="15.75" customHeight="1">
      <c r="A393" s="107"/>
      <c r="B393" s="107"/>
      <c r="C393" s="107"/>
      <c r="D393" s="107"/>
      <c r="E393" s="107"/>
      <c r="F393" s="107"/>
      <c r="G393" s="107"/>
      <c r="H393" s="107"/>
      <c r="I393" s="107"/>
      <c r="J393" s="107"/>
      <c r="K393" s="107"/>
      <c r="L393" s="107"/>
      <c r="M393" s="107"/>
      <c r="N393" s="107"/>
      <c r="O393" s="107"/>
      <c r="P393" s="107"/>
      <c r="Q393" s="107"/>
    </row>
    <row r="394" ht="15.75" customHeight="1">
      <c r="A394" s="107"/>
      <c r="B394" s="107"/>
      <c r="C394" s="107"/>
      <c r="D394" s="107"/>
      <c r="E394" s="107"/>
      <c r="F394" s="107"/>
      <c r="G394" s="107"/>
      <c r="H394" s="107"/>
      <c r="I394" s="107"/>
      <c r="J394" s="107"/>
      <c r="K394" s="107"/>
      <c r="L394" s="107"/>
      <c r="M394" s="107"/>
      <c r="N394" s="107"/>
      <c r="O394" s="107"/>
      <c r="P394" s="107"/>
      <c r="Q394" s="107"/>
    </row>
    <row r="395" ht="15.75" customHeight="1">
      <c r="A395" s="107"/>
      <c r="B395" s="107"/>
      <c r="C395" s="107"/>
      <c r="D395" s="107"/>
      <c r="E395" s="107"/>
      <c r="F395" s="107"/>
      <c r="G395" s="107"/>
      <c r="H395" s="107"/>
      <c r="I395" s="107"/>
      <c r="J395" s="107"/>
      <c r="K395" s="107"/>
      <c r="L395" s="107"/>
      <c r="M395" s="107"/>
      <c r="N395" s="107"/>
      <c r="O395" s="107"/>
      <c r="P395" s="107"/>
      <c r="Q395" s="107"/>
    </row>
    <row r="396" ht="15.75" customHeight="1">
      <c r="A396" s="107"/>
      <c r="B396" s="107"/>
      <c r="C396" s="107"/>
      <c r="D396" s="107"/>
      <c r="E396" s="107"/>
      <c r="F396" s="107"/>
      <c r="G396" s="107"/>
      <c r="H396" s="107"/>
      <c r="I396" s="107"/>
      <c r="J396" s="107"/>
      <c r="K396" s="107"/>
      <c r="L396" s="107"/>
      <c r="M396" s="107"/>
      <c r="N396" s="107"/>
      <c r="O396" s="107"/>
      <c r="P396" s="107"/>
      <c r="Q396" s="107"/>
    </row>
    <row r="397" ht="15.75" customHeight="1">
      <c r="A397" s="107"/>
      <c r="B397" s="107"/>
      <c r="C397" s="107"/>
      <c r="D397" s="107"/>
      <c r="E397" s="107"/>
      <c r="F397" s="107"/>
      <c r="G397" s="107"/>
      <c r="H397" s="107"/>
      <c r="I397" s="107"/>
      <c r="J397" s="107"/>
      <c r="K397" s="107"/>
      <c r="L397" s="107"/>
      <c r="M397" s="107"/>
      <c r="N397" s="107"/>
      <c r="O397" s="107"/>
      <c r="P397" s="107"/>
      <c r="Q397" s="107"/>
    </row>
    <row r="398" ht="15.75" customHeight="1">
      <c r="A398" s="107"/>
      <c r="B398" s="107"/>
      <c r="C398" s="107"/>
      <c r="D398" s="107"/>
      <c r="E398" s="107"/>
      <c r="F398" s="107"/>
      <c r="G398" s="107"/>
      <c r="H398" s="107"/>
      <c r="I398" s="107"/>
      <c r="J398" s="107"/>
      <c r="K398" s="107"/>
      <c r="L398" s="107"/>
      <c r="M398" s="107"/>
      <c r="N398" s="107"/>
      <c r="O398" s="107"/>
      <c r="P398" s="107"/>
      <c r="Q398" s="107"/>
    </row>
    <row r="399" ht="15.75" customHeight="1">
      <c r="A399" s="107"/>
      <c r="B399" s="107"/>
      <c r="C399" s="107"/>
      <c r="D399" s="107"/>
      <c r="E399" s="107"/>
      <c r="F399" s="107"/>
      <c r="G399" s="107"/>
      <c r="H399" s="107"/>
      <c r="I399" s="107"/>
      <c r="J399" s="107"/>
      <c r="K399" s="107"/>
      <c r="L399" s="107"/>
      <c r="M399" s="107"/>
      <c r="N399" s="107"/>
      <c r="O399" s="107"/>
      <c r="P399" s="107"/>
      <c r="Q399" s="107"/>
    </row>
    <row r="400" ht="15.75" customHeight="1">
      <c r="A400" s="107"/>
      <c r="B400" s="107"/>
      <c r="C400" s="107"/>
      <c r="D400" s="107"/>
      <c r="E400" s="107"/>
      <c r="F400" s="107"/>
      <c r="G400" s="107"/>
      <c r="H400" s="107"/>
      <c r="I400" s="107"/>
      <c r="J400" s="107"/>
      <c r="K400" s="107"/>
      <c r="L400" s="107"/>
      <c r="M400" s="107"/>
      <c r="N400" s="107"/>
      <c r="O400" s="107"/>
      <c r="P400" s="107"/>
      <c r="Q400" s="107"/>
    </row>
    <row r="401" ht="15.75" customHeight="1">
      <c r="A401" s="107"/>
      <c r="B401" s="107"/>
      <c r="C401" s="107"/>
      <c r="D401" s="107"/>
      <c r="E401" s="107"/>
      <c r="F401" s="107"/>
      <c r="G401" s="107"/>
      <c r="H401" s="107"/>
      <c r="I401" s="107"/>
      <c r="J401" s="107"/>
      <c r="K401" s="107"/>
      <c r="L401" s="107"/>
      <c r="M401" s="107"/>
      <c r="N401" s="107"/>
      <c r="O401" s="107"/>
      <c r="P401" s="107"/>
      <c r="Q401" s="107"/>
    </row>
    <row r="402" ht="15.75" customHeight="1">
      <c r="A402" s="107"/>
      <c r="B402" s="107"/>
      <c r="C402" s="107"/>
      <c r="D402" s="107"/>
      <c r="E402" s="107"/>
      <c r="F402" s="107"/>
      <c r="G402" s="107"/>
      <c r="H402" s="107"/>
      <c r="I402" s="107"/>
      <c r="J402" s="107"/>
      <c r="K402" s="107"/>
      <c r="L402" s="107"/>
      <c r="M402" s="107"/>
      <c r="N402" s="107"/>
      <c r="O402" s="107"/>
      <c r="P402" s="107"/>
      <c r="Q402" s="107"/>
    </row>
    <row r="403" ht="15.75" customHeight="1">
      <c r="A403" s="107"/>
      <c r="B403" s="107"/>
      <c r="C403" s="107"/>
      <c r="D403" s="107"/>
      <c r="E403" s="107"/>
      <c r="F403" s="107"/>
      <c r="G403" s="107"/>
      <c r="H403" s="107"/>
      <c r="I403" s="107"/>
      <c r="J403" s="107"/>
      <c r="K403" s="107"/>
      <c r="L403" s="107"/>
      <c r="M403" s="107"/>
      <c r="N403" s="107"/>
      <c r="O403" s="107"/>
      <c r="P403" s="107"/>
      <c r="Q403" s="107"/>
    </row>
    <row r="404" ht="15.75" customHeight="1">
      <c r="A404" s="107"/>
      <c r="B404" s="107"/>
      <c r="C404" s="107"/>
      <c r="D404" s="107"/>
      <c r="E404" s="107"/>
      <c r="F404" s="107"/>
      <c r="G404" s="107"/>
      <c r="H404" s="107"/>
      <c r="I404" s="107"/>
      <c r="J404" s="107"/>
      <c r="K404" s="107"/>
      <c r="L404" s="107"/>
      <c r="M404" s="107"/>
      <c r="N404" s="107"/>
      <c r="O404" s="107"/>
      <c r="P404" s="107"/>
      <c r="Q404" s="107"/>
    </row>
    <row r="405" ht="15.75" customHeight="1">
      <c r="A405" s="107"/>
      <c r="B405" s="107"/>
      <c r="C405" s="107"/>
      <c r="D405" s="107"/>
      <c r="E405" s="107"/>
      <c r="F405" s="107"/>
      <c r="G405" s="107"/>
      <c r="H405" s="107"/>
      <c r="I405" s="107"/>
      <c r="J405" s="107"/>
      <c r="K405" s="107"/>
      <c r="L405" s="107"/>
      <c r="M405" s="107"/>
      <c r="N405" s="107"/>
      <c r="O405" s="107"/>
      <c r="P405" s="107"/>
      <c r="Q405" s="107"/>
    </row>
    <row r="406" ht="15.75" customHeight="1">
      <c r="A406" s="107"/>
      <c r="B406" s="107"/>
      <c r="C406" s="107"/>
      <c r="D406" s="107"/>
      <c r="E406" s="107"/>
      <c r="F406" s="107"/>
      <c r="G406" s="107"/>
      <c r="H406" s="107"/>
      <c r="I406" s="107"/>
      <c r="J406" s="107"/>
      <c r="K406" s="107"/>
      <c r="L406" s="107"/>
      <c r="M406" s="107"/>
      <c r="N406" s="107"/>
      <c r="O406" s="107"/>
      <c r="P406" s="107"/>
      <c r="Q406" s="107"/>
    </row>
    <row r="407" ht="15.75" customHeight="1">
      <c r="A407" s="107"/>
      <c r="B407" s="107"/>
      <c r="C407" s="107"/>
      <c r="D407" s="107"/>
      <c r="E407" s="107"/>
      <c r="F407" s="107"/>
      <c r="G407" s="107"/>
      <c r="H407" s="107"/>
      <c r="I407" s="107"/>
      <c r="J407" s="107"/>
      <c r="K407" s="107"/>
      <c r="L407" s="107"/>
      <c r="M407" s="107"/>
      <c r="N407" s="107"/>
      <c r="O407" s="107"/>
      <c r="P407" s="107"/>
      <c r="Q407" s="107"/>
    </row>
    <row r="408" ht="15.75" customHeight="1">
      <c r="A408" s="107"/>
      <c r="B408" s="107"/>
      <c r="C408" s="107"/>
      <c r="D408" s="107"/>
      <c r="E408" s="107"/>
      <c r="F408" s="107"/>
      <c r="G408" s="107"/>
      <c r="H408" s="107"/>
      <c r="I408" s="107"/>
      <c r="J408" s="107"/>
      <c r="K408" s="107"/>
      <c r="L408" s="107"/>
      <c r="M408" s="107"/>
      <c r="N408" s="107"/>
      <c r="O408" s="107"/>
      <c r="P408" s="107"/>
      <c r="Q408" s="107"/>
    </row>
    <row r="409" ht="15.75" customHeight="1">
      <c r="A409" s="107"/>
      <c r="B409" s="107"/>
      <c r="C409" s="107"/>
      <c r="D409" s="107"/>
      <c r="E409" s="107"/>
      <c r="F409" s="107"/>
      <c r="G409" s="107"/>
      <c r="H409" s="107"/>
      <c r="I409" s="107"/>
      <c r="J409" s="107"/>
      <c r="K409" s="107"/>
      <c r="L409" s="107"/>
      <c r="M409" s="107"/>
      <c r="N409" s="107"/>
      <c r="O409" s="107"/>
      <c r="P409" s="107"/>
      <c r="Q409" s="107"/>
    </row>
    <row r="410" ht="15.75" customHeight="1">
      <c r="A410" s="107"/>
      <c r="B410" s="107"/>
      <c r="C410" s="107"/>
      <c r="D410" s="107"/>
      <c r="E410" s="107"/>
      <c r="F410" s="107"/>
      <c r="G410" s="107"/>
      <c r="H410" s="107"/>
      <c r="I410" s="107"/>
      <c r="J410" s="107"/>
      <c r="K410" s="107"/>
      <c r="L410" s="107"/>
      <c r="M410" s="107"/>
      <c r="N410" s="107"/>
      <c r="O410" s="107"/>
      <c r="P410" s="107"/>
      <c r="Q410" s="107"/>
    </row>
    <row r="411" ht="15.75" customHeight="1">
      <c r="A411" s="107"/>
      <c r="B411" s="107"/>
      <c r="C411" s="107"/>
      <c r="D411" s="107"/>
      <c r="E411" s="107"/>
      <c r="F411" s="107"/>
      <c r="G411" s="107"/>
      <c r="H411" s="107"/>
      <c r="I411" s="107"/>
      <c r="J411" s="107"/>
      <c r="K411" s="107"/>
      <c r="L411" s="107"/>
      <c r="M411" s="107"/>
      <c r="N411" s="107"/>
      <c r="O411" s="107"/>
      <c r="P411" s="107"/>
      <c r="Q411" s="107"/>
    </row>
    <row r="412" ht="15.75" customHeight="1">
      <c r="A412" s="107"/>
      <c r="B412" s="107"/>
      <c r="C412" s="107"/>
      <c r="D412" s="107"/>
      <c r="E412" s="107"/>
      <c r="F412" s="107"/>
      <c r="G412" s="107"/>
      <c r="H412" s="107"/>
      <c r="I412" s="107"/>
      <c r="J412" s="107"/>
      <c r="K412" s="107"/>
      <c r="L412" s="107"/>
      <c r="M412" s="107"/>
      <c r="N412" s="107"/>
      <c r="O412" s="107"/>
      <c r="P412" s="107"/>
      <c r="Q412" s="107"/>
    </row>
    <row r="413" ht="15.75" customHeight="1">
      <c r="A413" s="107"/>
      <c r="B413" s="107"/>
      <c r="C413" s="107"/>
      <c r="D413" s="107"/>
      <c r="E413" s="107"/>
      <c r="F413" s="107"/>
      <c r="G413" s="107"/>
      <c r="H413" s="107"/>
      <c r="I413" s="107"/>
      <c r="J413" s="107"/>
      <c r="K413" s="107"/>
      <c r="L413" s="107"/>
      <c r="M413" s="107"/>
      <c r="N413" s="107"/>
      <c r="O413" s="107"/>
      <c r="P413" s="107"/>
      <c r="Q413" s="107"/>
    </row>
    <row r="414" ht="15.75" customHeight="1">
      <c r="A414" s="107"/>
      <c r="B414" s="107"/>
      <c r="C414" s="107"/>
      <c r="D414" s="107"/>
      <c r="E414" s="107"/>
      <c r="F414" s="107"/>
      <c r="G414" s="107"/>
      <c r="H414" s="107"/>
      <c r="I414" s="107"/>
      <c r="J414" s="107"/>
      <c r="K414" s="107"/>
      <c r="L414" s="107"/>
      <c r="M414" s="107"/>
      <c r="N414" s="107"/>
      <c r="O414" s="107"/>
      <c r="P414" s="107"/>
      <c r="Q414" s="107"/>
    </row>
    <row r="415" ht="15.75" customHeight="1">
      <c r="A415" s="107"/>
      <c r="B415" s="107"/>
      <c r="C415" s="107"/>
      <c r="D415" s="107"/>
      <c r="E415" s="107"/>
      <c r="F415" s="107"/>
      <c r="G415" s="107"/>
      <c r="H415" s="107"/>
      <c r="I415" s="107"/>
      <c r="J415" s="107"/>
      <c r="K415" s="107"/>
      <c r="L415" s="107"/>
      <c r="M415" s="107"/>
      <c r="N415" s="107"/>
      <c r="O415" s="107"/>
      <c r="P415" s="107"/>
      <c r="Q415" s="107"/>
    </row>
    <row r="416" ht="15.75" customHeight="1">
      <c r="A416" s="107"/>
      <c r="B416" s="107"/>
      <c r="C416" s="107"/>
      <c r="D416" s="107"/>
      <c r="E416" s="107"/>
      <c r="F416" s="107"/>
      <c r="G416" s="107"/>
      <c r="H416" s="107"/>
      <c r="I416" s="107"/>
      <c r="J416" s="107"/>
      <c r="K416" s="107"/>
      <c r="L416" s="107"/>
      <c r="M416" s="107"/>
      <c r="N416" s="107"/>
      <c r="O416" s="107"/>
      <c r="P416" s="107"/>
      <c r="Q416" s="107"/>
    </row>
    <row r="417" ht="15.75" customHeight="1">
      <c r="A417" s="107"/>
      <c r="B417" s="107"/>
      <c r="C417" s="107"/>
      <c r="D417" s="107"/>
      <c r="E417" s="107"/>
      <c r="F417" s="107"/>
      <c r="G417" s="107"/>
      <c r="H417" s="107"/>
      <c r="I417" s="107"/>
      <c r="J417" s="107"/>
      <c r="K417" s="107"/>
      <c r="L417" s="107"/>
      <c r="M417" s="107"/>
      <c r="N417" s="107"/>
      <c r="O417" s="107"/>
      <c r="P417" s="107"/>
      <c r="Q417" s="107"/>
    </row>
    <row r="418" ht="15.75" customHeight="1">
      <c r="A418" s="107"/>
      <c r="B418" s="107"/>
      <c r="C418" s="107"/>
      <c r="D418" s="107"/>
      <c r="E418" s="107"/>
      <c r="F418" s="107"/>
      <c r="G418" s="107"/>
      <c r="H418" s="107"/>
      <c r="I418" s="107"/>
      <c r="J418" s="107"/>
      <c r="K418" s="107"/>
      <c r="L418" s="107"/>
      <c r="M418" s="107"/>
      <c r="N418" s="107"/>
      <c r="O418" s="107"/>
      <c r="P418" s="107"/>
      <c r="Q418" s="107"/>
    </row>
    <row r="419" ht="15.75" customHeight="1">
      <c r="A419" s="107"/>
      <c r="B419" s="107"/>
      <c r="C419" s="107"/>
      <c r="D419" s="107"/>
      <c r="E419" s="107"/>
      <c r="F419" s="107"/>
      <c r="G419" s="107"/>
      <c r="H419" s="107"/>
      <c r="I419" s="107"/>
      <c r="J419" s="107"/>
      <c r="K419" s="107"/>
      <c r="L419" s="107"/>
      <c r="M419" s="107"/>
      <c r="N419" s="107"/>
      <c r="O419" s="107"/>
      <c r="P419" s="107"/>
      <c r="Q419" s="107"/>
    </row>
    <row r="420" ht="15.75" customHeight="1">
      <c r="A420" s="107"/>
      <c r="B420" s="107"/>
      <c r="C420" s="107"/>
      <c r="D420" s="107"/>
      <c r="E420" s="107"/>
      <c r="F420" s="107"/>
      <c r="G420" s="107"/>
      <c r="H420" s="107"/>
      <c r="I420" s="107"/>
      <c r="J420" s="107"/>
      <c r="K420" s="107"/>
      <c r="L420" s="107"/>
      <c r="M420" s="107"/>
      <c r="N420" s="107"/>
      <c r="O420" s="107"/>
      <c r="P420" s="107"/>
      <c r="Q420" s="107"/>
    </row>
    <row r="421" ht="15.75" customHeight="1">
      <c r="A421" s="107"/>
      <c r="B421" s="107"/>
      <c r="C421" s="107"/>
      <c r="D421" s="107"/>
      <c r="E421" s="107"/>
      <c r="F421" s="107"/>
      <c r="G421" s="107"/>
      <c r="H421" s="107"/>
      <c r="I421" s="107"/>
      <c r="J421" s="107"/>
      <c r="K421" s="107"/>
      <c r="L421" s="107"/>
      <c r="M421" s="107"/>
      <c r="N421" s="107"/>
      <c r="O421" s="107"/>
      <c r="P421" s="107"/>
      <c r="Q421" s="107"/>
    </row>
    <row r="422" ht="15.75" customHeight="1">
      <c r="A422" s="107"/>
      <c r="B422" s="107"/>
      <c r="C422" s="107"/>
      <c r="D422" s="107"/>
      <c r="E422" s="107"/>
      <c r="F422" s="107"/>
      <c r="G422" s="107"/>
      <c r="H422" s="107"/>
      <c r="I422" s="107"/>
      <c r="J422" s="107"/>
      <c r="K422" s="107"/>
      <c r="L422" s="107"/>
      <c r="M422" s="107"/>
      <c r="N422" s="107"/>
      <c r="O422" s="107"/>
      <c r="P422" s="107"/>
      <c r="Q422" s="107"/>
    </row>
    <row r="423" ht="15.75" customHeight="1">
      <c r="A423" s="107"/>
      <c r="B423" s="107"/>
      <c r="C423" s="107"/>
      <c r="D423" s="107"/>
      <c r="E423" s="107"/>
      <c r="F423" s="107"/>
      <c r="G423" s="107"/>
      <c r="H423" s="107"/>
      <c r="I423" s="107"/>
      <c r="J423" s="107"/>
      <c r="K423" s="107"/>
      <c r="L423" s="107"/>
      <c r="M423" s="107"/>
      <c r="N423" s="107"/>
      <c r="O423" s="107"/>
      <c r="P423" s="107"/>
      <c r="Q423" s="107"/>
    </row>
    <row r="424" ht="15.75" customHeight="1">
      <c r="A424" s="107"/>
      <c r="B424" s="107"/>
      <c r="C424" s="107"/>
      <c r="D424" s="107"/>
      <c r="E424" s="107"/>
      <c r="F424" s="107"/>
      <c r="G424" s="107"/>
      <c r="H424" s="107"/>
      <c r="I424" s="107"/>
      <c r="J424" s="107"/>
      <c r="K424" s="107"/>
      <c r="L424" s="107"/>
      <c r="M424" s="107"/>
      <c r="N424" s="107"/>
      <c r="O424" s="107"/>
      <c r="P424" s="107"/>
      <c r="Q424" s="107"/>
    </row>
    <row r="425" ht="15.75" customHeight="1">
      <c r="A425" s="107"/>
      <c r="B425" s="107"/>
      <c r="C425" s="107"/>
      <c r="D425" s="107"/>
      <c r="E425" s="107"/>
      <c r="F425" s="107"/>
      <c r="G425" s="107"/>
      <c r="H425" s="107"/>
      <c r="I425" s="107"/>
      <c r="J425" s="107"/>
      <c r="K425" s="107"/>
      <c r="L425" s="107"/>
      <c r="M425" s="107"/>
      <c r="N425" s="107"/>
      <c r="O425" s="107"/>
      <c r="P425" s="107"/>
      <c r="Q425" s="107"/>
    </row>
    <row r="426" ht="15.75" customHeight="1">
      <c r="A426" s="107"/>
      <c r="B426" s="107"/>
      <c r="C426" s="107"/>
      <c r="D426" s="107"/>
      <c r="E426" s="107"/>
      <c r="F426" s="107"/>
      <c r="G426" s="107"/>
      <c r="H426" s="107"/>
      <c r="I426" s="107"/>
      <c r="J426" s="107"/>
      <c r="K426" s="107"/>
      <c r="L426" s="107"/>
      <c r="M426" s="107"/>
      <c r="N426" s="107"/>
      <c r="O426" s="107"/>
      <c r="P426" s="107"/>
      <c r="Q426" s="107"/>
    </row>
    <row r="427" ht="15.75" customHeight="1">
      <c r="A427" s="107"/>
      <c r="B427" s="107"/>
      <c r="C427" s="107"/>
      <c r="D427" s="107"/>
      <c r="E427" s="107"/>
      <c r="F427" s="107"/>
      <c r="G427" s="107"/>
      <c r="H427" s="107"/>
      <c r="I427" s="107"/>
      <c r="J427" s="107"/>
      <c r="K427" s="107"/>
      <c r="L427" s="107"/>
      <c r="M427" s="107"/>
      <c r="N427" s="107"/>
      <c r="O427" s="107"/>
      <c r="P427" s="107"/>
      <c r="Q427" s="107"/>
    </row>
    <row r="428" ht="15.75" customHeight="1">
      <c r="A428" s="107"/>
      <c r="B428" s="107"/>
      <c r="C428" s="107"/>
      <c r="D428" s="107"/>
      <c r="E428" s="107"/>
      <c r="F428" s="107"/>
      <c r="G428" s="107"/>
      <c r="H428" s="107"/>
      <c r="I428" s="107"/>
      <c r="J428" s="107"/>
      <c r="K428" s="107"/>
      <c r="L428" s="107"/>
      <c r="M428" s="107"/>
      <c r="N428" s="107"/>
      <c r="O428" s="107"/>
      <c r="P428" s="107"/>
      <c r="Q428" s="107"/>
    </row>
    <row r="429" ht="15.75" customHeight="1">
      <c r="A429" s="107"/>
      <c r="B429" s="107"/>
      <c r="C429" s="107"/>
      <c r="D429" s="107"/>
      <c r="E429" s="107"/>
      <c r="F429" s="107"/>
      <c r="G429" s="107"/>
      <c r="H429" s="107"/>
      <c r="I429" s="107"/>
      <c r="J429" s="107"/>
      <c r="K429" s="107"/>
      <c r="L429" s="107"/>
      <c r="M429" s="107"/>
      <c r="N429" s="107"/>
      <c r="O429" s="107"/>
      <c r="P429" s="107"/>
      <c r="Q429" s="107"/>
    </row>
    <row r="430" ht="15.75" customHeight="1">
      <c r="A430" s="107"/>
      <c r="B430" s="107"/>
      <c r="C430" s="107"/>
      <c r="D430" s="107"/>
      <c r="E430" s="107"/>
      <c r="F430" s="107"/>
      <c r="G430" s="107"/>
      <c r="H430" s="107"/>
      <c r="I430" s="107"/>
      <c r="J430" s="107"/>
      <c r="K430" s="107"/>
      <c r="L430" s="107"/>
      <c r="M430" s="107"/>
      <c r="N430" s="107"/>
      <c r="O430" s="107"/>
      <c r="P430" s="107"/>
      <c r="Q430" s="107"/>
    </row>
    <row r="431" ht="15.75" customHeight="1">
      <c r="A431" s="107"/>
      <c r="B431" s="107"/>
      <c r="C431" s="107"/>
      <c r="D431" s="107"/>
      <c r="E431" s="107"/>
      <c r="F431" s="107"/>
      <c r="G431" s="107"/>
      <c r="H431" s="107"/>
      <c r="I431" s="107"/>
      <c r="J431" s="107"/>
      <c r="K431" s="107"/>
      <c r="L431" s="107"/>
      <c r="M431" s="107"/>
      <c r="N431" s="107"/>
      <c r="O431" s="107"/>
      <c r="P431" s="107"/>
      <c r="Q431" s="107"/>
    </row>
    <row r="432" ht="15.75" customHeight="1">
      <c r="A432" s="107"/>
      <c r="B432" s="107"/>
      <c r="C432" s="107"/>
      <c r="D432" s="107"/>
      <c r="E432" s="107"/>
      <c r="F432" s="107"/>
      <c r="G432" s="107"/>
      <c r="H432" s="107"/>
      <c r="I432" s="107"/>
      <c r="J432" s="107"/>
      <c r="K432" s="107"/>
      <c r="L432" s="107"/>
      <c r="M432" s="107"/>
      <c r="N432" s="107"/>
      <c r="O432" s="107"/>
      <c r="P432" s="107"/>
      <c r="Q432" s="107"/>
    </row>
    <row r="433" ht="15.75" customHeight="1">
      <c r="A433" s="107"/>
      <c r="B433" s="107"/>
      <c r="C433" s="107"/>
      <c r="D433" s="107"/>
      <c r="E433" s="107"/>
      <c r="F433" s="107"/>
      <c r="G433" s="107"/>
      <c r="H433" s="107"/>
      <c r="I433" s="107"/>
      <c r="J433" s="107"/>
      <c r="K433" s="107"/>
      <c r="L433" s="107"/>
      <c r="M433" s="107"/>
      <c r="N433" s="107"/>
      <c r="O433" s="107"/>
      <c r="P433" s="107"/>
      <c r="Q433" s="107"/>
    </row>
    <row r="434" ht="15.75" customHeight="1">
      <c r="A434" s="107"/>
      <c r="B434" s="107"/>
      <c r="C434" s="107"/>
      <c r="D434" s="107"/>
      <c r="E434" s="107"/>
      <c r="F434" s="107"/>
      <c r="G434" s="107"/>
      <c r="H434" s="107"/>
      <c r="I434" s="107"/>
      <c r="J434" s="107"/>
      <c r="K434" s="107"/>
      <c r="L434" s="107"/>
      <c r="M434" s="107"/>
      <c r="N434" s="107"/>
      <c r="O434" s="107"/>
      <c r="P434" s="107"/>
      <c r="Q434" s="107"/>
    </row>
    <row r="435" ht="15.75" customHeight="1">
      <c r="A435" s="107"/>
      <c r="B435" s="107"/>
      <c r="C435" s="107"/>
      <c r="D435" s="107"/>
      <c r="E435" s="107"/>
      <c r="F435" s="107"/>
      <c r="G435" s="107"/>
      <c r="H435" s="107"/>
      <c r="I435" s="107"/>
      <c r="J435" s="107"/>
      <c r="K435" s="107"/>
      <c r="L435" s="107"/>
      <c r="M435" s="107"/>
      <c r="N435" s="107"/>
      <c r="O435" s="107"/>
      <c r="P435" s="107"/>
      <c r="Q435" s="107"/>
    </row>
    <row r="436" ht="15.75" customHeight="1">
      <c r="A436" s="107"/>
      <c r="B436" s="107"/>
      <c r="C436" s="107"/>
      <c r="D436" s="107"/>
      <c r="E436" s="107"/>
      <c r="F436" s="107"/>
      <c r="G436" s="107"/>
      <c r="H436" s="107"/>
      <c r="I436" s="107"/>
      <c r="J436" s="107"/>
      <c r="K436" s="107"/>
      <c r="L436" s="107"/>
      <c r="M436" s="107"/>
      <c r="N436" s="107"/>
      <c r="O436" s="107"/>
      <c r="P436" s="107"/>
      <c r="Q436" s="107"/>
    </row>
    <row r="437" ht="15.75" customHeight="1">
      <c r="A437" s="107"/>
      <c r="B437" s="107"/>
      <c r="C437" s="107"/>
      <c r="D437" s="107"/>
      <c r="E437" s="107"/>
      <c r="F437" s="107"/>
      <c r="G437" s="107"/>
      <c r="H437" s="107"/>
      <c r="I437" s="107"/>
      <c r="J437" s="107"/>
      <c r="K437" s="107"/>
      <c r="L437" s="107"/>
      <c r="M437" s="107"/>
      <c r="N437" s="107"/>
      <c r="O437" s="107"/>
      <c r="P437" s="107"/>
      <c r="Q437" s="107"/>
    </row>
    <row r="438" ht="15.75" customHeight="1">
      <c r="A438" s="107"/>
      <c r="B438" s="107"/>
      <c r="C438" s="107"/>
      <c r="D438" s="107"/>
      <c r="E438" s="107"/>
      <c r="F438" s="107"/>
      <c r="G438" s="107"/>
      <c r="H438" s="107"/>
      <c r="I438" s="107"/>
      <c r="J438" s="107"/>
      <c r="K438" s="107"/>
      <c r="L438" s="107"/>
      <c r="M438" s="107"/>
      <c r="N438" s="107"/>
      <c r="O438" s="107"/>
      <c r="P438" s="107"/>
      <c r="Q438" s="107"/>
    </row>
    <row r="439" ht="15.75" customHeight="1">
      <c r="A439" s="107"/>
      <c r="B439" s="107"/>
      <c r="C439" s="107"/>
      <c r="D439" s="107"/>
      <c r="E439" s="107"/>
      <c r="F439" s="107"/>
      <c r="G439" s="107"/>
      <c r="H439" s="107"/>
      <c r="I439" s="107"/>
      <c r="J439" s="107"/>
      <c r="K439" s="107"/>
      <c r="L439" s="107"/>
      <c r="M439" s="107"/>
      <c r="N439" s="107"/>
      <c r="O439" s="107"/>
      <c r="P439" s="107"/>
      <c r="Q439" s="107"/>
    </row>
    <row r="440" ht="15.75" customHeight="1">
      <c r="A440" s="107"/>
      <c r="B440" s="107"/>
      <c r="C440" s="107"/>
      <c r="D440" s="107"/>
      <c r="E440" s="107"/>
      <c r="F440" s="107"/>
      <c r="G440" s="107"/>
      <c r="H440" s="107"/>
      <c r="I440" s="107"/>
      <c r="J440" s="107"/>
      <c r="K440" s="107"/>
      <c r="L440" s="107"/>
      <c r="M440" s="107"/>
      <c r="N440" s="107"/>
      <c r="O440" s="107"/>
      <c r="P440" s="107"/>
      <c r="Q440" s="107"/>
    </row>
    <row r="441" ht="15.75" customHeight="1">
      <c r="A441" s="107"/>
      <c r="B441" s="107"/>
      <c r="C441" s="107"/>
      <c r="D441" s="107"/>
      <c r="E441" s="107"/>
      <c r="F441" s="107"/>
      <c r="G441" s="107"/>
      <c r="H441" s="107"/>
      <c r="I441" s="107"/>
      <c r="J441" s="107"/>
      <c r="K441" s="107"/>
      <c r="L441" s="107"/>
      <c r="M441" s="107"/>
      <c r="N441" s="107"/>
      <c r="O441" s="107"/>
      <c r="P441" s="107"/>
      <c r="Q441" s="107"/>
    </row>
    <row r="442" ht="15.75" customHeight="1">
      <c r="A442" s="107"/>
      <c r="B442" s="107"/>
      <c r="C442" s="107"/>
      <c r="D442" s="107"/>
      <c r="E442" s="107"/>
      <c r="F442" s="107"/>
      <c r="G442" s="107"/>
      <c r="H442" s="107"/>
      <c r="I442" s="107"/>
      <c r="J442" s="107"/>
      <c r="K442" s="107"/>
      <c r="L442" s="107"/>
      <c r="M442" s="107"/>
      <c r="N442" s="107"/>
      <c r="O442" s="107"/>
      <c r="P442" s="107"/>
      <c r="Q442" s="107"/>
    </row>
    <row r="443" ht="15.75" customHeight="1">
      <c r="A443" s="107"/>
      <c r="B443" s="107"/>
      <c r="C443" s="107"/>
      <c r="D443" s="107"/>
      <c r="E443" s="107"/>
      <c r="F443" s="107"/>
      <c r="G443" s="107"/>
      <c r="H443" s="107"/>
      <c r="I443" s="107"/>
      <c r="J443" s="107"/>
      <c r="K443" s="107"/>
      <c r="L443" s="107"/>
      <c r="M443" s="107"/>
      <c r="N443" s="107"/>
      <c r="O443" s="107"/>
      <c r="P443" s="107"/>
      <c r="Q443" s="107"/>
    </row>
    <row r="444" ht="15.75" customHeight="1">
      <c r="A444" s="107"/>
      <c r="B444" s="107"/>
      <c r="C444" s="107"/>
      <c r="D444" s="107"/>
      <c r="E444" s="107"/>
      <c r="F444" s="107"/>
      <c r="G444" s="107"/>
      <c r="H444" s="107"/>
      <c r="I444" s="107"/>
      <c r="J444" s="107"/>
      <c r="K444" s="107"/>
      <c r="L444" s="107"/>
      <c r="M444" s="107"/>
      <c r="N444" s="107"/>
      <c r="O444" s="107"/>
      <c r="P444" s="107"/>
      <c r="Q444" s="107"/>
    </row>
    <row r="445" ht="15.75" customHeight="1">
      <c r="A445" s="107"/>
      <c r="B445" s="107"/>
      <c r="C445" s="107"/>
      <c r="D445" s="107"/>
      <c r="E445" s="107"/>
      <c r="F445" s="107"/>
      <c r="G445" s="107"/>
      <c r="H445" s="107"/>
      <c r="I445" s="107"/>
      <c r="J445" s="107"/>
      <c r="K445" s="107"/>
      <c r="L445" s="107"/>
      <c r="M445" s="107"/>
      <c r="N445" s="107"/>
      <c r="O445" s="107"/>
      <c r="P445" s="107"/>
      <c r="Q445" s="107"/>
    </row>
    <row r="446" ht="15.75" customHeight="1">
      <c r="A446" s="107"/>
      <c r="B446" s="107"/>
      <c r="C446" s="107"/>
      <c r="D446" s="107"/>
      <c r="E446" s="107"/>
      <c r="F446" s="107"/>
      <c r="G446" s="107"/>
      <c r="H446" s="107"/>
      <c r="I446" s="107"/>
      <c r="J446" s="107"/>
      <c r="K446" s="107"/>
      <c r="L446" s="107"/>
      <c r="M446" s="107"/>
      <c r="N446" s="107"/>
      <c r="O446" s="107"/>
      <c r="P446" s="107"/>
      <c r="Q446" s="107"/>
    </row>
    <row r="447" ht="15.75" customHeight="1">
      <c r="A447" s="107"/>
      <c r="B447" s="107"/>
      <c r="C447" s="107"/>
      <c r="D447" s="107"/>
      <c r="E447" s="107"/>
      <c r="F447" s="107"/>
      <c r="G447" s="107"/>
      <c r="H447" s="107"/>
      <c r="I447" s="107"/>
      <c r="J447" s="107"/>
      <c r="K447" s="107"/>
      <c r="L447" s="107"/>
      <c r="M447" s="107"/>
      <c r="N447" s="107"/>
      <c r="O447" s="107"/>
      <c r="P447" s="107"/>
      <c r="Q447" s="107"/>
    </row>
    <row r="448" ht="15.75" customHeight="1">
      <c r="A448" s="107"/>
      <c r="B448" s="107"/>
      <c r="C448" s="107"/>
      <c r="D448" s="107"/>
      <c r="E448" s="107"/>
      <c r="F448" s="107"/>
      <c r="G448" s="107"/>
      <c r="H448" s="107"/>
      <c r="I448" s="107"/>
      <c r="J448" s="107"/>
      <c r="K448" s="107"/>
      <c r="L448" s="107"/>
      <c r="M448" s="107"/>
      <c r="N448" s="107"/>
      <c r="O448" s="107"/>
      <c r="P448" s="107"/>
      <c r="Q448" s="107"/>
    </row>
    <row r="449" ht="15.75" customHeight="1">
      <c r="A449" s="107"/>
      <c r="B449" s="107"/>
      <c r="C449" s="107"/>
      <c r="D449" s="107"/>
      <c r="E449" s="107"/>
      <c r="F449" s="107"/>
      <c r="G449" s="107"/>
      <c r="H449" s="107"/>
      <c r="I449" s="107"/>
      <c r="J449" s="107"/>
      <c r="K449" s="107"/>
      <c r="L449" s="107"/>
      <c r="M449" s="107"/>
      <c r="N449" s="107"/>
      <c r="O449" s="107"/>
      <c r="P449" s="107"/>
      <c r="Q449" s="107"/>
    </row>
    <row r="450" ht="15.75" customHeight="1">
      <c r="A450" s="107"/>
      <c r="B450" s="107"/>
      <c r="C450" s="107"/>
      <c r="D450" s="107"/>
      <c r="E450" s="107"/>
      <c r="F450" s="107"/>
      <c r="G450" s="107"/>
      <c r="H450" s="107"/>
      <c r="I450" s="107"/>
      <c r="J450" s="107"/>
      <c r="K450" s="107"/>
      <c r="L450" s="107"/>
      <c r="M450" s="107"/>
      <c r="N450" s="107"/>
      <c r="O450" s="107"/>
      <c r="P450" s="107"/>
      <c r="Q450" s="107"/>
    </row>
    <row r="451" ht="15.75" customHeight="1">
      <c r="A451" s="107"/>
      <c r="B451" s="107"/>
      <c r="C451" s="107"/>
      <c r="D451" s="107"/>
      <c r="E451" s="107"/>
      <c r="F451" s="107"/>
      <c r="G451" s="107"/>
      <c r="H451" s="107"/>
      <c r="I451" s="107"/>
      <c r="J451" s="107"/>
      <c r="K451" s="107"/>
      <c r="L451" s="107"/>
      <c r="M451" s="107"/>
      <c r="N451" s="107"/>
      <c r="O451" s="107"/>
      <c r="P451" s="107"/>
      <c r="Q451" s="107"/>
    </row>
    <row r="452" ht="15.75" customHeight="1">
      <c r="A452" s="107"/>
      <c r="B452" s="107"/>
      <c r="C452" s="107"/>
      <c r="D452" s="107"/>
      <c r="E452" s="107"/>
      <c r="F452" s="107"/>
      <c r="G452" s="107"/>
      <c r="H452" s="107"/>
      <c r="I452" s="107"/>
      <c r="J452" s="107"/>
      <c r="K452" s="107"/>
      <c r="L452" s="107"/>
      <c r="M452" s="107"/>
      <c r="N452" s="107"/>
      <c r="O452" s="107"/>
      <c r="P452" s="107"/>
      <c r="Q452" s="107"/>
    </row>
    <row r="453" ht="15.75" customHeight="1">
      <c r="A453" s="107"/>
      <c r="B453" s="107"/>
      <c r="C453" s="107"/>
      <c r="D453" s="107"/>
      <c r="E453" s="107"/>
      <c r="F453" s="107"/>
      <c r="G453" s="107"/>
      <c r="H453" s="107"/>
      <c r="I453" s="107"/>
      <c r="J453" s="107"/>
      <c r="K453" s="107"/>
      <c r="L453" s="107"/>
      <c r="M453" s="107"/>
      <c r="N453" s="107"/>
      <c r="O453" s="107"/>
      <c r="P453" s="107"/>
      <c r="Q453" s="107"/>
    </row>
    <row r="454" ht="15.75" customHeight="1">
      <c r="A454" s="107"/>
      <c r="B454" s="107"/>
      <c r="C454" s="107"/>
      <c r="D454" s="107"/>
      <c r="E454" s="107"/>
      <c r="F454" s="107"/>
      <c r="G454" s="107"/>
      <c r="H454" s="107"/>
      <c r="I454" s="107"/>
      <c r="J454" s="107"/>
      <c r="K454" s="107"/>
      <c r="L454" s="107"/>
      <c r="M454" s="107"/>
      <c r="N454" s="107"/>
      <c r="O454" s="107"/>
      <c r="P454" s="107"/>
      <c r="Q454" s="107"/>
    </row>
    <row r="455" ht="15.75" customHeight="1">
      <c r="A455" s="107"/>
      <c r="B455" s="107"/>
      <c r="C455" s="107"/>
      <c r="D455" s="107"/>
      <c r="E455" s="107"/>
      <c r="F455" s="107"/>
      <c r="G455" s="107"/>
      <c r="H455" s="107"/>
      <c r="I455" s="107"/>
      <c r="J455" s="107"/>
      <c r="K455" s="107"/>
      <c r="L455" s="107"/>
      <c r="M455" s="107"/>
      <c r="N455" s="107"/>
      <c r="O455" s="107"/>
      <c r="P455" s="107"/>
      <c r="Q455" s="107"/>
    </row>
    <row r="456" ht="15.75" customHeight="1">
      <c r="A456" s="107"/>
      <c r="B456" s="107"/>
      <c r="C456" s="107"/>
      <c r="D456" s="107"/>
      <c r="E456" s="107"/>
      <c r="F456" s="107"/>
      <c r="G456" s="107"/>
      <c r="H456" s="107"/>
      <c r="I456" s="107"/>
      <c r="J456" s="107"/>
      <c r="K456" s="107"/>
      <c r="L456" s="107"/>
      <c r="M456" s="107"/>
      <c r="N456" s="107"/>
      <c r="O456" s="107"/>
      <c r="P456" s="107"/>
      <c r="Q456" s="107"/>
    </row>
    <row r="457" ht="15.75" customHeight="1">
      <c r="A457" s="107"/>
      <c r="B457" s="107"/>
      <c r="C457" s="107"/>
      <c r="D457" s="107"/>
      <c r="E457" s="107"/>
      <c r="F457" s="107"/>
      <c r="G457" s="107"/>
      <c r="H457" s="107"/>
      <c r="I457" s="107"/>
      <c r="J457" s="107"/>
      <c r="K457" s="107"/>
      <c r="L457" s="107"/>
      <c r="M457" s="107"/>
      <c r="N457" s="107"/>
      <c r="O457" s="107"/>
      <c r="P457" s="107"/>
      <c r="Q457" s="107"/>
    </row>
    <row r="458" ht="15.75" customHeight="1">
      <c r="A458" s="107"/>
      <c r="B458" s="107"/>
      <c r="C458" s="107"/>
      <c r="D458" s="107"/>
      <c r="E458" s="107"/>
      <c r="F458" s="107"/>
      <c r="G458" s="107"/>
      <c r="H458" s="107"/>
      <c r="I458" s="107"/>
      <c r="J458" s="107"/>
      <c r="K458" s="107"/>
      <c r="L458" s="107"/>
      <c r="M458" s="107"/>
      <c r="N458" s="107"/>
      <c r="O458" s="107"/>
      <c r="P458" s="107"/>
      <c r="Q458" s="107"/>
    </row>
    <row r="459" ht="15.75" customHeight="1">
      <c r="A459" s="107"/>
      <c r="B459" s="107"/>
      <c r="C459" s="107"/>
      <c r="D459" s="107"/>
      <c r="E459" s="107"/>
      <c r="F459" s="107"/>
      <c r="G459" s="107"/>
      <c r="H459" s="107"/>
      <c r="I459" s="107"/>
      <c r="J459" s="107"/>
      <c r="K459" s="107"/>
      <c r="L459" s="107"/>
      <c r="M459" s="107"/>
      <c r="N459" s="107"/>
      <c r="O459" s="107"/>
      <c r="P459" s="107"/>
      <c r="Q459" s="107"/>
    </row>
    <row r="460" ht="15.75" customHeight="1">
      <c r="A460" s="107"/>
      <c r="B460" s="107"/>
      <c r="C460" s="107"/>
      <c r="D460" s="107"/>
      <c r="E460" s="107"/>
      <c r="F460" s="107"/>
      <c r="G460" s="107"/>
      <c r="H460" s="107"/>
      <c r="I460" s="107"/>
      <c r="J460" s="107"/>
      <c r="K460" s="107"/>
      <c r="L460" s="107"/>
      <c r="M460" s="107"/>
      <c r="N460" s="107"/>
      <c r="O460" s="107"/>
      <c r="P460" s="107"/>
      <c r="Q460" s="107"/>
    </row>
    <row r="461" ht="15.75" customHeight="1">
      <c r="A461" s="107"/>
      <c r="B461" s="107"/>
      <c r="C461" s="107"/>
      <c r="D461" s="107"/>
      <c r="E461" s="107"/>
      <c r="F461" s="107"/>
      <c r="G461" s="107"/>
      <c r="H461" s="107"/>
      <c r="I461" s="107"/>
      <c r="J461" s="107"/>
      <c r="K461" s="107"/>
      <c r="L461" s="107"/>
      <c r="M461" s="107"/>
      <c r="N461" s="107"/>
      <c r="O461" s="107"/>
      <c r="P461" s="107"/>
      <c r="Q461" s="107"/>
    </row>
    <row r="462" ht="15.75" customHeight="1">
      <c r="A462" s="107"/>
      <c r="B462" s="107"/>
      <c r="C462" s="107"/>
      <c r="D462" s="107"/>
      <c r="E462" s="107"/>
      <c r="F462" s="107"/>
      <c r="G462" s="107"/>
      <c r="H462" s="107"/>
      <c r="I462" s="107"/>
      <c r="J462" s="107"/>
      <c r="K462" s="107"/>
      <c r="L462" s="107"/>
      <c r="M462" s="107"/>
      <c r="N462" s="107"/>
      <c r="O462" s="107"/>
      <c r="P462" s="107"/>
      <c r="Q462" s="107"/>
    </row>
    <row r="463" ht="15.75" customHeight="1">
      <c r="A463" s="107"/>
      <c r="B463" s="107"/>
      <c r="C463" s="107"/>
      <c r="D463" s="107"/>
      <c r="E463" s="107"/>
      <c r="F463" s="107"/>
      <c r="G463" s="107"/>
      <c r="H463" s="107"/>
      <c r="I463" s="107"/>
      <c r="J463" s="107"/>
      <c r="K463" s="107"/>
      <c r="L463" s="107"/>
      <c r="M463" s="107"/>
      <c r="N463" s="107"/>
      <c r="O463" s="107"/>
      <c r="P463" s="107"/>
      <c r="Q463" s="107"/>
    </row>
    <row r="464" ht="15.75" customHeight="1">
      <c r="A464" s="107"/>
      <c r="B464" s="107"/>
      <c r="C464" s="107"/>
      <c r="D464" s="107"/>
      <c r="E464" s="107"/>
      <c r="F464" s="107"/>
      <c r="G464" s="107"/>
      <c r="H464" s="107"/>
      <c r="I464" s="107"/>
      <c r="J464" s="107"/>
      <c r="K464" s="107"/>
      <c r="L464" s="107"/>
      <c r="M464" s="107"/>
      <c r="N464" s="107"/>
      <c r="O464" s="107"/>
      <c r="P464" s="107"/>
      <c r="Q464" s="107"/>
    </row>
    <row r="465" ht="15.75" customHeight="1">
      <c r="A465" s="107"/>
      <c r="B465" s="107"/>
      <c r="C465" s="107"/>
      <c r="D465" s="107"/>
      <c r="E465" s="107"/>
      <c r="F465" s="107"/>
      <c r="G465" s="107"/>
      <c r="H465" s="107"/>
      <c r="I465" s="107"/>
      <c r="J465" s="107"/>
      <c r="K465" s="107"/>
      <c r="L465" s="107"/>
      <c r="M465" s="107"/>
      <c r="N465" s="107"/>
      <c r="O465" s="107"/>
      <c r="P465" s="107"/>
      <c r="Q465" s="107"/>
    </row>
    <row r="466" ht="15.75" customHeight="1">
      <c r="A466" s="107"/>
      <c r="B466" s="107"/>
      <c r="C466" s="107"/>
      <c r="D466" s="107"/>
      <c r="E466" s="107"/>
      <c r="F466" s="107"/>
      <c r="G466" s="107"/>
      <c r="H466" s="107"/>
      <c r="I466" s="107"/>
      <c r="J466" s="107"/>
      <c r="K466" s="107"/>
      <c r="L466" s="107"/>
      <c r="M466" s="107"/>
      <c r="N466" s="107"/>
      <c r="O466" s="107"/>
      <c r="P466" s="107"/>
      <c r="Q466" s="107"/>
    </row>
    <row r="467" ht="15.75" customHeight="1">
      <c r="A467" s="107"/>
      <c r="B467" s="107"/>
      <c r="C467" s="107"/>
      <c r="D467" s="107"/>
      <c r="E467" s="107"/>
      <c r="F467" s="107"/>
      <c r="G467" s="107"/>
      <c r="H467" s="107"/>
      <c r="I467" s="107"/>
      <c r="J467" s="107"/>
      <c r="K467" s="107"/>
      <c r="L467" s="107"/>
      <c r="M467" s="107"/>
      <c r="N467" s="107"/>
      <c r="O467" s="107"/>
      <c r="P467" s="107"/>
      <c r="Q467" s="107"/>
    </row>
    <row r="468" ht="15.75" customHeight="1">
      <c r="A468" s="107"/>
      <c r="B468" s="107"/>
      <c r="C468" s="107"/>
      <c r="D468" s="107"/>
      <c r="E468" s="107"/>
      <c r="F468" s="107"/>
      <c r="G468" s="107"/>
      <c r="H468" s="107"/>
      <c r="I468" s="107"/>
      <c r="J468" s="107"/>
      <c r="K468" s="107"/>
      <c r="L468" s="107"/>
      <c r="M468" s="107"/>
      <c r="N468" s="107"/>
      <c r="O468" s="107"/>
      <c r="P468" s="107"/>
      <c r="Q468" s="107"/>
    </row>
    <row r="469" ht="15.75" customHeight="1">
      <c r="A469" s="107"/>
      <c r="B469" s="107"/>
      <c r="C469" s="107"/>
      <c r="D469" s="107"/>
      <c r="E469" s="107"/>
      <c r="F469" s="107"/>
      <c r="G469" s="107"/>
      <c r="H469" s="107"/>
      <c r="I469" s="107"/>
      <c r="J469" s="107"/>
      <c r="K469" s="107"/>
      <c r="L469" s="107"/>
      <c r="M469" s="107"/>
      <c r="N469" s="107"/>
      <c r="O469" s="107"/>
      <c r="P469" s="107"/>
      <c r="Q469" s="107"/>
    </row>
    <row r="470" ht="15.75" customHeight="1">
      <c r="A470" s="107"/>
      <c r="B470" s="107"/>
      <c r="C470" s="107"/>
      <c r="D470" s="107"/>
      <c r="E470" s="107"/>
      <c r="F470" s="107"/>
      <c r="G470" s="107"/>
      <c r="H470" s="107"/>
      <c r="I470" s="107"/>
      <c r="J470" s="107"/>
      <c r="K470" s="107"/>
      <c r="L470" s="107"/>
      <c r="M470" s="107"/>
      <c r="N470" s="107"/>
      <c r="O470" s="107"/>
      <c r="P470" s="107"/>
      <c r="Q470" s="107"/>
    </row>
    <row r="471" ht="15.75" customHeight="1">
      <c r="A471" s="107"/>
      <c r="B471" s="107"/>
      <c r="C471" s="107"/>
      <c r="D471" s="107"/>
      <c r="E471" s="107"/>
      <c r="F471" s="107"/>
      <c r="G471" s="107"/>
      <c r="H471" s="107"/>
      <c r="I471" s="107"/>
      <c r="J471" s="107"/>
      <c r="K471" s="107"/>
      <c r="L471" s="107"/>
      <c r="M471" s="107"/>
      <c r="N471" s="107"/>
      <c r="O471" s="107"/>
      <c r="P471" s="107"/>
      <c r="Q471" s="107"/>
    </row>
    <row r="472" ht="15.75" customHeight="1">
      <c r="A472" s="107"/>
      <c r="B472" s="107"/>
      <c r="C472" s="107"/>
      <c r="D472" s="107"/>
      <c r="E472" s="107"/>
      <c r="F472" s="107"/>
      <c r="G472" s="107"/>
      <c r="H472" s="107"/>
      <c r="I472" s="107"/>
      <c r="J472" s="107"/>
      <c r="K472" s="107"/>
      <c r="L472" s="107"/>
      <c r="M472" s="107"/>
      <c r="N472" s="107"/>
      <c r="O472" s="107"/>
      <c r="P472" s="107"/>
      <c r="Q472" s="107"/>
    </row>
    <row r="473" ht="15.75" customHeight="1">
      <c r="A473" s="107"/>
      <c r="B473" s="107"/>
      <c r="C473" s="107"/>
      <c r="D473" s="107"/>
      <c r="E473" s="107"/>
      <c r="F473" s="107"/>
      <c r="G473" s="107"/>
      <c r="H473" s="107"/>
      <c r="I473" s="107"/>
      <c r="J473" s="107"/>
      <c r="K473" s="107"/>
      <c r="L473" s="107"/>
      <c r="M473" s="107"/>
      <c r="N473" s="107"/>
      <c r="O473" s="107"/>
      <c r="P473" s="107"/>
      <c r="Q473" s="107"/>
    </row>
    <row r="474" ht="15.75" customHeight="1">
      <c r="A474" s="107"/>
      <c r="B474" s="107"/>
      <c r="C474" s="107"/>
      <c r="D474" s="107"/>
      <c r="E474" s="107"/>
      <c r="F474" s="107"/>
      <c r="G474" s="107"/>
      <c r="H474" s="107"/>
      <c r="I474" s="107"/>
      <c r="J474" s="107"/>
      <c r="K474" s="107"/>
      <c r="L474" s="107"/>
      <c r="M474" s="107"/>
      <c r="N474" s="107"/>
      <c r="O474" s="107"/>
      <c r="P474" s="107"/>
      <c r="Q474" s="107"/>
    </row>
    <row r="475" ht="15.75" customHeight="1">
      <c r="A475" s="107"/>
      <c r="B475" s="107"/>
      <c r="C475" s="107"/>
      <c r="D475" s="107"/>
      <c r="E475" s="107"/>
      <c r="F475" s="107"/>
      <c r="G475" s="107"/>
      <c r="H475" s="107"/>
      <c r="I475" s="107"/>
      <c r="J475" s="107"/>
      <c r="K475" s="107"/>
      <c r="L475" s="107"/>
      <c r="M475" s="107"/>
      <c r="N475" s="107"/>
      <c r="O475" s="107"/>
      <c r="P475" s="107"/>
      <c r="Q475" s="107"/>
    </row>
    <row r="476" ht="15.75" customHeight="1">
      <c r="A476" s="107"/>
      <c r="B476" s="107"/>
      <c r="C476" s="107"/>
      <c r="D476" s="107"/>
      <c r="E476" s="107"/>
      <c r="F476" s="107"/>
      <c r="G476" s="107"/>
      <c r="H476" s="107"/>
      <c r="I476" s="107"/>
      <c r="J476" s="107"/>
      <c r="K476" s="107"/>
      <c r="L476" s="107"/>
      <c r="M476" s="107"/>
      <c r="N476" s="107"/>
      <c r="O476" s="107"/>
      <c r="P476" s="107"/>
      <c r="Q476" s="107"/>
    </row>
    <row r="477" ht="15.75" customHeight="1">
      <c r="A477" s="107"/>
      <c r="B477" s="107"/>
      <c r="C477" s="107"/>
      <c r="D477" s="107"/>
      <c r="E477" s="107"/>
      <c r="F477" s="107"/>
      <c r="G477" s="107"/>
      <c r="H477" s="107"/>
      <c r="I477" s="107"/>
      <c r="J477" s="107"/>
      <c r="K477" s="107"/>
      <c r="L477" s="107"/>
      <c r="M477" s="107"/>
      <c r="N477" s="107"/>
      <c r="O477" s="107"/>
      <c r="P477" s="107"/>
      <c r="Q477" s="107"/>
    </row>
    <row r="478" ht="15.75" customHeight="1">
      <c r="A478" s="107"/>
      <c r="B478" s="107"/>
      <c r="C478" s="107"/>
      <c r="D478" s="107"/>
      <c r="E478" s="107"/>
      <c r="F478" s="107"/>
      <c r="G478" s="107"/>
      <c r="H478" s="107"/>
      <c r="I478" s="107"/>
      <c r="J478" s="107"/>
      <c r="K478" s="107"/>
      <c r="L478" s="107"/>
      <c r="M478" s="107"/>
      <c r="N478" s="107"/>
      <c r="O478" s="107"/>
      <c r="P478" s="107"/>
      <c r="Q478" s="107"/>
    </row>
    <row r="479" ht="15.75" customHeight="1">
      <c r="A479" s="107"/>
      <c r="B479" s="107"/>
      <c r="C479" s="107"/>
      <c r="D479" s="107"/>
      <c r="E479" s="107"/>
      <c r="F479" s="107"/>
      <c r="G479" s="107"/>
      <c r="H479" s="107"/>
      <c r="I479" s="107"/>
      <c r="J479" s="107"/>
      <c r="K479" s="107"/>
      <c r="L479" s="107"/>
      <c r="M479" s="107"/>
      <c r="N479" s="107"/>
      <c r="O479" s="107"/>
      <c r="P479" s="107"/>
      <c r="Q479" s="107"/>
    </row>
    <row r="480" ht="15.75" customHeight="1">
      <c r="A480" s="107"/>
      <c r="B480" s="107"/>
      <c r="C480" s="107"/>
      <c r="D480" s="107"/>
      <c r="E480" s="107"/>
      <c r="F480" s="107"/>
      <c r="G480" s="107"/>
      <c r="H480" s="107"/>
      <c r="I480" s="107"/>
      <c r="J480" s="107"/>
      <c r="K480" s="107"/>
      <c r="L480" s="107"/>
      <c r="M480" s="107"/>
      <c r="N480" s="107"/>
      <c r="O480" s="107"/>
      <c r="P480" s="107"/>
      <c r="Q480" s="107"/>
    </row>
    <row r="481" ht="15.75" customHeight="1">
      <c r="A481" s="107"/>
      <c r="B481" s="107"/>
      <c r="C481" s="107"/>
      <c r="D481" s="107"/>
      <c r="E481" s="107"/>
      <c r="F481" s="107"/>
      <c r="G481" s="107"/>
      <c r="H481" s="107"/>
      <c r="I481" s="107"/>
      <c r="J481" s="107"/>
      <c r="K481" s="107"/>
      <c r="L481" s="107"/>
      <c r="M481" s="107"/>
      <c r="N481" s="107"/>
      <c r="O481" s="107"/>
      <c r="P481" s="107"/>
      <c r="Q481" s="107"/>
    </row>
    <row r="482" ht="15.75" customHeight="1">
      <c r="A482" s="107"/>
      <c r="B482" s="107"/>
      <c r="C482" s="107"/>
      <c r="D482" s="107"/>
      <c r="E482" s="107"/>
      <c r="F482" s="107"/>
      <c r="G482" s="107"/>
      <c r="H482" s="107"/>
      <c r="I482" s="107"/>
      <c r="J482" s="107"/>
      <c r="K482" s="107"/>
      <c r="L482" s="107"/>
      <c r="M482" s="107"/>
      <c r="N482" s="107"/>
      <c r="O482" s="107"/>
      <c r="P482" s="107"/>
      <c r="Q482" s="107"/>
    </row>
    <row r="483" ht="15.75" customHeight="1">
      <c r="A483" s="107"/>
      <c r="B483" s="107"/>
      <c r="C483" s="107"/>
      <c r="D483" s="107"/>
      <c r="E483" s="107"/>
      <c r="F483" s="107"/>
      <c r="G483" s="107"/>
      <c r="H483" s="107"/>
      <c r="I483" s="107"/>
      <c r="J483" s="107"/>
      <c r="K483" s="107"/>
      <c r="L483" s="107"/>
      <c r="M483" s="107"/>
      <c r="N483" s="107"/>
      <c r="O483" s="107"/>
      <c r="P483" s="107"/>
      <c r="Q483" s="107"/>
    </row>
    <row r="484" ht="15.75" customHeight="1">
      <c r="A484" s="107"/>
      <c r="B484" s="107"/>
      <c r="C484" s="107"/>
      <c r="D484" s="107"/>
      <c r="E484" s="107"/>
      <c r="F484" s="107"/>
      <c r="G484" s="107"/>
      <c r="H484" s="107"/>
      <c r="I484" s="107"/>
      <c r="J484" s="107"/>
      <c r="K484" s="107"/>
      <c r="L484" s="107"/>
      <c r="M484" s="107"/>
      <c r="N484" s="107"/>
      <c r="O484" s="107"/>
      <c r="P484" s="107"/>
      <c r="Q484" s="107"/>
    </row>
    <row r="485" ht="15.75" customHeight="1">
      <c r="A485" s="107"/>
      <c r="B485" s="107"/>
      <c r="C485" s="107"/>
      <c r="D485" s="107"/>
      <c r="E485" s="107"/>
      <c r="F485" s="107"/>
      <c r="G485" s="107"/>
      <c r="H485" s="107"/>
      <c r="I485" s="107"/>
      <c r="J485" s="107"/>
      <c r="K485" s="107"/>
      <c r="L485" s="107"/>
      <c r="M485" s="107"/>
      <c r="N485" s="107"/>
      <c r="O485" s="107"/>
      <c r="P485" s="107"/>
      <c r="Q485" s="107"/>
    </row>
    <row r="486" ht="15.75" customHeight="1">
      <c r="A486" s="107"/>
      <c r="B486" s="107"/>
      <c r="C486" s="107"/>
      <c r="D486" s="107"/>
      <c r="E486" s="107"/>
      <c r="F486" s="107"/>
      <c r="G486" s="107"/>
      <c r="H486" s="107"/>
      <c r="I486" s="107"/>
      <c r="J486" s="107"/>
      <c r="K486" s="107"/>
      <c r="L486" s="107"/>
      <c r="M486" s="107"/>
      <c r="N486" s="107"/>
      <c r="O486" s="107"/>
      <c r="P486" s="107"/>
      <c r="Q486" s="107"/>
    </row>
    <row r="487" ht="15.75" customHeight="1">
      <c r="A487" s="107"/>
      <c r="B487" s="107"/>
      <c r="C487" s="107"/>
      <c r="D487" s="107"/>
      <c r="E487" s="107"/>
      <c r="F487" s="107"/>
      <c r="G487" s="107"/>
      <c r="H487" s="107"/>
      <c r="I487" s="107"/>
      <c r="J487" s="107"/>
      <c r="K487" s="107"/>
      <c r="L487" s="107"/>
      <c r="M487" s="107"/>
      <c r="N487" s="107"/>
      <c r="O487" s="107"/>
      <c r="P487" s="107"/>
      <c r="Q487" s="107"/>
    </row>
    <row r="488" ht="15.75" customHeight="1">
      <c r="A488" s="107"/>
      <c r="B488" s="107"/>
      <c r="C488" s="107"/>
      <c r="D488" s="107"/>
      <c r="E488" s="107"/>
      <c r="F488" s="107"/>
      <c r="G488" s="107"/>
      <c r="H488" s="107"/>
      <c r="I488" s="107"/>
      <c r="J488" s="107"/>
      <c r="K488" s="107"/>
      <c r="L488" s="107"/>
      <c r="M488" s="107"/>
      <c r="N488" s="107"/>
      <c r="O488" s="107"/>
      <c r="P488" s="107"/>
      <c r="Q488" s="107"/>
    </row>
    <row r="489" ht="15.75" customHeight="1">
      <c r="A489" s="107"/>
      <c r="B489" s="107"/>
      <c r="C489" s="107"/>
      <c r="D489" s="107"/>
      <c r="E489" s="107"/>
      <c r="F489" s="107"/>
      <c r="G489" s="107"/>
      <c r="H489" s="107"/>
      <c r="I489" s="107"/>
      <c r="J489" s="107"/>
      <c r="K489" s="107"/>
      <c r="L489" s="107"/>
      <c r="M489" s="107"/>
      <c r="N489" s="107"/>
      <c r="O489" s="107"/>
      <c r="P489" s="107"/>
      <c r="Q489" s="107"/>
    </row>
    <row r="490" ht="15.75" customHeight="1">
      <c r="A490" s="107"/>
      <c r="B490" s="107"/>
      <c r="C490" s="107"/>
      <c r="D490" s="107"/>
      <c r="E490" s="107"/>
      <c r="F490" s="107"/>
      <c r="G490" s="107"/>
      <c r="H490" s="107"/>
      <c r="I490" s="107"/>
      <c r="J490" s="107"/>
      <c r="K490" s="107"/>
      <c r="L490" s="107"/>
      <c r="M490" s="107"/>
      <c r="N490" s="107"/>
      <c r="O490" s="107"/>
      <c r="P490" s="107"/>
      <c r="Q490" s="107"/>
    </row>
    <row r="491" ht="15.75" customHeight="1">
      <c r="A491" s="107"/>
      <c r="B491" s="107"/>
      <c r="C491" s="107"/>
      <c r="D491" s="107"/>
      <c r="E491" s="107"/>
      <c r="F491" s="107"/>
      <c r="G491" s="107"/>
      <c r="H491" s="107"/>
      <c r="I491" s="107"/>
      <c r="J491" s="107"/>
      <c r="K491" s="107"/>
      <c r="L491" s="107"/>
      <c r="M491" s="107"/>
      <c r="N491" s="107"/>
      <c r="O491" s="107"/>
      <c r="P491" s="107"/>
      <c r="Q491" s="107"/>
    </row>
    <row r="492" ht="15.75" customHeight="1">
      <c r="A492" s="107"/>
      <c r="B492" s="107"/>
      <c r="C492" s="107"/>
      <c r="D492" s="107"/>
      <c r="E492" s="107"/>
      <c r="F492" s="107"/>
      <c r="G492" s="107"/>
      <c r="H492" s="107"/>
      <c r="I492" s="107"/>
      <c r="J492" s="107"/>
      <c r="K492" s="107"/>
      <c r="L492" s="107"/>
      <c r="M492" s="107"/>
      <c r="N492" s="107"/>
      <c r="O492" s="107"/>
      <c r="P492" s="107"/>
      <c r="Q492" s="107"/>
    </row>
    <row r="493" ht="15.75" customHeight="1">
      <c r="A493" s="107"/>
      <c r="B493" s="107"/>
      <c r="C493" s="107"/>
      <c r="D493" s="107"/>
      <c r="E493" s="107"/>
      <c r="F493" s="107"/>
      <c r="G493" s="107"/>
      <c r="H493" s="107"/>
      <c r="I493" s="107"/>
      <c r="J493" s="107"/>
      <c r="K493" s="107"/>
      <c r="L493" s="107"/>
      <c r="M493" s="107"/>
      <c r="N493" s="107"/>
      <c r="O493" s="107"/>
      <c r="P493" s="107"/>
      <c r="Q493" s="107"/>
    </row>
    <row r="494" ht="15.75" customHeight="1">
      <c r="A494" s="107"/>
      <c r="B494" s="107"/>
      <c r="C494" s="107"/>
      <c r="D494" s="107"/>
      <c r="E494" s="107"/>
      <c r="F494" s="107"/>
      <c r="G494" s="107"/>
      <c r="H494" s="107"/>
      <c r="I494" s="107"/>
      <c r="J494" s="107"/>
      <c r="K494" s="107"/>
      <c r="L494" s="107"/>
      <c r="M494" s="107"/>
      <c r="N494" s="107"/>
      <c r="O494" s="107"/>
      <c r="P494" s="107"/>
      <c r="Q494" s="107"/>
    </row>
    <row r="495" ht="15.75" customHeight="1">
      <c r="A495" s="107"/>
      <c r="B495" s="107"/>
      <c r="C495" s="107"/>
      <c r="D495" s="107"/>
      <c r="E495" s="107"/>
      <c r="F495" s="107"/>
      <c r="G495" s="107"/>
      <c r="H495" s="107"/>
      <c r="I495" s="107"/>
      <c r="J495" s="107"/>
      <c r="K495" s="107"/>
      <c r="L495" s="107"/>
      <c r="M495" s="107"/>
      <c r="N495" s="107"/>
      <c r="O495" s="107"/>
      <c r="P495" s="107"/>
      <c r="Q495" s="107"/>
    </row>
    <row r="496" ht="15.75" customHeight="1">
      <c r="A496" s="107"/>
      <c r="B496" s="107"/>
      <c r="C496" s="107"/>
      <c r="D496" s="107"/>
      <c r="E496" s="107"/>
      <c r="F496" s="107"/>
      <c r="G496" s="107"/>
      <c r="H496" s="107"/>
      <c r="I496" s="107"/>
      <c r="J496" s="107"/>
      <c r="K496" s="107"/>
      <c r="L496" s="107"/>
      <c r="M496" s="107"/>
      <c r="N496" s="107"/>
      <c r="O496" s="107"/>
      <c r="P496" s="107"/>
      <c r="Q496" s="107"/>
    </row>
    <row r="497" ht="15.75" customHeight="1">
      <c r="A497" s="107"/>
      <c r="B497" s="107"/>
      <c r="C497" s="107"/>
      <c r="D497" s="107"/>
      <c r="E497" s="107"/>
      <c r="F497" s="107"/>
      <c r="G497" s="107"/>
      <c r="H497" s="107"/>
      <c r="I497" s="107"/>
      <c r="J497" s="107"/>
      <c r="K497" s="107"/>
      <c r="L497" s="107"/>
      <c r="M497" s="107"/>
      <c r="N497" s="107"/>
      <c r="O497" s="107"/>
      <c r="P497" s="107"/>
      <c r="Q497" s="107"/>
    </row>
    <row r="498" ht="15.75" customHeight="1">
      <c r="A498" s="107"/>
      <c r="B498" s="107"/>
      <c r="C498" s="107"/>
      <c r="D498" s="107"/>
      <c r="E498" s="107"/>
      <c r="F498" s="107"/>
      <c r="G498" s="107"/>
      <c r="H498" s="107"/>
      <c r="I498" s="107"/>
      <c r="J498" s="107"/>
      <c r="K498" s="107"/>
      <c r="L498" s="107"/>
      <c r="M498" s="107"/>
      <c r="N498" s="107"/>
      <c r="O498" s="107"/>
      <c r="P498" s="107"/>
      <c r="Q498" s="107"/>
    </row>
    <row r="499" ht="15.75" customHeight="1">
      <c r="A499" s="107"/>
      <c r="B499" s="107"/>
      <c r="C499" s="107"/>
      <c r="D499" s="107"/>
      <c r="E499" s="107"/>
      <c r="F499" s="107"/>
      <c r="G499" s="107"/>
      <c r="H499" s="107"/>
      <c r="I499" s="107"/>
      <c r="J499" s="107"/>
      <c r="K499" s="107"/>
      <c r="L499" s="107"/>
      <c r="M499" s="107"/>
      <c r="N499" s="107"/>
      <c r="O499" s="107"/>
      <c r="P499" s="107"/>
      <c r="Q499" s="107"/>
    </row>
    <row r="500" ht="15.75" customHeight="1">
      <c r="A500" s="107"/>
      <c r="B500" s="107"/>
      <c r="C500" s="107"/>
      <c r="D500" s="107"/>
      <c r="E500" s="107"/>
      <c r="F500" s="107"/>
      <c r="G500" s="107"/>
      <c r="H500" s="107"/>
      <c r="I500" s="107"/>
      <c r="J500" s="107"/>
      <c r="K500" s="107"/>
      <c r="L500" s="107"/>
      <c r="M500" s="107"/>
      <c r="N500" s="107"/>
      <c r="O500" s="107"/>
      <c r="P500" s="107"/>
      <c r="Q500" s="107"/>
    </row>
    <row r="501" ht="15.75" customHeight="1">
      <c r="A501" s="107"/>
      <c r="B501" s="107"/>
      <c r="C501" s="107"/>
      <c r="D501" s="107"/>
      <c r="E501" s="107"/>
      <c r="F501" s="107"/>
      <c r="G501" s="107"/>
      <c r="H501" s="107"/>
      <c r="I501" s="107"/>
      <c r="J501" s="107"/>
      <c r="K501" s="107"/>
      <c r="L501" s="107"/>
      <c r="M501" s="107"/>
      <c r="N501" s="107"/>
      <c r="O501" s="107"/>
      <c r="P501" s="107"/>
      <c r="Q501" s="107"/>
    </row>
    <row r="502" ht="15.75" customHeight="1">
      <c r="A502" s="107"/>
      <c r="B502" s="107"/>
      <c r="C502" s="107"/>
      <c r="D502" s="107"/>
      <c r="E502" s="107"/>
      <c r="F502" s="107"/>
      <c r="G502" s="107"/>
      <c r="H502" s="107"/>
      <c r="I502" s="107"/>
      <c r="J502" s="107"/>
      <c r="K502" s="107"/>
      <c r="L502" s="107"/>
      <c r="M502" s="107"/>
      <c r="N502" s="107"/>
      <c r="O502" s="107"/>
      <c r="P502" s="107"/>
      <c r="Q502" s="107"/>
    </row>
    <row r="503" ht="15.75" customHeight="1">
      <c r="A503" s="107"/>
      <c r="B503" s="107"/>
      <c r="C503" s="107"/>
      <c r="D503" s="107"/>
      <c r="E503" s="107"/>
      <c r="F503" s="107"/>
      <c r="G503" s="107"/>
      <c r="H503" s="107"/>
      <c r="I503" s="107"/>
      <c r="J503" s="107"/>
      <c r="K503" s="107"/>
      <c r="L503" s="107"/>
      <c r="M503" s="107"/>
      <c r="N503" s="107"/>
      <c r="O503" s="107"/>
      <c r="P503" s="107"/>
      <c r="Q503" s="107"/>
    </row>
    <row r="504" ht="15.75" customHeight="1">
      <c r="A504" s="107"/>
      <c r="B504" s="107"/>
      <c r="C504" s="107"/>
      <c r="D504" s="107"/>
      <c r="E504" s="107"/>
      <c r="F504" s="107"/>
      <c r="G504" s="107"/>
      <c r="H504" s="107"/>
      <c r="I504" s="107"/>
      <c r="J504" s="107"/>
      <c r="K504" s="107"/>
      <c r="L504" s="107"/>
      <c r="M504" s="107"/>
      <c r="N504" s="107"/>
      <c r="O504" s="107"/>
      <c r="P504" s="107"/>
      <c r="Q504" s="107"/>
    </row>
    <row r="505" ht="15.75" customHeight="1">
      <c r="A505" s="107"/>
      <c r="B505" s="107"/>
      <c r="C505" s="107"/>
      <c r="D505" s="107"/>
      <c r="E505" s="107"/>
      <c r="F505" s="107"/>
      <c r="G505" s="107"/>
      <c r="H505" s="107"/>
      <c r="I505" s="107"/>
      <c r="J505" s="107"/>
      <c r="K505" s="107"/>
      <c r="L505" s="107"/>
      <c r="M505" s="107"/>
      <c r="N505" s="107"/>
      <c r="O505" s="107"/>
      <c r="P505" s="107"/>
      <c r="Q505" s="107"/>
    </row>
    <row r="506" ht="15.75" customHeight="1">
      <c r="A506" s="107"/>
      <c r="B506" s="107"/>
      <c r="C506" s="107"/>
      <c r="D506" s="107"/>
      <c r="E506" s="107"/>
      <c r="F506" s="107"/>
      <c r="G506" s="107"/>
      <c r="H506" s="107"/>
      <c r="I506" s="107"/>
      <c r="J506" s="107"/>
      <c r="K506" s="107"/>
      <c r="L506" s="107"/>
      <c r="M506" s="107"/>
      <c r="N506" s="107"/>
      <c r="O506" s="107"/>
      <c r="P506" s="107"/>
      <c r="Q506" s="107"/>
    </row>
    <row r="507" ht="15.75" customHeight="1">
      <c r="A507" s="107"/>
      <c r="B507" s="107"/>
      <c r="C507" s="107"/>
      <c r="D507" s="107"/>
      <c r="E507" s="107"/>
      <c r="F507" s="107"/>
      <c r="G507" s="107"/>
      <c r="H507" s="107"/>
      <c r="I507" s="107"/>
      <c r="J507" s="107"/>
      <c r="K507" s="107"/>
      <c r="L507" s="107"/>
      <c r="M507" s="107"/>
      <c r="N507" s="107"/>
      <c r="O507" s="107"/>
      <c r="P507" s="107"/>
      <c r="Q507" s="107"/>
    </row>
    <row r="508" ht="15.75" customHeight="1">
      <c r="A508" s="107"/>
      <c r="B508" s="107"/>
      <c r="C508" s="107"/>
      <c r="D508" s="107"/>
      <c r="E508" s="107"/>
      <c r="F508" s="107"/>
      <c r="G508" s="107"/>
      <c r="H508" s="107"/>
      <c r="I508" s="107"/>
      <c r="J508" s="107"/>
      <c r="K508" s="107"/>
      <c r="L508" s="107"/>
      <c r="M508" s="107"/>
      <c r="N508" s="107"/>
      <c r="O508" s="107"/>
      <c r="P508" s="107"/>
      <c r="Q508" s="107"/>
    </row>
    <row r="509" ht="15.75" customHeight="1">
      <c r="A509" s="107"/>
      <c r="B509" s="107"/>
      <c r="C509" s="107"/>
      <c r="D509" s="107"/>
      <c r="E509" s="107"/>
      <c r="F509" s="107"/>
      <c r="G509" s="107"/>
      <c r="H509" s="107"/>
      <c r="I509" s="107"/>
      <c r="J509" s="107"/>
      <c r="K509" s="107"/>
      <c r="L509" s="107"/>
      <c r="M509" s="107"/>
      <c r="N509" s="107"/>
      <c r="O509" s="107"/>
      <c r="P509" s="107"/>
      <c r="Q509" s="107"/>
    </row>
    <row r="510" ht="15.75" customHeight="1">
      <c r="A510" s="107"/>
      <c r="B510" s="107"/>
      <c r="C510" s="107"/>
      <c r="D510" s="107"/>
      <c r="E510" s="107"/>
      <c r="F510" s="107"/>
      <c r="G510" s="107"/>
      <c r="H510" s="107"/>
      <c r="I510" s="107"/>
      <c r="J510" s="107"/>
      <c r="K510" s="107"/>
      <c r="L510" s="107"/>
      <c r="M510" s="107"/>
      <c r="N510" s="107"/>
      <c r="O510" s="107"/>
      <c r="P510" s="107"/>
      <c r="Q510" s="107"/>
    </row>
    <row r="511" ht="15.75" customHeight="1">
      <c r="A511" s="107"/>
      <c r="B511" s="107"/>
      <c r="C511" s="107"/>
      <c r="D511" s="107"/>
      <c r="E511" s="107"/>
      <c r="F511" s="107"/>
      <c r="G511" s="107"/>
      <c r="H511" s="107"/>
      <c r="I511" s="107"/>
      <c r="J511" s="107"/>
      <c r="K511" s="107"/>
      <c r="L511" s="107"/>
      <c r="M511" s="107"/>
      <c r="N511" s="107"/>
      <c r="O511" s="107"/>
      <c r="P511" s="107"/>
      <c r="Q511" s="107"/>
    </row>
    <row r="512" ht="15.75" customHeight="1">
      <c r="A512" s="107"/>
      <c r="B512" s="107"/>
      <c r="C512" s="107"/>
      <c r="D512" s="107"/>
      <c r="E512" s="107"/>
      <c r="F512" s="107"/>
      <c r="G512" s="107"/>
      <c r="H512" s="107"/>
      <c r="I512" s="107"/>
      <c r="J512" s="107"/>
      <c r="K512" s="107"/>
      <c r="L512" s="107"/>
      <c r="M512" s="107"/>
      <c r="N512" s="107"/>
      <c r="O512" s="107"/>
      <c r="P512" s="107"/>
      <c r="Q512" s="107"/>
    </row>
    <row r="513" ht="15.75" customHeight="1">
      <c r="A513" s="107"/>
      <c r="B513" s="107"/>
      <c r="C513" s="107"/>
      <c r="D513" s="107"/>
      <c r="E513" s="107"/>
      <c r="F513" s="107"/>
      <c r="G513" s="107"/>
      <c r="H513" s="107"/>
      <c r="I513" s="107"/>
      <c r="J513" s="107"/>
      <c r="K513" s="107"/>
      <c r="L513" s="107"/>
      <c r="M513" s="107"/>
      <c r="N513" s="107"/>
      <c r="O513" s="107"/>
      <c r="P513" s="107"/>
      <c r="Q513" s="107"/>
    </row>
    <row r="514" ht="15.75" customHeight="1">
      <c r="A514" s="107"/>
      <c r="B514" s="107"/>
      <c r="C514" s="107"/>
      <c r="D514" s="107"/>
      <c r="E514" s="107"/>
      <c r="F514" s="107"/>
      <c r="G514" s="107"/>
      <c r="H514" s="107"/>
      <c r="I514" s="107"/>
      <c r="J514" s="107"/>
      <c r="K514" s="107"/>
      <c r="L514" s="107"/>
      <c r="M514" s="107"/>
      <c r="N514" s="107"/>
      <c r="O514" s="107"/>
      <c r="P514" s="107"/>
      <c r="Q514" s="107"/>
    </row>
    <row r="515" ht="15.75" customHeight="1">
      <c r="A515" s="107"/>
      <c r="B515" s="107"/>
      <c r="C515" s="107"/>
      <c r="D515" s="107"/>
      <c r="E515" s="107"/>
      <c r="F515" s="107"/>
      <c r="G515" s="107"/>
      <c r="H515" s="107"/>
      <c r="I515" s="107"/>
      <c r="J515" s="107"/>
      <c r="K515" s="107"/>
      <c r="L515" s="107"/>
      <c r="M515" s="107"/>
      <c r="N515" s="107"/>
      <c r="O515" s="107"/>
      <c r="P515" s="107"/>
      <c r="Q515" s="107"/>
    </row>
    <row r="516" ht="15.75" customHeight="1">
      <c r="A516" s="107"/>
      <c r="B516" s="107"/>
      <c r="C516" s="107"/>
      <c r="D516" s="107"/>
      <c r="E516" s="107"/>
      <c r="F516" s="107"/>
      <c r="G516" s="107"/>
      <c r="H516" s="107"/>
      <c r="I516" s="107"/>
      <c r="J516" s="107"/>
      <c r="K516" s="107"/>
      <c r="L516" s="107"/>
      <c r="M516" s="107"/>
      <c r="N516" s="107"/>
      <c r="O516" s="107"/>
      <c r="P516" s="107"/>
      <c r="Q516" s="107"/>
    </row>
    <row r="517" ht="15.75" customHeight="1">
      <c r="A517" s="107"/>
      <c r="B517" s="107"/>
      <c r="C517" s="107"/>
      <c r="D517" s="107"/>
      <c r="E517" s="107"/>
      <c r="F517" s="107"/>
      <c r="G517" s="107"/>
      <c r="H517" s="107"/>
      <c r="I517" s="107"/>
      <c r="J517" s="107"/>
      <c r="K517" s="107"/>
      <c r="L517" s="107"/>
      <c r="M517" s="107"/>
      <c r="N517" s="107"/>
      <c r="O517" s="107"/>
      <c r="P517" s="107"/>
      <c r="Q517" s="107"/>
    </row>
    <row r="518" ht="15.75" customHeight="1">
      <c r="A518" s="107"/>
      <c r="B518" s="107"/>
      <c r="C518" s="107"/>
      <c r="D518" s="107"/>
      <c r="E518" s="107"/>
      <c r="F518" s="107"/>
      <c r="G518" s="107"/>
      <c r="H518" s="107"/>
      <c r="I518" s="107"/>
      <c r="J518" s="107"/>
      <c r="K518" s="107"/>
      <c r="L518" s="107"/>
      <c r="M518" s="107"/>
      <c r="N518" s="107"/>
      <c r="O518" s="107"/>
      <c r="P518" s="107"/>
      <c r="Q518" s="107"/>
    </row>
    <row r="519" ht="15.75" customHeight="1">
      <c r="A519" s="107"/>
      <c r="B519" s="107"/>
      <c r="C519" s="107"/>
      <c r="D519" s="107"/>
      <c r="E519" s="107"/>
      <c r="F519" s="107"/>
      <c r="G519" s="107"/>
      <c r="H519" s="107"/>
      <c r="I519" s="107"/>
      <c r="J519" s="107"/>
      <c r="K519" s="107"/>
      <c r="L519" s="107"/>
      <c r="M519" s="107"/>
      <c r="N519" s="107"/>
      <c r="O519" s="107"/>
      <c r="P519" s="107"/>
      <c r="Q519" s="107"/>
    </row>
    <row r="520" ht="15.75" customHeight="1">
      <c r="A520" s="107"/>
      <c r="B520" s="107"/>
      <c r="C520" s="107"/>
      <c r="D520" s="107"/>
      <c r="E520" s="107"/>
      <c r="F520" s="107"/>
      <c r="G520" s="107"/>
      <c r="H520" s="107"/>
      <c r="I520" s="107"/>
      <c r="J520" s="107"/>
      <c r="K520" s="107"/>
      <c r="L520" s="107"/>
      <c r="M520" s="107"/>
      <c r="N520" s="107"/>
      <c r="O520" s="107"/>
      <c r="P520" s="107"/>
      <c r="Q520" s="107"/>
    </row>
    <row r="521" ht="15.75" customHeight="1">
      <c r="A521" s="107"/>
      <c r="B521" s="107"/>
      <c r="C521" s="107"/>
      <c r="D521" s="107"/>
      <c r="E521" s="107"/>
      <c r="F521" s="107"/>
      <c r="G521" s="107"/>
      <c r="H521" s="107"/>
      <c r="I521" s="107"/>
      <c r="J521" s="107"/>
      <c r="K521" s="107"/>
      <c r="L521" s="107"/>
      <c r="M521" s="107"/>
      <c r="N521" s="107"/>
      <c r="O521" s="107"/>
      <c r="P521" s="107"/>
      <c r="Q521" s="107"/>
    </row>
    <row r="522" ht="15.75" customHeight="1">
      <c r="A522" s="107"/>
      <c r="B522" s="107"/>
      <c r="C522" s="107"/>
      <c r="D522" s="107"/>
      <c r="E522" s="107"/>
      <c r="F522" s="107"/>
      <c r="G522" s="107"/>
      <c r="H522" s="107"/>
      <c r="I522" s="107"/>
      <c r="J522" s="107"/>
      <c r="K522" s="107"/>
      <c r="L522" s="107"/>
      <c r="M522" s="107"/>
      <c r="N522" s="107"/>
      <c r="O522" s="107"/>
      <c r="P522" s="107"/>
      <c r="Q522" s="107"/>
    </row>
    <row r="523" ht="15.75" customHeight="1">
      <c r="A523" s="107"/>
      <c r="B523" s="107"/>
      <c r="C523" s="107"/>
      <c r="D523" s="107"/>
      <c r="E523" s="107"/>
      <c r="F523" s="107"/>
      <c r="G523" s="107"/>
      <c r="H523" s="107"/>
      <c r="I523" s="107"/>
      <c r="J523" s="107"/>
      <c r="K523" s="107"/>
      <c r="L523" s="107"/>
      <c r="M523" s="107"/>
      <c r="N523" s="107"/>
      <c r="O523" s="107"/>
      <c r="P523" s="107"/>
      <c r="Q523" s="107"/>
    </row>
    <row r="524" ht="15.75" customHeight="1">
      <c r="A524" s="107"/>
      <c r="B524" s="107"/>
      <c r="C524" s="107"/>
      <c r="D524" s="107"/>
      <c r="E524" s="107"/>
      <c r="F524" s="107"/>
      <c r="G524" s="107"/>
      <c r="H524" s="107"/>
      <c r="I524" s="107"/>
      <c r="J524" s="107"/>
      <c r="K524" s="107"/>
      <c r="L524" s="107"/>
      <c r="M524" s="107"/>
      <c r="N524" s="107"/>
      <c r="O524" s="107"/>
      <c r="P524" s="107"/>
      <c r="Q524" s="107"/>
    </row>
    <row r="525" ht="15.75" customHeight="1">
      <c r="A525" s="107"/>
      <c r="B525" s="107"/>
      <c r="C525" s="107"/>
      <c r="D525" s="107"/>
      <c r="E525" s="107"/>
      <c r="F525" s="107"/>
      <c r="G525" s="107"/>
      <c r="H525" s="107"/>
      <c r="I525" s="107"/>
      <c r="J525" s="107"/>
      <c r="K525" s="107"/>
      <c r="L525" s="107"/>
      <c r="M525" s="107"/>
      <c r="N525" s="107"/>
      <c r="O525" s="107"/>
      <c r="P525" s="107"/>
      <c r="Q525" s="107"/>
    </row>
    <row r="526" ht="15.75" customHeight="1">
      <c r="A526" s="107"/>
      <c r="B526" s="107"/>
      <c r="C526" s="107"/>
      <c r="D526" s="107"/>
      <c r="E526" s="107"/>
      <c r="F526" s="107"/>
      <c r="G526" s="107"/>
      <c r="H526" s="107"/>
      <c r="I526" s="107"/>
      <c r="J526" s="107"/>
      <c r="K526" s="107"/>
      <c r="L526" s="107"/>
      <c r="M526" s="107"/>
      <c r="N526" s="107"/>
      <c r="O526" s="107"/>
      <c r="P526" s="107"/>
      <c r="Q526" s="107"/>
    </row>
    <row r="527" ht="15.75" customHeight="1">
      <c r="A527" s="107"/>
      <c r="B527" s="107"/>
      <c r="C527" s="107"/>
      <c r="D527" s="107"/>
      <c r="E527" s="107"/>
      <c r="F527" s="107"/>
      <c r="G527" s="107"/>
      <c r="H527" s="107"/>
      <c r="I527" s="107"/>
      <c r="J527" s="107"/>
      <c r="K527" s="107"/>
      <c r="L527" s="107"/>
      <c r="M527" s="107"/>
      <c r="N527" s="107"/>
      <c r="O527" s="107"/>
      <c r="P527" s="107"/>
      <c r="Q527" s="107"/>
    </row>
    <row r="528" ht="15.75" customHeight="1">
      <c r="A528" s="107"/>
      <c r="B528" s="107"/>
      <c r="C528" s="107"/>
      <c r="D528" s="107"/>
      <c r="E528" s="107"/>
      <c r="F528" s="107"/>
      <c r="G528" s="107"/>
      <c r="H528" s="107"/>
      <c r="I528" s="107"/>
      <c r="J528" s="107"/>
      <c r="K528" s="107"/>
      <c r="L528" s="107"/>
      <c r="M528" s="107"/>
      <c r="N528" s="107"/>
      <c r="O528" s="107"/>
      <c r="P528" s="107"/>
      <c r="Q528" s="107"/>
    </row>
    <row r="529" ht="15.75" customHeight="1">
      <c r="A529" s="107"/>
      <c r="B529" s="107"/>
      <c r="C529" s="107"/>
      <c r="D529" s="107"/>
      <c r="E529" s="107"/>
      <c r="F529" s="107"/>
      <c r="G529" s="107"/>
      <c r="H529" s="107"/>
      <c r="I529" s="107"/>
      <c r="J529" s="107"/>
      <c r="K529" s="107"/>
      <c r="L529" s="107"/>
      <c r="M529" s="107"/>
      <c r="N529" s="107"/>
      <c r="O529" s="107"/>
      <c r="P529" s="107"/>
      <c r="Q529" s="107"/>
    </row>
    <row r="530" ht="15.75" customHeight="1">
      <c r="A530" s="107"/>
      <c r="B530" s="107"/>
      <c r="C530" s="107"/>
      <c r="D530" s="107"/>
      <c r="E530" s="107"/>
      <c r="F530" s="107"/>
      <c r="G530" s="107"/>
      <c r="H530" s="107"/>
      <c r="I530" s="107"/>
      <c r="J530" s="107"/>
      <c r="K530" s="107"/>
      <c r="L530" s="107"/>
      <c r="M530" s="107"/>
      <c r="N530" s="107"/>
      <c r="O530" s="107"/>
      <c r="P530" s="107"/>
      <c r="Q530" s="107"/>
    </row>
    <row r="531" ht="15.75" customHeight="1">
      <c r="A531" s="107"/>
      <c r="B531" s="107"/>
      <c r="C531" s="107"/>
      <c r="D531" s="107"/>
      <c r="E531" s="107"/>
      <c r="F531" s="107"/>
      <c r="G531" s="107"/>
      <c r="H531" s="107"/>
      <c r="I531" s="107"/>
      <c r="J531" s="107"/>
      <c r="K531" s="107"/>
      <c r="L531" s="107"/>
      <c r="M531" s="107"/>
      <c r="N531" s="107"/>
      <c r="O531" s="107"/>
      <c r="P531" s="107"/>
      <c r="Q531" s="107"/>
    </row>
    <row r="532" ht="15.75" customHeight="1">
      <c r="A532" s="107"/>
      <c r="B532" s="107"/>
      <c r="C532" s="107"/>
      <c r="D532" s="107"/>
      <c r="E532" s="107"/>
      <c r="F532" s="107"/>
      <c r="G532" s="107"/>
      <c r="H532" s="107"/>
      <c r="I532" s="107"/>
      <c r="J532" s="107"/>
      <c r="K532" s="107"/>
      <c r="L532" s="107"/>
      <c r="M532" s="107"/>
      <c r="N532" s="107"/>
      <c r="O532" s="107"/>
      <c r="P532" s="107"/>
      <c r="Q532" s="107"/>
    </row>
    <row r="533" ht="15.75" customHeight="1">
      <c r="A533" s="107"/>
      <c r="B533" s="107"/>
      <c r="C533" s="107"/>
      <c r="D533" s="107"/>
      <c r="E533" s="107"/>
      <c r="F533" s="107"/>
      <c r="G533" s="107"/>
      <c r="H533" s="107"/>
      <c r="I533" s="107"/>
      <c r="J533" s="107"/>
      <c r="K533" s="107"/>
      <c r="L533" s="107"/>
      <c r="M533" s="107"/>
      <c r="N533" s="107"/>
      <c r="O533" s="107"/>
      <c r="P533" s="107"/>
      <c r="Q533" s="107"/>
    </row>
    <row r="534" ht="15.75" customHeight="1">
      <c r="A534" s="107"/>
      <c r="B534" s="107"/>
      <c r="C534" s="107"/>
      <c r="D534" s="107"/>
      <c r="E534" s="107"/>
      <c r="F534" s="107"/>
      <c r="G534" s="107"/>
      <c r="H534" s="107"/>
      <c r="I534" s="107"/>
      <c r="J534" s="107"/>
      <c r="K534" s="107"/>
      <c r="L534" s="107"/>
      <c r="M534" s="107"/>
      <c r="N534" s="107"/>
      <c r="O534" s="107"/>
      <c r="P534" s="107"/>
      <c r="Q534" s="107"/>
    </row>
    <row r="535" ht="15.75" customHeight="1">
      <c r="A535" s="107"/>
      <c r="B535" s="107"/>
      <c r="C535" s="107"/>
      <c r="D535" s="107"/>
      <c r="E535" s="107"/>
      <c r="F535" s="107"/>
      <c r="G535" s="107"/>
      <c r="H535" s="107"/>
      <c r="I535" s="107"/>
      <c r="J535" s="107"/>
      <c r="K535" s="107"/>
      <c r="L535" s="107"/>
      <c r="M535" s="107"/>
      <c r="N535" s="107"/>
      <c r="O535" s="107"/>
      <c r="P535" s="107"/>
      <c r="Q535" s="107"/>
    </row>
    <row r="536" ht="15.75" customHeight="1">
      <c r="A536" s="107"/>
      <c r="B536" s="107"/>
      <c r="C536" s="107"/>
      <c r="D536" s="107"/>
      <c r="E536" s="107"/>
      <c r="F536" s="107"/>
      <c r="G536" s="107"/>
      <c r="H536" s="107"/>
      <c r="I536" s="107"/>
      <c r="J536" s="107"/>
      <c r="K536" s="107"/>
      <c r="L536" s="107"/>
      <c r="M536" s="107"/>
      <c r="N536" s="107"/>
      <c r="O536" s="107"/>
      <c r="P536" s="107"/>
      <c r="Q536" s="107"/>
    </row>
    <row r="537" ht="15.75" customHeight="1">
      <c r="A537" s="107"/>
      <c r="B537" s="107"/>
      <c r="C537" s="107"/>
      <c r="D537" s="107"/>
      <c r="E537" s="107"/>
      <c r="F537" s="107"/>
      <c r="G537" s="107"/>
      <c r="H537" s="107"/>
      <c r="I537" s="107"/>
      <c r="J537" s="107"/>
      <c r="K537" s="107"/>
      <c r="L537" s="107"/>
      <c r="M537" s="107"/>
      <c r="N537" s="107"/>
      <c r="O537" s="107"/>
      <c r="P537" s="107"/>
      <c r="Q537" s="107"/>
    </row>
    <row r="538" ht="15.75" customHeight="1">
      <c r="A538" s="107"/>
      <c r="B538" s="107"/>
      <c r="C538" s="107"/>
      <c r="D538" s="107"/>
      <c r="E538" s="107"/>
      <c r="F538" s="107"/>
      <c r="G538" s="107"/>
      <c r="H538" s="107"/>
      <c r="I538" s="107"/>
      <c r="J538" s="107"/>
      <c r="K538" s="107"/>
      <c r="L538" s="107"/>
      <c r="M538" s="107"/>
      <c r="N538" s="107"/>
      <c r="O538" s="107"/>
      <c r="P538" s="107"/>
      <c r="Q538" s="107"/>
    </row>
    <row r="539" ht="15.75" customHeight="1">
      <c r="A539" s="107"/>
      <c r="B539" s="107"/>
      <c r="C539" s="107"/>
      <c r="D539" s="107"/>
      <c r="E539" s="107"/>
      <c r="F539" s="107"/>
      <c r="G539" s="107"/>
      <c r="H539" s="107"/>
      <c r="I539" s="107"/>
      <c r="J539" s="107"/>
      <c r="K539" s="107"/>
      <c r="L539" s="107"/>
      <c r="M539" s="107"/>
      <c r="N539" s="107"/>
      <c r="O539" s="107"/>
      <c r="P539" s="107"/>
      <c r="Q539" s="107"/>
    </row>
    <row r="540" ht="15.75" customHeight="1">
      <c r="A540" s="107"/>
      <c r="B540" s="107"/>
      <c r="C540" s="107"/>
      <c r="D540" s="107"/>
      <c r="E540" s="107"/>
      <c r="F540" s="107"/>
      <c r="G540" s="107"/>
      <c r="H540" s="107"/>
      <c r="I540" s="107"/>
      <c r="J540" s="107"/>
      <c r="K540" s="107"/>
      <c r="L540" s="107"/>
      <c r="M540" s="107"/>
      <c r="N540" s="107"/>
      <c r="O540" s="107"/>
      <c r="P540" s="107"/>
      <c r="Q540" s="107"/>
    </row>
    <row r="541" ht="15.75" customHeight="1">
      <c r="A541" s="107"/>
      <c r="B541" s="107"/>
      <c r="C541" s="107"/>
      <c r="D541" s="107"/>
      <c r="E541" s="107"/>
      <c r="F541" s="107"/>
      <c r="G541" s="107"/>
      <c r="H541" s="107"/>
      <c r="I541" s="107"/>
      <c r="J541" s="107"/>
      <c r="K541" s="107"/>
      <c r="L541" s="107"/>
      <c r="M541" s="107"/>
      <c r="N541" s="107"/>
      <c r="O541" s="107"/>
      <c r="P541" s="107"/>
      <c r="Q541" s="107"/>
    </row>
    <row r="542" ht="15.75" customHeight="1">
      <c r="A542" s="107"/>
      <c r="B542" s="107"/>
      <c r="C542" s="107"/>
      <c r="D542" s="107"/>
      <c r="E542" s="107"/>
      <c r="F542" s="107"/>
      <c r="G542" s="107"/>
      <c r="H542" s="107"/>
      <c r="I542" s="107"/>
      <c r="J542" s="107"/>
      <c r="K542" s="107"/>
      <c r="L542" s="107"/>
      <c r="M542" s="107"/>
      <c r="N542" s="107"/>
      <c r="O542" s="107"/>
      <c r="P542" s="107"/>
      <c r="Q542" s="107"/>
    </row>
    <row r="543" ht="15.75" customHeight="1">
      <c r="A543" s="107"/>
      <c r="B543" s="107"/>
      <c r="C543" s="107"/>
      <c r="D543" s="107"/>
      <c r="E543" s="107"/>
      <c r="F543" s="107"/>
      <c r="G543" s="107"/>
      <c r="H543" s="107"/>
      <c r="I543" s="107"/>
      <c r="J543" s="107"/>
      <c r="K543" s="107"/>
      <c r="L543" s="107"/>
      <c r="M543" s="107"/>
      <c r="N543" s="107"/>
      <c r="O543" s="107"/>
      <c r="P543" s="107"/>
      <c r="Q543" s="107"/>
    </row>
    <row r="544" ht="15.75" customHeight="1">
      <c r="A544" s="107"/>
      <c r="B544" s="107"/>
      <c r="C544" s="107"/>
      <c r="D544" s="107"/>
      <c r="E544" s="107"/>
      <c r="F544" s="107"/>
      <c r="G544" s="107"/>
      <c r="H544" s="107"/>
      <c r="I544" s="107"/>
      <c r="J544" s="107"/>
      <c r="K544" s="107"/>
      <c r="L544" s="107"/>
      <c r="M544" s="107"/>
      <c r="N544" s="107"/>
      <c r="O544" s="107"/>
      <c r="P544" s="107"/>
      <c r="Q544" s="107"/>
    </row>
    <row r="545" ht="15.75" customHeight="1">
      <c r="A545" s="107"/>
      <c r="B545" s="107"/>
      <c r="C545" s="107"/>
      <c r="D545" s="107"/>
      <c r="E545" s="107"/>
      <c r="F545" s="107"/>
      <c r="G545" s="107"/>
      <c r="H545" s="107"/>
      <c r="I545" s="107"/>
      <c r="J545" s="107"/>
      <c r="K545" s="107"/>
      <c r="L545" s="107"/>
      <c r="M545" s="107"/>
      <c r="N545" s="107"/>
      <c r="O545" s="107"/>
      <c r="P545" s="107"/>
      <c r="Q545" s="107"/>
    </row>
    <row r="546" ht="15.75" customHeight="1">
      <c r="A546" s="107"/>
      <c r="B546" s="107"/>
      <c r="C546" s="107"/>
      <c r="D546" s="107"/>
      <c r="E546" s="107"/>
      <c r="F546" s="107"/>
      <c r="G546" s="107"/>
      <c r="H546" s="107"/>
      <c r="I546" s="107"/>
      <c r="J546" s="107"/>
      <c r="K546" s="107"/>
      <c r="L546" s="107"/>
      <c r="M546" s="107"/>
      <c r="N546" s="107"/>
      <c r="O546" s="107"/>
      <c r="P546" s="107"/>
      <c r="Q546" s="107"/>
    </row>
    <row r="547" ht="15.75" customHeight="1">
      <c r="A547" s="107"/>
      <c r="B547" s="107"/>
      <c r="C547" s="107"/>
      <c r="D547" s="107"/>
      <c r="E547" s="107"/>
      <c r="F547" s="107"/>
      <c r="G547" s="107"/>
      <c r="H547" s="107"/>
      <c r="I547" s="107"/>
      <c r="J547" s="107"/>
      <c r="K547" s="107"/>
      <c r="L547" s="107"/>
      <c r="M547" s="107"/>
      <c r="N547" s="107"/>
      <c r="O547" s="107"/>
      <c r="P547" s="107"/>
      <c r="Q547" s="107"/>
    </row>
    <row r="548" ht="15.75" customHeight="1">
      <c r="A548" s="107"/>
      <c r="B548" s="107"/>
      <c r="C548" s="107"/>
      <c r="D548" s="107"/>
      <c r="E548" s="107"/>
      <c r="F548" s="107"/>
      <c r="G548" s="107"/>
      <c r="H548" s="107"/>
      <c r="I548" s="107"/>
      <c r="J548" s="107"/>
      <c r="K548" s="107"/>
      <c r="L548" s="107"/>
      <c r="M548" s="107"/>
      <c r="N548" s="107"/>
      <c r="O548" s="107"/>
      <c r="P548" s="107"/>
      <c r="Q548" s="107"/>
    </row>
    <row r="549" ht="15.75" customHeight="1">
      <c r="A549" s="107"/>
      <c r="B549" s="107"/>
      <c r="C549" s="107"/>
      <c r="D549" s="107"/>
      <c r="E549" s="107"/>
      <c r="F549" s="107"/>
      <c r="G549" s="107"/>
      <c r="H549" s="107"/>
      <c r="I549" s="107"/>
      <c r="J549" s="107"/>
      <c r="K549" s="107"/>
      <c r="L549" s="107"/>
      <c r="M549" s="107"/>
      <c r="N549" s="107"/>
      <c r="O549" s="107"/>
      <c r="P549" s="107"/>
      <c r="Q549" s="107"/>
    </row>
    <row r="550" ht="15.75" customHeight="1">
      <c r="A550" s="107"/>
      <c r="B550" s="107"/>
      <c r="C550" s="107"/>
      <c r="D550" s="107"/>
      <c r="E550" s="107"/>
      <c r="F550" s="107"/>
      <c r="G550" s="107"/>
      <c r="H550" s="107"/>
      <c r="I550" s="107"/>
      <c r="J550" s="107"/>
      <c r="K550" s="107"/>
      <c r="L550" s="107"/>
      <c r="M550" s="107"/>
      <c r="N550" s="107"/>
      <c r="O550" s="107"/>
      <c r="P550" s="107"/>
      <c r="Q550" s="107"/>
    </row>
    <row r="551" ht="15.75" customHeight="1">
      <c r="A551" s="107"/>
      <c r="B551" s="107"/>
      <c r="C551" s="107"/>
      <c r="D551" s="107"/>
      <c r="E551" s="107"/>
      <c r="F551" s="107"/>
      <c r="G551" s="107"/>
      <c r="H551" s="107"/>
      <c r="I551" s="107"/>
      <c r="J551" s="107"/>
      <c r="K551" s="107"/>
      <c r="L551" s="107"/>
      <c r="M551" s="107"/>
      <c r="N551" s="107"/>
      <c r="O551" s="107"/>
      <c r="P551" s="107"/>
      <c r="Q551" s="107"/>
    </row>
    <row r="552" ht="15.75" customHeight="1">
      <c r="A552" s="107"/>
      <c r="B552" s="107"/>
      <c r="C552" s="107"/>
      <c r="D552" s="107"/>
      <c r="E552" s="107"/>
      <c r="F552" s="107"/>
      <c r="G552" s="107"/>
      <c r="H552" s="107"/>
      <c r="I552" s="107"/>
      <c r="J552" s="107"/>
      <c r="K552" s="107"/>
      <c r="L552" s="107"/>
      <c r="M552" s="107"/>
      <c r="N552" s="107"/>
      <c r="O552" s="107"/>
      <c r="P552" s="107"/>
      <c r="Q552" s="107"/>
    </row>
    <row r="553" ht="15.75" customHeight="1">
      <c r="A553" s="107"/>
      <c r="B553" s="107"/>
      <c r="C553" s="107"/>
      <c r="D553" s="107"/>
      <c r="E553" s="107"/>
      <c r="F553" s="107"/>
      <c r="G553" s="107"/>
      <c r="H553" s="107"/>
      <c r="I553" s="107"/>
      <c r="J553" s="107"/>
      <c r="K553" s="107"/>
      <c r="L553" s="107"/>
      <c r="M553" s="107"/>
      <c r="N553" s="107"/>
      <c r="O553" s="107"/>
      <c r="P553" s="107"/>
      <c r="Q553" s="107"/>
    </row>
    <row r="554" ht="15.75" customHeight="1">
      <c r="A554" s="107"/>
      <c r="B554" s="107"/>
      <c r="C554" s="107"/>
      <c r="D554" s="107"/>
      <c r="E554" s="107"/>
      <c r="F554" s="107"/>
      <c r="G554" s="107"/>
      <c r="H554" s="107"/>
      <c r="I554" s="107"/>
      <c r="J554" s="107"/>
      <c r="K554" s="107"/>
      <c r="L554" s="107"/>
      <c r="M554" s="107"/>
      <c r="N554" s="107"/>
      <c r="O554" s="107"/>
      <c r="P554" s="107"/>
      <c r="Q554" s="107"/>
    </row>
    <row r="555" ht="15.75" customHeight="1">
      <c r="A555" s="107"/>
      <c r="B555" s="107"/>
      <c r="C555" s="107"/>
      <c r="D555" s="107"/>
      <c r="E555" s="107"/>
      <c r="F555" s="107"/>
      <c r="G555" s="107"/>
      <c r="H555" s="107"/>
      <c r="I555" s="107"/>
      <c r="J555" s="107"/>
      <c r="K555" s="107"/>
      <c r="L555" s="107"/>
      <c r="M555" s="107"/>
      <c r="N555" s="107"/>
      <c r="O555" s="107"/>
      <c r="P555" s="107"/>
      <c r="Q555" s="107"/>
    </row>
    <row r="556" ht="15.75" customHeight="1">
      <c r="A556" s="107"/>
      <c r="B556" s="107"/>
      <c r="C556" s="107"/>
      <c r="D556" s="107"/>
      <c r="E556" s="107"/>
      <c r="F556" s="107"/>
      <c r="G556" s="107"/>
      <c r="H556" s="107"/>
      <c r="I556" s="107"/>
      <c r="J556" s="107"/>
      <c r="K556" s="107"/>
      <c r="L556" s="107"/>
      <c r="M556" s="107"/>
      <c r="N556" s="107"/>
      <c r="O556" s="107"/>
      <c r="P556" s="107"/>
      <c r="Q556" s="107"/>
    </row>
    <row r="557" ht="15.75" customHeight="1">
      <c r="A557" s="107"/>
      <c r="B557" s="107"/>
      <c r="C557" s="107"/>
      <c r="D557" s="107"/>
      <c r="E557" s="107"/>
      <c r="F557" s="107"/>
      <c r="G557" s="107"/>
      <c r="H557" s="107"/>
      <c r="I557" s="107"/>
      <c r="J557" s="107"/>
      <c r="K557" s="107"/>
      <c r="L557" s="107"/>
      <c r="M557" s="107"/>
      <c r="N557" s="107"/>
      <c r="O557" s="107"/>
      <c r="P557" s="107"/>
      <c r="Q557" s="107"/>
    </row>
    <row r="558" ht="15.75" customHeight="1">
      <c r="A558" s="107"/>
      <c r="B558" s="107"/>
      <c r="C558" s="107"/>
      <c r="D558" s="107"/>
      <c r="E558" s="107"/>
      <c r="F558" s="107"/>
      <c r="G558" s="107"/>
      <c r="H558" s="107"/>
      <c r="I558" s="107"/>
      <c r="J558" s="107"/>
      <c r="K558" s="107"/>
      <c r="L558" s="107"/>
      <c r="M558" s="107"/>
      <c r="N558" s="107"/>
      <c r="O558" s="107"/>
      <c r="P558" s="107"/>
      <c r="Q558" s="107"/>
    </row>
    <row r="559" ht="15.75" customHeight="1">
      <c r="A559" s="107"/>
      <c r="B559" s="107"/>
      <c r="C559" s="107"/>
      <c r="D559" s="107"/>
      <c r="E559" s="107"/>
      <c r="F559" s="107"/>
      <c r="G559" s="107"/>
      <c r="H559" s="107"/>
      <c r="I559" s="107"/>
      <c r="J559" s="107"/>
      <c r="K559" s="107"/>
      <c r="L559" s="107"/>
      <c r="M559" s="107"/>
      <c r="N559" s="107"/>
      <c r="O559" s="107"/>
      <c r="P559" s="107"/>
      <c r="Q559" s="107"/>
    </row>
    <row r="560" ht="15.75" customHeight="1">
      <c r="A560" s="107"/>
      <c r="B560" s="107"/>
      <c r="C560" s="107"/>
      <c r="D560" s="107"/>
      <c r="E560" s="107"/>
      <c r="F560" s="107"/>
      <c r="G560" s="107"/>
      <c r="H560" s="107"/>
      <c r="I560" s="107"/>
      <c r="J560" s="107"/>
      <c r="K560" s="107"/>
      <c r="L560" s="107"/>
      <c r="M560" s="107"/>
      <c r="N560" s="107"/>
      <c r="O560" s="107"/>
      <c r="P560" s="107"/>
      <c r="Q560" s="107"/>
    </row>
    <row r="561" ht="15.75" customHeight="1">
      <c r="A561" s="107"/>
      <c r="B561" s="107"/>
      <c r="C561" s="107"/>
      <c r="D561" s="107"/>
      <c r="E561" s="107"/>
      <c r="F561" s="107"/>
      <c r="G561" s="107"/>
      <c r="H561" s="107"/>
      <c r="I561" s="107"/>
      <c r="J561" s="107"/>
      <c r="K561" s="107"/>
      <c r="L561" s="107"/>
      <c r="M561" s="107"/>
      <c r="N561" s="107"/>
      <c r="O561" s="107"/>
      <c r="P561" s="107"/>
      <c r="Q561" s="107"/>
    </row>
    <row r="562" ht="15.75" customHeight="1">
      <c r="A562" s="107"/>
      <c r="B562" s="107"/>
      <c r="C562" s="107"/>
      <c r="D562" s="107"/>
      <c r="E562" s="107"/>
      <c r="F562" s="107"/>
      <c r="G562" s="107"/>
      <c r="H562" s="107"/>
      <c r="I562" s="107"/>
      <c r="J562" s="107"/>
      <c r="K562" s="107"/>
      <c r="L562" s="107"/>
      <c r="M562" s="107"/>
      <c r="N562" s="107"/>
      <c r="O562" s="107"/>
      <c r="P562" s="107"/>
      <c r="Q562" s="107"/>
    </row>
    <row r="563" ht="15.75" customHeight="1">
      <c r="A563" s="107"/>
      <c r="B563" s="107"/>
      <c r="C563" s="107"/>
      <c r="D563" s="107"/>
      <c r="E563" s="107"/>
      <c r="F563" s="107"/>
      <c r="G563" s="107"/>
      <c r="H563" s="107"/>
      <c r="I563" s="107"/>
      <c r="J563" s="107"/>
      <c r="K563" s="107"/>
      <c r="L563" s="107"/>
      <c r="M563" s="107"/>
      <c r="N563" s="107"/>
      <c r="O563" s="107"/>
      <c r="P563" s="107"/>
      <c r="Q563" s="107"/>
    </row>
    <row r="564" ht="15.75" customHeight="1">
      <c r="A564" s="107"/>
      <c r="B564" s="107"/>
      <c r="C564" s="107"/>
      <c r="D564" s="107"/>
      <c r="E564" s="107"/>
      <c r="F564" s="107"/>
      <c r="G564" s="107"/>
      <c r="H564" s="107"/>
      <c r="I564" s="107"/>
      <c r="J564" s="107"/>
      <c r="K564" s="107"/>
      <c r="L564" s="107"/>
      <c r="M564" s="107"/>
      <c r="N564" s="107"/>
      <c r="O564" s="107"/>
      <c r="P564" s="107"/>
      <c r="Q564" s="107"/>
    </row>
    <row r="565" ht="15.75" customHeight="1">
      <c r="A565" s="107"/>
      <c r="B565" s="107"/>
      <c r="C565" s="107"/>
      <c r="D565" s="107"/>
      <c r="E565" s="107"/>
      <c r="F565" s="107"/>
      <c r="G565" s="107"/>
      <c r="H565" s="107"/>
      <c r="I565" s="107"/>
      <c r="J565" s="107"/>
      <c r="K565" s="107"/>
      <c r="L565" s="107"/>
      <c r="M565" s="107"/>
      <c r="N565" s="107"/>
      <c r="O565" s="107"/>
      <c r="P565" s="107"/>
      <c r="Q565" s="107"/>
    </row>
    <row r="566" ht="15.75" customHeight="1">
      <c r="A566" s="107"/>
      <c r="B566" s="107"/>
      <c r="C566" s="107"/>
      <c r="D566" s="107"/>
      <c r="E566" s="107"/>
      <c r="F566" s="107"/>
      <c r="G566" s="107"/>
      <c r="H566" s="107"/>
      <c r="I566" s="107"/>
      <c r="J566" s="107"/>
      <c r="K566" s="107"/>
      <c r="L566" s="107"/>
      <c r="M566" s="107"/>
      <c r="N566" s="107"/>
      <c r="O566" s="107"/>
      <c r="P566" s="107"/>
      <c r="Q566" s="107"/>
    </row>
    <row r="567" ht="15.75" customHeight="1">
      <c r="A567" s="107"/>
      <c r="B567" s="107"/>
      <c r="C567" s="107"/>
      <c r="D567" s="107"/>
      <c r="E567" s="107"/>
      <c r="F567" s="107"/>
      <c r="G567" s="107"/>
      <c r="H567" s="107"/>
      <c r="I567" s="107"/>
      <c r="J567" s="107"/>
      <c r="K567" s="107"/>
      <c r="L567" s="107"/>
      <c r="M567" s="107"/>
      <c r="N567" s="107"/>
      <c r="O567" s="107"/>
      <c r="P567" s="107"/>
      <c r="Q567" s="107"/>
    </row>
    <row r="568" ht="15.75" customHeight="1">
      <c r="A568" s="107"/>
      <c r="B568" s="107"/>
      <c r="C568" s="107"/>
      <c r="D568" s="107"/>
      <c r="E568" s="107"/>
      <c r="F568" s="107"/>
      <c r="G568" s="107"/>
      <c r="H568" s="107"/>
      <c r="I568" s="107"/>
      <c r="J568" s="107"/>
      <c r="K568" s="107"/>
      <c r="L568" s="107"/>
      <c r="M568" s="107"/>
      <c r="N568" s="107"/>
      <c r="O568" s="107"/>
      <c r="P568" s="107"/>
      <c r="Q568" s="107"/>
    </row>
    <row r="569" ht="15.75" customHeight="1">
      <c r="A569" s="107"/>
      <c r="B569" s="107"/>
      <c r="C569" s="107"/>
      <c r="D569" s="107"/>
      <c r="E569" s="107"/>
      <c r="F569" s="107"/>
      <c r="G569" s="107"/>
      <c r="H569" s="107"/>
      <c r="I569" s="107"/>
      <c r="J569" s="107"/>
      <c r="K569" s="107"/>
      <c r="L569" s="107"/>
      <c r="M569" s="107"/>
      <c r="N569" s="107"/>
      <c r="O569" s="107"/>
      <c r="P569" s="107"/>
      <c r="Q569" s="107"/>
    </row>
    <row r="570" ht="15.75" customHeight="1">
      <c r="A570" s="107"/>
      <c r="B570" s="107"/>
      <c r="C570" s="107"/>
      <c r="D570" s="107"/>
      <c r="E570" s="107"/>
      <c r="F570" s="107"/>
      <c r="G570" s="107"/>
      <c r="H570" s="107"/>
      <c r="I570" s="107"/>
      <c r="J570" s="107"/>
      <c r="K570" s="107"/>
      <c r="L570" s="107"/>
      <c r="M570" s="107"/>
      <c r="N570" s="107"/>
      <c r="O570" s="107"/>
      <c r="P570" s="107"/>
      <c r="Q570" s="107"/>
    </row>
    <row r="571" ht="15.75" customHeight="1">
      <c r="A571" s="107"/>
      <c r="B571" s="107"/>
      <c r="C571" s="107"/>
      <c r="D571" s="107"/>
      <c r="E571" s="107"/>
      <c r="F571" s="107"/>
      <c r="G571" s="107"/>
      <c r="H571" s="107"/>
      <c r="I571" s="107"/>
      <c r="J571" s="107"/>
      <c r="K571" s="107"/>
      <c r="L571" s="107"/>
      <c r="M571" s="107"/>
      <c r="N571" s="107"/>
      <c r="O571" s="107"/>
      <c r="P571" s="107"/>
      <c r="Q571" s="107"/>
    </row>
    <row r="572" ht="15.75" customHeight="1">
      <c r="A572" s="107"/>
      <c r="B572" s="107"/>
      <c r="C572" s="107"/>
      <c r="D572" s="107"/>
      <c r="E572" s="107"/>
      <c r="F572" s="107"/>
      <c r="G572" s="107"/>
      <c r="H572" s="107"/>
      <c r="I572" s="107"/>
      <c r="J572" s="107"/>
      <c r="K572" s="107"/>
      <c r="L572" s="107"/>
      <c r="M572" s="107"/>
      <c r="N572" s="107"/>
      <c r="O572" s="107"/>
      <c r="P572" s="107"/>
      <c r="Q572" s="107"/>
    </row>
    <row r="573" ht="15.75" customHeight="1">
      <c r="A573" s="107"/>
      <c r="B573" s="107"/>
      <c r="C573" s="107"/>
      <c r="D573" s="107"/>
      <c r="E573" s="107"/>
      <c r="F573" s="107"/>
      <c r="G573" s="107"/>
      <c r="H573" s="107"/>
      <c r="I573" s="107"/>
      <c r="J573" s="107"/>
      <c r="K573" s="107"/>
      <c r="L573" s="107"/>
      <c r="M573" s="107"/>
      <c r="N573" s="107"/>
      <c r="O573" s="107"/>
      <c r="P573" s="107"/>
      <c r="Q573" s="107"/>
    </row>
    <row r="574" ht="15.75" customHeight="1">
      <c r="A574" s="107"/>
      <c r="B574" s="107"/>
      <c r="C574" s="107"/>
      <c r="D574" s="107"/>
      <c r="E574" s="107"/>
      <c r="F574" s="107"/>
      <c r="G574" s="107"/>
      <c r="H574" s="107"/>
      <c r="I574" s="107"/>
      <c r="J574" s="107"/>
      <c r="K574" s="107"/>
      <c r="L574" s="107"/>
      <c r="M574" s="107"/>
      <c r="N574" s="107"/>
      <c r="O574" s="107"/>
      <c r="P574" s="107"/>
      <c r="Q574" s="107"/>
    </row>
    <row r="575" ht="15.75" customHeight="1">
      <c r="A575" s="107"/>
      <c r="B575" s="107"/>
      <c r="C575" s="107"/>
      <c r="D575" s="107"/>
      <c r="E575" s="107"/>
      <c r="F575" s="107"/>
      <c r="G575" s="107"/>
      <c r="H575" s="107"/>
      <c r="I575" s="107"/>
      <c r="J575" s="107"/>
      <c r="K575" s="107"/>
      <c r="L575" s="107"/>
      <c r="M575" s="107"/>
      <c r="N575" s="107"/>
      <c r="O575" s="107"/>
      <c r="P575" s="107"/>
      <c r="Q575" s="107"/>
    </row>
    <row r="576" ht="15.75" customHeight="1">
      <c r="A576" s="107"/>
      <c r="B576" s="107"/>
      <c r="C576" s="107"/>
      <c r="D576" s="107"/>
      <c r="E576" s="107"/>
      <c r="F576" s="107"/>
      <c r="G576" s="107"/>
      <c r="H576" s="107"/>
      <c r="I576" s="107"/>
      <c r="J576" s="107"/>
      <c r="K576" s="107"/>
      <c r="L576" s="107"/>
      <c r="M576" s="107"/>
      <c r="N576" s="107"/>
      <c r="O576" s="107"/>
      <c r="P576" s="107"/>
      <c r="Q576" s="107"/>
    </row>
    <row r="577" ht="15.75" customHeight="1">
      <c r="A577" s="107"/>
      <c r="B577" s="107"/>
      <c r="C577" s="107"/>
      <c r="D577" s="107"/>
      <c r="E577" s="107"/>
      <c r="F577" s="107"/>
      <c r="G577" s="107"/>
      <c r="H577" s="107"/>
      <c r="I577" s="107"/>
      <c r="J577" s="107"/>
      <c r="K577" s="107"/>
      <c r="L577" s="107"/>
      <c r="M577" s="107"/>
      <c r="N577" s="107"/>
      <c r="O577" s="107"/>
      <c r="P577" s="107"/>
      <c r="Q577" s="107"/>
    </row>
    <row r="578" ht="15.75" customHeight="1">
      <c r="A578" s="107"/>
      <c r="B578" s="107"/>
      <c r="C578" s="107"/>
      <c r="D578" s="107"/>
      <c r="E578" s="107"/>
      <c r="F578" s="107"/>
      <c r="G578" s="107"/>
      <c r="H578" s="107"/>
      <c r="I578" s="107"/>
      <c r="J578" s="107"/>
      <c r="K578" s="107"/>
      <c r="L578" s="107"/>
      <c r="M578" s="107"/>
      <c r="N578" s="107"/>
      <c r="O578" s="107"/>
      <c r="P578" s="107"/>
      <c r="Q578" s="107"/>
    </row>
    <row r="579" ht="15.75" customHeight="1">
      <c r="A579" s="107"/>
      <c r="B579" s="107"/>
      <c r="C579" s="107"/>
      <c r="D579" s="107"/>
      <c r="E579" s="107"/>
      <c r="F579" s="107"/>
      <c r="G579" s="107"/>
      <c r="H579" s="107"/>
      <c r="I579" s="107"/>
      <c r="J579" s="107"/>
      <c r="K579" s="107"/>
      <c r="L579" s="107"/>
      <c r="M579" s="107"/>
      <c r="N579" s="107"/>
      <c r="O579" s="107"/>
      <c r="P579" s="107"/>
      <c r="Q579" s="107"/>
    </row>
    <row r="580" ht="15.75" customHeight="1">
      <c r="A580" s="107"/>
      <c r="B580" s="107"/>
      <c r="C580" s="107"/>
      <c r="D580" s="107"/>
      <c r="E580" s="107"/>
      <c r="F580" s="107"/>
      <c r="G580" s="107"/>
      <c r="H580" s="107"/>
      <c r="I580" s="107"/>
      <c r="J580" s="107"/>
      <c r="K580" s="107"/>
      <c r="L580" s="107"/>
      <c r="M580" s="107"/>
      <c r="N580" s="107"/>
      <c r="O580" s="107"/>
      <c r="P580" s="107"/>
      <c r="Q580" s="107"/>
    </row>
    <row r="581" ht="15.75" customHeight="1">
      <c r="A581" s="107"/>
      <c r="B581" s="107"/>
      <c r="C581" s="107"/>
      <c r="D581" s="107"/>
      <c r="E581" s="107"/>
      <c r="F581" s="107"/>
      <c r="G581" s="107"/>
      <c r="H581" s="107"/>
      <c r="I581" s="107"/>
      <c r="J581" s="107"/>
      <c r="K581" s="107"/>
      <c r="L581" s="107"/>
      <c r="M581" s="107"/>
      <c r="N581" s="107"/>
      <c r="O581" s="107"/>
      <c r="P581" s="107"/>
      <c r="Q581" s="107"/>
    </row>
    <row r="582" ht="15.75" customHeight="1">
      <c r="A582" s="107"/>
      <c r="B582" s="107"/>
      <c r="C582" s="107"/>
      <c r="D582" s="107"/>
      <c r="E582" s="107"/>
      <c r="F582" s="107"/>
      <c r="G582" s="107"/>
      <c r="H582" s="107"/>
      <c r="I582" s="107"/>
      <c r="J582" s="107"/>
      <c r="K582" s="107"/>
      <c r="L582" s="107"/>
      <c r="M582" s="107"/>
      <c r="N582" s="107"/>
      <c r="O582" s="107"/>
      <c r="P582" s="107"/>
      <c r="Q582" s="107"/>
    </row>
    <row r="583" ht="15.75" customHeight="1">
      <c r="A583" s="107"/>
      <c r="B583" s="107"/>
      <c r="C583" s="107"/>
      <c r="D583" s="107"/>
      <c r="E583" s="107"/>
      <c r="F583" s="107"/>
      <c r="G583" s="107"/>
      <c r="H583" s="107"/>
      <c r="I583" s="107"/>
      <c r="J583" s="107"/>
      <c r="K583" s="107"/>
      <c r="L583" s="107"/>
      <c r="M583" s="107"/>
      <c r="N583" s="107"/>
      <c r="O583" s="107"/>
      <c r="P583" s="107"/>
      <c r="Q583" s="107"/>
    </row>
    <row r="584" ht="15.75" customHeight="1">
      <c r="A584" s="107"/>
      <c r="B584" s="107"/>
      <c r="C584" s="107"/>
      <c r="D584" s="107"/>
      <c r="E584" s="107"/>
      <c r="F584" s="107"/>
      <c r="G584" s="107"/>
      <c r="H584" s="107"/>
      <c r="I584" s="107"/>
      <c r="J584" s="107"/>
      <c r="K584" s="107"/>
      <c r="L584" s="107"/>
      <c r="M584" s="107"/>
      <c r="N584" s="107"/>
      <c r="O584" s="107"/>
      <c r="P584" s="107"/>
      <c r="Q584" s="107"/>
    </row>
    <row r="585" ht="15.75" customHeight="1">
      <c r="A585" s="107"/>
      <c r="B585" s="107"/>
      <c r="C585" s="107"/>
      <c r="D585" s="107"/>
      <c r="E585" s="107"/>
      <c r="F585" s="107"/>
      <c r="G585" s="107"/>
      <c r="H585" s="107"/>
      <c r="I585" s="107"/>
      <c r="J585" s="107"/>
      <c r="K585" s="107"/>
      <c r="L585" s="107"/>
      <c r="M585" s="107"/>
      <c r="N585" s="107"/>
      <c r="O585" s="107"/>
      <c r="P585" s="107"/>
      <c r="Q585" s="107"/>
    </row>
    <row r="586" ht="15.75" customHeight="1">
      <c r="A586" s="107"/>
      <c r="B586" s="107"/>
      <c r="C586" s="107"/>
      <c r="D586" s="107"/>
      <c r="E586" s="107"/>
      <c r="F586" s="107"/>
      <c r="G586" s="107"/>
      <c r="H586" s="107"/>
      <c r="I586" s="107"/>
      <c r="J586" s="107"/>
      <c r="K586" s="107"/>
      <c r="L586" s="107"/>
      <c r="M586" s="107"/>
      <c r="N586" s="107"/>
      <c r="O586" s="107"/>
      <c r="P586" s="107"/>
      <c r="Q586" s="107"/>
    </row>
    <row r="587" ht="15.75" customHeight="1">
      <c r="A587" s="107"/>
      <c r="B587" s="107"/>
      <c r="C587" s="107"/>
      <c r="D587" s="107"/>
      <c r="E587" s="107"/>
      <c r="F587" s="107"/>
      <c r="G587" s="107"/>
      <c r="H587" s="107"/>
      <c r="I587" s="107"/>
      <c r="J587" s="107"/>
      <c r="K587" s="107"/>
      <c r="L587" s="107"/>
      <c r="M587" s="107"/>
      <c r="N587" s="107"/>
      <c r="O587" s="107"/>
      <c r="P587" s="107"/>
      <c r="Q587" s="107"/>
    </row>
    <row r="588" ht="15.75" customHeight="1">
      <c r="A588" s="107"/>
      <c r="B588" s="107"/>
      <c r="C588" s="107"/>
      <c r="D588" s="107"/>
      <c r="E588" s="107"/>
      <c r="F588" s="107"/>
      <c r="G588" s="107"/>
      <c r="H588" s="107"/>
      <c r="I588" s="107"/>
      <c r="J588" s="107"/>
      <c r="K588" s="107"/>
      <c r="L588" s="107"/>
      <c r="M588" s="107"/>
      <c r="N588" s="107"/>
      <c r="O588" s="107"/>
      <c r="P588" s="107"/>
      <c r="Q588" s="107"/>
    </row>
    <row r="589" ht="15.75" customHeight="1">
      <c r="A589" s="107"/>
      <c r="B589" s="107"/>
      <c r="C589" s="107"/>
      <c r="D589" s="107"/>
      <c r="E589" s="107"/>
      <c r="F589" s="107"/>
      <c r="G589" s="107"/>
      <c r="H589" s="107"/>
      <c r="I589" s="107"/>
      <c r="J589" s="107"/>
      <c r="K589" s="107"/>
      <c r="L589" s="107"/>
      <c r="M589" s="107"/>
      <c r="N589" s="107"/>
      <c r="O589" s="107"/>
      <c r="P589" s="107"/>
      <c r="Q589" s="107"/>
    </row>
    <row r="590" ht="15.75" customHeight="1">
      <c r="A590" s="107"/>
      <c r="B590" s="107"/>
      <c r="C590" s="107"/>
      <c r="D590" s="107"/>
      <c r="E590" s="107"/>
      <c r="F590" s="107"/>
      <c r="G590" s="107"/>
      <c r="H590" s="107"/>
      <c r="I590" s="107"/>
      <c r="J590" s="107"/>
      <c r="K590" s="107"/>
      <c r="L590" s="107"/>
      <c r="M590" s="107"/>
      <c r="N590" s="107"/>
      <c r="O590" s="107"/>
      <c r="P590" s="107"/>
      <c r="Q590" s="107"/>
    </row>
    <row r="591" ht="15.75" customHeight="1">
      <c r="A591" s="107"/>
      <c r="B591" s="107"/>
      <c r="C591" s="107"/>
      <c r="D591" s="107"/>
      <c r="E591" s="107"/>
      <c r="F591" s="107"/>
      <c r="G591" s="107"/>
      <c r="H591" s="107"/>
      <c r="I591" s="107"/>
      <c r="J591" s="107"/>
      <c r="K591" s="107"/>
      <c r="L591" s="107"/>
      <c r="M591" s="107"/>
      <c r="N591" s="107"/>
      <c r="O591" s="107"/>
      <c r="P591" s="107"/>
      <c r="Q591" s="107"/>
    </row>
    <row r="592" ht="15.75" customHeight="1">
      <c r="A592" s="107"/>
      <c r="B592" s="107"/>
      <c r="C592" s="107"/>
      <c r="D592" s="107"/>
      <c r="E592" s="107"/>
      <c r="F592" s="107"/>
      <c r="G592" s="107"/>
      <c r="H592" s="107"/>
      <c r="I592" s="107"/>
      <c r="J592" s="107"/>
      <c r="K592" s="107"/>
      <c r="L592" s="107"/>
      <c r="M592" s="107"/>
      <c r="N592" s="107"/>
      <c r="O592" s="107"/>
      <c r="P592" s="107"/>
      <c r="Q592" s="107"/>
    </row>
    <row r="593" ht="15.75" customHeight="1">
      <c r="A593" s="107"/>
      <c r="B593" s="107"/>
      <c r="C593" s="107"/>
      <c r="D593" s="107"/>
      <c r="E593" s="107"/>
      <c r="F593" s="107"/>
      <c r="G593" s="107"/>
      <c r="H593" s="107"/>
      <c r="I593" s="107"/>
      <c r="J593" s="107"/>
      <c r="K593" s="107"/>
      <c r="L593" s="107"/>
      <c r="M593" s="107"/>
      <c r="N593" s="107"/>
      <c r="O593" s="107"/>
      <c r="P593" s="107"/>
      <c r="Q593" s="107"/>
    </row>
    <row r="594" ht="15.75" customHeight="1">
      <c r="A594" s="107"/>
      <c r="B594" s="107"/>
      <c r="C594" s="107"/>
      <c r="D594" s="107"/>
      <c r="E594" s="107"/>
      <c r="F594" s="107"/>
      <c r="G594" s="107"/>
      <c r="H594" s="107"/>
      <c r="I594" s="107"/>
      <c r="J594" s="107"/>
      <c r="K594" s="107"/>
      <c r="L594" s="107"/>
      <c r="M594" s="107"/>
      <c r="N594" s="107"/>
      <c r="O594" s="107"/>
      <c r="P594" s="107"/>
      <c r="Q594" s="107"/>
    </row>
    <row r="595" ht="15.75" customHeight="1">
      <c r="A595" s="107"/>
      <c r="B595" s="107"/>
      <c r="C595" s="107"/>
      <c r="D595" s="107"/>
      <c r="E595" s="107"/>
      <c r="F595" s="107"/>
      <c r="G595" s="107"/>
      <c r="H595" s="107"/>
      <c r="I595" s="107"/>
      <c r="J595" s="107"/>
      <c r="K595" s="107"/>
      <c r="L595" s="107"/>
      <c r="M595" s="107"/>
      <c r="N595" s="107"/>
      <c r="O595" s="107"/>
      <c r="P595" s="107"/>
      <c r="Q595" s="107"/>
    </row>
    <row r="596" ht="15.75" customHeight="1">
      <c r="A596" s="107"/>
      <c r="B596" s="107"/>
      <c r="C596" s="107"/>
      <c r="D596" s="107"/>
      <c r="E596" s="107"/>
      <c r="F596" s="107"/>
      <c r="G596" s="107"/>
      <c r="H596" s="107"/>
      <c r="I596" s="107"/>
      <c r="J596" s="107"/>
      <c r="K596" s="107"/>
      <c r="L596" s="107"/>
      <c r="M596" s="107"/>
      <c r="N596" s="107"/>
      <c r="O596" s="107"/>
      <c r="P596" s="107"/>
      <c r="Q596" s="107"/>
    </row>
    <row r="597" ht="15.75" customHeight="1">
      <c r="A597" s="107"/>
      <c r="B597" s="107"/>
      <c r="C597" s="107"/>
      <c r="D597" s="107"/>
      <c r="E597" s="107"/>
      <c r="F597" s="107"/>
      <c r="G597" s="107"/>
      <c r="H597" s="107"/>
      <c r="I597" s="107"/>
      <c r="J597" s="107"/>
      <c r="K597" s="107"/>
      <c r="L597" s="107"/>
      <c r="M597" s="107"/>
      <c r="N597" s="107"/>
      <c r="O597" s="107"/>
      <c r="P597" s="107"/>
      <c r="Q597" s="107"/>
    </row>
    <row r="598" ht="15.75" customHeight="1">
      <c r="A598" s="107"/>
      <c r="B598" s="107"/>
      <c r="C598" s="107"/>
      <c r="D598" s="107"/>
      <c r="E598" s="107"/>
      <c r="F598" s="107"/>
      <c r="G598" s="107"/>
      <c r="H598" s="107"/>
      <c r="I598" s="107"/>
      <c r="J598" s="107"/>
      <c r="K598" s="107"/>
      <c r="L598" s="107"/>
      <c r="M598" s="107"/>
      <c r="N598" s="107"/>
      <c r="O598" s="107"/>
      <c r="P598" s="107"/>
      <c r="Q598" s="107"/>
    </row>
    <row r="599" ht="15.75" customHeight="1">
      <c r="A599" s="107"/>
      <c r="B599" s="107"/>
      <c r="C599" s="107"/>
      <c r="D599" s="107"/>
      <c r="E599" s="107"/>
      <c r="F599" s="107"/>
      <c r="G599" s="107"/>
      <c r="H599" s="107"/>
      <c r="I599" s="107"/>
      <c r="J599" s="107"/>
      <c r="K599" s="107"/>
      <c r="L599" s="107"/>
      <c r="M599" s="107"/>
      <c r="N599" s="107"/>
      <c r="O599" s="107"/>
      <c r="P599" s="107"/>
      <c r="Q599" s="107"/>
    </row>
    <row r="600" ht="15.75" customHeight="1">
      <c r="A600" s="107"/>
      <c r="B600" s="107"/>
      <c r="C600" s="107"/>
      <c r="D600" s="107"/>
      <c r="E600" s="107"/>
      <c r="F600" s="107"/>
      <c r="G600" s="107"/>
      <c r="H600" s="107"/>
      <c r="I600" s="107"/>
      <c r="J600" s="107"/>
      <c r="K600" s="107"/>
      <c r="L600" s="107"/>
      <c r="M600" s="107"/>
      <c r="N600" s="107"/>
      <c r="O600" s="107"/>
      <c r="P600" s="107"/>
      <c r="Q600" s="107"/>
    </row>
    <row r="601" ht="15.75" customHeight="1">
      <c r="A601" s="107"/>
      <c r="B601" s="107"/>
      <c r="C601" s="107"/>
      <c r="D601" s="107"/>
      <c r="E601" s="107"/>
      <c r="F601" s="107"/>
      <c r="G601" s="107"/>
      <c r="H601" s="107"/>
      <c r="I601" s="107"/>
      <c r="J601" s="107"/>
      <c r="K601" s="107"/>
      <c r="L601" s="107"/>
      <c r="M601" s="107"/>
      <c r="N601" s="107"/>
      <c r="O601" s="107"/>
      <c r="P601" s="107"/>
      <c r="Q601" s="107"/>
    </row>
    <row r="602" ht="15.75" customHeight="1">
      <c r="A602" s="107"/>
      <c r="B602" s="107"/>
      <c r="C602" s="107"/>
      <c r="D602" s="107"/>
      <c r="E602" s="107"/>
      <c r="F602" s="107"/>
      <c r="G602" s="107"/>
      <c r="H602" s="107"/>
      <c r="I602" s="107"/>
      <c r="J602" s="107"/>
      <c r="K602" s="107"/>
      <c r="L602" s="107"/>
      <c r="M602" s="107"/>
      <c r="N602" s="107"/>
      <c r="O602" s="107"/>
      <c r="P602" s="107"/>
      <c r="Q602" s="107"/>
    </row>
    <row r="603" ht="15.75" customHeight="1">
      <c r="A603" s="107"/>
      <c r="B603" s="107"/>
      <c r="C603" s="107"/>
      <c r="D603" s="107"/>
      <c r="E603" s="107"/>
      <c r="F603" s="107"/>
      <c r="G603" s="107"/>
      <c r="H603" s="107"/>
      <c r="I603" s="107"/>
      <c r="J603" s="107"/>
      <c r="K603" s="107"/>
      <c r="L603" s="107"/>
      <c r="M603" s="107"/>
      <c r="N603" s="107"/>
      <c r="O603" s="107"/>
      <c r="P603" s="107"/>
      <c r="Q603" s="107"/>
    </row>
    <row r="604" ht="15.75" customHeight="1">
      <c r="A604" s="107"/>
      <c r="B604" s="107"/>
      <c r="C604" s="107"/>
      <c r="D604" s="107"/>
      <c r="E604" s="107"/>
      <c r="F604" s="107"/>
      <c r="G604" s="107"/>
      <c r="H604" s="107"/>
      <c r="I604" s="107"/>
      <c r="J604" s="107"/>
      <c r="K604" s="107"/>
      <c r="L604" s="107"/>
      <c r="M604" s="107"/>
      <c r="N604" s="107"/>
      <c r="O604" s="107"/>
      <c r="P604" s="107"/>
      <c r="Q604" s="107"/>
    </row>
    <row r="605" ht="15.75" customHeight="1">
      <c r="A605" s="107"/>
      <c r="B605" s="107"/>
      <c r="C605" s="107"/>
      <c r="D605" s="107"/>
      <c r="E605" s="107"/>
      <c r="F605" s="107"/>
      <c r="G605" s="107"/>
      <c r="H605" s="107"/>
      <c r="I605" s="107"/>
      <c r="J605" s="107"/>
      <c r="K605" s="107"/>
      <c r="L605" s="107"/>
      <c r="M605" s="107"/>
      <c r="N605" s="107"/>
      <c r="O605" s="107"/>
      <c r="P605" s="107"/>
      <c r="Q605" s="107"/>
    </row>
    <row r="606" ht="15.75" customHeight="1">
      <c r="A606" s="107"/>
      <c r="B606" s="107"/>
      <c r="C606" s="107"/>
      <c r="D606" s="107"/>
      <c r="E606" s="107"/>
      <c r="F606" s="107"/>
      <c r="G606" s="107"/>
      <c r="H606" s="107"/>
      <c r="I606" s="107"/>
      <c r="J606" s="107"/>
      <c r="K606" s="107"/>
      <c r="L606" s="107"/>
      <c r="M606" s="107"/>
      <c r="N606" s="107"/>
      <c r="O606" s="107"/>
      <c r="P606" s="107"/>
      <c r="Q606" s="107"/>
    </row>
    <row r="607" ht="15.75" customHeight="1">
      <c r="A607" s="107"/>
      <c r="B607" s="107"/>
      <c r="C607" s="107"/>
      <c r="D607" s="107"/>
      <c r="E607" s="107"/>
      <c r="F607" s="107"/>
      <c r="G607" s="107"/>
      <c r="H607" s="107"/>
      <c r="I607" s="107"/>
      <c r="J607" s="107"/>
      <c r="K607" s="107"/>
      <c r="L607" s="107"/>
      <c r="M607" s="107"/>
      <c r="N607" s="107"/>
      <c r="O607" s="107"/>
      <c r="P607" s="107"/>
      <c r="Q607" s="107"/>
    </row>
    <row r="608" ht="15.75" customHeight="1">
      <c r="A608" s="107"/>
      <c r="B608" s="107"/>
      <c r="C608" s="107"/>
      <c r="D608" s="107"/>
      <c r="E608" s="107"/>
      <c r="F608" s="107"/>
      <c r="G608" s="107"/>
      <c r="H608" s="107"/>
      <c r="I608" s="107"/>
      <c r="J608" s="107"/>
      <c r="K608" s="107"/>
      <c r="L608" s="107"/>
      <c r="M608" s="107"/>
      <c r="N608" s="107"/>
      <c r="O608" s="107"/>
      <c r="P608" s="107"/>
      <c r="Q608" s="107"/>
    </row>
    <row r="609" ht="15.75" customHeight="1">
      <c r="A609" s="107"/>
      <c r="B609" s="107"/>
      <c r="C609" s="107"/>
      <c r="D609" s="107"/>
      <c r="E609" s="107"/>
      <c r="F609" s="107"/>
      <c r="G609" s="107"/>
      <c r="H609" s="107"/>
      <c r="I609" s="107"/>
      <c r="J609" s="107"/>
      <c r="K609" s="107"/>
      <c r="L609" s="107"/>
      <c r="M609" s="107"/>
      <c r="N609" s="107"/>
      <c r="O609" s="107"/>
      <c r="P609" s="107"/>
      <c r="Q609" s="107"/>
    </row>
    <row r="610" ht="15.75" customHeight="1">
      <c r="A610" s="107"/>
      <c r="B610" s="107"/>
      <c r="C610" s="107"/>
      <c r="D610" s="107"/>
      <c r="E610" s="107"/>
      <c r="F610" s="107"/>
      <c r="G610" s="107"/>
      <c r="H610" s="107"/>
      <c r="I610" s="107"/>
      <c r="J610" s="107"/>
      <c r="K610" s="107"/>
      <c r="L610" s="107"/>
      <c r="M610" s="107"/>
      <c r="N610" s="107"/>
      <c r="O610" s="107"/>
      <c r="P610" s="107"/>
      <c r="Q610" s="107"/>
    </row>
    <row r="611" ht="15.75" customHeight="1">
      <c r="A611" s="107"/>
      <c r="B611" s="107"/>
      <c r="C611" s="107"/>
      <c r="D611" s="107"/>
      <c r="E611" s="107"/>
      <c r="F611" s="107"/>
      <c r="G611" s="107"/>
      <c r="H611" s="107"/>
      <c r="I611" s="107"/>
      <c r="J611" s="107"/>
      <c r="K611" s="107"/>
      <c r="L611" s="107"/>
      <c r="M611" s="107"/>
      <c r="N611" s="107"/>
      <c r="O611" s="107"/>
      <c r="P611" s="107"/>
      <c r="Q611" s="107"/>
    </row>
    <row r="612" ht="15.75" customHeight="1">
      <c r="A612" s="107"/>
      <c r="B612" s="107"/>
      <c r="C612" s="107"/>
      <c r="D612" s="107"/>
      <c r="E612" s="107"/>
      <c r="F612" s="107"/>
      <c r="G612" s="107"/>
      <c r="H612" s="107"/>
      <c r="I612" s="107"/>
      <c r="J612" s="107"/>
      <c r="K612" s="107"/>
      <c r="L612" s="107"/>
      <c r="M612" s="107"/>
      <c r="N612" s="107"/>
      <c r="O612" s="107"/>
      <c r="P612" s="107"/>
      <c r="Q612" s="107"/>
    </row>
    <row r="613" ht="15.75" customHeight="1">
      <c r="A613" s="107"/>
      <c r="B613" s="107"/>
      <c r="C613" s="107"/>
      <c r="D613" s="107"/>
      <c r="E613" s="107"/>
      <c r="F613" s="107"/>
      <c r="G613" s="107"/>
      <c r="H613" s="107"/>
      <c r="I613" s="107"/>
      <c r="J613" s="107"/>
      <c r="K613" s="107"/>
      <c r="L613" s="107"/>
      <c r="M613" s="107"/>
      <c r="N613" s="107"/>
      <c r="O613" s="107"/>
      <c r="P613" s="107"/>
      <c r="Q613" s="107"/>
    </row>
    <row r="614" ht="15.75" customHeight="1">
      <c r="A614" s="107"/>
      <c r="B614" s="107"/>
      <c r="C614" s="107"/>
      <c r="D614" s="107"/>
      <c r="E614" s="107"/>
      <c r="F614" s="107"/>
      <c r="G614" s="107"/>
      <c r="H614" s="107"/>
      <c r="I614" s="107"/>
      <c r="J614" s="107"/>
      <c r="K614" s="107"/>
      <c r="L614" s="107"/>
      <c r="M614" s="107"/>
      <c r="N614" s="107"/>
      <c r="O614" s="107"/>
      <c r="P614" s="107"/>
      <c r="Q614" s="107"/>
    </row>
    <row r="615" ht="15.75" customHeight="1">
      <c r="A615" s="107"/>
      <c r="B615" s="107"/>
      <c r="C615" s="107"/>
      <c r="D615" s="107"/>
      <c r="E615" s="107"/>
      <c r="F615" s="107"/>
      <c r="G615" s="107"/>
      <c r="H615" s="107"/>
      <c r="I615" s="107"/>
      <c r="J615" s="107"/>
      <c r="K615" s="107"/>
      <c r="L615" s="107"/>
      <c r="M615" s="107"/>
      <c r="N615" s="107"/>
      <c r="O615" s="107"/>
      <c r="P615" s="107"/>
      <c r="Q615" s="107"/>
    </row>
    <row r="616" ht="15.75" customHeight="1">
      <c r="A616" s="107"/>
      <c r="B616" s="107"/>
      <c r="C616" s="107"/>
      <c r="D616" s="107"/>
      <c r="E616" s="107"/>
      <c r="F616" s="107"/>
      <c r="G616" s="107"/>
      <c r="H616" s="107"/>
      <c r="I616" s="107"/>
      <c r="J616" s="107"/>
      <c r="K616" s="107"/>
      <c r="L616" s="107"/>
      <c r="M616" s="107"/>
      <c r="N616" s="107"/>
      <c r="O616" s="107"/>
      <c r="P616" s="107"/>
      <c r="Q616" s="107"/>
    </row>
    <row r="617" ht="15.75" customHeight="1">
      <c r="A617" s="107"/>
      <c r="B617" s="107"/>
      <c r="C617" s="107"/>
      <c r="D617" s="107"/>
      <c r="E617" s="107"/>
      <c r="F617" s="107"/>
      <c r="G617" s="107"/>
      <c r="H617" s="107"/>
      <c r="I617" s="107"/>
      <c r="J617" s="107"/>
      <c r="K617" s="107"/>
      <c r="L617" s="107"/>
      <c r="M617" s="107"/>
      <c r="N617" s="107"/>
      <c r="O617" s="107"/>
      <c r="P617" s="107"/>
      <c r="Q617" s="107"/>
    </row>
    <row r="618" ht="15.75" customHeight="1">
      <c r="A618" s="107"/>
      <c r="B618" s="107"/>
      <c r="C618" s="107"/>
      <c r="D618" s="107"/>
      <c r="E618" s="107"/>
      <c r="F618" s="107"/>
      <c r="G618" s="107"/>
      <c r="H618" s="107"/>
      <c r="I618" s="107"/>
      <c r="J618" s="107"/>
      <c r="K618" s="107"/>
      <c r="L618" s="107"/>
      <c r="M618" s="107"/>
      <c r="N618" s="107"/>
      <c r="O618" s="107"/>
      <c r="P618" s="107"/>
      <c r="Q618" s="107"/>
    </row>
    <row r="619" ht="15.75" customHeight="1">
      <c r="A619" s="107"/>
      <c r="B619" s="107"/>
      <c r="C619" s="107"/>
      <c r="D619" s="107"/>
      <c r="E619" s="107"/>
      <c r="F619" s="107"/>
      <c r="G619" s="107"/>
      <c r="H619" s="107"/>
      <c r="I619" s="107"/>
      <c r="J619" s="107"/>
      <c r="K619" s="107"/>
      <c r="L619" s="107"/>
      <c r="M619" s="107"/>
      <c r="N619" s="107"/>
      <c r="O619" s="107"/>
      <c r="P619" s="107"/>
      <c r="Q619" s="107"/>
    </row>
    <row r="620" ht="15.75" customHeight="1">
      <c r="A620" s="107"/>
      <c r="B620" s="107"/>
      <c r="C620" s="107"/>
      <c r="D620" s="107"/>
      <c r="E620" s="107"/>
      <c r="F620" s="107"/>
      <c r="G620" s="107"/>
      <c r="H620" s="107"/>
      <c r="I620" s="107"/>
      <c r="J620" s="107"/>
      <c r="K620" s="107"/>
      <c r="L620" s="107"/>
      <c r="M620" s="107"/>
      <c r="N620" s="107"/>
      <c r="O620" s="107"/>
      <c r="P620" s="107"/>
      <c r="Q620" s="107"/>
    </row>
    <row r="621" ht="15.75" customHeight="1">
      <c r="A621" s="107"/>
      <c r="B621" s="107"/>
      <c r="C621" s="107"/>
      <c r="D621" s="107"/>
      <c r="E621" s="107"/>
      <c r="F621" s="107"/>
      <c r="G621" s="107"/>
      <c r="H621" s="107"/>
      <c r="I621" s="107"/>
      <c r="J621" s="107"/>
      <c r="K621" s="107"/>
      <c r="L621" s="107"/>
      <c r="M621" s="107"/>
      <c r="N621" s="107"/>
      <c r="O621" s="107"/>
      <c r="P621" s="107"/>
      <c r="Q621" s="107"/>
    </row>
    <row r="622" ht="15.75" customHeight="1">
      <c r="A622" s="107"/>
      <c r="B622" s="107"/>
      <c r="C622" s="107"/>
      <c r="D622" s="107"/>
      <c r="E622" s="107"/>
      <c r="F622" s="107"/>
      <c r="G622" s="107"/>
      <c r="H622" s="107"/>
      <c r="I622" s="107"/>
      <c r="J622" s="107"/>
      <c r="K622" s="107"/>
      <c r="L622" s="107"/>
      <c r="M622" s="107"/>
      <c r="N622" s="107"/>
      <c r="O622" s="107"/>
      <c r="P622" s="107"/>
      <c r="Q622" s="107"/>
    </row>
    <row r="623" ht="15.75" customHeight="1">
      <c r="A623" s="107"/>
      <c r="B623" s="107"/>
      <c r="C623" s="107"/>
      <c r="D623" s="107"/>
      <c r="E623" s="107"/>
      <c r="F623" s="107"/>
      <c r="G623" s="107"/>
      <c r="H623" s="107"/>
      <c r="I623" s="107"/>
      <c r="J623" s="107"/>
      <c r="K623" s="107"/>
      <c r="L623" s="107"/>
      <c r="M623" s="107"/>
      <c r="N623" s="107"/>
      <c r="O623" s="107"/>
      <c r="P623" s="107"/>
      <c r="Q623" s="107"/>
    </row>
    <row r="624" ht="15.75" customHeight="1">
      <c r="A624" s="107"/>
      <c r="B624" s="107"/>
      <c r="C624" s="107"/>
      <c r="D624" s="107"/>
      <c r="E624" s="107"/>
      <c r="F624" s="107"/>
      <c r="G624" s="107"/>
      <c r="H624" s="107"/>
      <c r="I624" s="107"/>
      <c r="J624" s="107"/>
      <c r="K624" s="107"/>
      <c r="L624" s="107"/>
      <c r="M624" s="107"/>
      <c r="N624" s="107"/>
      <c r="O624" s="107"/>
      <c r="P624" s="107"/>
      <c r="Q624" s="107"/>
    </row>
    <row r="625" ht="15.75" customHeight="1">
      <c r="A625" s="107"/>
      <c r="B625" s="107"/>
      <c r="C625" s="107"/>
      <c r="D625" s="107"/>
      <c r="E625" s="107"/>
      <c r="F625" s="107"/>
      <c r="G625" s="107"/>
      <c r="H625" s="107"/>
      <c r="I625" s="107"/>
      <c r="J625" s="107"/>
      <c r="K625" s="107"/>
      <c r="L625" s="107"/>
      <c r="M625" s="107"/>
      <c r="N625" s="107"/>
      <c r="O625" s="107"/>
      <c r="P625" s="107"/>
      <c r="Q625" s="107"/>
    </row>
    <row r="626" ht="15.75" customHeight="1">
      <c r="A626" s="107"/>
      <c r="B626" s="107"/>
      <c r="C626" s="107"/>
      <c r="D626" s="107"/>
      <c r="E626" s="107"/>
      <c r="F626" s="107"/>
      <c r="G626" s="107"/>
      <c r="H626" s="107"/>
      <c r="I626" s="107"/>
      <c r="J626" s="107"/>
      <c r="K626" s="107"/>
      <c r="L626" s="107"/>
      <c r="M626" s="107"/>
      <c r="N626" s="107"/>
      <c r="O626" s="107"/>
      <c r="P626" s="107"/>
      <c r="Q626" s="107"/>
    </row>
    <row r="627" ht="15.75" customHeight="1">
      <c r="A627" s="107"/>
      <c r="B627" s="107"/>
      <c r="C627" s="107"/>
      <c r="D627" s="107"/>
      <c r="E627" s="107"/>
      <c r="F627" s="107"/>
      <c r="G627" s="107"/>
      <c r="H627" s="107"/>
      <c r="I627" s="107"/>
      <c r="J627" s="107"/>
      <c r="K627" s="107"/>
      <c r="L627" s="107"/>
      <c r="M627" s="107"/>
      <c r="N627" s="107"/>
      <c r="O627" s="107"/>
      <c r="P627" s="107"/>
      <c r="Q627" s="107"/>
    </row>
    <row r="628" ht="15.75" customHeight="1">
      <c r="A628" s="107"/>
      <c r="B628" s="107"/>
      <c r="C628" s="107"/>
      <c r="D628" s="107"/>
      <c r="E628" s="107"/>
      <c r="F628" s="107"/>
      <c r="G628" s="107"/>
      <c r="H628" s="107"/>
      <c r="I628" s="107"/>
      <c r="J628" s="107"/>
      <c r="K628" s="107"/>
      <c r="L628" s="107"/>
      <c r="M628" s="107"/>
      <c r="N628" s="107"/>
      <c r="O628" s="107"/>
      <c r="P628" s="107"/>
      <c r="Q628" s="107"/>
    </row>
    <row r="629" ht="15.75" customHeight="1">
      <c r="A629" s="107"/>
      <c r="B629" s="107"/>
      <c r="C629" s="107"/>
      <c r="D629" s="107"/>
      <c r="E629" s="107"/>
      <c r="F629" s="107"/>
      <c r="G629" s="107"/>
      <c r="H629" s="107"/>
      <c r="I629" s="107"/>
      <c r="J629" s="107"/>
      <c r="K629" s="107"/>
      <c r="L629" s="107"/>
      <c r="M629" s="107"/>
      <c r="N629" s="107"/>
      <c r="O629" s="107"/>
      <c r="P629" s="107"/>
      <c r="Q629" s="107"/>
    </row>
    <row r="630" ht="15.75" customHeight="1">
      <c r="A630" s="107"/>
      <c r="B630" s="107"/>
      <c r="C630" s="107"/>
      <c r="D630" s="107"/>
      <c r="E630" s="107"/>
      <c r="F630" s="107"/>
      <c r="G630" s="107"/>
      <c r="H630" s="107"/>
      <c r="I630" s="107"/>
      <c r="J630" s="107"/>
      <c r="K630" s="107"/>
      <c r="L630" s="107"/>
      <c r="M630" s="107"/>
      <c r="N630" s="107"/>
      <c r="O630" s="107"/>
      <c r="P630" s="107"/>
      <c r="Q630" s="107"/>
    </row>
    <row r="631" ht="15.75" customHeight="1">
      <c r="A631" s="107"/>
      <c r="B631" s="107"/>
      <c r="C631" s="107"/>
      <c r="D631" s="107"/>
      <c r="E631" s="107"/>
      <c r="F631" s="107"/>
      <c r="G631" s="107"/>
      <c r="H631" s="107"/>
      <c r="I631" s="107"/>
      <c r="J631" s="107"/>
      <c r="K631" s="107"/>
      <c r="L631" s="107"/>
      <c r="M631" s="107"/>
      <c r="N631" s="107"/>
      <c r="O631" s="107"/>
      <c r="P631" s="107"/>
      <c r="Q631" s="107"/>
    </row>
    <row r="632" ht="15.75" customHeight="1">
      <c r="A632" s="107"/>
      <c r="B632" s="107"/>
      <c r="C632" s="107"/>
      <c r="D632" s="107"/>
      <c r="E632" s="107"/>
      <c r="F632" s="107"/>
      <c r="G632" s="107"/>
      <c r="H632" s="107"/>
      <c r="I632" s="107"/>
      <c r="J632" s="107"/>
      <c r="K632" s="107"/>
      <c r="L632" s="107"/>
      <c r="M632" s="107"/>
      <c r="N632" s="107"/>
      <c r="O632" s="107"/>
      <c r="P632" s="107"/>
      <c r="Q632" s="107"/>
    </row>
    <row r="633" ht="15.75" customHeight="1">
      <c r="A633" s="107"/>
      <c r="B633" s="107"/>
      <c r="C633" s="107"/>
      <c r="D633" s="107"/>
      <c r="E633" s="107"/>
      <c r="F633" s="107"/>
      <c r="G633" s="107"/>
      <c r="H633" s="107"/>
      <c r="I633" s="107"/>
      <c r="J633" s="107"/>
      <c r="K633" s="107"/>
      <c r="L633" s="107"/>
      <c r="M633" s="107"/>
      <c r="N633" s="107"/>
      <c r="O633" s="107"/>
      <c r="P633" s="107"/>
      <c r="Q633" s="107"/>
    </row>
    <row r="634" ht="15.75" customHeight="1">
      <c r="A634" s="107"/>
      <c r="B634" s="107"/>
      <c r="C634" s="107"/>
      <c r="D634" s="107"/>
      <c r="E634" s="107"/>
      <c r="F634" s="107"/>
      <c r="G634" s="107"/>
      <c r="H634" s="107"/>
      <c r="I634" s="107"/>
      <c r="J634" s="107"/>
      <c r="K634" s="107"/>
      <c r="L634" s="107"/>
      <c r="M634" s="107"/>
      <c r="N634" s="107"/>
      <c r="O634" s="107"/>
      <c r="P634" s="107"/>
      <c r="Q634" s="107"/>
    </row>
    <row r="635" ht="15.75" customHeight="1">
      <c r="A635" s="107"/>
      <c r="B635" s="107"/>
      <c r="C635" s="107"/>
      <c r="D635" s="107"/>
      <c r="E635" s="107"/>
      <c r="F635" s="107"/>
      <c r="G635" s="107"/>
      <c r="H635" s="107"/>
      <c r="I635" s="107"/>
      <c r="J635" s="107"/>
      <c r="K635" s="107"/>
      <c r="L635" s="107"/>
      <c r="M635" s="107"/>
      <c r="N635" s="107"/>
      <c r="O635" s="107"/>
      <c r="P635" s="107"/>
      <c r="Q635" s="107"/>
    </row>
    <row r="636" ht="15.75" customHeight="1">
      <c r="A636" s="107"/>
      <c r="B636" s="107"/>
      <c r="C636" s="107"/>
      <c r="D636" s="107"/>
      <c r="E636" s="107"/>
      <c r="F636" s="107"/>
      <c r="G636" s="107"/>
      <c r="H636" s="107"/>
      <c r="I636" s="107"/>
      <c r="J636" s="107"/>
      <c r="K636" s="107"/>
      <c r="L636" s="107"/>
      <c r="M636" s="107"/>
      <c r="N636" s="107"/>
      <c r="O636" s="107"/>
      <c r="P636" s="107"/>
      <c r="Q636" s="107"/>
    </row>
    <row r="637" ht="15.75" customHeight="1">
      <c r="A637" s="107"/>
      <c r="B637" s="107"/>
      <c r="C637" s="107"/>
      <c r="D637" s="107"/>
      <c r="E637" s="107"/>
      <c r="F637" s="107"/>
      <c r="G637" s="107"/>
      <c r="H637" s="107"/>
      <c r="I637" s="107"/>
      <c r="J637" s="107"/>
      <c r="K637" s="107"/>
      <c r="L637" s="107"/>
      <c r="M637" s="107"/>
      <c r="N637" s="107"/>
      <c r="O637" s="107"/>
      <c r="P637" s="107"/>
      <c r="Q637" s="107"/>
    </row>
    <row r="638" ht="15.75" customHeight="1">
      <c r="A638" s="107"/>
      <c r="B638" s="107"/>
      <c r="C638" s="107"/>
      <c r="D638" s="107"/>
      <c r="E638" s="107"/>
      <c r="F638" s="107"/>
      <c r="G638" s="107"/>
      <c r="H638" s="107"/>
      <c r="I638" s="107"/>
      <c r="J638" s="107"/>
      <c r="K638" s="107"/>
      <c r="L638" s="107"/>
      <c r="M638" s="107"/>
      <c r="N638" s="107"/>
      <c r="O638" s="107"/>
      <c r="P638" s="107"/>
      <c r="Q638" s="107"/>
    </row>
    <row r="639" ht="15.75" customHeight="1">
      <c r="A639" s="107"/>
      <c r="B639" s="107"/>
      <c r="C639" s="107"/>
      <c r="D639" s="107"/>
      <c r="E639" s="107"/>
      <c r="F639" s="107"/>
      <c r="G639" s="107"/>
      <c r="H639" s="107"/>
      <c r="I639" s="107"/>
      <c r="J639" s="107"/>
      <c r="K639" s="107"/>
      <c r="L639" s="107"/>
      <c r="M639" s="107"/>
      <c r="N639" s="107"/>
      <c r="O639" s="107"/>
      <c r="P639" s="107"/>
      <c r="Q639" s="107"/>
    </row>
    <row r="640" ht="15.75" customHeight="1">
      <c r="A640" s="107"/>
      <c r="B640" s="107"/>
      <c r="C640" s="107"/>
      <c r="D640" s="107"/>
      <c r="E640" s="107"/>
      <c r="F640" s="107"/>
      <c r="G640" s="107"/>
      <c r="H640" s="107"/>
      <c r="I640" s="107"/>
      <c r="J640" s="107"/>
      <c r="K640" s="107"/>
      <c r="L640" s="107"/>
      <c r="M640" s="107"/>
      <c r="N640" s="107"/>
      <c r="O640" s="107"/>
      <c r="P640" s="107"/>
      <c r="Q640" s="107"/>
    </row>
    <row r="641" ht="15.75" customHeight="1">
      <c r="A641" s="107"/>
      <c r="B641" s="107"/>
      <c r="C641" s="107"/>
      <c r="D641" s="107"/>
      <c r="E641" s="107"/>
      <c r="F641" s="107"/>
      <c r="G641" s="107"/>
      <c r="H641" s="107"/>
      <c r="I641" s="107"/>
      <c r="J641" s="107"/>
      <c r="K641" s="107"/>
      <c r="L641" s="107"/>
      <c r="M641" s="107"/>
      <c r="N641" s="107"/>
      <c r="O641" s="107"/>
      <c r="P641" s="107"/>
      <c r="Q641" s="107"/>
    </row>
    <row r="642" ht="15.75" customHeight="1">
      <c r="A642" s="107"/>
      <c r="B642" s="107"/>
      <c r="C642" s="107"/>
      <c r="D642" s="107"/>
      <c r="E642" s="107"/>
      <c r="F642" s="107"/>
      <c r="G642" s="107"/>
      <c r="H642" s="107"/>
      <c r="I642" s="107"/>
      <c r="J642" s="107"/>
      <c r="K642" s="107"/>
      <c r="L642" s="107"/>
      <c r="M642" s="107"/>
      <c r="N642" s="107"/>
      <c r="O642" s="107"/>
      <c r="P642" s="107"/>
      <c r="Q642" s="107"/>
    </row>
    <row r="643" ht="15.75" customHeight="1">
      <c r="A643" s="107"/>
      <c r="B643" s="107"/>
      <c r="C643" s="107"/>
      <c r="D643" s="107"/>
      <c r="E643" s="107"/>
      <c r="F643" s="107"/>
      <c r="G643" s="107"/>
      <c r="H643" s="107"/>
      <c r="I643" s="107"/>
      <c r="J643" s="107"/>
      <c r="K643" s="107"/>
      <c r="L643" s="107"/>
      <c r="M643" s="107"/>
      <c r="N643" s="107"/>
      <c r="O643" s="107"/>
      <c r="P643" s="107"/>
      <c r="Q643" s="107"/>
    </row>
    <row r="644" ht="15.75" customHeight="1">
      <c r="A644" s="107"/>
      <c r="B644" s="107"/>
      <c r="C644" s="107"/>
      <c r="D644" s="107"/>
      <c r="E644" s="107"/>
      <c r="F644" s="107"/>
      <c r="G644" s="107"/>
      <c r="H644" s="107"/>
      <c r="I644" s="107"/>
      <c r="J644" s="107"/>
      <c r="K644" s="107"/>
      <c r="L644" s="107"/>
      <c r="M644" s="107"/>
      <c r="N644" s="107"/>
      <c r="O644" s="107"/>
      <c r="P644" s="107"/>
      <c r="Q644" s="107"/>
    </row>
    <row r="645" ht="15.75" customHeight="1">
      <c r="A645" s="107"/>
      <c r="B645" s="107"/>
      <c r="C645" s="107"/>
      <c r="D645" s="107"/>
      <c r="E645" s="107"/>
      <c r="F645" s="107"/>
      <c r="G645" s="107"/>
      <c r="H645" s="107"/>
      <c r="I645" s="107"/>
      <c r="J645" s="107"/>
      <c r="K645" s="107"/>
      <c r="L645" s="107"/>
      <c r="M645" s="107"/>
      <c r="N645" s="107"/>
      <c r="O645" s="107"/>
      <c r="P645" s="107"/>
      <c r="Q645" s="107"/>
    </row>
    <row r="646" ht="15.75" customHeight="1">
      <c r="A646" s="107"/>
      <c r="B646" s="107"/>
      <c r="C646" s="107"/>
      <c r="D646" s="107"/>
      <c r="E646" s="107"/>
      <c r="F646" s="107"/>
      <c r="G646" s="107"/>
      <c r="H646" s="107"/>
      <c r="I646" s="107"/>
      <c r="J646" s="107"/>
      <c r="K646" s="107"/>
      <c r="L646" s="107"/>
      <c r="M646" s="107"/>
      <c r="N646" s="107"/>
      <c r="O646" s="107"/>
      <c r="P646" s="107"/>
      <c r="Q646" s="107"/>
    </row>
    <row r="647" ht="15.75" customHeight="1">
      <c r="A647" s="107"/>
      <c r="B647" s="107"/>
      <c r="C647" s="107"/>
      <c r="D647" s="107"/>
      <c r="E647" s="107"/>
      <c r="F647" s="107"/>
      <c r="G647" s="107"/>
      <c r="H647" s="107"/>
      <c r="I647" s="107"/>
      <c r="J647" s="107"/>
      <c r="K647" s="107"/>
      <c r="L647" s="107"/>
      <c r="M647" s="107"/>
      <c r="N647" s="107"/>
      <c r="O647" s="107"/>
      <c r="P647" s="107"/>
      <c r="Q647" s="107"/>
    </row>
    <row r="648" ht="15.75" customHeight="1">
      <c r="A648" s="107"/>
      <c r="B648" s="107"/>
      <c r="C648" s="107"/>
      <c r="D648" s="107"/>
      <c r="E648" s="107"/>
      <c r="F648" s="107"/>
      <c r="G648" s="107"/>
      <c r="H648" s="107"/>
      <c r="I648" s="107"/>
      <c r="J648" s="107"/>
      <c r="K648" s="107"/>
      <c r="L648" s="107"/>
      <c r="M648" s="107"/>
      <c r="N648" s="107"/>
      <c r="O648" s="107"/>
      <c r="P648" s="107"/>
      <c r="Q648" s="107"/>
    </row>
    <row r="649" ht="15.75" customHeight="1">
      <c r="A649" s="107"/>
      <c r="B649" s="107"/>
      <c r="C649" s="107"/>
      <c r="D649" s="107"/>
      <c r="E649" s="107"/>
      <c r="F649" s="107"/>
      <c r="G649" s="107"/>
      <c r="H649" s="107"/>
      <c r="I649" s="107"/>
      <c r="J649" s="107"/>
      <c r="K649" s="107"/>
      <c r="L649" s="107"/>
      <c r="M649" s="107"/>
      <c r="N649" s="107"/>
      <c r="O649" s="107"/>
      <c r="P649" s="107"/>
      <c r="Q649" s="107"/>
    </row>
    <row r="650" ht="15.75" customHeight="1">
      <c r="A650" s="107"/>
      <c r="B650" s="107"/>
      <c r="C650" s="107"/>
      <c r="D650" s="107"/>
      <c r="E650" s="107"/>
      <c r="F650" s="107"/>
      <c r="G650" s="107"/>
      <c r="H650" s="107"/>
      <c r="I650" s="107"/>
      <c r="J650" s="107"/>
      <c r="K650" s="107"/>
      <c r="L650" s="107"/>
      <c r="M650" s="107"/>
      <c r="N650" s="107"/>
      <c r="O650" s="107"/>
      <c r="P650" s="107"/>
      <c r="Q650" s="107"/>
    </row>
    <row r="651" ht="15.75" customHeight="1">
      <c r="A651" s="107"/>
      <c r="B651" s="107"/>
      <c r="C651" s="107"/>
      <c r="D651" s="107"/>
      <c r="E651" s="107"/>
      <c r="F651" s="107"/>
      <c r="G651" s="107"/>
      <c r="H651" s="107"/>
      <c r="I651" s="107"/>
      <c r="J651" s="107"/>
      <c r="K651" s="107"/>
      <c r="L651" s="107"/>
      <c r="M651" s="107"/>
      <c r="N651" s="107"/>
      <c r="O651" s="107"/>
      <c r="P651" s="107"/>
      <c r="Q651" s="107"/>
    </row>
    <row r="652" ht="15.75" customHeight="1">
      <c r="A652" s="107"/>
      <c r="B652" s="107"/>
      <c r="C652" s="107"/>
      <c r="D652" s="107"/>
      <c r="E652" s="107"/>
      <c r="F652" s="107"/>
      <c r="G652" s="107"/>
      <c r="H652" s="107"/>
      <c r="I652" s="107"/>
      <c r="J652" s="107"/>
      <c r="K652" s="107"/>
      <c r="L652" s="107"/>
      <c r="M652" s="107"/>
      <c r="N652" s="107"/>
      <c r="O652" s="107"/>
      <c r="P652" s="107"/>
      <c r="Q652" s="107"/>
    </row>
    <row r="653" ht="15.75" customHeight="1">
      <c r="A653" s="107"/>
      <c r="B653" s="107"/>
      <c r="C653" s="107"/>
      <c r="D653" s="107"/>
      <c r="E653" s="107"/>
      <c r="F653" s="107"/>
      <c r="G653" s="107"/>
      <c r="H653" s="107"/>
      <c r="I653" s="107"/>
      <c r="J653" s="107"/>
      <c r="K653" s="107"/>
      <c r="L653" s="107"/>
      <c r="M653" s="107"/>
      <c r="N653" s="107"/>
      <c r="O653" s="107"/>
      <c r="P653" s="107"/>
      <c r="Q653" s="107"/>
    </row>
    <row r="654" ht="15.75" customHeight="1">
      <c r="A654" s="107"/>
      <c r="B654" s="107"/>
      <c r="C654" s="107"/>
      <c r="D654" s="107"/>
      <c r="E654" s="107"/>
      <c r="F654" s="107"/>
      <c r="G654" s="107"/>
      <c r="H654" s="107"/>
      <c r="I654" s="107"/>
      <c r="J654" s="107"/>
      <c r="K654" s="107"/>
      <c r="L654" s="107"/>
      <c r="M654" s="107"/>
      <c r="N654" s="107"/>
      <c r="O654" s="107"/>
      <c r="P654" s="107"/>
      <c r="Q654" s="107"/>
    </row>
    <row r="655" ht="15.75" customHeight="1">
      <c r="A655" s="107"/>
      <c r="B655" s="107"/>
      <c r="C655" s="107"/>
      <c r="D655" s="107"/>
      <c r="E655" s="107"/>
      <c r="F655" s="107"/>
      <c r="G655" s="107"/>
      <c r="H655" s="107"/>
      <c r="I655" s="107"/>
      <c r="J655" s="107"/>
      <c r="K655" s="107"/>
      <c r="L655" s="107"/>
      <c r="M655" s="107"/>
      <c r="N655" s="107"/>
      <c r="O655" s="107"/>
      <c r="P655" s="107"/>
      <c r="Q655" s="107"/>
    </row>
    <row r="656" ht="15.75" customHeight="1">
      <c r="A656" s="107"/>
      <c r="B656" s="107"/>
      <c r="C656" s="107"/>
      <c r="D656" s="107"/>
      <c r="E656" s="107"/>
      <c r="F656" s="107"/>
      <c r="G656" s="107"/>
      <c r="H656" s="107"/>
      <c r="I656" s="107"/>
      <c r="J656" s="107"/>
      <c r="K656" s="107"/>
      <c r="L656" s="107"/>
      <c r="M656" s="107"/>
      <c r="N656" s="107"/>
      <c r="O656" s="107"/>
      <c r="P656" s="107"/>
      <c r="Q656" s="107"/>
    </row>
    <row r="657" ht="15.75" customHeight="1">
      <c r="A657" s="107"/>
      <c r="B657" s="107"/>
      <c r="C657" s="107"/>
      <c r="D657" s="107"/>
      <c r="E657" s="107"/>
      <c r="F657" s="107"/>
      <c r="G657" s="107"/>
      <c r="H657" s="107"/>
      <c r="I657" s="107"/>
      <c r="J657" s="107"/>
      <c r="K657" s="107"/>
      <c r="L657" s="107"/>
      <c r="M657" s="107"/>
      <c r="N657" s="107"/>
      <c r="O657" s="107"/>
      <c r="P657" s="107"/>
      <c r="Q657" s="107"/>
    </row>
    <row r="658" ht="15.75" customHeight="1">
      <c r="A658" s="107"/>
      <c r="B658" s="107"/>
      <c r="C658" s="107"/>
      <c r="D658" s="107"/>
      <c r="E658" s="107"/>
      <c r="F658" s="107"/>
      <c r="G658" s="107"/>
      <c r="H658" s="107"/>
      <c r="I658" s="107"/>
      <c r="J658" s="107"/>
      <c r="K658" s="107"/>
      <c r="L658" s="107"/>
      <c r="M658" s="107"/>
      <c r="N658" s="107"/>
      <c r="O658" s="107"/>
      <c r="P658" s="107"/>
      <c r="Q658" s="107"/>
    </row>
    <row r="659" ht="15.75" customHeight="1">
      <c r="A659" s="107"/>
      <c r="B659" s="107"/>
      <c r="C659" s="107"/>
      <c r="D659" s="107"/>
      <c r="E659" s="107"/>
      <c r="F659" s="107"/>
      <c r="G659" s="107"/>
      <c r="H659" s="107"/>
      <c r="I659" s="107"/>
      <c r="J659" s="107"/>
      <c r="K659" s="107"/>
      <c r="L659" s="107"/>
      <c r="M659" s="107"/>
      <c r="N659" s="107"/>
      <c r="O659" s="107"/>
      <c r="P659" s="107"/>
      <c r="Q659" s="107"/>
    </row>
    <row r="660" ht="15.75" customHeight="1">
      <c r="A660" s="107"/>
      <c r="B660" s="107"/>
      <c r="C660" s="107"/>
      <c r="D660" s="107"/>
      <c r="E660" s="107"/>
      <c r="F660" s="107"/>
      <c r="G660" s="107"/>
      <c r="H660" s="107"/>
      <c r="I660" s="107"/>
      <c r="J660" s="107"/>
      <c r="K660" s="107"/>
      <c r="L660" s="107"/>
      <c r="M660" s="107"/>
      <c r="N660" s="107"/>
      <c r="O660" s="107"/>
      <c r="P660" s="107"/>
      <c r="Q660" s="107"/>
    </row>
    <row r="661" ht="15.75" customHeight="1">
      <c r="A661" s="107"/>
      <c r="B661" s="107"/>
      <c r="C661" s="107"/>
      <c r="D661" s="107"/>
      <c r="E661" s="107"/>
      <c r="F661" s="107"/>
      <c r="G661" s="107"/>
      <c r="H661" s="107"/>
      <c r="I661" s="107"/>
      <c r="J661" s="107"/>
      <c r="K661" s="107"/>
      <c r="L661" s="107"/>
      <c r="M661" s="107"/>
      <c r="N661" s="107"/>
      <c r="O661" s="107"/>
      <c r="P661" s="107"/>
      <c r="Q661" s="107"/>
    </row>
    <row r="662" ht="15.75" customHeight="1">
      <c r="A662" s="107"/>
      <c r="B662" s="107"/>
      <c r="C662" s="107"/>
      <c r="D662" s="107"/>
      <c r="E662" s="107"/>
      <c r="F662" s="107"/>
      <c r="G662" s="107"/>
      <c r="H662" s="107"/>
      <c r="I662" s="107"/>
      <c r="J662" s="107"/>
      <c r="K662" s="107"/>
      <c r="L662" s="107"/>
      <c r="M662" s="107"/>
      <c r="N662" s="107"/>
      <c r="O662" s="107"/>
      <c r="P662" s="107"/>
      <c r="Q662" s="107"/>
    </row>
    <row r="663" ht="15.75" customHeight="1">
      <c r="A663" s="107"/>
      <c r="B663" s="107"/>
      <c r="C663" s="107"/>
      <c r="D663" s="107"/>
      <c r="E663" s="107"/>
      <c r="F663" s="107"/>
      <c r="G663" s="107"/>
      <c r="H663" s="107"/>
      <c r="I663" s="107"/>
      <c r="J663" s="107"/>
      <c r="K663" s="107"/>
      <c r="L663" s="107"/>
      <c r="M663" s="107"/>
      <c r="N663" s="107"/>
      <c r="O663" s="107"/>
      <c r="P663" s="107"/>
      <c r="Q663" s="107"/>
    </row>
    <row r="664" ht="15.75" customHeight="1">
      <c r="A664" s="107"/>
      <c r="B664" s="107"/>
      <c r="C664" s="107"/>
      <c r="D664" s="107"/>
      <c r="E664" s="107"/>
      <c r="F664" s="107"/>
      <c r="G664" s="107"/>
      <c r="H664" s="107"/>
      <c r="I664" s="107"/>
      <c r="J664" s="107"/>
      <c r="K664" s="107"/>
      <c r="L664" s="107"/>
      <c r="M664" s="107"/>
      <c r="N664" s="107"/>
      <c r="O664" s="107"/>
      <c r="P664" s="107"/>
      <c r="Q664" s="107"/>
    </row>
    <row r="665" ht="15.75" customHeight="1">
      <c r="A665" s="107"/>
      <c r="B665" s="107"/>
      <c r="C665" s="107"/>
      <c r="D665" s="107"/>
      <c r="E665" s="107"/>
      <c r="F665" s="107"/>
      <c r="G665" s="107"/>
      <c r="H665" s="107"/>
      <c r="I665" s="107"/>
      <c r="J665" s="107"/>
      <c r="K665" s="107"/>
      <c r="L665" s="107"/>
      <c r="M665" s="107"/>
      <c r="N665" s="107"/>
      <c r="O665" s="107"/>
      <c r="P665" s="107"/>
      <c r="Q665" s="107"/>
    </row>
    <row r="666" ht="15.75" customHeight="1">
      <c r="A666" s="107"/>
      <c r="B666" s="107"/>
      <c r="C666" s="107"/>
      <c r="D666" s="107"/>
      <c r="E666" s="107"/>
      <c r="F666" s="107"/>
      <c r="G666" s="107"/>
      <c r="H666" s="107"/>
      <c r="I666" s="107"/>
      <c r="J666" s="107"/>
      <c r="K666" s="107"/>
      <c r="L666" s="107"/>
      <c r="M666" s="107"/>
      <c r="N666" s="107"/>
      <c r="O666" s="107"/>
      <c r="P666" s="107"/>
      <c r="Q666" s="107"/>
    </row>
    <row r="667" ht="15.75" customHeight="1">
      <c r="A667" s="107"/>
      <c r="B667" s="107"/>
      <c r="C667" s="107"/>
      <c r="D667" s="107"/>
      <c r="E667" s="107"/>
      <c r="F667" s="107"/>
      <c r="G667" s="107"/>
      <c r="H667" s="107"/>
      <c r="I667" s="107"/>
      <c r="J667" s="107"/>
      <c r="K667" s="107"/>
      <c r="L667" s="107"/>
      <c r="M667" s="107"/>
      <c r="N667" s="107"/>
      <c r="O667" s="107"/>
      <c r="P667" s="107"/>
      <c r="Q667" s="107"/>
    </row>
    <row r="668" ht="15.75" customHeight="1">
      <c r="A668" s="107"/>
      <c r="B668" s="107"/>
      <c r="C668" s="107"/>
      <c r="D668" s="107"/>
      <c r="E668" s="107"/>
      <c r="F668" s="107"/>
      <c r="G668" s="107"/>
      <c r="H668" s="107"/>
      <c r="I668" s="107"/>
      <c r="J668" s="107"/>
      <c r="K668" s="107"/>
      <c r="L668" s="107"/>
      <c r="M668" s="107"/>
      <c r="N668" s="107"/>
      <c r="O668" s="107"/>
      <c r="P668" s="107"/>
      <c r="Q668" s="107"/>
    </row>
    <row r="669" ht="15.75" customHeight="1">
      <c r="A669" s="107"/>
      <c r="B669" s="107"/>
      <c r="C669" s="107"/>
      <c r="D669" s="107"/>
      <c r="E669" s="107"/>
      <c r="F669" s="107"/>
      <c r="G669" s="107"/>
      <c r="H669" s="107"/>
      <c r="I669" s="107"/>
      <c r="J669" s="107"/>
      <c r="K669" s="107"/>
      <c r="L669" s="107"/>
      <c r="M669" s="107"/>
      <c r="N669" s="107"/>
      <c r="O669" s="107"/>
      <c r="P669" s="107"/>
      <c r="Q669" s="107"/>
    </row>
    <row r="670" ht="15.75" customHeight="1">
      <c r="A670" s="107"/>
      <c r="B670" s="107"/>
      <c r="C670" s="107"/>
      <c r="D670" s="107"/>
      <c r="E670" s="107"/>
      <c r="F670" s="107"/>
      <c r="G670" s="107"/>
      <c r="H670" s="107"/>
      <c r="I670" s="107"/>
      <c r="J670" s="107"/>
      <c r="K670" s="107"/>
      <c r="L670" s="107"/>
      <c r="M670" s="107"/>
      <c r="N670" s="107"/>
      <c r="O670" s="107"/>
      <c r="P670" s="107"/>
      <c r="Q670" s="107"/>
    </row>
    <row r="671" ht="15.75" customHeight="1">
      <c r="A671" s="107"/>
      <c r="B671" s="107"/>
      <c r="C671" s="107"/>
      <c r="D671" s="107"/>
      <c r="E671" s="107"/>
      <c r="F671" s="107"/>
      <c r="G671" s="107"/>
      <c r="H671" s="107"/>
      <c r="I671" s="107"/>
      <c r="J671" s="107"/>
      <c r="K671" s="107"/>
      <c r="L671" s="107"/>
      <c r="M671" s="107"/>
      <c r="N671" s="107"/>
      <c r="O671" s="107"/>
      <c r="P671" s="107"/>
      <c r="Q671" s="107"/>
    </row>
    <row r="672" ht="15.75" customHeight="1">
      <c r="A672" s="107"/>
      <c r="B672" s="107"/>
      <c r="C672" s="107"/>
      <c r="D672" s="107"/>
      <c r="E672" s="107"/>
      <c r="F672" s="107"/>
      <c r="G672" s="107"/>
      <c r="H672" s="107"/>
      <c r="I672" s="107"/>
      <c r="J672" s="107"/>
      <c r="K672" s="107"/>
      <c r="L672" s="107"/>
      <c r="M672" s="107"/>
      <c r="N672" s="107"/>
      <c r="O672" s="107"/>
      <c r="P672" s="107"/>
      <c r="Q672" s="107"/>
    </row>
    <row r="673" ht="15.75" customHeight="1">
      <c r="A673" s="107"/>
      <c r="B673" s="107"/>
      <c r="C673" s="107"/>
      <c r="D673" s="107"/>
      <c r="E673" s="107"/>
      <c r="F673" s="107"/>
      <c r="G673" s="107"/>
      <c r="H673" s="107"/>
      <c r="I673" s="107"/>
      <c r="J673" s="107"/>
      <c r="K673" s="107"/>
      <c r="L673" s="107"/>
      <c r="M673" s="107"/>
      <c r="N673" s="107"/>
      <c r="O673" s="107"/>
      <c r="P673" s="107"/>
      <c r="Q673" s="107"/>
    </row>
    <row r="674" ht="15.75" customHeight="1">
      <c r="A674" s="107"/>
      <c r="B674" s="107"/>
      <c r="C674" s="107"/>
      <c r="D674" s="107"/>
      <c r="E674" s="107"/>
      <c r="F674" s="107"/>
      <c r="G674" s="107"/>
      <c r="H674" s="107"/>
      <c r="I674" s="107"/>
      <c r="J674" s="107"/>
      <c r="K674" s="107"/>
      <c r="L674" s="107"/>
      <c r="M674" s="107"/>
      <c r="N674" s="107"/>
      <c r="O674" s="107"/>
      <c r="P674" s="107"/>
      <c r="Q674" s="107"/>
    </row>
    <row r="675" ht="15.75" customHeight="1">
      <c r="A675" s="107"/>
      <c r="B675" s="107"/>
      <c r="C675" s="107"/>
      <c r="D675" s="107"/>
      <c r="E675" s="107"/>
      <c r="F675" s="107"/>
      <c r="G675" s="107"/>
      <c r="H675" s="107"/>
      <c r="I675" s="107"/>
      <c r="J675" s="107"/>
      <c r="K675" s="107"/>
      <c r="L675" s="107"/>
      <c r="M675" s="107"/>
      <c r="N675" s="107"/>
      <c r="O675" s="107"/>
      <c r="P675" s="107"/>
      <c r="Q675" s="107"/>
    </row>
    <row r="676" ht="15.75" customHeight="1">
      <c r="A676" s="107"/>
      <c r="B676" s="107"/>
      <c r="C676" s="107"/>
      <c r="D676" s="107"/>
      <c r="E676" s="107"/>
      <c r="F676" s="107"/>
      <c r="G676" s="107"/>
      <c r="H676" s="107"/>
      <c r="I676" s="107"/>
      <c r="J676" s="107"/>
      <c r="K676" s="107"/>
      <c r="L676" s="107"/>
      <c r="M676" s="107"/>
      <c r="N676" s="107"/>
      <c r="O676" s="107"/>
      <c r="P676" s="107"/>
      <c r="Q676" s="107"/>
    </row>
    <row r="677" ht="15.75" customHeight="1">
      <c r="A677" s="107"/>
      <c r="B677" s="107"/>
      <c r="C677" s="107"/>
      <c r="D677" s="107"/>
      <c r="E677" s="107"/>
      <c r="F677" s="107"/>
      <c r="G677" s="107"/>
      <c r="H677" s="107"/>
      <c r="I677" s="107"/>
      <c r="J677" s="107"/>
      <c r="K677" s="107"/>
      <c r="L677" s="107"/>
      <c r="M677" s="107"/>
      <c r="N677" s="107"/>
      <c r="O677" s="107"/>
      <c r="P677" s="107"/>
      <c r="Q677" s="107"/>
    </row>
    <row r="678" ht="15.75" customHeight="1">
      <c r="A678" s="107"/>
      <c r="B678" s="107"/>
      <c r="C678" s="107"/>
      <c r="D678" s="107"/>
      <c r="E678" s="107"/>
      <c r="F678" s="107"/>
      <c r="G678" s="107"/>
      <c r="H678" s="107"/>
      <c r="I678" s="107"/>
      <c r="J678" s="107"/>
      <c r="K678" s="107"/>
      <c r="L678" s="107"/>
      <c r="M678" s="107"/>
      <c r="N678" s="107"/>
      <c r="O678" s="107"/>
      <c r="P678" s="107"/>
      <c r="Q678" s="107"/>
    </row>
    <row r="679" ht="15.75" customHeight="1">
      <c r="A679" s="107"/>
      <c r="B679" s="107"/>
      <c r="C679" s="107"/>
      <c r="D679" s="107"/>
      <c r="E679" s="107"/>
      <c r="F679" s="107"/>
      <c r="G679" s="107"/>
      <c r="H679" s="107"/>
      <c r="I679" s="107"/>
      <c r="J679" s="107"/>
      <c r="K679" s="107"/>
      <c r="L679" s="107"/>
      <c r="M679" s="107"/>
      <c r="N679" s="107"/>
      <c r="O679" s="107"/>
      <c r="P679" s="107"/>
      <c r="Q679" s="107"/>
    </row>
    <row r="680" ht="15.75" customHeight="1">
      <c r="A680" s="107"/>
      <c r="B680" s="107"/>
      <c r="C680" s="107"/>
      <c r="D680" s="107"/>
      <c r="E680" s="107"/>
      <c r="F680" s="107"/>
      <c r="G680" s="107"/>
      <c r="H680" s="107"/>
      <c r="I680" s="107"/>
      <c r="J680" s="107"/>
      <c r="K680" s="107"/>
      <c r="L680" s="107"/>
      <c r="M680" s="107"/>
      <c r="N680" s="107"/>
      <c r="O680" s="107"/>
      <c r="P680" s="107"/>
      <c r="Q680" s="107"/>
    </row>
    <row r="681" ht="15.75" customHeight="1">
      <c r="A681" s="107"/>
      <c r="B681" s="107"/>
      <c r="C681" s="107"/>
      <c r="D681" s="107"/>
      <c r="E681" s="107"/>
      <c r="F681" s="107"/>
      <c r="G681" s="107"/>
      <c r="H681" s="107"/>
      <c r="I681" s="107"/>
      <c r="J681" s="107"/>
      <c r="K681" s="107"/>
      <c r="L681" s="107"/>
      <c r="M681" s="107"/>
      <c r="N681" s="107"/>
      <c r="O681" s="107"/>
      <c r="P681" s="107"/>
      <c r="Q681" s="107"/>
    </row>
    <row r="682" ht="15.75" customHeight="1">
      <c r="A682" s="107"/>
      <c r="B682" s="107"/>
      <c r="C682" s="107"/>
      <c r="D682" s="107"/>
      <c r="E682" s="107"/>
      <c r="F682" s="107"/>
      <c r="G682" s="107"/>
      <c r="H682" s="107"/>
      <c r="I682" s="107"/>
      <c r="J682" s="107"/>
      <c r="K682" s="107"/>
      <c r="L682" s="107"/>
      <c r="M682" s="107"/>
      <c r="N682" s="107"/>
      <c r="O682" s="107"/>
      <c r="P682" s="107"/>
      <c r="Q682" s="107"/>
    </row>
    <row r="683" ht="15.75" customHeight="1">
      <c r="A683" s="107"/>
      <c r="B683" s="107"/>
      <c r="C683" s="107"/>
      <c r="D683" s="107"/>
      <c r="E683" s="107"/>
      <c r="F683" s="107"/>
      <c r="G683" s="107"/>
      <c r="H683" s="107"/>
      <c r="I683" s="107"/>
      <c r="J683" s="107"/>
      <c r="K683" s="107"/>
      <c r="L683" s="107"/>
      <c r="M683" s="107"/>
      <c r="N683" s="107"/>
      <c r="O683" s="107"/>
      <c r="P683" s="107"/>
      <c r="Q683" s="107"/>
    </row>
    <row r="684" ht="15.75" customHeight="1">
      <c r="A684" s="107"/>
      <c r="B684" s="107"/>
      <c r="C684" s="107"/>
      <c r="D684" s="107"/>
      <c r="E684" s="107"/>
      <c r="F684" s="107"/>
      <c r="G684" s="107"/>
      <c r="H684" s="107"/>
      <c r="I684" s="107"/>
      <c r="J684" s="107"/>
      <c r="K684" s="107"/>
      <c r="L684" s="107"/>
      <c r="M684" s="107"/>
      <c r="N684" s="107"/>
      <c r="O684" s="107"/>
      <c r="P684" s="107"/>
      <c r="Q684" s="107"/>
    </row>
    <row r="685" ht="15.75" customHeight="1">
      <c r="A685" s="107"/>
      <c r="B685" s="107"/>
      <c r="C685" s="107"/>
      <c r="D685" s="107"/>
      <c r="E685" s="107"/>
      <c r="F685" s="107"/>
      <c r="G685" s="107"/>
      <c r="H685" s="107"/>
      <c r="I685" s="107"/>
      <c r="J685" s="107"/>
      <c r="K685" s="107"/>
      <c r="L685" s="107"/>
      <c r="M685" s="107"/>
      <c r="N685" s="107"/>
      <c r="O685" s="107"/>
      <c r="P685" s="107"/>
      <c r="Q685" s="107"/>
    </row>
    <row r="686" ht="15.75" customHeight="1">
      <c r="A686" s="107"/>
      <c r="B686" s="107"/>
      <c r="C686" s="107"/>
      <c r="D686" s="107"/>
      <c r="E686" s="107"/>
      <c r="F686" s="107"/>
      <c r="G686" s="107"/>
      <c r="H686" s="107"/>
      <c r="I686" s="107"/>
      <c r="J686" s="107"/>
      <c r="K686" s="107"/>
      <c r="L686" s="107"/>
      <c r="M686" s="107"/>
      <c r="N686" s="107"/>
      <c r="O686" s="107"/>
      <c r="P686" s="107"/>
      <c r="Q686" s="107"/>
    </row>
    <row r="687" ht="15.75" customHeight="1">
      <c r="A687" s="107"/>
      <c r="B687" s="107"/>
      <c r="C687" s="107"/>
      <c r="D687" s="107"/>
      <c r="E687" s="107"/>
      <c r="F687" s="107"/>
      <c r="G687" s="107"/>
      <c r="H687" s="107"/>
      <c r="I687" s="107"/>
      <c r="J687" s="107"/>
      <c r="K687" s="107"/>
      <c r="L687" s="107"/>
      <c r="M687" s="107"/>
      <c r="N687" s="107"/>
      <c r="O687" s="107"/>
      <c r="P687" s="107"/>
      <c r="Q687" s="107"/>
    </row>
    <row r="688" ht="15.75" customHeight="1">
      <c r="A688" s="107"/>
      <c r="B688" s="107"/>
      <c r="C688" s="107"/>
      <c r="D688" s="107"/>
      <c r="E688" s="107"/>
      <c r="F688" s="107"/>
      <c r="G688" s="107"/>
      <c r="H688" s="107"/>
      <c r="I688" s="107"/>
      <c r="J688" s="107"/>
      <c r="K688" s="107"/>
      <c r="L688" s="107"/>
      <c r="M688" s="107"/>
      <c r="N688" s="107"/>
      <c r="O688" s="107"/>
      <c r="P688" s="107"/>
      <c r="Q688" s="107"/>
    </row>
    <row r="689" ht="15.75" customHeight="1">
      <c r="A689" s="107"/>
      <c r="B689" s="107"/>
      <c r="C689" s="107"/>
      <c r="D689" s="107"/>
      <c r="E689" s="107"/>
      <c r="F689" s="107"/>
      <c r="G689" s="107"/>
      <c r="H689" s="107"/>
      <c r="I689" s="107"/>
      <c r="J689" s="107"/>
      <c r="K689" s="107"/>
      <c r="L689" s="107"/>
      <c r="M689" s="107"/>
      <c r="N689" s="107"/>
      <c r="O689" s="107"/>
      <c r="P689" s="107"/>
      <c r="Q689" s="107"/>
    </row>
    <row r="690" ht="15.75" customHeight="1">
      <c r="A690" s="107"/>
      <c r="B690" s="107"/>
      <c r="C690" s="107"/>
      <c r="D690" s="107"/>
      <c r="E690" s="107"/>
      <c r="F690" s="107"/>
      <c r="G690" s="107"/>
      <c r="H690" s="107"/>
      <c r="I690" s="107"/>
      <c r="J690" s="107"/>
      <c r="K690" s="107"/>
      <c r="L690" s="107"/>
      <c r="M690" s="107"/>
      <c r="N690" s="107"/>
      <c r="O690" s="107"/>
      <c r="P690" s="107"/>
      <c r="Q690" s="107"/>
    </row>
    <row r="691" ht="15.75" customHeight="1">
      <c r="A691" s="107"/>
      <c r="B691" s="107"/>
      <c r="C691" s="107"/>
      <c r="D691" s="107"/>
      <c r="E691" s="107"/>
      <c r="F691" s="107"/>
      <c r="G691" s="107"/>
      <c r="H691" s="107"/>
      <c r="I691" s="107"/>
      <c r="J691" s="107"/>
      <c r="K691" s="107"/>
      <c r="L691" s="107"/>
      <c r="M691" s="107"/>
      <c r="N691" s="107"/>
      <c r="O691" s="107"/>
      <c r="P691" s="107"/>
      <c r="Q691" s="107"/>
    </row>
    <row r="692" ht="15.75" customHeight="1">
      <c r="A692" s="107"/>
      <c r="B692" s="107"/>
      <c r="C692" s="107"/>
      <c r="D692" s="107"/>
      <c r="E692" s="107"/>
      <c r="F692" s="107"/>
      <c r="G692" s="107"/>
      <c r="H692" s="107"/>
      <c r="I692" s="107"/>
      <c r="J692" s="107"/>
      <c r="K692" s="107"/>
      <c r="L692" s="107"/>
      <c r="M692" s="107"/>
      <c r="N692" s="107"/>
      <c r="O692" s="107"/>
      <c r="P692" s="107"/>
      <c r="Q692" s="107"/>
    </row>
    <row r="693" ht="15.75" customHeight="1">
      <c r="A693" s="107"/>
      <c r="B693" s="107"/>
      <c r="C693" s="107"/>
      <c r="D693" s="107"/>
      <c r="E693" s="107"/>
      <c r="F693" s="107"/>
      <c r="G693" s="107"/>
      <c r="H693" s="107"/>
      <c r="I693" s="107"/>
      <c r="J693" s="107"/>
      <c r="K693" s="107"/>
      <c r="L693" s="107"/>
      <c r="M693" s="107"/>
      <c r="N693" s="107"/>
      <c r="O693" s="107"/>
      <c r="P693" s="107"/>
      <c r="Q693" s="107"/>
    </row>
    <row r="694" ht="15.75" customHeight="1">
      <c r="A694" s="107"/>
      <c r="B694" s="107"/>
      <c r="C694" s="107"/>
      <c r="D694" s="107"/>
      <c r="E694" s="107"/>
      <c r="F694" s="107"/>
      <c r="G694" s="107"/>
      <c r="H694" s="107"/>
      <c r="I694" s="107"/>
      <c r="J694" s="107"/>
      <c r="K694" s="107"/>
      <c r="L694" s="107"/>
      <c r="M694" s="107"/>
      <c r="N694" s="107"/>
      <c r="O694" s="107"/>
      <c r="P694" s="107"/>
      <c r="Q694" s="107"/>
    </row>
    <row r="695" ht="15.75" customHeight="1">
      <c r="A695" s="107"/>
      <c r="B695" s="107"/>
      <c r="C695" s="107"/>
      <c r="D695" s="107"/>
      <c r="E695" s="107"/>
      <c r="F695" s="107"/>
      <c r="G695" s="107"/>
      <c r="H695" s="107"/>
      <c r="I695" s="107"/>
      <c r="J695" s="107"/>
      <c r="K695" s="107"/>
      <c r="L695" s="107"/>
      <c r="M695" s="107"/>
      <c r="N695" s="107"/>
      <c r="O695" s="107"/>
      <c r="P695" s="107"/>
      <c r="Q695" s="107"/>
    </row>
    <row r="696" ht="15.75" customHeight="1">
      <c r="A696" s="107"/>
      <c r="B696" s="107"/>
      <c r="C696" s="107"/>
      <c r="D696" s="107"/>
      <c r="E696" s="107"/>
      <c r="F696" s="107"/>
      <c r="G696" s="107"/>
      <c r="H696" s="107"/>
      <c r="I696" s="107"/>
      <c r="J696" s="107"/>
      <c r="K696" s="107"/>
      <c r="L696" s="107"/>
      <c r="M696" s="107"/>
      <c r="N696" s="107"/>
      <c r="O696" s="107"/>
      <c r="P696" s="107"/>
      <c r="Q696" s="107"/>
    </row>
    <row r="697" ht="15.75" customHeight="1">
      <c r="A697" s="107"/>
      <c r="B697" s="107"/>
      <c r="C697" s="107"/>
      <c r="D697" s="107"/>
      <c r="E697" s="107"/>
      <c r="F697" s="107"/>
      <c r="G697" s="107"/>
      <c r="H697" s="107"/>
      <c r="I697" s="107"/>
      <c r="J697" s="107"/>
      <c r="K697" s="107"/>
      <c r="L697" s="107"/>
      <c r="M697" s="107"/>
      <c r="N697" s="107"/>
      <c r="O697" s="107"/>
      <c r="P697" s="107"/>
      <c r="Q697" s="107"/>
    </row>
    <row r="698" ht="15.75" customHeight="1">
      <c r="A698" s="107"/>
      <c r="B698" s="107"/>
      <c r="C698" s="107"/>
      <c r="D698" s="107"/>
      <c r="E698" s="107"/>
      <c r="F698" s="107"/>
      <c r="G698" s="107"/>
      <c r="H698" s="107"/>
      <c r="I698" s="107"/>
      <c r="J698" s="107"/>
      <c r="K698" s="107"/>
      <c r="L698" s="107"/>
      <c r="M698" s="107"/>
      <c r="N698" s="107"/>
      <c r="O698" s="107"/>
      <c r="P698" s="107"/>
      <c r="Q698" s="107"/>
    </row>
    <row r="699" ht="15.75" customHeight="1">
      <c r="A699" s="107"/>
      <c r="B699" s="107"/>
      <c r="C699" s="107"/>
      <c r="D699" s="107"/>
      <c r="E699" s="107"/>
      <c r="F699" s="107"/>
      <c r="G699" s="107"/>
      <c r="H699" s="107"/>
      <c r="I699" s="107"/>
      <c r="J699" s="107"/>
      <c r="K699" s="107"/>
      <c r="L699" s="107"/>
      <c r="M699" s="107"/>
      <c r="N699" s="107"/>
      <c r="O699" s="107"/>
      <c r="P699" s="107"/>
      <c r="Q699" s="107"/>
    </row>
    <row r="700" ht="15.75" customHeight="1">
      <c r="A700" s="107"/>
      <c r="B700" s="107"/>
      <c r="C700" s="107"/>
      <c r="D700" s="107"/>
      <c r="E700" s="107"/>
      <c r="F700" s="107"/>
      <c r="G700" s="107"/>
      <c r="H700" s="107"/>
      <c r="I700" s="107"/>
      <c r="J700" s="107"/>
      <c r="K700" s="107"/>
      <c r="L700" s="107"/>
      <c r="M700" s="107"/>
      <c r="N700" s="107"/>
      <c r="O700" s="107"/>
      <c r="P700" s="107"/>
      <c r="Q700" s="107"/>
    </row>
    <row r="701" ht="15.75" customHeight="1">
      <c r="A701" s="107"/>
      <c r="B701" s="107"/>
      <c r="C701" s="107"/>
      <c r="D701" s="107"/>
      <c r="E701" s="107"/>
      <c r="F701" s="107"/>
      <c r="G701" s="107"/>
      <c r="H701" s="107"/>
      <c r="I701" s="107"/>
      <c r="J701" s="107"/>
      <c r="K701" s="107"/>
      <c r="L701" s="107"/>
      <c r="M701" s="107"/>
      <c r="N701" s="107"/>
      <c r="O701" s="107"/>
      <c r="P701" s="107"/>
      <c r="Q701" s="107"/>
    </row>
    <row r="702" ht="15.75" customHeight="1">
      <c r="A702" s="107"/>
      <c r="B702" s="107"/>
      <c r="C702" s="107"/>
      <c r="D702" s="107"/>
      <c r="E702" s="107"/>
      <c r="F702" s="107"/>
      <c r="G702" s="107"/>
      <c r="H702" s="107"/>
      <c r="I702" s="107"/>
      <c r="J702" s="107"/>
      <c r="K702" s="107"/>
      <c r="L702" s="107"/>
      <c r="M702" s="107"/>
      <c r="N702" s="107"/>
      <c r="O702" s="107"/>
      <c r="P702" s="107"/>
      <c r="Q702" s="107"/>
    </row>
    <row r="703" ht="15.75" customHeight="1">
      <c r="A703" s="107"/>
      <c r="B703" s="107"/>
      <c r="C703" s="107"/>
      <c r="D703" s="107"/>
      <c r="E703" s="107"/>
      <c r="F703" s="107"/>
      <c r="G703" s="107"/>
      <c r="H703" s="107"/>
      <c r="I703" s="107"/>
      <c r="J703" s="107"/>
      <c r="K703" s="107"/>
      <c r="L703" s="107"/>
      <c r="M703" s="107"/>
      <c r="N703" s="107"/>
      <c r="O703" s="107"/>
      <c r="P703" s="107"/>
      <c r="Q703" s="107"/>
    </row>
    <row r="704" ht="15.75" customHeight="1">
      <c r="A704" s="107"/>
      <c r="B704" s="107"/>
      <c r="C704" s="107"/>
      <c r="D704" s="107"/>
      <c r="E704" s="107"/>
      <c r="F704" s="107"/>
      <c r="G704" s="107"/>
      <c r="H704" s="107"/>
      <c r="I704" s="107"/>
      <c r="J704" s="107"/>
      <c r="K704" s="107"/>
      <c r="L704" s="107"/>
      <c r="M704" s="107"/>
      <c r="N704" s="107"/>
      <c r="O704" s="107"/>
      <c r="P704" s="107"/>
      <c r="Q704" s="107"/>
    </row>
    <row r="705" ht="15.75" customHeight="1">
      <c r="A705" s="107"/>
      <c r="B705" s="107"/>
      <c r="C705" s="107"/>
      <c r="D705" s="107"/>
      <c r="E705" s="107"/>
      <c r="F705" s="107"/>
      <c r="G705" s="107"/>
      <c r="H705" s="107"/>
      <c r="I705" s="107"/>
      <c r="J705" s="107"/>
      <c r="K705" s="107"/>
      <c r="L705" s="107"/>
      <c r="M705" s="107"/>
      <c r="N705" s="107"/>
      <c r="O705" s="107"/>
      <c r="P705" s="107"/>
      <c r="Q705" s="107"/>
    </row>
    <row r="706" ht="15.75" customHeight="1">
      <c r="A706" s="107"/>
      <c r="B706" s="107"/>
      <c r="C706" s="107"/>
      <c r="D706" s="107"/>
      <c r="E706" s="107"/>
      <c r="F706" s="107"/>
      <c r="G706" s="107"/>
      <c r="H706" s="107"/>
      <c r="I706" s="107"/>
      <c r="J706" s="107"/>
      <c r="K706" s="107"/>
      <c r="L706" s="107"/>
      <c r="M706" s="107"/>
      <c r="N706" s="107"/>
      <c r="O706" s="107"/>
      <c r="P706" s="107"/>
      <c r="Q706" s="107"/>
    </row>
    <row r="707" ht="15.75" customHeight="1">
      <c r="A707" s="107"/>
      <c r="B707" s="107"/>
      <c r="C707" s="107"/>
      <c r="D707" s="107"/>
      <c r="E707" s="107"/>
      <c r="F707" s="107"/>
      <c r="G707" s="107"/>
      <c r="H707" s="107"/>
      <c r="I707" s="107"/>
      <c r="J707" s="107"/>
      <c r="K707" s="107"/>
      <c r="L707" s="107"/>
      <c r="M707" s="107"/>
      <c r="N707" s="107"/>
      <c r="O707" s="107"/>
      <c r="P707" s="107"/>
      <c r="Q707" s="107"/>
    </row>
    <row r="708" ht="15.75" customHeight="1">
      <c r="A708" s="107"/>
      <c r="B708" s="107"/>
      <c r="C708" s="107"/>
      <c r="D708" s="107"/>
      <c r="E708" s="107"/>
      <c r="F708" s="107"/>
      <c r="G708" s="107"/>
      <c r="H708" s="107"/>
      <c r="I708" s="107"/>
      <c r="J708" s="107"/>
      <c r="K708" s="107"/>
      <c r="L708" s="107"/>
      <c r="M708" s="107"/>
      <c r="N708" s="107"/>
      <c r="O708" s="107"/>
      <c r="P708" s="107"/>
      <c r="Q708" s="107"/>
    </row>
    <row r="709" ht="15.75" customHeight="1">
      <c r="A709" s="107"/>
      <c r="B709" s="107"/>
      <c r="C709" s="107"/>
      <c r="D709" s="107"/>
      <c r="E709" s="107"/>
      <c r="F709" s="107"/>
      <c r="G709" s="107"/>
      <c r="H709" s="107"/>
      <c r="I709" s="107"/>
      <c r="J709" s="107"/>
      <c r="K709" s="107"/>
      <c r="L709" s="107"/>
      <c r="M709" s="107"/>
      <c r="N709" s="107"/>
      <c r="O709" s="107"/>
      <c r="P709" s="107"/>
      <c r="Q709" s="107"/>
    </row>
    <row r="710" ht="15.75" customHeight="1">
      <c r="A710" s="107"/>
      <c r="B710" s="107"/>
      <c r="C710" s="107"/>
      <c r="D710" s="107"/>
      <c r="E710" s="107"/>
      <c r="F710" s="107"/>
      <c r="G710" s="107"/>
      <c r="H710" s="107"/>
      <c r="I710" s="107"/>
      <c r="J710" s="107"/>
      <c r="K710" s="107"/>
      <c r="L710" s="107"/>
      <c r="M710" s="107"/>
      <c r="N710" s="107"/>
      <c r="O710" s="107"/>
      <c r="P710" s="107"/>
      <c r="Q710" s="107"/>
    </row>
    <row r="711" ht="15.75" customHeight="1">
      <c r="A711" s="107"/>
      <c r="B711" s="107"/>
      <c r="C711" s="107"/>
      <c r="D711" s="107"/>
      <c r="E711" s="107"/>
      <c r="F711" s="107"/>
      <c r="G711" s="107"/>
      <c r="H711" s="107"/>
      <c r="I711" s="107"/>
      <c r="J711" s="107"/>
      <c r="K711" s="107"/>
      <c r="L711" s="107"/>
      <c r="M711" s="107"/>
      <c r="N711" s="107"/>
      <c r="O711" s="107"/>
      <c r="P711" s="107"/>
      <c r="Q711" s="107"/>
    </row>
    <row r="712" ht="15.75" customHeight="1">
      <c r="A712" s="107"/>
      <c r="B712" s="107"/>
      <c r="C712" s="107"/>
      <c r="D712" s="107"/>
      <c r="E712" s="107"/>
      <c r="F712" s="107"/>
      <c r="G712" s="107"/>
      <c r="H712" s="107"/>
      <c r="I712" s="107"/>
      <c r="J712" s="107"/>
      <c r="K712" s="107"/>
      <c r="L712" s="107"/>
      <c r="M712" s="107"/>
      <c r="N712" s="107"/>
      <c r="O712" s="107"/>
      <c r="P712" s="107"/>
      <c r="Q712" s="107"/>
    </row>
    <row r="713" ht="15.75" customHeight="1">
      <c r="A713" s="107"/>
      <c r="B713" s="107"/>
      <c r="C713" s="107"/>
      <c r="D713" s="107"/>
      <c r="E713" s="107"/>
      <c r="F713" s="107"/>
      <c r="G713" s="107"/>
      <c r="H713" s="107"/>
      <c r="I713" s="107"/>
      <c r="J713" s="107"/>
      <c r="K713" s="107"/>
      <c r="L713" s="107"/>
      <c r="M713" s="107"/>
      <c r="N713" s="107"/>
      <c r="O713" s="107"/>
      <c r="P713" s="107"/>
      <c r="Q713" s="107"/>
    </row>
    <row r="714" ht="15.75" customHeight="1">
      <c r="A714" s="107"/>
      <c r="B714" s="107"/>
      <c r="C714" s="107"/>
      <c r="D714" s="107"/>
      <c r="E714" s="107"/>
      <c r="F714" s="107"/>
      <c r="G714" s="107"/>
      <c r="H714" s="107"/>
      <c r="I714" s="107"/>
      <c r="J714" s="107"/>
      <c r="K714" s="107"/>
      <c r="L714" s="107"/>
      <c r="M714" s="107"/>
      <c r="N714" s="107"/>
      <c r="O714" s="107"/>
      <c r="P714" s="107"/>
      <c r="Q714" s="107"/>
    </row>
    <row r="715" ht="15.75" customHeight="1">
      <c r="A715" s="107"/>
      <c r="B715" s="107"/>
      <c r="C715" s="107"/>
      <c r="D715" s="107"/>
      <c r="E715" s="107"/>
      <c r="F715" s="107"/>
      <c r="G715" s="107"/>
      <c r="H715" s="107"/>
      <c r="I715" s="107"/>
      <c r="J715" s="107"/>
      <c r="K715" s="107"/>
      <c r="L715" s="107"/>
      <c r="M715" s="107"/>
      <c r="N715" s="107"/>
      <c r="O715" s="107"/>
      <c r="P715" s="107"/>
      <c r="Q715" s="107"/>
    </row>
    <row r="716" ht="15.75" customHeight="1">
      <c r="A716" s="107"/>
      <c r="B716" s="107"/>
      <c r="C716" s="107"/>
      <c r="D716" s="107"/>
      <c r="E716" s="107"/>
      <c r="F716" s="107"/>
      <c r="G716" s="107"/>
      <c r="H716" s="107"/>
      <c r="I716" s="107"/>
      <c r="J716" s="107"/>
      <c r="K716" s="107"/>
      <c r="L716" s="107"/>
      <c r="M716" s="107"/>
      <c r="N716" s="107"/>
      <c r="O716" s="107"/>
      <c r="P716" s="107"/>
      <c r="Q716" s="107"/>
    </row>
    <row r="717" ht="15.75" customHeight="1">
      <c r="A717" s="107"/>
      <c r="B717" s="107"/>
      <c r="C717" s="107"/>
      <c r="D717" s="107"/>
      <c r="E717" s="107"/>
      <c r="F717" s="107"/>
      <c r="G717" s="107"/>
      <c r="H717" s="107"/>
      <c r="I717" s="107"/>
      <c r="J717" s="107"/>
      <c r="K717" s="107"/>
      <c r="L717" s="107"/>
      <c r="M717" s="107"/>
      <c r="N717" s="107"/>
      <c r="O717" s="107"/>
      <c r="P717" s="107"/>
      <c r="Q717" s="107"/>
    </row>
    <row r="718" ht="15.75" customHeight="1">
      <c r="A718" s="107"/>
      <c r="B718" s="107"/>
      <c r="C718" s="107"/>
      <c r="D718" s="107"/>
      <c r="E718" s="107"/>
      <c r="F718" s="107"/>
      <c r="G718" s="107"/>
      <c r="H718" s="107"/>
      <c r="I718" s="107"/>
      <c r="J718" s="107"/>
      <c r="K718" s="107"/>
      <c r="L718" s="107"/>
      <c r="M718" s="107"/>
      <c r="N718" s="107"/>
      <c r="O718" s="107"/>
      <c r="P718" s="107"/>
      <c r="Q718" s="107"/>
    </row>
    <row r="719" ht="15.75" customHeight="1">
      <c r="A719" s="107"/>
      <c r="B719" s="107"/>
      <c r="C719" s="107"/>
      <c r="D719" s="107"/>
      <c r="E719" s="107"/>
      <c r="F719" s="107"/>
      <c r="G719" s="107"/>
      <c r="H719" s="107"/>
      <c r="I719" s="107"/>
      <c r="J719" s="107"/>
      <c r="K719" s="107"/>
      <c r="L719" s="107"/>
      <c r="M719" s="107"/>
      <c r="N719" s="107"/>
      <c r="O719" s="107"/>
      <c r="P719" s="107"/>
      <c r="Q719" s="107"/>
    </row>
    <row r="720" ht="15.75" customHeight="1">
      <c r="A720" s="107"/>
      <c r="B720" s="107"/>
      <c r="C720" s="107"/>
      <c r="D720" s="107"/>
      <c r="E720" s="107"/>
      <c r="F720" s="107"/>
      <c r="G720" s="107"/>
      <c r="H720" s="107"/>
      <c r="I720" s="107"/>
      <c r="J720" s="107"/>
      <c r="K720" s="107"/>
      <c r="L720" s="107"/>
      <c r="M720" s="107"/>
      <c r="N720" s="107"/>
      <c r="O720" s="107"/>
      <c r="P720" s="107"/>
      <c r="Q720" s="107"/>
    </row>
    <row r="721" ht="15.75" customHeight="1">
      <c r="A721" s="107"/>
      <c r="B721" s="107"/>
      <c r="C721" s="107"/>
      <c r="D721" s="107"/>
      <c r="E721" s="107"/>
      <c r="F721" s="107"/>
      <c r="G721" s="107"/>
      <c r="H721" s="107"/>
      <c r="I721" s="107"/>
      <c r="J721" s="107"/>
      <c r="K721" s="107"/>
      <c r="L721" s="107"/>
      <c r="M721" s="107"/>
      <c r="N721" s="107"/>
      <c r="O721" s="107"/>
      <c r="P721" s="107"/>
      <c r="Q721" s="107"/>
    </row>
    <row r="722" ht="15.75" customHeight="1">
      <c r="A722" s="107"/>
      <c r="B722" s="107"/>
      <c r="C722" s="107"/>
      <c r="D722" s="107"/>
      <c r="E722" s="107"/>
      <c r="F722" s="107"/>
      <c r="G722" s="107"/>
      <c r="H722" s="107"/>
      <c r="I722" s="107"/>
      <c r="J722" s="107"/>
      <c r="K722" s="107"/>
      <c r="L722" s="107"/>
      <c r="M722" s="107"/>
      <c r="N722" s="107"/>
      <c r="O722" s="107"/>
      <c r="P722" s="107"/>
      <c r="Q722" s="107"/>
    </row>
    <row r="723" ht="15.75" customHeight="1">
      <c r="A723" s="107"/>
      <c r="B723" s="107"/>
      <c r="C723" s="107"/>
      <c r="D723" s="107"/>
      <c r="E723" s="107"/>
      <c r="F723" s="107"/>
      <c r="G723" s="107"/>
      <c r="H723" s="107"/>
      <c r="I723" s="107"/>
      <c r="J723" s="107"/>
      <c r="K723" s="107"/>
      <c r="L723" s="107"/>
      <c r="M723" s="107"/>
      <c r="N723" s="107"/>
      <c r="O723" s="107"/>
      <c r="P723" s="107"/>
      <c r="Q723" s="107"/>
    </row>
    <row r="724" ht="15.75" customHeight="1">
      <c r="A724" s="107"/>
      <c r="B724" s="107"/>
      <c r="C724" s="107"/>
      <c r="D724" s="107"/>
      <c r="E724" s="107"/>
      <c r="F724" s="107"/>
      <c r="G724" s="107"/>
      <c r="H724" s="107"/>
      <c r="I724" s="107"/>
      <c r="J724" s="107"/>
      <c r="K724" s="107"/>
      <c r="L724" s="107"/>
      <c r="M724" s="107"/>
      <c r="N724" s="107"/>
      <c r="O724" s="107"/>
      <c r="P724" s="107"/>
      <c r="Q724" s="107"/>
    </row>
    <row r="725" ht="15.75" customHeight="1">
      <c r="A725" s="107"/>
      <c r="B725" s="107"/>
      <c r="C725" s="107"/>
      <c r="D725" s="107"/>
      <c r="E725" s="107"/>
      <c r="F725" s="107"/>
      <c r="G725" s="107"/>
      <c r="H725" s="107"/>
      <c r="I725" s="107"/>
      <c r="J725" s="107"/>
      <c r="K725" s="107"/>
      <c r="L725" s="107"/>
      <c r="M725" s="107"/>
      <c r="N725" s="107"/>
      <c r="O725" s="107"/>
      <c r="P725" s="107"/>
      <c r="Q725" s="107"/>
    </row>
    <row r="726" ht="15.75" customHeight="1">
      <c r="A726" s="107"/>
      <c r="B726" s="107"/>
      <c r="C726" s="107"/>
      <c r="D726" s="107"/>
      <c r="E726" s="107"/>
      <c r="F726" s="107"/>
      <c r="G726" s="107"/>
      <c r="H726" s="107"/>
      <c r="I726" s="107"/>
      <c r="J726" s="107"/>
      <c r="K726" s="107"/>
      <c r="L726" s="107"/>
      <c r="M726" s="107"/>
      <c r="N726" s="107"/>
      <c r="O726" s="107"/>
      <c r="P726" s="107"/>
      <c r="Q726" s="107"/>
    </row>
    <row r="727" ht="15.75" customHeight="1">
      <c r="A727" s="107"/>
      <c r="B727" s="107"/>
      <c r="C727" s="107"/>
      <c r="D727" s="107"/>
      <c r="E727" s="107"/>
      <c r="F727" s="107"/>
      <c r="G727" s="107"/>
      <c r="H727" s="107"/>
      <c r="I727" s="107"/>
      <c r="J727" s="107"/>
      <c r="K727" s="107"/>
      <c r="L727" s="107"/>
      <c r="M727" s="107"/>
      <c r="N727" s="107"/>
      <c r="O727" s="107"/>
      <c r="P727" s="107"/>
      <c r="Q727" s="107"/>
    </row>
    <row r="728" ht="15.75" customHeight="1">
      <c r="A728" s="107"/>
      <c r="B728" s="107"/>
      <c r="C728" s="107"/>
      <c r="D728" s="107"/>
      <c r="E728" s="107"/>
      <c r="F728" s="107"/>
      <c r="G728" s="107"/>
      <c r="H728" s="107"/>
      <c r="I728" s="107"/>
      <c r="J728" s="107"/>
      <c r="K728" s="107"/>
      <c r="L728" s="107"/>
      <c r="M728" s="107"/>
      <c r="N728" s="107"/>
      <c r="O728" s="107"/>
      <c r="P728" s="107"/>
      <c r="Q728" s="107"/>
    </row>
    <row r="729" ht="15.75" customHeight="1">
      <c r="A729" s="107"/>
      <c r="B729" s="107"/>
      <c r="C729" s="107"/>
      <c r="D729" s="107"/>
      <c r="E729" s="107"/>
      <c r="F729" s="107"/>
      <c r="G729" s="107"/>
      <c r="H729" s="107"/>
      <c r="I729" s="107"/>
      <c r="J729" s="107"/>
      <c r="K729" s="107"/>
      <c r="L729" s="107"/>
      <c r="M729" s="107"/>
      <c r="N729" s="107"/>
      <c r="O729" s="107"/>
      <c r="P729" s="107"/>
      <c r="Q729" s="107"/>
    </row>
    <row r="730" ht="15.75" customHeight="1">
      <c r="A730" s="107"/>
      <c r="B730" s="107"/>
      <c r="C730" s="107"/>
      <c r="D730" s="107"/>
      <c r="E730" s="107"/>
      <c r="F730" s="107"/>
      <c r="G730" s="107"/>
      <c r="H730" s="107"/>
      <c r="I730" s="107"/>
      <c r="J730" s="107"/>
      <c r="K730" s="107"/>
      <c r="L730" s="107"/>
      <c r="M730" s="107"/>
      <c r="N730" s="107"/>
      <c r="O730" s="107"/>
      <c r="P730" s="107"/>
      <c r="Q730" s="107"/>
    </row>
    <row r="731" ht="15.75" customHeight="1">
      <c r="A731" s="107"/>
      <c r="B731" s="107"/>
      <c r="C731" s="107"/>
      <c r="D731" s="107"/>
      <c r="E731" s="107"/>
      <c r="F731" s="107"/>
      <c r="G731" s="107"/>
      <c r="H731" s="107"/>
      <c r="I731" s="107"/>
      <c r="J731" s="107"/>
      <c r="K731" s="107"/>
      <c r="L731" s="107"/>
      <c r="M731" s="107"/>
      <c r="N731" s="107"/>
      <c r="O731" s="107"/>
      <c r="P731" s="107"/>
      <c r="Q731" s="107"/>
    </row>
    <row r="732" ht="15.75" customHeight="1">
      <c r="A732" s="107"/>
      <c r="B732" s="107"/>
      <c r="C732" s="107"/>
      <c r="D732" s="107"/>
      <c r="E732" s="107"/>
      <c r="F732" s="107"/>
      <c r="G732" s="107"/>
      <c r="H732" s="107"/>
      <c r="I732" s="107"/>
      <c r="J732" s="107"/>
      <c r="K732" s="107"/>
      <c r="L732" s="107"/>
      <c r="M732" s="107"/>
      <c r="N732" s="107"/>
      <c r="O732" s="107"/>
      <c r="P732" s="107"/>
      <c r="Q732" s="107"/>
    </row>
    <row r="733" ht="15.75" customHeight="1">
      <c r="A733" s="107"/>
      <c r="B733" s="107"/>
      <c r="C733" s="107"/>
      <c r="D733" s="107"/>
      <c r="E733" s="107"/>
      <c r="F733" s="107"/>
      <c r="G733" s="107"/>
      <c r="H733" s="107"/>
      <c r="I733" s="107"/>
      <c r="J733" s="107"/>
      <c r="K733" s="107"/>
      <c r="L733" s="107"/>
      <c r="M733" s="107"/>
      <c r="N733" s="107"/>
      <c r="O733" s="107"/>
      <c r="P733" s="107"/>
      <c r="Q733" s="107"/>
    </row>
    <row r="734" ht="15.75" customHeight="1">
      <c r="A734" s="107"/>
      <c r="B734" s="107"/>
      <c r="C734" s="107"/>
      <c r="D734" s="107"/>
      <c r="E734" s="107"/>
      <c r="F734" s="107"/>
      <c r="G734" s="107"/>
      <c r="H734" s="107"/>
      <c r="I734" s="107"/>
      <c r="J734" s="107"/>
      <c r="K734" s="107"/>
      <c r="L734" s="107"/>
      <c r="M734" s="107"/>
      <c r="N734" s="107"/>
      <c r="O734" s="107"/>
      <c r="P734" s="107"/>
      <c r="Q734" s="107"/>
    </row>
    <row r="735" ht="15.75" customHeight="1">
      <c r="A735" s="107"/>
      <c r="B735" s="107"/>
      <c r="C735" s="107"/>
      <c r="D735" s="107"/>
      <c r="E735" s="107"/>
      <c r="F735" s="107"/>
      <c r="G735" s="107"/>
      <c r="H735" s="107"/>
      <c r="I735" s="107"/>
      <c r="J735" s="107"/>
      <c r="K735" s="107"/>
      <c r="L735" s="107"/>
      <c r="M735" s="107"/>
      <c r="N735" s="107"/>
      <c r="O735" s="107"/>
      <c r="P735" s="107"/>
      <c r="Q735" s="107"/>
    </row>
    <row r="736" ht="15.75" customHeight="1">
      <c r="A736" s="107"/>
      <c r="B736" s="107"/>
      <c r="C736" s="107"/>
      <c r="D736" s="107"/>
      <c r="E736" s="107"/>
      <c r="F736" s="107"/>
      <c r="G736" s="107"/>
      <c r="H736" s="107"/>
      <c r="I736" s="107"/>
      <c r="J736" s="107"/>
      <c r="K736" s="107"/>
      <c r="L736" s="107"/>
      <c r="M736" s="107"/>
      <c r="N736" s="107"/>
      <c r="O736" s="107"/>
      <c r="P736" s="107"/>
      <c r="Q736" s="107"/>
    </row>
    <row r="737" ht="15.75" customHeight="1">
      <c r="A737" s="107"/>
      <c r="B737" s="107"/>
      <c r="C737" s="107"/>
      <c r="D737" s="107"/>
      <c r="E737" s="107"/>
      <c r="F737" s="107"/>
      <c r="G737" s="107"/>
      <c r="H737" s="107"/>
      <c r="I737" s="107"/>
      <c r="J737" s="107"/>
      <c r="K737" s="107"/>
      <c r="L737" s="107"/>
      <c r="M737" s="107"/>
      <c r="N737" s="107"/>
      <c r="O737" s="107"/>
      <c r="P737" s="107"/>
      <c r="Q737" s="107"/>
    </row>
    <row r="738" ht="15.75" customHeight="1">
      <c r="A738" s="107"/>
      <c r="B738" s="107"/>
      <c r="C738" s="107"/>
      <c r="D738" s="107"/>
      <c r="E738" s="107"/>
      <c r="F738" s="107"/>
      <c r="G738" s="107"/>
      <c r="H738" s="107"/>
      <c r="I738" s="107"/>
      <c r="J738" s="107"/>
      <c r="K738" s="107"/>
      <c r="L738" s="107"/>
      <c r="M738" s="107"/>
      <c r="N738" s="107"/>
      <c r="O738" s="107"/>
      <c r="P738" s="107"/>
      <c r="Q738" s="107"/>
    </row>
    <row r="739" ht="15.75" customHeight="1">
      <c r="A739" s="107"/>
      <c r="B739" s="107"/>
      <c r="C739" s="107"/>
      <c r="D739" s="107"/>
      <c r="E739" s="107"/>
      <c r="F739" s="107"/>
      <c r="G739" s="107"/>
      <c r="H739" s="107"/>
      <c r="I739" s="107"/>
      <c r="J739" s="107"/>
      <c r="K739" s="107"/>
      <c r="L739" s="107"/>
      <c r="M739" s="107"/>
      <c r="N739" s="107"/>
      <c r="O739" s="107"/>
      <c r="P739" s="107"/>
      <c r="Q739" s="107"/>
    </row>
    <row r="740" ht="15.75" customHeight="1">
      <c r="A740" s="107"/>
      <c r="B740" s="107"/>
      <c r="C740" s="107"/>
      <c r="D740" s="107"/>
      <c r="E740" s="107"/>
      <c r="F740" s="107"/>
      <c r="G740" s="107"/>
      <c r="H740" s="107"/>
      <c r="I740" s="107"/>
      <c r="J740" s="107"/>
      <c r="K740" s="107"/>
      <c r="L740" s="107"/>
      <c r="M740" s="107"/>
      <c r="N740" s="107"/>
      <c r="O740" s="107"/>
      <c r="P740" s="107"/>
      <c r="Q740" s="107"/>
    </row>
    <row r="741" ht="15.75" customHeight="1">
      <c r="A741" s="107"/>
      <c r="B741" s="107"/>
      <c r="C741" s="107"/>
      <c r="D741" s="107"/>
      <c r="E741" s="107"/>
      <c r="F741" s="107"/>
      <c r="G741" s="107"/>
      <c r="H741" s="107"/>
      <c r="I741" s="107"/>
      <c r="J741" s="107"/>
      <c r="K741" s="107"/>
      <c r="L741" s="107"/>
      <c r="M741" s="107"/>
      <c r="N741" s="107"/>
      <c r="O741" s="107"/>
      <c r="P741" s="107"/>
      <c r="Q741" s="107"/>
    </row>
    <row r="742" ht="15.75" customHeight="1">
      <c r="A742" s="107"/>
      <c r="B742" s="107"/>
      <c r="C742" s="107"/>
      <c r="D742" s="107"/>
      <c r="E742" s="107"/>
      <c r="F742" s="107"/>
      <c r="G742" s="107"/>
      <c r="H742" s="107"/>
      <c r="I742" s="107"/>
      <c r="J742" s="107"/>
      <c r="K742" s="107"/>
      <c r="L742" s="107"/>
      <c r="M742" s="107"/>
      <c r="N742" s="107"/>
      <c r="O742" s="107"/>
      <c r="P742" s="107"/>
      <c r="Q742" s="107"/>
    </row>
    <row r="743" ht="15.75" customHeight="1">
      <c r="A743" s="107"/>
      <c r="B743" s="107"/>
      <c r="C743" s="107"/>
      <c r="D743" s="107"/>
      <c r="E743" s="107"/>
      <c r="F743" s="107"/>
      <c r="G743" s="107"/>
      <c r="H743" s="107"/>
      <c r="I743" s="107"/>
      <c r="J743" s="107"/>
      <c r="K743" s="107"/>
      <c r="L743" s="107"/>
      <c r="M743" s="107"/>
      <c r="N743" s="107"/>
      <c r="O743" s="107"/>
      <c r="P743" s="107"/>
      <c r="Q743" s="107"/>
    </row>
    <row r="744" ht="15.75" customHeight="1">
      <c r="A744" s="107"/>
      <c r="B744" s="107"/>
      <c r="C744" s="107"/>
      <c r="D744" s="107"/>
      <c r="E744" s="107"/>
      <c r="F744" s="107"/>
      <c r="G744" s="107"/>
      <c r="H744" s="107"/>
      <c r="I744" s="107"/>
      <c r="J744" s="107"/>
      <c r="K744" s="107"/>
      <c r="L744" s="107"/>
      <c r="M744" s="107"/>
      <c r="N744" s="107"/>
      <c r="O744" s="107"/>
      <c r="P744" s="107"/>
      <c r="Q744" s="107"/>
    </row>
    <row r="745" ht="15.75" customHeight="1">
      <c r="A745" s="107"/>
      <c r="B745" s="107"/>
      <c r="C745" s="107"/>
      <c r="D745" s="107"/>
      <c r="E745" s="107"/>
      <c r="F745" s="107"/>
      <c r="G745" s="107"/>
      <c r="H745" s="107"/>
      <c r="I745" s="107"/>
      <c r="J745" s="107"/>
      <c r="K745" s="107"/>
      <c r="L745" s="107"/>
      <c r="M745" s="107"/>
      <c r="N745" s="107"/>
      <c r="O745" s="107"/>
      <c r="P745" s="107"/>
      <c r="Q745" s="107"/>
    </row>
    <row r="746" ht="15.75" customHeight="1">
      <c r="A746" s="107"/>
      <c r="B746" s="107"/>
      <c r="C746" s="107"/>
      <c r="D746" s="107"/>
      <c r="E746" s="107"/>
      <c r="F746" s="107"/>
      <c r="G746" s="107"/>
      <c r="H746" s="107"/>
      <c r="I746" s="107"/>
      <c r="J746" s="107"/>
      <c r="K746" s="107"/>
      <c r="L746" s="107"/>
      <c r="M746" s="107"/>
      <c r="N746" s="107"/>
      <c r="O746" s="107"/>
      <c r="P746" s="107"/>
      <c r="Q746" s="107"/>
    </row>
    <row r="747" ht="15.75" customHeight="1">
      <c r="A747" s="107"/>
      <c r="B747" s="107"/>
      <c r="C747" s="107"/>
      <c r="D747" s="107"/>
      <c r="E747" s="107"/>
      <c r="F747" s="107"/>
      <c r="G747" s="107"/>
      <c r="H747" s="107"/>
      <c r="I747" s="107"/>
      <c r="J747" s="107"/>
      <c r="K747" s="107"/>
      <c r="L747" s="107"/>
      <c r="M747" s="107"/>
      <c r="N747" s="107"/>
      <c r="O747" s="107"/>
      <c r="P747" s="107"/>
      <c r="Q747" s="107"/>
    </row>
    <row r="748" ht="15.75" customHeight="1">
      <c r="A748" s="107"/>
      <c r="B748" s="107"/>
      <c r="C748" s="107"/>
      <c r="D748" s="107"/>
      <c r="E748" s="107"/>
      <c r="F748" s="107"/>
      <c r="G748" s="107"/>
      <c r="H748" s="107"/>
      <c r="I748" s="107"/>
      <c r="J748" s="107"/>
      <c r="K748" s="107"/>
      <c r="L748" s="107"/>
      <c r="M748" s="107"/>
      <c r="N748" s="107"/>
      <c r="O748" s="107"/>
      <c r="P748" s="107"/>
      <c r="Q748" s="107"/>
    </row>
    <row r="749" ht="15.75" customHeight="1">
      <c r="A749" s="107"/>
      <c r="B749" s="107"/>
      <c r="C749" s="107"/>
      <c r="D749" s="107"/>
      <c r="E749" s="107"/>
      <c r="F749" s="107"/>
      <c r="G749" s="107"/>
      <c r="H749" s="107"/>
      <c r="I749" s="107"/>
      <c r="J749" s="107"/>
      <c r="K749" s="107"/>
      <c r="L749" s="107"/>
      <c r="M749" s="107"/>
      <c r="N749" s="107"/>
      <c r="O749" s="107"/>
      <c r="P749" s="107"/>
      <c r="Q749" s="107"/>
    </row>
    <row r="750" ht="15.75" customHeight="1">
      <c r="A750" s="107"/>
      <c r="B750" s="107"/>
      <c r="C750" s="107"/>
      <c r="D750" s="107"/>
      <c r="E750" s="107"/>
      <c r="F750" s="107"/>
      <c r="G750" s="107"/>
      <c r="H750" s="107"/>
      <c r="I750" s="107"/>
      <c r="J750" s="107"/>
      <c r="K750" s="107"/>
      <c r="L750" s="107"/>
      <c r="M750" s="107"/>
      <c r="N750" s="107"/>
      <c r="O750" s="107"/>
      <c r="P750" s="107"/>
      <c r="Q750" s="107"/>
    </row>
    <row r="751" ht="15.75" customHeight="1">
      <c r="A751" s="107"/>
      <c r="B751" s="107"/>
      <c r="C751" s="107"/>
      <c r="D751" s="107"/>
      <c r="E751" s="107"/>
      <c r="F751" s="107"/>
      <c r="G751" s="107"/>
      <c r="H751" s="107"/>
      <c r="I751" s="107"/>
      <c r="J751" s="107"/>
      <c r="K751" s="107"/>
      <c r="L751" s="107"/>
      <c r="M751" s="107"/>
      <c r="N751" s="107"/>
      <c r="O751" s="107"/>
      <c r="P751" s="107"/>
      <c r="Q751" s="107"/>
    </row>
    <row r="752" ht="15.75" customHeight="1">
      <c r="A752" s="107"/>
      <c r="B752" s="107"/>
      <c r="C752" s="107"/>
      <c r="D752" s="107"/>
      <c r="E752" s="107"/>
      <c r="F752" s="107"/>
      <c r="G752" s="107"/>
      <c r="H752" s="107"/>
      <c r="I752" s="107"/>
      <c r="J752" s="107"/>
      <c r="K752" s="107"/>
      <c r="L752" s="107"/>
      <c r="M752" s="107"/>
      <c r="N752" s="107"/>
      <c r="O752" s="107"/>
      <c r="P752" s="107"/>
      <c r="Q752" s="107"/>
    </row>
    <row r="753" ht="15.75" customHeight="1">
      <c r="A753" s="107"/>
      <c r="B753" s="107"/>
      <c r="C753" s="107"/>
      <c r="D753" s="107"/>
      <c r="E753" s="107"/>
      <c r="F753" s="107"/>
      <c r="G753" s="107"/>
      <c r="H753" s="107"/>
      <c r="I753" s="107"/>
      <c r="J753" s="107"/>
      <c r="K753" s="107"/>
      <c r="L753" s="107"/>
      <c r="M753" s="107"/>
      <c r="N753" s="107"/>
      <c r="O753" s="107"/>
      <c r="P753" s="107"/>
      <c r="Q753" s="107"/>
    </row>
    <row r="754" ht="15.75" customHeight="1">
      <c r="A754" s="107"/>
      <c r="B754" s="107"/>
      <c r="C754" s="107"/>
      <c r="D754" s="107"/>
      <c r="E754" s="107"/>
      <c r="F754" s="107"/>
      <c r="G754" s="107"/>
      <c r="H754" s="107"/>
      <c r="I754" s="107"/>
      <c r="J754" s="107"/>
      <c r="K754" s="107"/>
      <c r="L754" s="107"/>
      <c r="M754" s="107"/>
      <c r="N754" s="107"/>
      <c r="O754" s="107"/>
      <c r="P754" s="107"/>
      <c r="Q754" s="107"/>
    </row>
    <row r="755" ht="15.75" customHeight="1">
      <c r="A755" s="107"/>
      <c r="B755" s="107"/>
      <c r="C755" s="107"/>
      <c r="D755" s="107"/>
      <c r="E755" s="107"/>
      <c r="F755" s="107"/>
      <c r="G755" s="107"/>
      <c r="H755" s="107"/>
      <c r="I755" s="107"/>
      <c r="J755" s="107"/>
      <c r="K755" s="107"/>
      <c r="L755" s="107"/>
      <c r="M755" s="107"/>
      <c r="N755" s="107"/>
      <c r="O755" s="107"/>
      <c r="P755" s="107"/>
      <c r="Q755" s="107"/>
    </row>
    <row r="756" ht="15.75" customHeight="1">
      <c r="A756" s="107"/>
      <c r="B756" s="107"/>
      <c r="C756" s="107"/>
      <c r="D756" s="107"/>
      <c r="E756" s="107"/>
      <c r="F756" s="107"/>
      <c r="G756" s="107"/>
      <c r="H756" s="107"/>
      <c r="I756" s="107"/>
      <c r="J756" s="107"/>
      <c r="K756" s="107"/>
      <c r="L756" s="107"/>
      <c r="M756" s="107"/>
      <c r="N756" s="107"/>
      <c r="O756" s="107"/>
      <c r="P756" s="107"/>
      <c r="Q756" s="107"/>
    </row>
    <row r="757" ht="15.75" customHeight="1">
      <c r="A757" s="107"/>
      <c r="B757" s="107"/>
      <c r="C757" s="107"/>
      <c r="D757" s="107"/>
      <c r="E757" s="107"/>
      <c r="F757" s="107"/>
      <c r="G757" s="107"/>
      <c r="H757" s="107"/>
      <c r="I757" s="107"/>
      <c r="J757" s="107"/>
      <c r="K757" s="107"/>
      <c r="L757" s="107"/>
      <c r="M757" s="107"/>
      <c r="N757" s="107"/>
      <c r="O757" s="107"/>
      <c r="P757" s="107"/>
      <c r="Q757" s="107"/>
    </row>
    <row r="758" ht="15.75" customHeight="1">
      <c r="A758" s="107"/>
      <c r="B758" s="107"/>
      <c r="C758" s="107"/>
      <c r="D758" s="107"/>
      <c r="E758" s="107"/>
      <c r="F758" s="107"/>
      <c r="G758" s="107"/>
      <c r="H758" s="107"/>
      <c r="I758" s="107"/>
      <c r="J758" s="107"/>
      <c r="K758" s="107"/>
      <c r="L758" s="107"/>
      <c r="M758" s="107"/>
      <c r="N758" s="107"/>
      <c r="O758" s="107"/>
      <c r="P758" s="107"/>
      <c r="Q758" s="107"/>
    </row>
    <row r="759" ht="15.75" customHeight="1">
      <c r="A759" s="107"/>
      <c r="B759" s="107"/>
      <c r="C759" s="107"/>
      <c r="D759" s="107"/>
      <c r="E759" s="107"/>
      <c r="F759" s="107"/>
      <c r="G759" s="107"/>
      <c r="H759" s="107"/>
      <c r="I759" s="107"/>
      <c r="J759" s="107"/>
      <c r="K759" s="107"/>
      <c r="L759" s="107"/>
      <c r="M759" s="107"/>
      <c r="N759" s="107"/>
      <c r="O759" s="107"/>
      <c r="P759" s="107"/>
      <c r="Q759" s="107"/>
    </row>
    <row r="760" ht="15.75" customHeight="1">
      <c r="A760" s="107"/>
      <c r="B760" s="107"/>
      <c r="C760" s="107"/>
      <c r="D760" s="107"/>
      <c r="E760" s="107"/>
      <c r="F760" s="107"/>
      <c r="G760" s="107"/>
      <c r="H760" s="107"/>
      <c r="I760" s="107"/>
      <c r="J760" s="107"/>
      <c r="K760" s="107"/>
      <c r="L760" s="107"/>
      <c r="M760" s="107"/>
      <c r="N760" s="107"/>
      <c r="O760" s="107"/>
      <c r="P760" s="107"/>
      <c r="Q760" s="107"/>
    </row>
    <row r="761" ht="15.75" customHeight="1">
      <c r="A761" s="107"/>
      <c r="B761" s="107"/>
      <c r="C761" s="107"/>
      <c r="D761" s="107"/>
      <c r="E761" s="107"/>
      <c r="F761" s="107"/>
      <c r="G761" s="107"/>
      <c r="H761" s="107"/>
      <c r="I761" s="107"/>
      <c r="J761" s="107"/>
      <c r="K761" s="107"/>
      <c r="L761" s="107"/>
      <c r="M761" s="107"/>
      <c r="N761" s="107"/>
      <c r="O761" s="107"/>
      <c r="P761" s="107"/>
      <c r="Q761" s="107"/>
    </row>
    <row r="762" ht="15.75" customHeight="1">
      <c r="A762" s="107"/>
      <c r="B762" s="107"/>
      <c r="C762" s="107"/>
      <c r="D762" s="107"/>
      <c r="E762" s="107"/>
      <c r="F762" s="107"/>
      <c r="G762" s="107"/>
      <c r="H762" s="107"/>
      <c r="I762" s="107"/>
      <c r="J762" s="107"/>
      <c r="K762" s="107"/>
      <c r="L762" s="107"/>
      <c r="M762" s="107"/>
      <c r="N762" s="107"/>
      <c r="O762" s="107"/>
      <c r="P762" s="107"/>
      <c r="Q762" s="107"/>
    </row>
    <row r="763" ht="15.75" customHeight="1">
      <c r="A763" s="107"/>
      <c r="B763" s="107"/>
      <c r="C763" s="107"/>
      <c r="D763" s="107"/>
      <c r="E763" s="107"/>
      <c r="F763" s="107"/>
      <c r="G763" s="107"/>
      <c r="H763" s="107"/>
      <c r="I763" s="107"/>
      <c r="J763" s="107"/>
      <c r="K763" s="107"/>
      <c r="L763" s="107"/>
      <c r="M763" s="107"/>
      <c r="N763" s="107"/>
      <c r="O763" s="107"/>
      <c r="P763" s="107"/>
      <c r="Q763" s="107"/>
    </row>
    <row r="764" ht="15.75" customHeight="1">
      <c r="A764" s="107"/>
      <c r="B764" s="107"/>
      <c r="C764" s="107"/>
      <c r="D764" s="107"/>
      <c r="E764" s="107"/>
      <c r="F764" s="107"/>
      <c r="G764" s="107"/>
      <c r="H764" s="107"/>
      <c r="I764" s="107"/>
      <c r="J764" s="107"/>
      <c r="K764" s="107"/>
      <c r="L764" s="107"/>
      <c r="M764" s="107"/>
      <c r="N764" s="107"/>
      <c r="O764" s="107"/>
      <c r="P764" s="107"/>
      <c r="Q764" s="107"/>
    </row>
    <row r="765" ht="15.75" customHeight="1">
      <c r="A765" s="107"/>
      <c r="B765" s="107"/>
      <c r="C765" s="107"/>
      <c r="D765" s="107"/>
      <c r="E765" s="107"/>
      <c r="F765" s="107"/>
      <c r="G765" s="107"/>
      <c r="H765" s="107"/>
      <c r="I765" s="107"/>
      <c r="J765" s="107"/>
      <c r="K765" s="107"/>
      <c r="L765" s="107"/>
      <c r="M765" s="107"/>
      <c r="N765" s="107"/>
      <c r="O765" s="107"/>
      <c r="P765" s="107"/>
      <c r="Q765" s="107"/>
    </row>
    <row r="766" ht="15.75" customHeight="1">
      <c r="A766" s="107"/>
      <c r="B766" s="107"/>
      <c r="C766" s="107"/>
      <c r="D766" s="107"/>
      <c r="E766" s="107"/>
      <c r="F766" s="107"/>
      <c r="G766" s="107"/>
      <c r="H766" s="107"/>
      <c r="I766" s="107"/>
      <c r="J766" s="107"/>
      <c r="K766" s="107"/>
      <c r="L766" s="107"/>
      <c r="M766" s="107"/>
      <c r="N766" s="107"/>
      <c r="O766" s="107"/>
      <c r="P766" s="107"/>
      <c r="Q766" s="107"/>
    </row>
    <row r="767" ht="15.75" customHeight="1">
      <c r="A767" s="107"/>
      <c r="B767" s="107"/>
      <c r="C767" s="107"/>
      <c r="D767" s="107"/>
      <c r="E767" s="107"/>
      <c r="F767" s="107"/>
      <c r="G767" s="107"/>
      <c r="H767" s="107"/>
      <c r="I767" s="107"/>
      <c r="J767" s="107"/>
      <c r="K767" s="107"/>
      <c r="L767" s="107"/>
      <c r="M767" s="107"/>
      <c r="N767" s="107"/>
      <c r="O767" s="107"/>
      <c r="P767" s="107"/>
      <c r="Q767" s="107"/>
    </row>
    <row r="768" ht="15.75" customHeight="1">
      <c r="A768" s="107"/>
      <c r="B768" s="107"/>
      <c r="C768" s="107"/>
      <c r="D768" s="107"/>
      <c r="E768" s="107"/>
      <c r="F768" s="107"/>
      <c r="G768" s="107"/>
      <c r="H768" s="107"/>
      <c r="I768" s="107"/>
      <c r="J768" s="107"/>
      <c r="K768" s="107"/>
      <c r="L768" s="107"/>
      <c r="M768" s="107"/>
      <c r="N768" s="107"/>
      <c r="O768" s="107"/>
      <c r="P768" s="107"/>
      <c r="Q768" s="107"/>
    </row>
    <row r="769" ht="15.75" customHeight="1">
      <c r="A769" s="107"/>
      <c r="B769" s="107"/>
      <c r="C769" s="107"/>
      <c r="D769" s="107"/>
      <c r="E769" s="107"/>
      <c r="F769" s="107"/>
      <c r="G769" s="107"/>
      <c r="H769" s="107"/>
      <c r="I769" s="107"/>
      <c r="J769" s="107"/>
      <c r="K769" s="107"/>
      <c r="L769" s="107"/>
      <c r="M769" s="107"/>
      <c r="N769" s="107"/>
      <c r="O769" s="107"/>
      <c r="P769" s="107"/>
      <c r="Q769" s="107"/>
    </row>
    <row r="770" ht="15.75" customHeight="1">
      <c r="A770" s="107"/>
      <c r="B770" s="107"/>
      <c r="C770" s="107"/>
      <c r="D770" s="107"/>
      <c r="E770" s="107"/>
      <c r="F770" s="107"/>
      <c r="G770" s="107"/>
      <c r="H770" s="107"/>
      <c r="I770" s="107"/>
      <c r="J770" s="107"/>
      <c r="K770" s="107"/>
      <c r="L770" s="107"/>
      <c r="M770" s="107"/>
      <c r="N770" s="107"/>
      <c r="O770" s="107"/>
      <c r="P770" s="107"/>
      <c r="Q770" s="107"/>
    </row>
    <row r="771" ht="15.75" customHeight="1">
      <c r="A771" s="107"/>
      <c r="B771" s="107"/>
      <c r="C771" s="107"/>
      <c r="D771" s="107"/>
      <c r="E771" s="107"/>
      <c r="F771" s="107"/>
      <c r="G771" s="107"/>
      <c r="H771" s="107"/>
      <c r="I771" s="107"/>
      <c r="J771" s="107"/>
      <c r="K771" s="107"/>
      <c r="L771" s="107"/>
      <c r="M771" s="107"/>
      <c r="N771" s="107"/>
      <c r="O771" s="107"/>
      <c r="P771" s="107"/>
      <c r="Q771" s="107"/>
    </row>
    <row r="772" ht="15.75" customHeight="1">
      <c r="A772" s="107"/>
      <c r="B772" s="107"/>
      <c r="C772" s="107"/>
      <c r="D772" s="107"/>
      <c r="E772" s="107"/>
      <c r="F772" s="107"/>
      <c r="G772" s="107"/>
      <c r="H772" s="107"/>
      <c r="I772" s="107"/>
      <c r="J772" s="107"/>
      <c r="K772" s="107"/>
      <c r="L772" s="107"/>
      <c r="M772" s="107"/>
      <c r="N772" s="107"/>
      <c r="O772" s="107"/>
      <c r="P772" s="107"/>
      <c r="Q772" s="107"/>
    </row>
    <row r="773" ht="15.75" customHeight="1">
      <c r="A773" s="107"/>
      <c r="B773" s="107"/>
      <c r="C773" s="107"/>
      <c r="D773" s="107"/>
      <c r="E773" s="107"/>
      <c r="F773" s="107"/>
      <c r="G773" s="107"/>
      <c r="H773" s="107"/>
      <c r="I773" s="107"/>
      <c r="J773" s="107"/>
      <c r="K773" s="107"/>
      <c r="L773" s="107"/>
      <c r="M773" s="107"/>
      <c r="N773" s="107"/>
      <c r="O773" s="107"/>
      <c r="P773" s="107"/>
      <c r="Q773" s="107"/>
    </row>
    <row r="774" ht="15.75" customHeight="1">
      <c r="A774" s="107"/>
      <c r="B774" s="107"/>
      <c r="C774" s="107"/>
      <c r="D774" s="107"/>
      <c r="E774" s="107"/>
      <c r="F774" s="107"/>
      <c r="G774" s="107"/>
      <c r="H774" s="107"/>
      <c r="I774" s="107"/>
      <c r="J774" s="107"/>
      <c r="K774" s="107"/>
      <c r="L774" s="107"/>
      <c r="M774" s="107"/>
      <c r="N774" s="107"/>
      <c r="O774" s="107"/>
      <c r="P774" s="107"/>
      <c r="Q774" s="107"/>
    </row>
    <row r="775" ht="15.75" customHeight="1">
      <c r="A775" s="107"/>
      <c r="B775" s="107"/>
      <c r="C775" s="107"/>
      <c r="D775" s="107"/>
      <c r="E775" s="107"/>
      <c r="F775" s="107"/>
      <c r="G775" s="107"/>
      <c r="H775" s="107"/>
      <c r="I775" s="107"/>
      <c r="J775" s="107"/>
      <c r="K775" s="107"/>
      <c r="L775" s="107"/>
      <c r="M775" s="107"/>
      <c r="N775" s="107"/>
      <c r="O775" s="107"/>
      <c r="P775" s="107"/>
      <c r="Q775" s="107"/>
    </row>
    <row r="776" ht="15.75" customHeight="1">
      <c r="A776" s="107"/>
      <c r="B776" s="107"/>
      <c r="C776" s="107"/>
      <c r="D776" s="107"/>
      <c r="E776" s="107"/>
      <c r="F776" s="107"/>
      <c r="G776" s="107"/>
      <c r="H776" s="107"/>
      <c r="I776" s="107"/>
      <c r="J776" s="107"/>
      <c r="K776" s="107"/>
      <c r="L776" s="107"/>
      <c r="M776" s="107"/>
      <c r="N776" s="107"/>
      <c r="O776" s="107"/>
      <c r="P776" s="107"/>
      <c r="Q776" s="107"/>
    </row>
    <row r="777" ht="15.75" customHeight="1">
      <c r="A777" s="107"/>
      <c r="B777" s="107"/>
      <c r="C777" s="107"/>
      <c r="D777" s="107"/>
      <c r="E777" s="107"/>
      <c r="F777" s="107"/>
      <c r="G777" s="107"/>
      <c r="H777" s="107"/>
      <c r="I777" s="107"/>
      <c r="J777" s="107"/>
      <c r="K777" s="107"/>
      <c r="L777" s="107"/>
      <c r="M777" s="107"/>
      <c r="N777" s="107"/>
      <c r="O777" s="107"/>
      <c r="P777" s="107"/>
      <c r="Q777" s="107"/>
    </row>
    <row r="778" ht="15.75" customHeight="1">
      <c r="A778" s="107"/>
      <c r="B778" s="107"/>
      <c r="C778" s="107"/>
      <c r="D778" s="107"/>
      <c r="E778" s="107"/>
      <c r="F778" s="107"/>
      <c r="G778" s="107"/>
      <c r="H778" s="107"/>
      <c r="I778" s="107"/>
      <c r="J778" s="107"/>
      <c r="K778" s="107"/>
      <c r="L778" s="107"/>
      <c r="M778" s="107"/>
      <c r="N778" s="107"/>
      <c r="O778" s="107"/>
      <c r="P778" s="107"/>
      <c r="Q778" s="107"/>
    </row>
    <row r="779" ht="15.75" customHeight="1">
      <c r="A779" s="107"/>
      <c r="B779" s="107"/>
      <c r="C779" s="107"/>
      <c r="D779" s="107"/>
      <c r="E779" s="107"/>
      <c r="F779" s="107"/>
      <c r="G779" s="107"/>
      <c r="H779" s="107"/>
      <c r="I779" s="107"/>
      <c r="J779" s="107"/>
      <c r="K779" s="107"/>
      <c r="L779" s="107"/>
      <c r="M779" s="107"/>
      <c r="N779" s="107"/>
      <c r="O779" s="107"/>
      <c r="P779" s="107"/>
      <c r="Q779" s="107"/>
    </row>
    <row r="780" ht="15.75" customHeight="1">
      <c r="A780" s="107"/>
      <c r="B780" s="107"/>
      <c r="C780" s="107"/>
      <c r="D780" s="107"/>
      <c r="E780" s="107"/>
      <c r="F780" s="107"/>
      <c r="G780" s="107"/>
      <c r="H780" s="107"/>
      <c r="I780" s="107"/>
      <c r="J780" s="107"/>
      <c r="K780" s="107"/>
      <c r="L780" s="107"/>
      <c r="M780" s="107"/>
      <c r="N780" s="107"/>
      <c r="O780" s="107"/>
      <c r="P780" s="107"/>
      <c r="Q780" s="107"/>
    </row>
    <row r="781" ht="15.75" customHeight="1">
      <c r="A781" s="107"/>
      <c r="B781" s="107"/>
      <c r="C781" s="107"/>
      <c r="D781" s="107"/>
      <c r="E781" s="107"/>
      <c r="F781" s="107"/>
      <c r="G781" s="107"/>
      <c r="H781" s="107"/>
      <c r="I781" s="107"/>
      <c r="J781" s="107"/>
      <c r="K781" s="107"/>
      <c r="L781" s="107"/>
      <c r="M781" s="107"/>
      <c r="N781" s="107"/>
      <c r="O781" s="107"/>
      <c r="P781" s="107"/>
      <c r="Q781" s="107"/>
    </row>
    <row r="782" ht="15.75" customHeight="1">
      <c r="A782" s="107"/>
      <c r="B782" s="107"/>
      <c r="C782" s="107"/>
      <c r="D782" s="107"/>
      <c r="E782" s="107"/>
      <c r="F782" s="107"/>
      <c r="G782" s="107"/>
      <c r="H782" s="107"/>
      <c r="I782" s="107"/>
      <c r="J782" s="107"/>
      <c r="K782" s="107"/>
      <c r="L782" s="107"/>
      <c r="M782" s="107"/>
      <c r="N782" s="107"/>
      <c r="O782" s="107"/>
      <c r="P782" s="107"/>
      <c r="Q782" s="107"/>
    </row>
    <row r="783" ht="15.75" customHeight="1">
      <c r="A783" s="107"/>
      <c r="B783" s="107"/>
      <c r="C783" s="107"/>
      <c r="D783" s="107"/>
      <c r="E783" s="107"/>
      <c r="F783" s="107"/>
      <c r="G783" s="107"/>
      <c r="H783" s="107"/>
      <c r="I783" s="107"/>
      <c r="J783" s="107"/>
      <c r="K783" s="107"/>
      <c r="L783" s="107"/>
      <c r="M783" s="107"/>
      <c r="N783" s="107"/>
      <c r="O783" s="107"/>
      <c r="P783" s="107"/>
      <c r="Q783" s="107"/>
    </row>
    <row r="784" ht="15.75" customHeight="1">
      <c r="A784" s="107"/>
      <c r="B784" s="107"/>
      <c r="C784" s="107"/>
      <c r="D784" s="107"/>
      <c r="E784" s="107"/>
      <c r="F784" s="107"/>
      <c r="G784" s="107"/>
      <c r="H784" s="107"/>
      <c r="I784" s="107"/>
      <c r="J784" s="107"/>
      <c r="K784" s="107"/>
      <c r="L784" s="107"/>
      <c r="M784" s="107"/>
      <c r="N784" s="107"/>
      <c r="O784" s="107"/>
      <c r="P784" s="107"/>
      <c r="Q784" s="107"/>
    </row>
    <row r="785" ht="15.75" customHeight="1">
      <c r="A785" s="107"/>
      <c r="B785" s="107"/>
      <c r="C785" s="107"/>
      <c r="D785" s="107"/>
      <c r="E785" s="107"/>
      <c r="F785" s="107"/>
      <c r="G785" s="107"/>
      <c r="H785" s="107"/>
      <c r="I785" s="107"/>
      <c r="J785" s="107"/>
      <c r="K785" s="107"/>
      <c r="L785" s="107"/>
      <c r="M785" s="107"/>
      <c r="N785" s="107"/>
      <c r="O785" s="107"/>
      <c r="P785" s="107"/>
      <c r="Q785" s="107"/>
    </row>
    <row r="786" ht="15.75" customHeight="1">
      <c r="A786" s="107"/>
      <c r="B786" s="107"/>
      <c r="C786" s="107"/>
      <c r="D786" s="107"/>
      <c r="E786" s="107"/>
      <c r="F786" s="107"/>
      <c r="G786" s="107"/>
      <c r="H786" s="107"/>
      <c r="I786" s="107"/>
      <c r="J786" s="107"/>
      <c r="K786" s="107"/>
      <c r="L786" s="107"/>
      <c r="M786" s="107"/>
      <c r="N786" s="107"/>
      <c r="O786" s="107"/>
      <c r="P786" s="107"/>
      <c r="Q786" s="107"/>
    </row>
    <row r="787" ht="15.75" customHeight="1">
      <c r="A787" s="107"/>
      <c r="B787" s="107"/>
      <c r="C787" s="107"/>
      <c r="D787" s="107"/>
      <c r="E787" s="107"/>
      <c r="F787" s="107"/>
      <c r="G787" s="107"/>
      <c r="H787" s="107"/>
      <c r="I787" s="107"/>
      <c r="J787" s="107"/>
      <c r="K787" s="107"/>
      <c r="L787" s="107"/>
      <c r="M787" s="107"/>
      <c r="N787" s="107"/>
      <c r="O787" s="107"/>
      <c r="P787" s="107"/>
      <c r="Q787" s="107"/>
    </row>
    <row r="788" ht="15.75" customHeight="1">
      <c r="A788" s="107"/>
      <c r="B788" s="107"/>
      <c r="C788" s="107"/>
      <c r="D788" s="107"/>
      <c r="E788" s="107"/>
      <c r="F788" s="107"/>
      <c r="G788" s="107"/>
      <c r="H788" s="107"/>
      <c r="I788" s="107"/>
      <c r="J788" s="107"/>
      <c r="K788" s="107"/>
      <c r="L788" s="107"/>
      <c r="M788" s="107"/>
      <c r="N788" s="107"/>
      <c r="O788" s="107"/>
      <c r="P788" s="107"/>
      <c r="Q788" s="107"/>
    </row>
    <row r="789" ht="15.75" customHeight="1">
      <c r="A789" s="107"/>
      <c r="B789" s="107"/>
      <c r="C789" s="107"/>
      <c r="D789" s="107"/>
      <c r="E789" s="107"/>
      <c r="F789" s="107"/>
      <c r="G789" s="107"/>
      <c r="H789" s="107"/>
      <c r="I789" s="107"/>
      <c r="J789" s="107"/>
      <c r="K789" s="107"/>
      <c r="L789" s="107"/>
      <c r="M789" s="107"/>
      <c r="N789" s="107"/>
      <c r="O789" s="107"/>
      <c r="P789" s="107"/>
      <c r="Q789" s="107"/>
    </row>
    <row r="790" ht="15.75" customHeight="1">
      <c r="A790" s="107"/>
      <c r="B790" s="107"/>
      <c r="C790" s="107"/>
      <c r="D790" s="107"/>
      <c r="E790" s="107"/>
      <c r="F790" s="107"/>
      <c r="G790" s="107"/>
      <c r="H790" s="107"/>
      <c r="I790" s="107"/>
      <c r="J790" s="107"/>
      <c r="K790" s="107"/>
      <c r="L790" s="107"/>
      <c r="M790" s="107"/>
      <c r="N790" s="107"/>
      <c r="O790" s="107"/>
      <c r="P790" s="107"/>
      <c r="Q790" s="107"/>
    </row>
    <row r="791" ht="15.75" customHeight="1">
      <c r="A791" s="107"/>
      <c r="B791" s="107"/>
      <c r="C791" s="107"/>
      <c r="D791" s="107"/>
      <c r="E791" s="107"/>
      <c r="F791" s="107"/>
      <c r="G791" s="107"/>
      <c r="H791" s="107"/>
      <c r="I791" s="107"/>
      <c r="J791" s="107"/>
      <c r="K791" s="107"/>
      <c r="L791" s="107"/>
      <c r="M791" s="107"/>
      <c r="N791" s="107"/>
      <c r="O791" s="107"/>
      <c r="P791" s="107"/>
      <c r="Q791" s="107"/>
    </row>
    <row r="792" ht="15.75" customHeight="1">
      <c r="A792" s="107"/>
      <c r="B792" s="107"/>
      <c r="C792" s="107"/>
      <c r="D792" s="107"/>
      <c r="E792" s="107"/>
      <c r="F792" s="107"/>
      <c r="G792" s="107"/>
      <c r="H792" s="107"/>
      <c r="I792" s="107"/>
      <c r="J792" s="107"/>
      <c r="K792" s="107"/>
      <c r="L792" s="107"/>
      <c r="M792" s="107"/>
      <c r="N792" s="107"/>
      <c r="O792" s="107"/>
      <c r="P792" s="107"/>
      <c r="Q792" s="107"/>
    </row>
    <row r="793" ht="15.75" customHeight="1">
      <c r="A793" s="107"/>
      <c r="B793" s="107"/>
      <c r="C793" s="107"/>
      <c r="D793" s="107"/>
      <c r="E793" s="107"/>
      <c r="F793" s="107"/>
      <c r="G793" s="107"/>
      <c r="H793" s="107"/>
      <c r="I793" s="107"/>
      <c r="J793" s="107"/>
      <c r="K793" s="107"/>
      <c r="L793" s="107"/>
      <c r="M793" s="107"/>
      <c r="N793" s="107"/>
      <c r="O793" s="107"/>
      <c r="P793" s="107"/>
      <c r="Q793" s="107"/>
    </row>
    <row r="794" ht="15.75" customHeight="1">
      <c r="A794" s="107"/>
      <c r="B794" s="107"/>
      <c r="C794" s="107"/>
      <c r="D794" s="107"/>
      <c r="E794" s="107"/>
      <c r="F794" s="107"/>
      <c r="G794" s="107"/>
      <c r="H794" s="107"/>
      <c r="I794" s="107"/>
      <c r="J794" s="107"/>
      <c r="K794" s="107"/>
      <c r="L794" s="107"/>
      <c r="M794" s="107"/>
      <c r="N794" s="107"/>
      <c r="O794" s="107"/>
      <c r="P794" s="107"/>
      <c r="Q794" s="107"/>
    </row>
    <row r="795" ht="15.75" customHeight="1">
      <c r="A795" s="107"/>
      <c r="B795" s="107"/>
      <c r="C795" s="107"/>
      <c r="D795" s="107"/>
      <c r="E795" s="107"/>
      <c r="F795" s="107"/>
      <c r="G795" s="107"/>
      <c r="H795" s="107"/>
      <c r="I795" s="107"/>
      <c r="J795" s="107"/>
      <c r="K795" s="107"/>
      <c r="L795" s="107"/>
      <c r="M795" s="107"/>
      <c r="N795" s="107"/>
      <c r="O795" s="107"/>
      <c r="P795" s="107"/>
      <c r="Q795" s="107"/>
    </row>
    <row r="796" ht="15.75" customHeight="1">
      <c r="A796" s="107"/>
      <c r="B796" s="107"/>
      <c r="C796" s="107"/>
      <c r="D796" s="107"/>
      <c r="E796" s="107"/>
      <c r="F796" s="107"/>
      <c r="G796" s="107"/>
      <c r="H796" s="107"/>
      <c r="I796" s="107"/>
      <c r="J796" s="107"/>
      <c r="K796" s="107"/>
      <c r="L796" s="107"/>
      <c r="M796" s="107"/>
      <c r="N796" s="107"/>
      <c r="O796" s="107"/>
      <c r="P796" s="107"/>
      <c r="Q796" s="107"/>
    </row>
    <row r="797" ht="15.75" customHeight="1">
      <c r="A797" s="107"/>
      <c r="B797" s="107"/>
      <c r="C797" s="107"/>
      <c r="D797" s="107"/>
      <c r="E797" s="107"/>
      <c r="F797" s="107"/>
      <c r="G797" s="107"/>
      <c r="H797" s="107"/>
      <c r="I797" s="107"/>
      <c r="J797" s="107"/>
      <c r="K797" s="107"/>
      <c r="L797" s="107"/>
      <c r="M797" s="107"/>
      <c r="N797" s="107"/>
      <c r="O797" s="107"/>
      <c r="P797" s="107"/>
      <c r="Q797" s="107"/>
    </row>
    <row r="798" ht="15.75" customHeight="1">
      <c r="A798" s="107"/>
      <c r="B798" s="107"/>
      <c r="C798" s="107"/>
      <c r="D798" s="107"/>
      <c r="E798" s="107"/>
      <c r="F798" s="107"/>
      <c r="G798" s="107"/>
      <c r="H798" s="107"/>
      <c r="I798" s="107"/>
      <c r="J798" s="107"/>
      <c r="K798" s="107"/>
      <c r="L798" s="107"/>
      <c r="M798" s="107"/>
      <c r="N798" s="107"/>
      <c r="O798" s="107"/>
      <c r="P798" s="107"/>
      <c r="Q798" s="107"/>
    </row>
    <row r="799" ht="15.75" customHeight="1">
      <c r="A799" s="107"/>
      <c r="B799" s="107"/>
      <c r="C799" s="107"/>
      <c r="D799" s="107"/>
      <c r="E799" s="107"/>
      <c r="F799" s="107"/>
      <c r="G799" s="107"/>
      <c r="H799" s="107"/>
      <c r="I799" s="107"/>
      <c r="J799" s="107"/>
      <c r="K799" s="107"/>
      <c r="L799" s="107"/>
      <c r="M799" s="107"/>
      <c r="N799" s="107"/>
      <c r="O799" s="107"/>
      <c r="P799" s="107"/>
      <c r="Q799" s="107"/>
    </row>
    <row r="800" ht="15.75" customHeight="1">
      <c r="A800" s="107"/>
      <c r="B800" s="107"/>
      <c r="C800" s="107"/>
      <c r="D800" s="107"/>
      <c r="E800" s="107"/>
      <c r="F800" s="107"/>
      <c r="G800" s="107"/>
      <c r="H800" s="107"/>
      <c r="I800" s="107"/>
      <c r="J800" s="107"/>
      <c r="K800" s="107"/>
      <c r="L800" s="107"/>
      <c r="M800" s="107"/>
      <c r="N800" s="107"/>
      <c r="O800" s="107"/>
      <c r="P800" s="107"/>
      <c r="Q800" s="107"/>
    </row>
    <row r="801" ht="15.75" customHeight="1">
      <c r="A801" s="107"/>
      <c r="B801" s="107"/>
      <c r="C801" s="107"/>
      <c r="D801" s="107"/>
      <c r="E801" s="107"/>
      <c r="F801" s="107"/>
      <c r="G801" s="107"/>
      <c r="H801" s="107"/>
      <c r="I801" s="107"/>
      <c r="J801" s="107"/>
      <c r="K801" s="107"/>
      <c r="L801" s="107"/>
      <c r="M801" s="107"/>
      <c r="N801" s="107"/>
      <c r="O801" s="107"/>
      <c r="P801" s="107"/>
      <c r="Q801" s="107"/>
    </row>
    <row r="802" ht="15.75" customHeight="1">
      <c r="A802" s="107"/>
      <c r="B802" s="107"/>
      <c r="C802" s="107"/>
      <c r="D802" s="107"/>
      <c r="E802" s="107"/>
      <c r="F802" s="107"/>
      <c r="G802" s="107"/>
      <c r="H802" s="107"/>
      <c r="I802" s="107"/>
      <c r="J802" s="107"/>
      <c r="K802" s="107"/>
      <c r="L802" s="107"/>
      <c r="M802" s="107"/>
      <c r="N802" s="107"/>
      <c r="O802" s="107"/>
      <c r="P802" s="107"/>
      <c r="Q802" s="107"/>
    </row>
    <row r="803" ht="15.75" customHeight="1">
      <c r="A803" s="107"/>
      <c r="B803" s="107"/>
      <c r="C803" s="107"/>
      <c r="D803" s="107"/>
      <c r="E803" s="107"/>
      <c r="F803" s="107"/>
      <c r="G803" s="107"/>
      <c r="H803" s="107"/>
      <c r="I803" s="107"/>
      <c r="J803" s="107"/>
      <c r="K803" s="107"/>
      <c r="L803" s="107"/>
      <c r="M803" s="107"/>
      <c r="N803" s="107"/>
      <c r="O803" s="107"/>
      <c r="P803" s="107"/>
      <c r="Q803" s="107"/>
    </row>
    <row r="804" ht="15.75" customHeight="1">
      <c r="A804" s="107"/>
      <c r="B804" s="107"/>
      <c r="C804" s="107"/>
      <c r="D804" s="107"/>
      <c r="E804" s="107"/>
      <c r="F804" s="107"/>
      <c r="G804" s="107"/>
      <c r="H804" s="107"/>
      <c r="I804" s="107"/>
      <c r="J804" s="107"/>
      <c r="K804" s="107"/>
      <c r="L804" s="107"/>
      <c r="M804" s="107"/>
      <c r="N804" s="107"/>
      <c r="O804" s="107"/>
      <c r="P804" s="107"/>
      <c r="Q804" s="107"/>
    </row>
    <row r="805" ht="15.75" customHeight="1">
      <c r="A805" s="107"/>
      <c r="B805" s="107"/>
      <c r="C805" s="107"/>
      <c r="D805" s="107"/>
      <c r="E805" s="107"/>
      <c r="F805" s="107"/>
      <c r="G805" s="107"/>
      <c r="H805" s="107"/>
      <c r="I805" s="107"/>
      <c r="J805" s="107"/>
      <c r="K805" s="107"/>
      <c r="L805" s="107"/>
      <c r="M805" s="107"/>
      <c r="N805" s="107"/>
      <c r="O805" s="107"/>
      <c r="P805" s="107"/>
      <c r="Q805" s="107"/>
    </row>
    <row r="806" ht="15.75" customHeight="1">
      <c r="A806" s="107"/>
      <c r="B806" s="107"/>
      <c r="C806" s="107"/>
      <c r="D806" s="107"/>
      <c r="E806" s="107"/>
      <c r="F806" s="107"/>
      <c r="G806" s="107"/>
      <c r="H806" s="107"/>
      <c r="I806" s="107"/>
      <c r="J806" s="107"/>
      <c r="K806" s="107"/>
      <c r="L806" s="107"/>
      <c r="M806" s="107"/>
      <c r="N806" s="107"/>
      <c r="O806" s="107"/>
      <c r="P806" s="107"/>
      <c r="Q806" s="107"/>
    </row>
    <row r="807" ht="15.75" customHeight="1">
      <c r="A807" s="107"/>
      <c r="B807" s="107"/>
      <c r="C807" s="107"/>
      <c r="D807" s="107"/>
      <c r="E807" s="107"/>
      <c r="F807" s="107"/>
      <c r="G807" s="107"/>
      <c r="H807" s="107"/>
      <c r="I807" s="107"/>
      <c r="J807" s="107"/>
      <c r="K807" s="107"/>
      <c r="L807" s="107"/>
      <c r="M807" s="107"/>
      <c r="N807" s="107"/>
      <c r="O807" s="107"/>
      <c r="P807" s="107"/>
      <c r="Q807" s="107"/>
    </row>
    <row r="808" ht="15.75" customHeight="1">
      <c r="A808" s="107"/>
      <c r="B808" s="107"/>
      <c r="C808" s="107"/>
      <c r="D808" s="107"/>
      <c r="E808" s="107"/>
      <c r="F808" s="107"/>
      <c r="G808" s="107"/>
      <c r="H808" s="107"/>
      <c r="I808" s="107"/>
      <c r="J808" s="107"/>
      <c r="K808" s="107"/>
      <c r="L808" s="107"/>
      <c r="M808" s="107"/>
      <c r="N808" s="107"/>
      <c r="O808" s="107"/>
      <c r="P808" s="107"/>
      <c r="Q808" s="107"/>
    </row>
    <row r="809" ht="15.75" customHeight="1">
      <c r="A809" s="107"/>
      <c r="B809" s="107"/>
      <c r="C809" s="107"/>
      <c r="D809" s="107"/>
      <c r="E809" s="107"/>
      <c r="F809" s="107"/>
      <c r="G809" s="107"/>
      <c r="H809" s="107"/>
      <c r="I809" s="107"/>
      <c r="J809" s="107"/>
      <c r="K809" s="107"/>
      <c r="L809" s="107"/>
      <c r="M809" s="107"/>
      <c r="N809" s="107"/>
      <c r="O809" s="107"/>
      <c r="P809" s="107"/>
      <c r="Q809" s="107"/>
    </row>
    <row r="810" ht="15.75" customHeight="1">
      <c r="A810" s="107"/>
      <c r="B810" s="107"/>
      <c r="C810" s="107"/>
      <c r="D810" s="107"/>
      <c r="E810" s="107"/>
      <c r="F810" s="107"/>
      <c r="G810" s="107"/>
      <c r="H810" s="107"/>
      <c r="I810" s="107"/>
      <c r="J810" s="107"/>
      <c r="K810" s="107"/>
      <c r="L810" s="107"/>
      <c r="M810" s="107"/>
      <c r="N810" s="107"/>
      <c r="O810" s="107"/>
      <c r="P810" s="107"/>
      <c r="Q810" s="107"/>
    </row>
    <row r="811" ht="15.75" customHeight="1">
      <c r="A811" s="107"/>
      <c r="B811" s="107"/>
      <c r="C811" s="107"/>
      <c r="D811" s="107"/>
      <c r="E811" s="107"/>
      <c r="F811" s="107"/>
      <c r="G811" s="107"/>
      <c r="H811" s="107"/>
      <c r="I811" s="107"/>
      <c r="J811" s="107"/>
      <c r="K811" s="107"/>
      <c r="L811" s="107"/>
      <c r="M811" s="107"/>
      <c r="N811" s="107"/>
      <c r="O811" s="107"/>
      <c r="P811" s="107"/>
      <c r="Q811" s="107"/>
    </row>
    <row r="812" ht="15.75" customHeight="1">
      <c r="A812" s="107"/>
      <c r="B812" s="107"/>
      <c r="C812" s="107"/>
      <c r="D812" s="107"/>
      <c r="E812" s="107"/>
      <c r="F812" s="107"/>
      <c r="G812" s="107"/>
      <c r="H812" s="107"/>
      <c r="I812" s="107"/>
      <c r="J812" s="107"/>
      <c r="K812" s="107"/>
      <c r="L812" s="107"/>
      <c r="M812" s="107"/>
      <c r="N812" s="107"/>
      <c r="O812" s="107"/>
      <c r="P812" s="107"/>
      <c r="Q812" s="107"/>
    </row>
    <row r="813" ht="15.75" customHeight="1">
      <c r="A813" s="107"/>
      <c r="B813" s="107"/>
      <c r="C813" s="107"/>
      <c r="D813" s="107"/>
      <c r="E813" s="107"/>
      <c r="F813" s="107"/>
      <c r="G813" s="107"/>
      <c r="H813" s="107"/>
      <c r="I813" s="107"/>
      <c r="J813" s="107"/>
      <c r="K813" s="107"/>
      <c r="L813" s="107"/>
      <c r="M813" s="107"/>
      <c r="N813" s="107"/>
      <c r="O813" s="107"/>
      <c r="P813" s="107"/>
      <c r="Q813" s="107"/>
    </row>
    <row r="814" ht="15.75" customHeight="1">
      <c r="A814" s="107"/>
      <c r="B814" s="107"/>
      <c r="C814" s="107"/>
      <c r="D814" s="107"/>
      <c r="E814" s="107"/>
      <c r="F814" s="107"/>
      <c r="G814" s="107"/>
      <c r="H814" s="107"/>
      <c r="I814" s="107"/>
      <c r="J814" s="107"/>
      <c r="K814" s="107"/>
      <c r="L814" s="107"/>
      <c r="M814" s="107"/>
      <c r="N814" s="107"/>
      <c r="O814" s="107"/>
      <c r="P814" s="107"/>
      <c r="Q814" s="107"/>
    </row>
    <row r="815" ht="15.75" customHeight="1">
      <c r="A815" s="107"/>
      <c r="B815" s="107"/>
      <c r="C815" s="107"/>
      <c r="D815" s="107"/>
      <c r="E815" s="107"/>
      <c r="F815" s="107"/>
      <c r="G815" s="107"/>
      <c r="H815" s="107"/>
      <c r="I815" s="107"/>
      <c r="J815" s="107"/>
      <c r="K815" s="107"/>
      <c r="L815" s="107"/>
      <c r="M815" s="107"/>
      <c r="N815" s="107"/>
      <c r="O815" s="107"/>
      <c r="P815" s="107"/>
      <c r="Q815" s="107"/>
    </row>
    <row r="816" ht="15.75" customHeight="1">
      <c r="A816" s="107"/>
      <c r="B816" s="107"/>
      <c r="C816" s="107"/>
      <c r="D816" s="107"/>
      <c r="E816" s="107"/>
      <c r="F816" s="107"/>
      <c r="G816" s="107"/>
      <c r="H816" s="107"/>
      <c r="I816" s="107"/>
      <c r="J816" s="107"/>
      <c r="K816" s="107"/>
      <c r="L816" s="107"/>
      <c r="M816" s="107"/>
      <c r="N816" s="107"/>
      <c r="O816" s="107"/>
      <c r="P816" s="107"/>
      <c r="Q816" s="107"/>
    </row>
    <row r="817" ht="15.75" customHeight="1">
      <c r="A817" s="107"/>
      <c r="B817" s="107"/>
      <c r="C817" s="107"/>
      <c r="D817" s="107"/>
      <c r="E817" s="107"/>
      <c r="F817" s="107"/>
      <c r="G817" s="107"/>
      <c r="H817" s="107"/>
      <c r="I817" s="107"/>
      <c r="J817" s="107"/>
      <c r="K817" s="107"/>
      <c r="L817" s="107"/>
      <c r="M817" s="107"/>
      <c r="N817" s="107"/>
      <c r="O817" s="107"/>
      <c r="P817" s="107"/>
      <c r="Q817" s="107"/>
    </row>
    <row r="818" ht="15.75" customHeight="1">
      <c r="A818" s="107"/>
      <c r="B818" s="107"/>
      <c r="C818" s="107"/>
      <c r="D818" s="107"/>
      <c r="E818" s="107"/>
      <c r="F818" s="107"/>
      <c r="G818" s="107"/>
      <c r="H818" s="107"/>
      <c r="I818" s="107"/>
      <c r="J818" s="107"/>
      <c r="K818" s="107"/>
      <c r="L818" s="107"/>
      <c r="M818" s="107"/>
      <c r="N818" s="107"/>
      <c r="O818" s="107"/>
      <c r="P818" s="107"/>
      <c r="Q818" s="107"/>
    </row>
    <row r="819" ht="15.75" customHeight="1">
      <c r="A819" s="107"/>
      <c r="B819" s="107"/>
      <c r="C819" s="107"/>
      <c r="D819" s="107"/>
      <c r="E819" s="107"/>
      <c r="F819" s="107"/>
      <c r="G819" s="107"/>
      <c r="H819" s="107"/>
      <c r="I819" s="107"/>
      <c r="J819" s="107"/>
      <c r="K819" s="107"/>
      <c r="L819" s="107"/>
      <c r="M819" s="107"/>
      <c r="N819" s="107"/>
      <c r="O819" s="107"/>
      <c r="P819" s="107"/>
      <c r="Q819" s="107"/>
    </row>
    <row r="820" ht="15.75" customHeight="1">
      <c r="A820" s="107"/>
      <c r="B820" s="107"/>
      <c r="C820" s="107"/>
      <c r="D820" s="107"/>
      <c r="E820" s="107"/>
      <c r="F820" s="107"/>
      <c r="G820" s="107"/>
      <c r="H820" s="107"/>
      <c r="I820" s="107"/>
      <c r="J820" s="107"/>
      <c r="K820" s="107"/>
      <c r="L820" s="107"/>
      <c r="M820" s="107"/>
      <c r="N820" s="107"/>
      <c r="O820" s="107"/>
      <c r="P820" s="107"/>
      <c r="Q820" s="107"/>
    </row>
    <row r="821" ht="15.75" customHeight="1">
      <c r="A821" s="107"/>
      <c r="B821" s="107"/>
      <c r="C821" s="107"/>
      <c r="D821" s="107"/>
      <c r="E821" s="107"/>
      <c r="F821" s="107"/>
      <c r="G821" s="107"/>
      <c r="H821" s="107"/>
      <c r="I821" s="107"/>
      <c r="J821" s="107"/>
      <c r="K821" s="107"/>
      <c r="L821" s="107"/>
      <c r="M821" s="107"/>
      <c r="N821" s="107"/>
      <c r="O821" s="107"/>
      <c r="P821" s="107"/>
      <c r="Q821" s="107"/>
    </row>
    <row r="822" ht="15.75" customHeight="1">
      <c r="A822" s="107"/>
      <c r="B822" s="107"/>
      <c r="C822" s="107"/>
      <c r="D822" s="107"/>
      <c r="E822" s="107"/>
      <c r="F822" s="107"/>
      <c r="G822" s="107"/>
      <c r="H822" s="107"/>
      <c r="I822" s="107"/>
      <c r="J822" s="107"/>
      <c r="K822" s="107"/>
      <c r="L822" s="107"/>
      <c r="M822" s="107"/>
      <c r="N822" s="107"/>
      <c r="O822" s="107"/>
      <c r="P822" s="107"/>
      <c r="Q822" s="107"/>
    </row>
    <row r="823" ht="15.75" customHeight="1">
      <c r="A823" s="107"/>
      <c r="B823" s="107"/>
      <c r="C823" s="107"/>
      <c r="D823" s="107"/>
      <c r="E823" s="107"/>
      <c r="F823" s="107"/>
      <c r="G823" s="107"/>
      <c r="H823" s="107"/>
      <c r="I823" s="107"/>
      <c r="J823" s="107"/>
      <c r="K823" s="107"/>
      <c r="L823" s="107"/>
      <c r="M823" s="107"/>
      <c r="N823" s="107"/>
      <c r="O823" s="107"/>
      <c r="P823" s="107"/>
      <c r="Q823" s="107"/>
    </row>
    <row r="824" ht="15.75" customHeight="1">
      <c r="A824" s="107"/>
      <c r="B824" s="107"/>
      <c r="C824" s="107"/>
      <c r="D824" s="107"/>
      <c r="E824" s="107"/>
      <c r="F824" s="107"/>
      <c r="G824" s="107"/>
      <c r="H824" s="107"/>
      <c r="I824" s="107"/>
      <c r="J824" s="107"/>
      <c r="K824" s="107"/>
      <c r="L824" s="107"/>
      <c r="M824" s="107"/>
      <c r="N824" s="107"/>
      <c r="O824" s="107"/>
      <c r="P824" s="107"/>
      <c r="Q824" s="107"/>
    </row>
    <row r="825" ht="15.75" customHeight="1">
      <c r="A825" s="107"/>
      <c r="B825" s="107"/>
      <c r="C825" s="107"/>
      <c r="D825" s="107"/>
      <c r="E825" s="107"/>
      <c r="F825" s="107"/>
      <c r="G825" s="107"/>
      <c r="H825" s="107"/>
      <c r="I825" s="107"/>
      <c r="J825" s="107"/>
      <c r="K825" s="107"/>
      <c r="L825" s="107"/>
      <c r="M825" s="107"/>
      <c r="N825" s="107"/>
      <c r="O825" s="107"/>
      <c r="P825" s="107"/>
      <c r="Q825" s="107"/>
    </row>
    <row r="826" ht="15.75" customHeight="1">
      <c r="A826" s="107"/>
      <c r="B826" s="107"/>
      <c r="C826" s="107"/>
      <c r="D826" s="107"/>
      <c r="E826" s="107"/>
      <c r="F826" s="107"/>
      <c r="G826" s="107"/>
      <c r="H826" s="107"/>
      <c r="I826" s="107"/>
      <c r="J826" s="107"/>
      <c r="K826" s="107"/>
      <c r="L826" s="107"/>
      <c r="M826" s="107"/>
      <c r="N826" s="107"/>
      <c r="O826" s="107"/>
      <c r="P826" s="107"/>
      <c r="Q826" s="107"/>
    </row>
    <row r="827" ht="15.75" customHeight="1">
      <c r="A827" s="107"/>
      <c r="B827" s="107"/>
      <c r="C827" s="107"/>
      <c r="D827" s="107"/>
      <c r="E827" s="107"/>
      <c r="F827" s="107"/>
      <c r="G827" s="107"/>
      <c r="H827" s="107"/>
      <c r="I827" s="107"/>
      <c r="J827" s="107"/>
      <c r="K827" s="107"/>
      <c r="L827" s="107"/>
      <c r="M827" s="107"/>
      <c r="N827" s="107"/>
      <c r="O827" s="107"/>
      <c r="P827" s="107"/>
      <c r="Q827" s="107"/>
    </row>
    <row r="828" ht="15.75" customHeight="1">
      <c r="A828" s="107"/>
      <c r="B828" s="107"/>
      <c r="C828" s="107"/>
      <c r="D828" s="107"/>
      <c r="E828" s="107"/>
      <c r="F828" s="107"/>
      <c r="G828" s="107"/>
      <c r="H828" s="107"/>
      <c r="I828" s="107"/>
      <c r="J828" s="107"/>
      <c r="K828" s="107"/>
      <c r="L828" s="107"/>
      <c r="M828" s="107"/>
      <c r="N828" s="107"/>
      <c r="O828" s="107"/>
      <c r="P828" s="107"/>
      <c r="Q828" s="107"/>
    </row>
    <row r="829" ht="15.75" customHeight="1">
      <c r="A829" s="107"/>
      <c r="B829" s="107"/>
      <c r="C829" s="107"/>
      <c r="D829" s="107"/>
      <c r="E829" s="107"/>
      <c r="F829" s="107"/>
      <c r="G829" s="107"/>
      <c r="H829" s="107"/>
      <c r="I829" s="107"/>
      <c r="J829" s="107"/>
      <c r="K829" s="107"/>
      <c r="L829" s="107"/>
      <c r="M829" s="107"/>
      <c r="N829" s="107"/>
      <c r="O829" s="107"/>
      <c r="P829" s="107"/>
      <c r="Q829" s="107"/>
    </row>
    <row r="830" ht="15.75" customHeight="1">
      <c r="A830" s="107"/>
      <c r="B830" s="107"/>
      <c r="C830" s="107"/>
      <c r="D830" s="107"/>
      <c r="E830" s="107"/>
      <c r="F830" s="107"/>
      <c r="G830" s="107"/>
      <c r="H830" s="107"/>
      <c r="I830" s="107"/>
      <c r="J830" s="107"/>
      <c r="K830" s="107"/>
      <c r="L830" s="107"/>
      <c r="M830" s="107"/>
      <c r="N830" s="107"/>
      <c r="O830" s="107"/>
      <c r="P830" s="107"/>
      <c r="Q830" s="107"/>
    </row>
    <row r="831" ht="15.75" customHeight="1">
      <c r="A831" s="107"/>
      <c r="B831" s="107"/>
      <c r="C831" s="107"/>
      <c r="D831" s="107"/>
      <c r="E831" s="107"/>
      <c r="F831" s="107"/>
      <c r="G831" s="107"/>
      <c r="H831" s="107"/>
      <c r="I831" s="107"/>
      <c r="J831" s="107"/>
      <c r="K831" s="107"/>
      <c r="L831" s="107"/>
      <c r="M831" s="107"/>
      <c r="N831" s="107"/>
      <c r="O831" s="107"/>
      <c r="P831" s="107"/>
      <c r="Q831" s="107"/>
    </row>
    <row r="832" ht="15.75" customHeight="1">
      <c r="A832" s="107"/>
      <c r="B832" s="107"/>
      <c r="C832" s="107"/>
      <c r="D832" s="107"/>
      <c r="E832" s="107"/>
      <c r="F832" s="107"/>
      <c r="G832" s="107"/>
      <c r="H832" s="107"/>
      <c r="I832" s="107"/>
      <c r="J832" s="107"/>
      <c r="K832" s="107"/>
      <c r="L832" s="107"/>
      <c r="M832" s="107"/>
      <c r="N832" s="107"/>
      <c r="O832" s="107"/>
      <c r="P832" s="107"/>
      <c r="Q832" s="107"/>
    </row>
    <row r="833" ht="15.75" customHeight="1">
      <c r="A833" s="107"/>
      <c r="B833" s="107"/>
      <c r="C833" s="107"/>
      <c r="D833" s="107"/>
      <c r="E833" s="107"/>
      <c r="F833" s="107"/>
      <c r="G833" s="107"/>
      <c r="H833" s="107"/>
      <c r="I833" s="107"/>
      <c r="J833" s="107"/>
      <c r="K833" s="107"/>
      <c r="L833" s="107"/>
      <c r="M833" s="107"/>
      <c r="N833" s="107"/>
      <c r="O833" s="107"/>
      <c r="P833" s="107"/>
      <c r="Q833" s="107"/>
    </row>
    <row r="834" ht="15.75" customHeight="1">
      <c r="A834" s="107"/>
      <c r="B834" s="107"/>
      <c r="C834" s="107"/>
      <c r="D834" s="107"/>
      <c r="E834" s="107"/>
      <c r="F834" s="107"/>
      <c r="G834" s="107"/>
      <c r="H834" s="107"/>
      <c r="I834" s="107"/>
      <c r="J834" s="107"/>
      <c r="K834" s="107"/>
      <c r="L834" s="107"/>
      <c r="M834" s="107"/>
      <c r="N834" s="107"/>
      <c r="O834" s="107"/>
      <c r="P834" s="107"/>
      <c r="Q834" s="107"/>
    </row>
    <row r="835" ht="15.75" customHeight="1">
      <c r="A835" s="107"/>
      <c r="B835" s="107"/>
      <c r="C835" s="107"/>
      <c r="D835" s="107"/>
      <c r="E835" s="107"/>
      <c r="F835" s="107"/>
      <c r="G835" s="107"/>
      <c r="H835" s="107"/>
      <c r="I835" s="107"/>
      <c r="J835" s="107"/>
      <c r="K835" s="107"/>
      <c r="L835" s="107"/>
      <c r="M835" s="107"/>
      <c r="N835" s="107"/>
      <c r="O835" s="107"/>
      <c r="P835" s="107"/>
      <c r="Q835" s="107"/>
    </row>
    <row r="836" ht="15.75" customHeight="1">
      <c r="A836" s="107"/>
      <c r="B836" s="107"/>
      <c r="C836" s="107"/>
      <c r="D836" s="107"/>
      <c r="E836" s="107"/>
      <c r="F836" s="107"/>
      <c r="G836" s="107"/>
      <c r="H836" s="107"/>
      <c r="I836" s="107"/>
      <c r="J836" s="107"/>
      <c r="K836" s="107"/>
      <c r="L836" s="107"/>
      <c r="M836" s="107"/>
      <c r="N836" s="107"/>
      <c r="O836" s="107"/>
      <c r="P836" s="107"/>
      <c r="Q836" s="107"/>
    </row>
    <row r="837" ht="15.75" customHeight="1">
      <c r="A837" s="107"/>
      <c r="B837" s="107"/>
      <c r="C837" s="107"/>
      <c r="D837" s="107"/>
      <c r="E837" s="107"/>
      <c r="F837" s="107"/>
      <c r="G837" s="107"/>
      <c r="H837" s="107"/>
      <c r="I837" s="107"/>
      <c r="J837" s="107"/>
      <c r="K837" s="107"/>
      <c r="L837" s="107"/>
      <c r="M837" s="107"/>
      <c r="N837" s="107"/>
      <c r="O837" s="107"/>
      <c r="P837" s="107"/>
      <c r="Q837" s="107"/>
    </row>
    <row r="838" ht="15.75" customHeight="1">
      <c r="A838" s="107"/>
      <c r="B838" s="107"/>
      <c r="C838" s="107"/>
      <c r="D838" s="107"/>
      <c r="E838" s="107"/>
      <c r="F838" s="107"/>
      <c r="G838" s="107"/>
      <c r="H838" s="107"/>
      <c r="I838" s="107"/>
      <c r="J838" s="107"/>
      <c r="K838" s="107"/>
      <c r="L838" s="107"/>
      <c r="M838" s="107"/>
      <c r="N838" s="107"/>
      <c r="O838" s="107"/>
      <c r="P838" s="107"/>
      <c r="Q838" s="107"/>
    </row>
    <row r="839" ht="15.75" customHeight="1">
      <c r="A839" s="107"/>
      <c r="B839" s="107"/>
      <c r="C839" s="107"/>
      <c r="D839" s="107"/>
      <c r="E839" s="107"/>
      <c r="F839" s="107"/>
      <c r="G839" s="107"/>
      <c r="H839" s="107"/>
      <c r="I839" s="107"/>
      <c r="J839" s="107"/>
      <c r="K839" s="107"/>
      <c r="L839" s="107"/>
      <c r="M839" s="107"/>
      <c r="N839" s="107"/>
      <c r="O839" s="107"/>
      <c r="P839" s="107"/>
      <c r="Q839" s="107"/>
    </row>
    <row r="840" ht="15.75" customHeight="1">
      <c r="A840" s="107"/>
      <c r="B840" s="107"/>
      <c r="C840" s="107"/>
      <c r="D840" s="107"/>
      <c r="E840" s="107"/>
      <c r="F840" s="107"/>
      <c r="G840" s="107"/>
      <c r="H840" s="107"/>
      <c r="I840" s="107"/>
      <c r="J840" s="107"/>
      <c r="K840" s="107"/>
      <c r="L840" s="107"/>
      <c r="M840" s="107"/>
      <c r="N840" s="107"/>
      <c r="O840" s="107"/>
      <c r="P840" s="107"/>
      <c r="Q840" s="107"/>
    </row>
    <row r="841" ht="15.75" customHeight="1">
      <c r="A841" s="107"/>
      <c r="B841" s="107"/>
      <c r="C841" s="107"/>
      <c r="D841" s="107"/>
      <c r="E841" s="107"/>
      <c r="F841" s="107"/>
      <c r="G841" s="107"/>
      <c r="H841" s="107"/>
      <c r="I841" s="107"/>
      <c r="J841" s="107"/>
      <c r="K841" s="107"/>
      <c r="L841" s="107"/>
      <c r="M841" s="107"/>
      <c r="N841" s="107"/>
      <c r="O841" s="107"/>
      <c r="P841" s="107"/>
      <c r="Q841" s="107"/>
    </row>
    <row r="842" ht="15.75" customHeight="1">
      <c r="A842" s="107"/>
      <c r="B842" s="107"/>
      <c r="C842" s="107"/>
      <c r="D842" s="107"/>
      <c r="E842" s="107"/>
      <c r="F842" s="107"/>
      <c r="G842" s="107"/>
      <c r="H842" s="107"/>
      <c r="I842" s="107"/>
      <c r="J842" s="107"/>
      <c r="K842" s="107"/>
      <c r="L842" s="107"/>
      <c r="M842" s="107"/>
      <c r="N842" s="107"/>
      <c r="O842" s="107"/>
      <c r="P842" s="107"/>
      <c r="Q842" s="107"/>
    </row>
    <row r="843" ht="15.75" customHeight="1">
      <c r="A843" s="107"/>
      <c r="B843" s="107"/>
      <c r="C843" s="107"/>
      <c r="D843" s="107"/>
      <c r="E843" s="107"/>
      <c r="F843" s="107"/>
      <c r="G843" s="107"/>
      <c r="H843" s="107"/>
      <c r="I843" s="107"/>
      <c r="J843" s="107"/>
      <c r="K843" s="107"/>
      <c r="L843" s="107"/>
      <c r="M843" s="107"/>
      <c r="N843" s="107"/>
      <c r="O843" s="107"/>
      <c r="P843" s="107"/>
      <c r="Q843" s="107"/>
    </row>
    <row r="844" ht="15.75" customHeight="1">
      <c r="A844" s="107"/>
      <c r="B844" s="107"/>
      <c r="C844" s="107"/>
      <c r="D844" s="107"/>
      <c r="E844" s="107"/>
      <c r="F844" s="107"/>
      <c r="G844" s="107"/>
      <c r="H844" s="107"/>
      <c r="I844" s="107"/>
      <c r="J844" s="107"/>
      <c r="K844" s="107"/>
      <c r="L844" s="107"/>
      <c r="M844" s="107"/>
      <c r="N844" s="107"/>
      <c r="O844" s="107"/>
      <c r="P844" s="107"/>
      <c r="Q844" s="107"/>
    </row>
    <row r="845" ht="15.75" customHeight="1">
      <c r="A845" s="107"/>
      <c r="B845" s="107"/>
      <c r="C845" s="107"/>
      <c r="D845" s="107"/>
      <c r="E845" s="107"/>
      <c r="F845" s="107"/>
      <c r="G845" s="107"/>
      <c r="H845" s="107"/>
      <c r="I845" s="107"/>
      <c r="J845" s="107"/>
      <c r="K845" s="107"/>
      <c r="L845" s="107"/>
      <c r="M845" s="107"/>
      <c r="N845" s="107"/>
      <c r="O845" s="107"/>
      <c r="P845" s="107"/>
      <c r="Q845" s="107"/>
    </row>
    <row r="846" ht="15.75" customHeight="1">
      <c r="A846" s="107"/>
      <c r="B846" s="107"/>
      <c r="C846" s="107"/>
      <c r="D846" s="107"/>
      <c r="E846" s="107"/>
      <c r="F846" s="107"/>
      <c r="G846" s="107"/>
      <c r="H846" s="107"/>
      <c r="I846" s="107"/>
      <c r="J846" s="107"/>
      <c r="K846" s="107"/>
      <c r="L846" s="107"/>
      <c r="M846" s="107"/>
      <c r="N846" s="107"/>
      <c r="O846" s="107"/>
      <c r="P846" s="107"/>
      <c r="Q846" s="107"/>
    </row>
    <row r="847" ht="15.75" customHeight="1">
      <c r="A847" s="107"/>
      <c r="B847" s="107"/>
      <c r="C847" s="107"/>
      <c r="D847" s="107"/>
      <c r="E847" s="107"/>
      <c r="F847" s="107"/>
      <c r="G847" s="107"/>
      <c r="H847" s="107"/>
      <c r="I847" s="107"/>
      <c r="J847" s="107"/>
      <c r="K847" s="107"/>
      <c r="L847" s="107"/>
      <c r="M847" s="107"/>
      <c r="N847" s="107"/>
      <c r="O847" s="107"/>
      <c r="P847" s="107"/>
      <c r="Q847" s="107"/>
    </row>
    <row r="848" ht="15.75" customHeight="1">
      <c r="A848" s="107"/>
      <c r="B848" s="107"/>
      <c r="C848" s="107"/>
      <c r="D848" s="107"/>
      <c r="E848" s="107"/>
      <c r="F848" s="107"/>
      <c r="G848" s="107"/>
      <c r="H848" s="107"/>
      <c r="I848" s="107"/>
      <c r="J848" s="107"/>
      <c r="K848" s="107"/>
      <c r="L848" s="107"/>
      <c r="M848" s="107"/>
      <c r="N848" s="107"/>
      <c r="O848" s="107"/>
      <c r="P848" s="107"/>
      <c r="Q848" s="107"/>
    </row>
    <row r="849" ht="15.75" customHeight="1">
      <c r="A849" s="107"/>
      <c r="B849" s="107"/>
      <c r="C849" s="107"/>
      <c r="D849" s="107"/>
      <c r="E849" s="107"/>
      <c r="F849" s="107"/>
      <c r="G849" s="107"/>
      <c r="H849" s="107"/>
      <c r="I849" s="107"/>
      <c r="J849" s="107"/>
      <c r="K849" s="107"/>
      <c r="L849" s="107"/>
      <c r="M849" s="107"/>
      <c r="N849" s="107"/>
      <c r="O849" s="107"/>
      <c r="P849" s="107"/>
      <c r="Q849" s="107"/>
    </row>
    <row r="850" ht="15.75" customHeight="1">
      <c r="A850" s="107"/>
      <c r="B850" s="107"/>
      <c r="C850" s="107"/>
      <c r="D850" s="107"/>
      <c r="E850" s="107"/>
      <c r="F850" s="107"/>
      <c r="G850" s="107"/>
      <c r="H850" s="107"/>
      <c r="I850" s="107"/>
      <c r="J850" s="107"/>
      <c r="K850" s="107"/>
      <c r="L850" s="107"/>
      <c r="M850" s="107"/>
      <c r="N850" s="107"/>
      <c r="O850" s="107"/>
      <c r="P850" s="107"/>
      <c r="Q850" s="107"/>
    </row>
    <row r="851" ht="15.75" customHeight="1">
      <c r="A851" s="107"/>
      <c r="B851" s="107"/>
      <c r="C851" s="107"/>
      <c r="D851" s="107"/>
      <c r="E851" s="107"/>
      <c r="F851" s="107"/>
      <c r="G851" s="107"/>
      <c r="H851" s="107"/>
      <c r="I851" s="107"/>
      <c r="J851" s="107"/>
      <c r="K851" s="107"/>
      <c r="L851" s="107"/>
      <c r="M851" s="107"/>
      <c r="N851" s="107"/>
      <c r="O851" s="107"/>
      <c r="P851" s="107"/>
      <c r="Q851" s="107"/>
    </row>
    <row r="852" ht="15.75" customHeight="1">
      <c r="A852" s="107"/>
      <c r="B852" s="107"/>
      <c r="C852" s="107"/>
      <c r="D852" s="107"/>
      <c r="E852" s="107"/>
      <c r="F852" s="107"/>
      <c r="G852" s="107"/>
      <c r="H852" s="107"/>
      <c r="I852" s="107"/>
      <c r="J852" s="107"/>
      <c r="K852" s="107"/>
      <c r="L852" s="107"/>
      <c r="M852" s="107"/>
      <c r="N852" s="107"/>
      <c r="O852" s="107"/>
      <c r="P852" s="107"/>
      <c r="Q852" s="107"/>
    </row>
    <row r="853" ht="15.75" customHeight="1">
      <c r="A853" s="107"/>
      <c r="B853" s="107"/>
      <c r="C853" s="107"/>
      <c r="D853" s="107"/>
      <c r="E853" s="107"/>
      <c r="F853" s="107"/>
      <c r="G853" s="107"/>
      <c r="H853" s="107"/>
      <c r="I853" s="107"/>
      <c r="J853" s="107"/>
      <c r="K853" s="107"/>
      <c r="L853" s="107"/>
      <c r="M853" s="107"/>
      <c r="N853" s="107"/>
      <c r="O853" s="107"/>
      <c r="P853" s="107"/>
      <c r="Q853" s="107"/>
    </row>
    <row r="854" ht="15.75" customHeight="1">
      <c r="A854" s="107"/>
      <c r="B854" s="107"/>
      <c r="C854" s="107"/>
      <c r="D854" s="107"/>
      <c r="E854" s="107"/>
      <c r="F854" s="107"/>
      <c r="G854" s="107"/>
      <c r="H854" s="107"/>
      <c r="I854" s="107"/>
      <c r="J854" s="107"/>
      <c r="K854" s="107"/>
      <c r="L854" s="107"/>
      <c r="M854" s="107"/>
      <c r="N854" s="107"/>
      <c r="O854" s="107"/>
      <c r="P854" s="107"/>
      <c r="Q854" s="107"/>
    </row>
    <row r="855" ht="15.75" customHeight="1">
      <c r="A855" s="107"/>
      <c r="B855" s="107"/>
      <c r="C855" s="107"/>
      <c r="D855" s="107"/>
      <c r="E855" s="107"/>
      <c r="F855" s="107"/>
      <c r="G855" s="107"/>
      <c r="H855" s="107"/>
      <c r="I855" s="107"/>
      <c r="J855" s="107"/>
      <c r="K855" s="107"/>
      <c r="L855" s="107"/>
      <c r="M855" s="107"/>
      <c r="N855" s="107"/>
      <c r="O855" s="107"/>
      <c r="P855" s="107"/>
      <c r="Q855" s="107"/>
    </row>
    <row r="856" ht="15.75" customHeight="1">
      <c r="A856" s="107"/>
      <c r="B856" s="107"/>
      <c r="C856" s="107"/>
      <c r="D856" s="107"/>
      <c r="E856" s="107"/>
      <c r="F856" s="107"/>
      <c r="G856" s="107"/>
      <c r="H856" s="107"/>
      <c r="I856" s="107"/>
      <c r="J856" s="107"/>
      <c r="K856" s="107"/>
      <c r="L856" s="107"/>
      <c r="M856" s="107"/>
      <c r="N856" s="107"/>
      <c r="O856" s="107"/>
      <c r="P856" s="107"/>
      <c r="Q856" s="107"/>
    </row>
    <row r="857" ht="15.75" customHeight="1">
      <c r="A857" s="107"/>
      <c r="B857" s="107"/>
      <c r="C857" s="107"/>
      <c r="D857" s="107"/>
      <c r="E857" s="107"/>
      <c r="F857" s="107"/>
      <c r="G857" s="107"/>
      <c r="H857" s="107"/>
      <c r="I857" s="107"/>
      <c r="J857" s="107"/>
      <c r="K857" s="107"/>
      <c r="L857" s="107"/>
      <c r="M857" s="107"/>
      <c r="N857" s="107"/>
      <c r="O857" s="107"/>
      <c r="P857" s="107"/>
      <c r="Q857" s="107"/>
    </row>
    <row r="858" ht="15.75" customHeight="1">
      <c r="A858" s="107"/>
      <c r="B858" s="107"/>
      <c r="C858" s="107"/>
      <c r="D858" s="107"/>
      <c r="E858" s="107"/>
      <c r="F858" s="107"/>
      <c r="G858" s="107"/>
      <c r="H858" s="107"/>
      <c r="I858" s="107"/>
      <c r="J858" s="107"/>
      <c r="K858" s="107"/>
      <c r="L858" s="107"/>
      <c r="M858" s="107"/>
      <c r="N858" s="107"/>
      <c r="O858" s="107"/>
      <c r="P858" s="107"/>
      <c r="Q858" s="107"/>
    </row>
    <row r="859" ht="15.75" customHeight="1">
      <c r="A859" s="107"/>
      <c r="B859" s="107"/>
      <c r="C859" s="107"/>
      <c r="D859" s="107"/>
      <c r="E859" s="107"/>
      <c r="F859" s="107"/>
      <c r="G859" s="107"/>
      <c r="H859" s="107"/>
      <c r="I859" s="107"/>
      <c r="J859" s="107"/>
      <c r="K859" s="107"/>
      <c r="L859" s="107"/>
      <c r="M859" s="107"/>
      <c r="N859" s="107"/>
      <c r="O859" s="107"/>
      <c r="P859" s="107"/>
      <c r="Q859" s="107"/>
    </row>
    <row r="860" ht="15.75" customHeight="1">
      <c r="A860" s="107"/>
      <c r="B860" s="107"/>
      <c r="C860" s="107"/>
      <c r="D860" s="107"/>
      <c r="E860" s="107"/>
      <c r="F860" s="107"/>
      <c r="G860" s="107"/>
      <c r="H860" s="107"/>
      <c r="I860" s="107"/>
      <c r="J860" s="107"/>
      <c r="K860" s="107"/>
      <c r="L860" s="107"/>
      <c r="M860" s="107"/>
      <c r="N860" s="107"/>
      <c r="O860" s="107"/>
      <c r="P860" s="107"/>
      <c r="Q860" s="107"/>
    </row>
    <row r="861" ht="15.75" customHeight="1">
      <c r="A861" s="107"/>
      <c r="B861" s="107"/>
      <c r="C861" s="107"/>
      <c r="D861" s="107"/>
      <c r="E861" s="107"/>
      <c r="F861" s="107"/>
      <c r="G861" s="107"/>
      <c r="H861" s="107"/>
      <c r="I861" s="107"/>
      <c r="J861" s="107"/>
      <c r="K861" s="107"/>
      <c r="L861" s="107"/>
      <c r="M861" s="107"/>
      <c r="N861" s="107"/>
      <c r="O861" s="107"/>
      <c r="P861" s="107"/>
      <c r="Q861" s="107"/>
    </row>
    <row r="862" ht="15.75" customHeight="1">
      <c r="A862" s="107"/>
      <c r="B862" s="107"/>
      <c r="C862" s="107"/>
      <c r="D862" s="107"/>
      <c r="E862" s="107"/>
      <c r="F862" s="107"/>
      <c r="G862" s="107"/>
      <c r="H862" s="107"/>
      <c r="I862" s="107"/>
      <c r="J862" s="107"/>
      <c r="K862" s="107"/>
      <c r="L862" s="107"/>
      <c r="M862" s="107"/>
      <c r="N862" s="107"/>
      <c r="O862" s="107"/>
      <c r="P862" s="107"/>
      <c r="Q862" s="107"/>
    </row>
    <row r="863" ht="15.75" customHeight="1">
      <c r="A863" s="107"/>
      <c r="B863" s="107"/>
      <c r="C863" s="107"/>
      <c r="D863" s="107"/>
      <c r="E863" s="107"/>
      <c r="F863" s="107"/>
      <c r="G863" s="107"/>
      <c r="H863" s="107"/>
      <c r="I863" s="107"/>
      <c r="J863" s="107"/>
      <c r="K863" s="107"/>
      <c r="L863" s="107"/>
      <c r="M863" s="107"/>
      <c r="N863" s="107"/>
      <c r="O863" s="107"/>
      <c r="P863" s="107"/>
      <c r="Q863" s="107"/>
    </row>
    <row r="864" ht="15.75" customHeight="1">
      <c r="A864" s="107"/>
      <c r="B864" s="107"/>
      <c r="C864" s="107"/>
      <c r="D864" s="107"/>
      <c r="E864" s="107"/>
      <c r="F864" s="107"/>
      <c r="G864" s="107"/>
      <c r="H864" s="107"/>
      <c r="I864" s="107"/>
      <c r="J864" s="107"/>
      <c r="K864" s="107"/>
      <c r="L864" s="107"/>
      <c r="M864" s="107"/>
      <c r="N864" s="107"/>
      <c r="O864" s="107"/>
      <c r="P864" s="107"/>
      <c r="Q864" s="107"/>
    </row>
    <row r="865" ht="15.75" customHeight="1">
      <c r="A865" s="107"/>
      <c r="B865" s="107"/>
      <c r="C865" s="107"/>
      <c r="D865" s="107"/>
      <c r="E865" s="107"/>
      <c r="F865" s="107"/>
      <c r="G865" s="107"/>
      <c r="H865" s="107"/>
      <c r="I865" s="107"/>
      <c r="J865" s="107"/>
      <c r="K865" s="107"/>
      <c r="L865" s="107"/>
      <c r="M865" s="107"/>
      <c r="N865" s="107"/>
      <c r="O865" s="107"/>
      <c r="P865" s="107"/>
      <c r="Q865" s="107"/>
    </row>
    <row r="866" ht="15.75" customHeight="1">
      <c r="A866" s="107"/>
      <c r="B866" s="107"/>
      <c r="C866" s="107"/>
      <c r="D866" s="107"/>
      <c r="E866" s="107"/>
      <c r="F866" s="107"/>
      <c r="G866" s="107"/>
      <c r="H866" s="107"/>
      <c r="I866" s="107"/>
      <c r="J866" s="107"/>
      <c r="K866" s="107"/>
      <c r="L866" s="107"/>
      <c r="M866" s="107"/>
      <c r="N866" s="107"/>
      <c r="O866" s="107"/>
      <c r="P866" s="107"/>
      <c r="Q866" s="107"/>
    </row>
    <row r="867" ht="15.75" customHeight="1">
      <c r="A867" s="107"/>
      <c r="B867" s="107"/>
      <c r="C867" s="107"/>
      <c r="D867" s="107"/>
      <c r="E867" s="107"/>
      <c r="F867" s="107"/>
      <c r="G867" s="107"/>
      <c r="H867" s="107"/>
      <c r="I867" s="107"/>
      <c r="J867" s="107"/>
      <c r="K867" s="107"/>
      <c r="L867" s="107"/>
      <c r="M867" s="107"/>
      <c r="N867" s="107"/>
      <c r="O867" s="107"/>
      <c r="P867" s="107"/>
      <c r="Q867" s="107"/>
    </row>
    <row r="868" ht="15.75" customHeight="1">
      <c r="A868" s="107"/>
      <c r="B868" s="107"/>
      <c r="C868" s="107"/>
      <c r="D868" s="107"/>
      <c r="E868" s="107"/>
      <c r="F868" s="107"/>
      <c r="G868" s="107"/>
      <c r="H868" s="107"/>
      <c r="I868" s="107"/>
      <c r="J868" s="107"/>
      <c r="K868" s="107"/>
      <c r="L868" s="107"/>
      <c r="M868" s="107"/>
      <c r="N868" s="107"/>
      <c r="O868" s="107"/>
      <c r="P868" s="107"/>
      <c r="Q868" s="107"/>
    </row>
    <row r="869" ht="15.75" customHeight="1">
      <c r="A869" s="107"/>
      <c r="B869" s="107"/>
      <c r="C869" s="107"/>
      <c r="D869" s="107"/>
      <c r="E869" s="107"/>
      <c r="F869" s="107"/>
      <c r="G869" s="107"/>
      <c r="H869" s="107"/>
      <c r="I869" s="107"/>
      <c r="J869" s="107"/>
      <c r="K869" s="107"/>
      <c r="L869" s="107"/>
      <c r="M869" s="107"/>
      <c r="N869" s="107"/>
      <c r="O869" s="107"/>
      <c r="P869" s="107"/>
      <c r="Q869" s="107"/>
    </row>
    <row r="870" ht="15.75" customHeight="1">
      <c r="A870" s="107"/>
      <c r="B870" s="107"/>
      <c r="C870" s="107"/>
      <c r="D870" s="107"/>
      <c r="E870" s="107"/>
      <c r="F870" s="107"/>
      <c r="G870" s="107"/>
      <c r="H870" s="107"/>
      <c r="I870" s="107"/>
      <c r="J870" s="107"/>
      <c r="K870" s="107"/>
      <c r="L870" s="107"/>
      <c r="M870" s="107"/>
      <c r="N870" s="107"/>
      <c r="O870" s="107"/>
      <c r="P870" s="107"/>
      <c r="Q870" s="107"/>
    </row>
    <row r="871" ht="15.75" customHeight="1">
      <c r="A871" s="107"/>
      <c r="B871" s="107"/>
      <c r="C871" s="107"/>
      <c r="D871" s="107"/>
      <c r="E871" s="107"/>
      <c r="F871" s="107"/>
      <c r="G871" s="107"/>
      <c r="H871" s="107"/>
      <c r="I871" s="107"/>
      <c r="J871" s="107"/>
      <c r="K871" s="107"/>
      <c r="L871" s="107"/>
      <c r="M871" s="107"/>
      <c r="N871" s="107"/>
      <c r="O871" s="107"/>
      <c r="P871" s="107"/>
      <c r="Q871" s="107"/>
    </row>
    <row r="872" ht="15.75" customHeight="1">
      <c r="A872" s="107"/>
      <c r="B872" s="107"/>
      <c r="C872" s="107"/>
      <c r="D872" s="107"/>
      <c r="E872" s="107"/>
      <c r="F872" s="107"/>
      <c r="G872" s="107"/>
      <c r="H872" s="107"/>
      <c r="I872" s="107"/>
      <c r="J872" s="107"/>
      <c r="K872" s="107"/>
      <c r="L872" s="107"/>
      <c r="M872" s="107"/>
      <c r="N872" s="107"/>
      <c r="O872" s="107"/>
      <c r="P872" s="107"/>
      <c r="Q872" s="107"/>
    </row>
    <row r="873" ht="15.75" customHeight="1">
      <c r="A873" s="107"/>
      <c r="B873" s="107"/>
      <c r="C873" s="107"/>
      <c r="D873" s="107"/>
      <c r="E873" s="107"/>
      <c r="F873" s="107"/>
      <c r="G873" s="107"/>
      <c r="H873" s="107"/>
      <c r="I873" s="107"/>
      <c r="J873" s="107"/>
      <c r="K873" s="107"/>
      <c r="L873" s="107"/>
      <c r="M873" s="107"/>
      <c r="N873" s="107"/>
      <c r="O873" s="107"/>
      <c r="P873" s="107"/>
      <c r="Q873" s="107"/>
    </row>
    <row r="874" ht="15.75" customHeight="1">
      <c r="A874" s="107"/>
      <c r="B874" s="107"/>
      <c r="C874" s="107"/>
      <c r="D874" s="107"/>
      <c r="E874" s="107"/>
      <c r="F874" s="107"/>
      <c r="G874" s="107"/>
      <c r="H874" s="107"/>
      <c r="I874" s="107"/>
      <c r="J874" s="107"/>
      <c r="K874" s="107"/>
      <c r="L874" s="107"/>
      <c r="M874" s="107"/>
      <c r="N874" s="107"/>
      <c r="O874" s="107"/>
      <c r="P874" s="107"/>
      <c r="Q874" s="107"/>
    </row>
    <row r="875" ht="15.75" customHeight="1">
      <c r="A875" s="107"/>
      <c r="B875" s="107"/>
      <c r="C875" s="107"/>
      <c r="D875" s="107"/>
      <c r="E875" s="107"/>
      <c r="F875" s="107"/>
      <c r="G875" s="107"/>
      <c r="H875" s="107"/>
      <c r="I875" s="107"/>
      <c r="J875" s="107"/>
      <c r="K875" s="107"/>
      <c r="L875" s="107"/>
      <c r="M875" s="107"/>
      <c r="N875" s="107"/>
      <c r="O875" s="107"/>
      <c r="P875" s="107"/>
      <c r="Q875" s="107"/>
    </row>
    <row r="876" ht="15.75" customHeight="1">
      <c r="A876" s="107"/>
      <c r="B876" s="107"/>
      <c r="C876" s="107"/>
      <c r="D876" s="107"/>
      <c r="E876" s="107"/>
      <c r="F876" s="107"/>
      <c r="G876" s="107"/>
      <c r="H876" s="107"/>
      <c r="I876" s="107"/>
      <c r="J876" s="107"/>
      <c r="K876" s="107"/>
      <c r="L876" s="107"/>
      <c r="M876" s="107"/>
      <c r="N876" s="107"/>
      <c r="O876" s="107"/>
      <c r="P876" s="107"/>
      <c r="Q876" s="107"/>
    </row>
    <row r="877" ht="15.75" customHeight="1">
      <c r="A877" s="107"/>
      <c r="B877" s="107"/>
      <c r="C877" s="107"/>
      <c r="D877" s="107"/>
      <c r="E877" s="107"/>
      <c r="F877" s="107"/>
      <c r="G877" s="107"/>
      <c r="H877" s="107"/>
      <c r="I877" s="107"/>
      <c r="J877" s="107"/>
      <c r="K877" s="107"/>
      <c r="L877" s="107"/>
      <c r="M877" s="107"/>
      <c r="N877" s="107"/>
      <c r="O877" s="107"/>
      <c r="P877" s="107"/>
      <c r="Q877" s="107"/>
    </row>
    <row r="878" ht="15.75" customHeight="1">
      <c r="A878" s="107"/>
      <c r="B878" s="107"/>
      <c r="C878" s="107"/>
      <c r="D878" s="107"/>
      <c r="E878" s="107"/>
      <c r="F878" s="107"/>
      <c r="G878" s="107"/>
      <c r="H878" s="107"/>
      <c r="I878" s="107"/>
      <c r="J878" s="107"/>
      <c r="K878" s="107"/>
      <c r="L878" s="107"/>
      <c r="M878" s="107"/>
      <c r="N878" s="107"/>
      <c r="O878" s="107"/>
      <c r="P878" s="107"/>
      <c r="Q878" s="107"/>
    </row>
    <row r="879" ht="15.75" customHeight="1">
      <c r="A879" s="107"/>
      <c r="B879" s="107"/>
      <c r="C879" s="107"/>
      <c r="D879" s="107"/>
      <c r="E879" s="107"/>
      <c r="F879" s="107"/>
      <c r="G879" s="107"/>
      <c r="H879" s="107"/>
      <c r="I879" s="107"/>
      <c r="J879" s="107"/>
      <c r="K879" s="107"/>
      <c r="L879" s="107"/>
      <c r="M879" s="107"/>
      <c r="N879" s="107"/>
      <c r="O879" s="107"/>
      <c r="P879" s="107"/>
      <c r="Q879" s="107"/>
    </row>
    <row r="880" ht="15.75" customHeight="1">
      <c r="A880" s="107"/>
      <c r="B880" s="107"/>
      <c r="C880" s="107"/>
      <c r="D880" s="107"/>
      <c r="E880" s="107"/>
      <c r="F880" s="107"/>
      <c r="G880" s="107"/>
      <c r="H880" s="107"/>
      <c r="I880" s="107"/>
      <c r="J880" s="107"/>
      <c r="K880" s="107"/>
      <c r="L880" s="107"/>
      <c r="M880" s="107"/>
      <c r="N880" s="107"/>
      <c r="O880" s="107"/>
      <c r="P880" s="107"/>
      <c r="Q880" s="107"/>
    </row>
    <row r="881" ht="15.75" customHeight="1">
      <c r="A881" s="107"/>
      <c r="B881" s="107"/>
      <c r="C881" s="107"/>
      <c r="D881" s="107"/>
      <c r="E881" s="107"/>
      <c r="F881" s="107"/>
      <c r="G881" s="107"/>
      <c r="H881" s="107"/>
      <c r="I881" s="107"/>
      <c r="J881" s="107"/>
      <c r="K881" s="107"/>
      <c r="L881" s="107"/>
      <c r="M881" s="107"/>
      <c r="N881" s="107"/>
      <c r="O881" s="107"/>
      <c r="P881" s="107"/>
      <c r="Q881" s="107"/>
    </row>
    <row r="882" ht="15.75" customHeight="1">
      <c r="A882" s="107"/>
      <c r="B882" s="107"/>
      <c r="C882" s="107"/>
      <c r="D882" s="107"/>
      <c r="E882" s="107"/>
      <c r="F882" s="107"/>
      <c r="G882" s="107"/>
      <c r="H882" s="107"/>
      <c r="I882" s="107"/>
      <c r="J882" s="107"/>
      <c r="K882" s="107"/>
      <c r="L882" s="107"/>
      <c r="M882" s="107"/>
      <c r="N882" s="107"/>
      <c r="O882" s="107"/>
      <c r="P882" s="107"/>
      <c r="Q882" s="107"/>
    </row>
    <row r="883" ht="15.75" customHeight="1">
      <c r="A883" s="107"/>
      <c r="B883" s="107"/>
      <c r="C883" s="107"/>
      <c r="D883" s="107"/>
      <c r="E883" s="107"/>
      <c r="F883" s="107"/>
      <c r="G883" s="107"/>
      <c r="H883" s="107"/>
      <c r="I883" s="107"/>
      <c r="J883" s="107"/>
      <c r="K883" s="107"/>
      <c r="L883" s="107"/>
      <c r="M883" s="107"/>
      <c r="N883" s="107"/>
      <c r="O883" s="107"/>
      <c r="P883" s="107"/>
      <c r="Q883" s="107"/>
    </row>
    <row r="884" ht="15.75" customHeight="1">
      <c r="A884" s="107"/>
      <c r="B884" s="107"/>
      <c r="C884" s="107"/>
      <c r="D884" s="107"/>
      <c r="E884" s="107"/>
      <c r="F884" s="107"/>
      <c r="G884" s="107"/>
      <c r="H884" s="107"/>
      <c r="I884" s="107"/>
      <c r="J884" s="107"/>
      <c r="K884" s="107"/>
      <c r="L884" s="107"/>
      <c r="M884" s="107"/>
      <c r="N884" s="107"/>
      <c r="O884" s="107"/>
      <c r="P884" s="107"/>
      <c r="Q884" s="107"/>
    </row>
    <row r="885" ht="15.75" customHeight="1">
      <c r="A885" s="107"/>
      <c r="B885" s="107"/>
      <c r="C885" s="107"/>
      <c r="D885" s="107"/>
      <c r="E885" s="107"/>
      <c r="F885" s="107"/>
      <c r="G885" s="107"/>
      <c r="H885" s="107"/>
      <c r="I885" s="107"/>
      <c r="J885" s="107"/>
      <c r="K885" s="107"/>
      <c r="L885" s="107"/>
      <c r="M885" s="107"/>
      <c r="N885" s="107"/>
      <c r="O885" s="107"/>
      <c r="P885" s="107"/>
      <c r="Q885" s="107"/>
    </row>
    <row r="886" ht="15.75" customHeight="1">
      <c r="A886" s="107"/>
      <c r="B886" s="107"/>
      <c r="C886" s="107"/>
      <c r="D886" s="107"/>
      <c r="E886" s="107"/>
      <c r="F886" s="107"/>
      <c r="G886" s="107"/>
      <c r="H886" s="107"/>
      <c r="I886" s="107"/>
      <c r="J886" s="107"/>
      <c r="K886" s="107"/>
      <c r="L886" s="107"/>
      <c r="M886" s="107"/>
      <c r="N886" s="107"/>
      <c r="O886" s="107"/>
      <c r="P886" s="107"/>
      <c r="Q886" s="107"/>
    </row>
    <row r="887" ht="15.75" customHeight="1">
      <c r="A887" s="107"/>
      <c r="B887" s="107"/>
      <c r="C887" s="107"/>
      <c r="D887" s="107"/>
      <c r="E887" s="107"/>
      <c r="F887" s="107"/>
      <c r="G887" s="107"/>
      <c r="H887" s="107"/>
      <c r="I887" s="107"/>
      <c r="J887" s="107"/>
      <c r="K887" s="107"/>
      <c r="L887" s="107"/>
      <c r="M887" s="107"/>
      <c r="N887" s="107"/>
      <c r="O887" s="107"/>
      <c r="P887" s="107"/>
      <c r="Q887" s="107"/>
    </row>
    <row r="888" ht="15.75" customHeight="1">
      <c r="A888" s="107"/>
      <c r="B888" s="107"/>
      <c r="C888" s="107"/>
      <c r="D888" s="107"/>
      <c r="E888" s="107"/>
      <c r="F888" s="107"/>
      <c r="G888" s="107"/>
      <c r="H888" s="107"/>
      <c r="I888" s="107"/>
      <c r="J888" s="107"/>
      <c r="K888" s="107"/>
      <c r="L888" s="107"/>
      <c r="M888" s="107"/>
      <c r="N888" s="107"/>
      <c r="O888" s="107"/>
      <c r="P888" s="107"/>
      <c r="Q888" s="107"/>
    </row>
    <row r="889" ht="15.75" customHeight="1">
      <c r="A889" s="107"/>
      <c r="B889" s="107"/>
      <c r="C889" s="107"/>
      <c r="D889" s="107"/>
      <c r="E889" s="107"/>
      <c r="F889" s="107"/>
      <c r="G889" s="107"/>
      <c r="H889" s="107"/>
      <c r="I889" s="107"/>
      <c r="J889" s="107"/>
      <c r="K889" s="107"/>
      <c r="L889" s="107"/>
      <c r="M889" s="107"/>
      <c r="N889" s="107"/>
      <c r="O889" s="107"/>
      <c r="P889" s="107"/>
      <c r="Q889" s="107"/>
    </row>
    <row r="890" ht="15.75" customHeight="1">
      <c r="A890" s="107"/>
      <c r="B890" s="107"/>
      <c r="C890" s="107"/>
      <c r="D890" s="107"/>
      <c r="E890" s="107"/>
      <c r="F890" s="107"/>
      <c r="G890" s="107"/>
      <c r="H890" s="107"/>
      <c r="I890" s="107"/>
      <c r="J890" s="107"/>
      <c r="K890" s="107"/>
      <c r="L890" s="107"/>
      <c r="M890" s="107"/>
      <c r="N890" s="107"/>
      <c r="O890" s="107"/>
      <c r="P890" s="107"/>
      <c r="Q890" s="107"/>
    </row>
    <row r="891" ht="15.75" customHeight="1">
      <c r="A891" s="107"/>
      <c r="B891" s="107"/>
      <c r="C891" s="107"/>
      <c r="D891" s="107"/>
      <c r="E891" s="107"/>
      <c r="F891" s="107"/>
      <c r="G891" s="107"/>
      <c r="H891" s="107"/>
      <c r="I891" s="107"/>
      <c r="J891" s="107"/>
      <c r="K891" s="107"/>
      <c r="L891" s="107"/>
      <c r="M891" s="107"/>
      <c r="N891" s="107"/>
      <c r="O891" s="107"/>
      <c r="P891" s="107"/>
      <c r="Q891" s="107"/>
    </row>
    <row r="892" ht="15.75" customHeight="1">
      <c r="A892" s="107"/>
      <c r="B892" s="107"/>
      <c r="C892" s="107"/>
      <c r="D892" s="107"/>
      <c r="E892" s="107"/>
      <c r="F892" s="107"/>
      <c r="G892" s="107"/>
      <c r="H892" s="107"/>
      <c r="I892" s="107"/>
      <c r="J892" s="107"/>
      <c r="K892" s="107"/>
      <c r="L892" s="107"/>
      <c r="M892" s="107"/>
      <c r="N892" s="107"/>
      <c r="O892" s="107"/>
      <c r="P892" s="107"/>
      <c r="Q892" s="107"/>
    </row>
    <row r="893" ht="15.75" customHeight="1">
      <c r="A893" s="107"/>
      <c r="B893" s="107"/>
      <c r="C893" s="107"/>
      <c r="D893" s="107"/>
      <c r="E893" s="107"/>
      <c r="F893" s="107"/>
      <c r="G893" s="107"/>
      <c r="H893" s="107"/>
      <c r="I893" s="107"/>
      <c r="J893" s="107"/>
      <c r="K893" s="107"/>
      <c r="L893" s="107"/>
      <c r="M893" s="107"/>
      <c r="N893" s="107"/>
      <c r="O893" s="107"/>
      <c r="P893" s="107"/>
      <c r="Q893" s="107"/>
    </row>
    <row r="894" ht="15.75" customHeight="1">
      <c r="A894" s="107"/>
      <c r="B894" s="107"/>
      <c r="C894" s="107"/>
      <c r="D894" s="107"/>
      <c r="E894" s="107"/>
      <c r="F894" s="107"/>
      <c r="G894" s="107"/>
      <c r="H894" s="107"/>
      <c r="I894" s="107"/>
      <c r="J894" s="107"/>
      <c r="K894" s="107"/>
      <c r="L894" s="107"/>
      <c r="M894" s="107"/>
      <c r="N894" s="107"/>
      <c r="O894" s="107"/>
      <c r="P894" s="107"/>
      <c r="Q894" s="107"/>
    </row>
    <row r="895" ht="15.75" customHeight="1">
      <c r="A895" s="107"/>
      <c r="B895" s="107"/>
      <c r="C895" s="107"/>
      <c r="D895" s="107"/>
      <c r="E895" s="107"/>
      <c r="F895" s="107"/>
      <c r="G895" s="107"/>
      <c r="H895" s="107"/>
      <c r="I895" s="107"/>
      <c r="J895" s="107"/>
      <c r="K895" s="107"/>
      <c r="L895" s="107"/>
      <c r="M895" s="107"/>
      <c r="N895" s="107"/>
      <c r="O895" s="107"/>
      <c r="P895" s="107"/>
      <c r="Q895" s="107"/>
    </row>
    <row r="896" ht="15.75" customHeight="1">
      <c r="A896" s="107"/>
      <c r="B896" s="107"/>
      <c r="C896" s="107"/>
      <c r="D896" s="107"/>
      <c r="E896" s="107"/>
      <c r="F896" s="107"/>
      <c r="G896" s="107"/>
      <c r="H896" s="107"/>
      <c r="I896" s="107"/>
      <c r="J896" s="107"/>
      <c r="K896" s="107"/>
      <c r="L896" s="107"/>
      <c r="M896" s="107"/>
      <c r="N896" s="107"/>
      <c r="O896" s="107"/>
      <c r="P896" s="107"/>
      <c r="Q896" s="107"/>
    </row>
    <row r="897" ht="15.75" customHeight="1">
      <c r="A897" s="107"/>
      <c r="B897" s="107"/>
      <c r="C897" s="107"/>
      <c r="D897" s="107"/>
      <c r="E897" s="107"/>
      <c r="F897" s="107"/>
      <c r="G897" s="107"/>
      <c r="H897" s="107"/>
      <c r="I897" s="107"/>
      <c r="J897" s="107"/>
      <c r="K897" s="107"/>
      <c r="L897" s="107"/>
      <c r="M897" s="107"/>
      <c r="N897" s="107"/>
      <c r="O897" s="107"/>
      <c r="P897" s="107"/>
      <c r="Q897" s="107"/>
    </row>
    <row r="898" ht="15.75" customHeight="1">
      <c r="A898" s="107"/>
      <c r="B898" s="107"/>
      <c r="C898" s="107"/>
      <c r="D898" s="107"/>
      <c r="E898" s="107"/>
      <c r="F898" s="107"/>
      <c r="G898" s="107"/>
      <c r="H898" s="107"/>
      <c r="I898" s="107"/>
      <c r="J898" s="107"/>
      <c r="K898" s="107"/>
      <c r="L898" s="107"/>
      <c r="M898" s="107"/>
      <c r="N898" s="107"/>
      <c r="O898" s="107"/>
      <c r="P898" s="107"/>
      <c r="Q898" s="107"/>
    </row>
    <row r="899" ht="15.75" customHeight="1">
      <c r="A899" s="107"/>
      <c r="B899" s="107"/>
      <c r="C899" s="107"/>
      <c r="D899" s="107"/>
      <c r="E899" s="107"/>
      <c r="F899" s="107"/>
      <c r="G899" s="107"/>
      <c r="H899" s="107"/>
      <c r="I899" s="107"/>
      <c r="J899" s="107"/>
      <c r="K899" s="107"/>
      <c r="L899" s="107"/>
      <c r="M899" s="107"/>
      <c r="N899" s="107"/>
      <c r="O899" s="107"/>
      <c r="P899" s="107"/>
      <c r="Q899" s="107"/>
    </row>
    <row r="900" ht="15.75" customHeight="1">
      <c r="A900" s="107"/>
      <c r="B900" s="107"/>
      <c r="C900" s="107"/>
      <c r="D900" s="107"/>
      <c r="E900" s="107"/>
      <c r="F900" s="107"/>
      <c r="G900" s="107"/>
      <c r="H900" s="107"/>
      <c r="I900" s="107"/>
      <c r="J900" s="107"/>
      <c r="K900" s="107"/>
      <c r="L900" s="107"/>
      <c r="M900" s="107"/>
      <c r="N900" s="107"/>
      <c r="O900" s="107"/>
      <c r="P900" s="107"/>
      <c r="Q900" s="107"/>
    </row>
    <row r="901" ht="15.75" customHeight="1">
      <c r="A901" s="107"/>
      <c r="B901" s="107"/>
      <c r="C901" s="107"/>
      <c r="D901" s="107"/>
      <c r="E901" s="107"/>
      <c r="F901" s="107"/>
      <c r="G901" s="107"/>
      <c r="H901" s="107"/>
      <c r="I901" s="107"/>
      <c r="J901" s="107"/>
      <c r="K901" s="107"/>
      <c r="L901" s="107"/>
      <c r="M901" s="107"/>
      <c r="N901" s="107"/>
      <c r="O901" s="107"/>
      <c r="P901" s="107"/>
      <c r="Q901" s="107"/>
    </row>
    <row r="902" ht="15.75" customHeight="1">
      <c r="A902" s="107"/>
      <c r="B902" s="107"/>
      <c r="C902" s="107"/>
      <c r="D902" s="107"/>
      <c r="E902" s="107"/>
      <c r="F902" s="107"/>
      <c r="G902" s="107"/>
      <c r="H902" s="107"/>
      <c r="I902" s="107"/>
      <c r="J902" s="107"/>
      <c r="K902" s="107"/>
      <c r="L902" s="107"/>
      <c r="M902" s="107"/>
      <c r="N902" s="107"/>
      <c r="O902" s="107"/>
      <c r="P902" s="107"/>
      <c r="Q902" s="107"/>
    </row>
    <row r="903" ht="15.75" customHeight="1">
      <c r="A903" s="107"/>
      <c r="B903" s="107"/>
      <c r="C903" s="107"/>
      <c r="D903" s="107"/>
      <c r="E903" s="107"/>
      <c r="F903" s="107"/>
      <c r="G903" s="107"/>
      <c r="H903" s="107"/>
      <c r="I903" s="107"/>
      <c r="J903" s="107"/>
      <c r="K903" s="107"/>
      <c r="L903" s="107"/>
      <c r="M903" s="107"/>
      <c r="N903" s="107"/>
      <c r="O903" s="107"/>
      <c r="P903" s="107"/>
      <c r="Q903" s="107"/>
    </row>
    <row r="904" ht="15.75" customHeight="1">
      <c r="A904" s="107"/>
      <c r="B904" s="107"/>
      <c r="C904" s="107"/>
      <c r="D904" s="107"/>
      <c r="E904" s="107"/>
      <c r="F904" s="107"/>
      <c r="G904" s="107"/>
      <c r="H904" s="107"/>
      <c r="I904" s="107"/>
      <c r="J904" s="107"/>
      <c r="K904" s="107"/>
      <c r="L904" s="107"/>
      <c r="M904" s="107"/>
      <c r="N904" s="107"/>
      <c r="O904" s="107"/>
      <c r="P904" s="107"/>
      <c r="Q904" s="107"/>
    </row>
    <row r="905" ht="15.75" customHeight="1">
      <c r="A905" s="107"/>
      <c r="B905" s="107"/>
      <c r="C905" s="107"/>
      <c r="D905" s="107"/>
      <c r="E905" s="107"/>
      <c r="F905" s="107"/>
      <c r="G905" s="107"/>
      <c r="H905" s="107"/>
      <c r="I905" s="107"/>
      <c r="J905" s="107"/>
      <c r="K905" s="107"/>
      <c r="L905" s="107"/>
      <c r="M905" s="107"/>
      <c r="N905" s="107"/>
      <c r="O905" s="107"/>
      <c r="P905" s="107"/>
      <c r="Q905" s="107"/>
    </row>
    <row r="906" ht="15.75" customHeight="1">
      <c r="A906" s="107"/>
      <c r="B906" s="107"/>
      <c r="C906" s="107"/>
      <c r="D906" s="107"/>
      <c r="E906" s="107"/>
      <c r="F906" s="107"/>
      <c r="G906" s="107"/>
      <c r="H906" s="107"/>
      <c r="I906" s="107"/>
      <c r="J906" s="107"/>
      <c r="K906" s="107"/>
      <c r="L906" s="107"/>
      <c r="M906" s="107"/>
      <c r="N906" s="107"/>
      <c r="O906" s="107"/>
      <c r="P906" s="107"/>
      <c r="Q906" s="107"/>
    </row>
    <row r="907" ht="15.75" customHeight="1">
      <c r="A907" s="107"/>
      <c r="B907" s="107"/>
      <c r="C907" s="107"/>
      <c r="D907" s="107"/>
      <c r="E907" s="107"/>
      <c r="F907" s="107"/>
      <c r="G907" s="107"/>
      <c r="H907" s="107"/>
      <c r="I907" s="107"/>
      <c r="J907" s="107"/>
      <c r="K907" s="107"/>
      <c r="L907" s="107"/>
      <c r="M907" s="107"/>
      <c r="N907" s="107"/>
      <c r="O907" s="107"/>
      <c r="P907" s="107"/>
      <c r="Q907" s="107"/>
    </row>
    <row r="908" ht="15.75" customHeight="1">
      <c r="A908" s="107"/>
      <c r="B908" s="107"/>
      <c r="C908" s="107"/>
      <c r="D908" s="107"/>
      <c r="E908" s="107"/>
      <c r="F908" s="107"/>
      <c r="G908" s="107"/>
      <c r="H908" s="107"/>
      <c r="I908" s="107"/>
      <c r="J908" s="107"/>
      <c r="K908" s="107"/>
      <c r="L908" s="107"/>
      <c r="M908" s="107"/>
      <c r="N908" s="107"/>
      <c r="O908" s="107"/>
      <c r="P908" s="107"/>
      <c r="Q908" s="107"/>
    </row>
    <row r="909" ht="15.75" customHeight="1">
      <c r="A909" s="107"/>
      <c r="B909" s="107"/>
      <c r="C909" s="107"/>
      <c r="D909" s="107"/>
      <c r="E909" s="107"/>
      <c r="F909" s="107"/>
      <c r="G909" s="107"/>
      <c r="H909" s="107"/>
      <c r="I909" s="107"/>
      <c r="J909" s="107"/>
      <c r="K909" s="107"/>
      <c r="L909" s="107"/>
      <c r="M909" s="107"/>
      <c r="N909" s="107"/>
      <c r="O909" s="107"/>
      <c r="P909" s="107"/>
      <c r="Q909" s="107"/>
    </row>
    <row r="910" ht="15.75" customHeight="1">
      <c r="A910" s="107"/>
      <c r="B910" s="107"/>
      <c r="C910" s="107"/>
      <c r="D910" s="107"/>
      <c r="E910" s="107"/>
      <c r="F910" s="107"/>
      <c r="G910" s="107"/>
      <c r="H910" s="107"/>
      <c r="I910" s="107"/>
      <c r="J910" s="107"/>
      <c r="K910" s="107"/>
      <c r="L910" s="107"/>
      <c r="M910" s="107"/>
      <c r="N910" s="107"/>
      <c r="O910" s="107"/>
      <c r="P910" s="107"/>
      <c r="Q910" s="107"/>
    </row>
    <row r="911" ht="15.75" customHeight="1">
      <c r="A911" s="107"/>
      <c r="B911" s="107"/>
      <c r="C911" s="107"/>
      <c r="D911" s="107"/>
      <c r="E911" s="107"/>
      <c r="F911" s="107"/>
      <c r="G911" s="107"/>
      <c r="H911" s="107"/>
      <c r="I911" s="107"/>
      <c r="J911" s="107"/>
      <c r="K911" s="107"/>
      <c r="L911" s="107"/>
      <c r="M911" s="107"/>
      <c r="N911" s="107"/>
      <c r="O911" s="107"/>
      <c r="P911" s="107"/>
      <c r="Q911" s="107"/>
    </row>
    <row r="912" ht="15.75" customHeight="1">
      <c r="A912" s="107"/>
      <c r="B912" s="107"/>
      <c r="C912" s="107"/>
      <c r="D912" s="107"/>
      <c r="E912" s="107"/>
      <c r="F912" s="107"/>
      <c r="G912" s="107"/>
      <c r="H912" s="107"/>
      <c r="I912" s="107"/>
      <c r="J912" s="107"/>
      <c r="K912" s="107"/>
      <c r="L912" s="107"/>
      <c r="M912" s="107"/>
      <c r="N912" s="107"/>
      <c r="O912" s="107"/>
      <c r="P912" s="107"/>
      <c r="Q912" s="107"/>
    </row>
    <row r="913" ht="15.75" customHeight="1">
      <c r="A913" s="107"/>
      <c r="B913" s="107"/>
      <c r="C913" s="107"/>
      <c r="D913" s="107"/>
      <c r="E913" s="107"/>
      <c r="F913" s="107"/>
      <c r="G913" s="107"/>
      <c r="H913" s="107"/>
      <c r="I913" s="107"/>
      <c r="J913" s="107"/>
      <c r="K913" s="107"/>
      <c r="L913" s="107"/>
      <c r="M913" s="107"/>
      <c r="N913" s="107"/>
      <c r="O913" s="107"/>
      <c r="P913" s="107"/>
      <c r="Q913" s="107"/>
    </row>
    <row r="914" ht="15.75" customHeight="1">
      <c r="A914" s="107"/>
      <c r="B914" s="107"/>
      <c r="C914" s="107"/>
      <c r="D914" s="107"/>
      <c r="E914" s="107"/>
      <c r="F914" s="107"/>
      <c r="G914" s="107"/>
      <c r="H914" s="107"/>
      <c r="I914" s="107"/>
      <c r="J914" s="107"/>
      <c r="K914" s="107"/>
      <c r="L914" s="107"/>
      <c r="M914" s="107"/>
      <c r="N914" s="107"/>
      <c r="O914" s="107"/>
      <c r="P914" s="107"/>
      <c r="Q914" s="107"/>
    </row>
    <row r="915" ht="15.75" customHeight="1">
      <c r="A915" s="107"/>
      <c r="B915" s="107"/>
      <c r="C915" s="107"/>
      <c r="D915" s="107"/>
      <c r="E915" s="107"/>
      <c r="F915" s="107"/>
      <c r="G915" s="107"/>
      <c r="H915" s="107"/>
      <c r="I915" s="107"/>
      <c r="J915" s="107"/>
      <c r="K915" s="107"/>
      <c r="L915" s="107"/>
      <c r="M915" s="107"/>
      <c r="N915" s="107"/>
      <c r="O915" s="107"/>
      <c r="P915" s="107"/>
      <c r="Q915" s="107"/>
    </row>
    <row r="916" ht="15.75" customHeight="1">
      <c r="A916" s="107"/>
      <c r="B916" s="107"/>
      <c r="C916" s="107"/>
      <c r="D916" s="107"/>
      <c r="E916" s="107"/>
      <c r="F916" s="107"/>
      <c r="G916" s="107"/>
      <c r="H916" s="107"/>
      <c r="I916" s="107"/>
      <c r="J916" s="107"/>
      <c r="K916" s="107"/>
      <c r="L916" s="107"/>
      <c r="M916" s="107"/>
      <c r="N916" s="107"/>
      <c r="O916" s="107"/>
      <c r="P916" s="107"/>
      <c r="Q916" s="107"/>
    </row>
    <row r="917" ht="15.75" customHeight="1">
      <c r="A917" s="107"/>
      <c r="B917" s="107"/>
      <c r="C917" s="107"/>
      <c r="D917" s="107"/>
      <c r="E917" s="107"/>
      <c r="F917" s="107"/>
      <c r="G917" s="107"/>
      <c r="H917" s="107"/>
      <c r="I917" s="107"/>
      <c r="J917" s="107"/>
      <c r="K917" s="107"/>
      <c r="L917" s="107"/>
      <c r="M917" s="107"/>
      <c r="N917" s="107"/>
      <c r="O917" s="107"/>
      <c r="P917" s="107"/>
      <c r="Q917" s="107"/>
    </row>
    <row r="918" ht="15.75" customHeight="1">
      <c r="A918" s="107"/>
      <c r="B918" s="107"/>
      <c r="C918" s="107"/>
      <c r="D918" s="107"/>
      <c r="E918" s="107"/>
      <c r="F918" s="107"/>
      <c r="G918" s="107"/>
      <c r="H918" s="107"/>
      <c r="I918" s="107"/>
      <c r="J918" s="107"/>
      <c r="K918" s="107"/>
      <c r="L918" s="107"/>
      <c r="M918" s="107"/>
      <c r="N918" s="107"/>
      <c r="O918" s="107"/>
      <c r="P918" s="107"/>
      <c r="Q918" s="107"/>
    </row>
    <row r="919" ht="15.75" customHeight="1">
      <c r="A919" s="107"/>
      <c r="B919" s="107"/>
      <c r="C919" s="107"/>
      <c r="D919" s="107"/>
      <c r="E919" s="107"/>
      <c r="F919" s="107"/>
      <c r="G919" s="107"/>
      <c r="H919" s="107"/>
      <c r="I919" s="107"/>
      <c r="J919" s="107"/>
      <c r="K919" s="107"/>
      <c r="L919" s="107"/>
      <c r="M919" s="107"/>
      <c r="N919" s="107"/>
      <c r="O919" s="107"/>
      <c r="P919" s="107"/>
      <c r="Q919" s="107"/>
    </row>
    <row r="920" ht="15.75" customHeight="1">
      <c r="A920" s="107"/>
      <c r="B920" s="107"/>
      <c r="C920" s="107"/>
      <c r="D920" s="107"/>
      <c r="E920" s="107"/>
      <c r="F920" s="107"/>
      <c r="G920" s="107"/>
      <c r="H920" s="107"/>
      <c r="I920" s="107"/>
      <c r="J920" s="107"/>
      <c r="K920" s="107"/>
      <c r="L920" s="107"/>
      <c r="M920" s="107"/>
      <c r="N920" s="107"/>
      <c r="O920" s="107"/>
      <c r="P920" s="107"/>
      <c r="Q920" s="107"/>
    </row>
    <row r="921" ht="15.75" customHeight="1">
      <c r="A921" s="107"/>
      <c r="B921" s="107"/>
      <c r="C921" s="107"/>
      <c r="D921" s="107"/>
      <c r="E921" s="107"/>
      <c r="F921" s="107"/>
      <c r="G921" s="107"/>
      <c r="H921" s="107"/>
      <c r="I921" s="107"/>
      <c r="J921" s="107"/>
      <c r="K921" s="107"/>
      <c r="L921" s="107"/>
      <c r="M921" s="107"/>
      <c r="N921" s="107"/>
      <c r="O921" s="107"/>
      <c r="P921" s="107"/>
      <c r="Q921" s="107"/>
    </row>
    <row r="922" ht="15.75" customHeight="1">
      <c r="A922" s="107"/>
      <c r="B922" s="107"/>
      <c r="C922" s="107"/>
      <c r="D922" s="107"/>
      <c r="E922" s="107"/>
      <c r="F922" s="107"/>
      <c r="G922" s="107"/>
      <c r="H922" s="107"/>
      <c r="I922" s="107"/>
      <c r="J922" s="107"/>
      <c r="K922" s="107"/>
      <c r="L922" s="107"/>
      <c r="M922" s="107"/>
      <c r="N922" s="107"/>
      <c r="O922" s="107"/>
      <c r="P922" s="107"/>
      <c r="Q922" s="107"/>
    </row>
    <row r="923" ht="15.75" customHeight="1">
      <c r="A923" s="107"/>
      <c r="B923" s="107"/>
      <c r="C923" s="107"/>
      <c r="D923" s="107"/>
      <c r="E923" s="107"/>
      <c r="F923" s="107"/>
      <c r="G923" s="107"/>
      <c r="H923" s="107"/>
      <c r="I923" s="107"/>
      <c r="J923" s="107"/>
      <c r="K923" s="107"/>
      <c r="L923" s="107"/>
      <c r="M923" s="107"/>
      <c r="N923" s="107"/>
      <c r="O923" s="107"/>
      <c r="P923" s="107"/>
      <c r="Q923" s="107"/>
    </row>
    <row r="924" ht="15.75" customHeight="1">
      <c r="A924" s="107"/>
      <c r="B924" s="107"/>
      <c r="C924" s="107"/>
      <c r="D924" s="107"/>
      <c r="E924" s="107"/>
      <c r="F924" s="107"/>
      <c r="G924" s="107"/>
      <c r="H924" s="107"/>
      <c r="I924" s="107"/>
      <c r="J924" s="107"/>
      <c r="K924" s="107"/>
      <c r="L924" s="107"/>
      <c r="M924" s="107"/>
      <c r="N924" s="107"/>
      <c r="O924" s="107"/>
      <c r="P924" s="107"/>
      <c r="Q924" s="107"/>
    </row>
    <row r="925" ht="15.75" customHeight="1">
      <c r="A925" s="107"/>
      <c r="B925" s="107"/>
      <c r="C925" s="107"/>
      <c r="D925" s="107"/>
      <c r="E925" s="107"/>
      <c r="F925" s="107"/>
      <c r="G925" s="107"/>
      <c r="H925" s="107"/>
      <c r="I925" s="107"/>
      <c r="J925" s="107"/>
      <c r="K925" s="107"/>
      <c r="L925" s="107"/>
      <c r="M925" s="107"/>
      <c r="N925" s="107"/>
      <c r="O925" s="107"/>
      <c r="P925" s="107"/>
      <c r="Q925" s="107"/>
    </row>
    <row r="926" ht="15.75" customHeight="1">
      <c r="A926" s="107"/>
      <c r="B926" s="107"/>
      <c r="C926" s="107"/>
      <c r="D926" s="107"/>
      <c r="E926" s="107"/>
      <c r="F926" s="107"/>
      <c r="G926" s="107"/>
      <c r="H926" s="107"/>
      <c r="I926" s="107"/>
      <c r="J926" s="107"/>
      <c r="K926" s="107"/>
      <c r="L926" s="107"/>
      <c r="M926" s="107"/>
      <c r="N926" s="107"/>
      <c r="O926" s="107"/>
      <c r="P926" s="107"/>
      <c r="Q926" s="107"/>
    </row>
    <row r="927" ht="15.75" customHeight="1">
      <c r="A927" s="107"/>
      <c r="B927" s="107"/>
      <c r="C927" s="107"/>
      <c r="D927" s="107"/>
      <c r="E927" s="107"/>
      <c r="F927" s="107"/>
      <c r="G927" s="107"/>
      <c r="H927" s="107"/>
      <c r="I927" s="107"/>
      <c r="J927" s="107"/>
      <c r="K927" s="107"/>
      <c r="L927" s="107"/>
      <c r="M927" s="107"/>
      <c r="N927" s="107"/>
      <c r="O927" s="107"/>
      <c r="P927" s="107"/>
      <c r="Q927" s="107"/>
    </row>
    <row r="928" ht="15.75" customHeight="1">
      <c r="A928" s="107"/>
      <c r="B928" s="107"/>
      <c r="C928" s="107"/>
      <c r="D928" s="107"/>
      <c r="E928" s="107"/>
      <c r="F928" s="107"/>
      <c r="G928" s="107"/>
      <c r="H928" s="107"/>
      <c r="I928" s="107"/>
      <c r="J928" s="107"/>
      <c r="K928" s="107"/>
      <c r="L928" s="107"/>
      <c r="M928" s="107"/>
      <c r="N928" s="107"/>
      <c r="O928" s="107"/>
      <c r="P928" s="107"/>
      <c r="Q928" s="107"/>
    </row>
    <row r="929" ht="15.75" customHeight="1">
      <c r="A929" s="107"/>
      <c r="B929" s="107"/>
      <c r="C929" s="107"/>
      <c r="D929" s="107"/>
      <c r="E929" s="107"/>
      <c r="F929" s="107"/>
      <c r="G929" s="107"/>
      <c r="H929" s="107"/>
      <c r="I929" s="107"/>
      <c r="J929" s="107"/>
      <c r="K929" s="107"/>
      <c r="L929" s="107"/>
      <c r="M929" s="107"/>
      <c r="N929" s="107"/>
      <c r="O929" s="107"/>
      <c r="P929" s="107"/>
      <c r="Q929" s="107"/>
    </row>
    <row r="930" ht="15.75" customHeight="1">
      <c r="A930" s="107"/>
      <c r="B930" s="107"/>
      <c r="C930" s="107"/>
      <c r="D930" s="107"/>
      <c r="E930" s="107"/>
      <c r="F930" s="107"/>
      <c r="G930" s="107"/>
      <c r="H930" s="107"/>
      <c r="I930" s="107"/>
      <c r="J930" s="107"/>
      <c r="K930" s="107"/>
      <c r="L930" s="107"/>
      <c r="M930" s="107"/>
      <c r="N930" s="107"/>
      <c r="O930" s="107"/>
      <c r="P930" s="107"/>
      <c r="Q930" s="107"/>
    </row>
    <row r="931" ht="15.75" customHeight="1">
      <c r="A931" s="107"/>
      <c r="B931" s="107"/>
      <c r="C931" s="107"/>
      <c r="D931" s="107"/>
      <c r="E931" s="107"/>
      <c r="F931" s="107"/>
      <c r="G931" s="107"/>
      <c r="H931" s="107"/>
      <c r="I931" s="107"/>
      <c r="J931" s="107"/>
      <c r="K931" s="107"/>
      <c r="L931" s="107"/>
      <c r="M931" s="107"/>
      <c r="N931" s="107"/>
      <c r="O931" s="107"/>
      <c r="P931" s="107"/>
      <c r="Q931" s="107"/>
    </row>
    <row r="932" ht="15.75" customHeight="1">
      <c r="A932" s="107"/>
      <c r="B932" s="107"/>
      <c r="C932" s="107"/>
      <c r="D932" s="107"/>
      <c r="E932" s="107"/>
      <c r="F932" s="107"/>
      <c r="G932" s="107"/>
      <c r="H932" s="107"/>
      <c r="I932" s="107"/>
      <c r="J932" s="107"/>
      <c r="K932" s="107"/>
      <c r="L932" s="107"/>
      <c r="M932" s="107"/>
      <c r="N932" s="107"/>
      <c r="O932" s="107"/>
      <c r="P932" s="107"/>
      <c r="Q932" s="107"/>
    </row>
    <row r="933" ht="15.75" customHeight="1">
      <c r="A933" s="107"/>
      <c r="B933" s="107"/>
      <c r="C933" s="107"/>
      <c r="D933" s="107"/>
      <c r="E933" s="107"/>
      <c r="F933" s="107"/>
      <c r="G933" s="107"/>
      <c r="H933" s="107"/>
      <c r="I933" s="107"/>
      <c r="J933" s="107"/>
      <c r="K933" s="107"/>
      <c r="L933" s="107"/>
      <c r="M933" s="107"/>
      <c r="N933" s="107"/>
      <c r="O933" s="107"/>
      <c r="P933" s="107"/>
      <c r="Q933" s="107"/>
    </row>
    <row r="934" ht="15.75" customHeight="1">
      <c r="A934" s="107"/>
      <c r="B934" s="107"/>
      <c r="C934" s="107"/>
      <c r="D934" s="107"/>
      <c r="E934" s="107"/>
      <c r="F934" s="107"/>
      <c r="G934" s="107"/>
      <c r="H934" s="107"/>
      <c r="I934" s="107"/>
      <c r="J934" s="107"/>
      <c r="K934" s="107"/>
      <c r="L934" s="107"/>
      <c r="M934" s="107"/>
      <c r="N934" s="107"/>
      <c r="O934" s="107"/>
      <c r="P934" s="107"/>
      <c r="Q934" s="107"/>
    </row>
    <row r="935" ht="15.75" customHeight="1">
      <c r="A935" s="107"/>
      <c r="B935" s="107"/>
      <c r="C935" s="107"/>
      <c r="D935" s="107"/>
      <c r="E935" s="107"/>
      <c r="F935" s="107"/>
      <c r="G935" s="107"/>
      <c r="H935" s="107"/>
      <c r="I935" s="107"/>
      <c r="J935" s="107"/>
      <c r="K935" s="107"/>
      <c r="L935" s="107"/>
      <c r="M935" s="107"/>
      <c r="N935" s="107"/>
      <c r="O935" s="107"/>
      <c r="P935" s="107"/>
      <c r="Q935" s="107"/>
    </row>
    <row r="936" ht="15.75" customHeight="1">
      <c r="A936" s="107"/>
      <c r="B936" s="107"/>
      <c r="C936" s="107"/>
      <c r="D936" s="107"/>
      <c r="E936" s="107"/>
      <c r="F936" s="107"/>
      <c r="G936" s="107"/>
      <c r="H936" s="107"/>
      <c r="I936" s="107"/>
      <c r="J936" s="107"/>
      <c r="K936" s="107"/>
      <c r="L936" s="107"/>
      <c r="M936" s="107"/>
      <c r="N936" s="107"/>
      <c r="O936" s="107"/>
      <c r="P936" s="107"/>
      <c r="Q936" s="107"/>
    </row>
    <row r="937" ht="15.75" customHeight="1">
      <c r="A937" s="107"/>
      <c r="B937" s="107"/>
      <c r="C937" s="107"/>
      <c r="D937" s="107"/>
      <c r="E937" s="107"/>
      <c r="F937" s="107"/>
      <c r="G937" s="107"/>
      <c r="H937" s="107"/>
      <c r="I937" s="107"/>
      <c r="J937" s="107"/>
      <c r="K937" s="107"/>
      <c r="L937" s="107"/>
      <c r="M937" s="107"/>
      <c r="N937" s="107"/>
      <c r="O937" s="107"/>
      <c r="P937" s="107"/>
      <c r="Q937" s="107"/>
    </row>
    <row r="938" ht="15.75" customHeight="1">
      <c r="A938" s="107"/>
      <c r="B938" s="107"/>
      <c r="C938" s="107"/>
      <c r="D938" s="107"/>
      <c r="E938" s="107"/>
      <c r="F938" s="107"/>
      <c r="G938" s="107"/>
      <c r="H938" s="107"/>
      <c r="I938" s="107"/>
      <c r="J938" s="107"/>
      <c r="K938" s="107"/>
      <c r="L938" s="107"/>
      <c r="M938" s="107"/>
      <c r="N938" s="107"/>
      <c r="O938" s="107"/>
      <c r="P938" s="107"/>
      <c r="Q938" s="107"/>
    </row>
    <row r="939" ht="15.75" customHeight="1">
      <c r="A939" s="107"/>
      <c r="B939" s="107"/>
      <c r="C939" s="107"/>
      <c r="D939" s="107"/>
      <c r="E939" s="107"/>
      <c r="F939" s="107"/>
      <c r="G939" s="107"/>
      <c r="H939" s="107"/>
      <c r="I939" s="107"/>
      <c r="J939" s="107"/>
      <c r="K939" s="107"/>
      <c r="L939" s="107"/>
      <c r="M939" s="107"/>
      <c r="N939" s="107"/>
      <c r="O939" s="107"/>
      <c r="P939" s="107"/>
      <c r="Q939" s="107"/>
    </row>
    <row r="940" ht="15.75" customHeight="1">
      <c r="A940" s="107"/>
      <c r="B940" s="107"/>
      <c r="C940" s="107"/>
      <c r="D940" s="107"/>
      <c r="E940" s="107"/>
      <c r="F940" s="107"/>
      <c r="G940" s="107"/>
      <c r="H940" s="107"/>
      <c r="I940" s="107"/>
      <c r="J940" s="107"/>
      <c r="K940" s="107"/>
      <c r="L940" s="107"/>
      <c r="M940" s="107"/>
      <c r="N940" s="107"/>
      <c r="O940" s="107"/>
      <c r="P940" s="107"/>
      <c r="Q940" s="107"/>
    </row>
    <row r="941" ht="15.75" customHeight="1">
      <c r="A941" s="107"/>
      <c r="B941" s="107"/>
      <c r="C941" s="107"/>
      <c r="D941" s="107"/>
      <c r="E941" s="107"/>
      <c r="F941" s="107"/>
      <c r="G941" s="107"/>
      <c r="H941" s="107"/>
      <c r="I941" s="107"/>
      <c r="J941" s="107"/>
      <c r="K941" s="107"/>
      <c r="L941" s="107"/>
      <c r="M941" s="107"/>
      <c r="N941" s="107"/>
      <c r="O941" s="107"/>
      <c r="P941" s="107"/>
      <c r="Q941" s="107"/>
    </row>
    <row r="942" ht="15.75" customHeight="1">
      <c r="A942" s="107"/>
      <c r="B942" s="107"/>
      <c r="C942" s="107"/>
      <c r="D942" s="107"/>
      <c r="E942" s="107"/>
      <c r="F942" s="107"/>
      <c r="G942" s="107"/>
      <c r="H942" s="107"/>
      <c r="I942" s="107"/>
      <c r="J942" s="107"/>
      <c r="K942" s="107"/>
      <c r="L942" s="107"/>
      <c r="M942" s="107"/>
      <c r="N942" s="107"/>
      <c r="O942" s="107"/>
      <c r="P942" s="107"/>
      <c r="Q942" s="107"/>
    </row>
    <row r="943" ht="15.75" customHeight="1">
      <c r="A943" s="107"/>
      <c r="B943" s="107"/>
      <c r="C943" s="107"/>
      <c r="D943" s="107"/>
      <c r="E943" s="107"/>
      <c r="F943" s="107"/>
      <c r="G943" s="107"/>
      <c r="H943" s="107"/>
      <c r="I943" s="107"/>
      <c r="J943" s="107"/>
      <c r="K943" s="107"/>
      <c r="L943" s="107"/>
      <c r="M943" s="107"/>
      <c r="N943" s="107"/>
      <c r="O943" s="107"/>
      <c r="P943" s="107"/>
      <c r="Q943" s="107"/>
    </row>
    <row r="944" ht="15.75" customHeight="1">
      <c r="A944" s="107"/>
      <c r="B944" s="107"/>
      <c r="C944" s="107"/>
      <c r="D944" s="107"/>
      <c r="E944" s="107"/>
      <c r="F944" s="107"/>
      <c r="G944" s="107"/>
      <c r="H944" s="107"/>
      <c r="I944" s="107"/>
      <c r="J944" s="107"/>
      <c r="K944" s="107"/>
      <c r="L944" s="107"/>
      <c r="M944" s="107"/>
      <c r="N944" s="107"/>
      <c r="O944" s="107"/>
      <c r="P944" s="107"/>
      <c r="Q944" s="107"/>
    </row>
    <row r="945" ht="15.75" customHeight="1">
      <c r="A945" s="107"/>
      <c r="B945" s="107"/>
      <c r="C945" s="107"/>
      <c r="D945" s="107"/>
      <c r="E945" s="107"/>
      <c r="F945" s="107"/>
      <c r="G945" s="107"/>
      <c r="H945" s="107"/>
      <c r="I945" s="107"/>
      <c r="J945" s="107"/>
      <c r="K945" s="107"/>
      <c r="L945" s="107"/>
      <c r="M945" s="107"/>
      <c r="N945" s="107"/>
      <c r="O945" s="107"/>
      <c r="P945" s="107"/>
      <c r="Q945" s="107"/>
    </row>
    <row r="946" ht="15.75" customHeight="1">
      <c r="A946" s="107"/>
      <c r="B946" s="107"/>
      <c r="C946" s="107"/>
      <c r="D946" s="107"/>
      <c r="E946" s="107"/>
      <c r="F946" s="107"/>
      <c r="G946" s="107"/>
      <c r="H946" s="107"/>
      <c r="I946" s="107"/>
      <c r="J946" s="107"/>
      <c r="K946" s="107"/>
      <c r="L946" s="107"/>
      <c r="M946" s="107"/>
      <c r="N946" s="107"/>
      <c r="O946" s="107"/>
      <c r="P946" s="107"/>
      <c r="Q946" s="107"/>
    </row>
    <row r="947" ht="15.75" customHeight="1">
      <c r="A947" s="107"/>
      <c r="B947" s="107"/>
      <c r="C947" s="107"/>
      <c r="D947" s="107"/>
      <c r="E947" s="107"/>
      <c r="F947" s="107"/>
      <c r="G947" s="107"/>
      <c r="H947" s="107"/>
      <c r="I947" s="107"/>
      <c r="J947" s="107"/>
      <c r="K947" s="107"/>
      <c r="L947" s="107"/>
      <c r="M947" s="107"/>
      <c r="N947" s="107"/>
      <c r="O947" s="107"/>
      <c r="P947" s="107"/>
      <c r="Q947" s="107"/>
    </row>
    <row r="948" ht="15.75" customHeight="1">
      <c r="A948" s="107"/>
      <c r="B948" s="107"/>
      <c r="C948" s="107"/>
      <c r="D948" s="107"/>
      <c r="E948" s="107"/>
      <c r="F948" s="107"/>
      <c r="G948" s="107"/>
      <c r="H948" s="107"/>
      <c r="I948" s="107"/>
      <c r="J948" s="107"/>
      <c r="K948" s="107"/>
      <c r="L948" s="107"/>
      <c r="M948" s="107"/>
      <c r="N948" s="107"/>
      <c r="O948" s="107"/>
      <c r="P948" s="107"/>
      <c r="Q948" s="107"/>
    </row>
    <row r="949" ht="15.75" customHeight="1">
      <c r="A949" s="107"/>
      <c r="B949" s="107"/>
      <c r="C949" s="107"/>
      <c r="D949" s="107"/>
      <c r="E949" s="107"/>
      <c r="F949" s="107"/>
      <c r="G949" s="107"/>
      <c r="H949" s="107"/>
      <c r="I949" s="107"/>
      <c r="J949" s="107"/>
      <c r="K949" s="107"/>
      <c r="L949" s="107"/>
      <c r="M949" s="107"/>
      <c r="N949" s="107"/>
      <c r="O949" s="107"/>
      <c r="P949" s="107"/>
      <c r="Q949" s="107"/>
    </row>
    <row r="950" ht="15.75" customHeight="1">
      <c r="A950" s="107"/>
      <c r="B950" s="107"/>
      <c r="C950" s="107"/>
      <c r="D950" s="107"/>
      <c r="E950" s="107"/>
      <c r="F950" s="107"/>
      <c r="G950" s="107"/>
      <c r="H950" s="107"/>
      <c r="I950" s="107"/>
      <c r="J950" s="107"/>
      <c r="K950" s="107"/>
      <c r="L950" s="107"/>
      <c r="M950" s="107"/>
      <c r="N950" s="107"/>
      <c r="O950" s="107"/>
      <c r="P950" s="107"/>
      <c r="Q950" s="107"/>
    </row>
    <row r="951" ht="15.75" customHeight="1">
      <c r="A951" s="107"/>
      <c r="B951" s="107"/>
      <c r="C951" s="107"/>
      <c r="D951" s="107"/>
      <c r="E951" s="107"/>
      <c r="F951" s="107"/>
      <c r="G951" s="107"/>
      <c r="H951" s="107"/>
      <c r="I951" s="107"/>
      <c r="J951" s="107"/>
      <c r="K951" s="107"/>
      <c r="L951" s="107"/>
      <c r="M951" s="107"/>
      <c r="N951" s="107"/>
      <c r="O951" s="107"/>
      <c r="P951" s="107"/>
      <c r="Q951" s="107"/>
    </row>
    <row r="952" ht="15.75" customHeight="1">
      <c r="A952" s="107"/>
      <c r="B952" s="107"/>
      <c r="C952" s="107"/>
      <c r="D952" s="107"/>
      <c r="E952" s="107"/>
      <c r="F952" s="107"/>
      <c r="G952" s="107"/>
      <c r="H952" s="107"/>
      <c r="I952" s="107"/>
      <c r="J952" s="107"/>
      <c r="K952" s="107"/>
      <c r="L952" s="107"/>
      <c r="M952" s="107"/>
      <c r="N952" s="107"/>
      <c r="O952" s="107"/>
      <c r="P952" s="107"/>
      <c r="Q952" s="107"/>
    </row>
    <row r="953" ht="15.75" customHeight="1">
      <c r="A953" s="107"/>
      <c r="B953" s="107"/>
      <c r="C953" s="107"/>
      <c r="D953" s="107"/>
      <c r="E953" s="107"/>
      <c r="F953" s="107"/>
      <c r="G953" s="107"/>
      <c r="H953" s="107"/>
      <c r="I953" s="107"/>
      <c r="J953" s="107"/>
      <c r="K953" s="107"/>
      <c r="L953" s="107"/>
      <c r="M953" s="107"/>
      <c r="N953" s="107"/>
      <c r="O953" s="107"/>
      <c r="P953" s="107"/>
      <c r="Q953" s="107"/>
    </row>
    <row r="954" ht="15.75" customHeight="1">
      <c r="A954" s="107"/>
      <c r="B954" s="107"/>
      <c r="C954" s="107"/>
      <c r="D954" s="107"/>
      <c r="E954" s="107"/>
      <c r="F954" s="107"/>
      <c r="G954" s="107"/>
      <c r="H954" s="107"/>
      <c r="I954" s="107"/>
      <c r="J954" s="107"/>
      <c r="K954" s="107"/>
      <c r="L954" s="107"/>
      <c r="M954" s="107"/>
      <c r="N954" s="107"/>
      <c r="O954" s="107"/>
      <c r="P954" s="107"/>
      <c r="Q954" s="107"/>
    </row>
    <row r="955" ht="15.75" customHeight="1">
      <c r="A955" s="107"/>
      <c r="B955" s="107"/>
      <c r="C955" s="107"/>
      <c r="D955" s="107"/>
      <c r="E955" s="107"/>
      <c r="F955" s="107"/>
      <c r="G955" s="107"/>
      <c r="H955" s="107"/>
      <c r="I955" s="107"/>
      <c r="J955" s="107"/>
      <c r="K955" s="107"/>
      <c r="L955" s="107"/>
      <c r="M955" s="107"/>
      <c r="N955" s="107"/>
      <c r="O955" s="107"/>
      <c r="P955" s="107"/>
      <c r="Q955" s="107"/>
    </row>
    <row r="956" ht="15.75" customHeight="1">
      <c r="A956" s="107"/>
      <c r="B956" s="107"/>
      <c r="C956" s="107"/>
      <c r="D956" s="107"/>
      <c r="E956" s="107"/>
      <c r="F956" s="107"/>
      <c r="G956" s="107"/>
      <c r="H956" s="107"/>
      <c r="I956" s="107"/>
      <c r="J956" s="107"/>
      <c r="K956" s="107"/>
      <c r="L956" s="107"/>
      <c r="M956" s="107"/>
      <c r="N956" s="107"/>
      <c r="O956" s="107"/>
      <c r="P956" s="107"/>
      <c r="Q956" s="107"/>
    </row>
    <row r="957" ht="15.75" customHeight="1">
      <c r="A957" s="107"/>
      <c r="B957" s="107"/>
      <c r="C957" s="107"/>
      <c r="D957" s="107"/>
      <c r="E957" s="107"/>
      <c r="F957" s="107"/>
      <c r="G957" s="107"/>
      <c r="H957" s="107"/>
      <c r="I957" s="107"/>
      <c r="J957" s="107"/>
      <c r="K957" s="107"/>
      <c r="L957" s="107"/>
      <c r="M957" s="107"/>
      <c r="N957" s="107"/>
      <c r="O957" s="107"/>
      <c r="P957" s="107"/>
      <c r="Q957" s="107"/>
    </row>
    <row r="958" ht="15.75" customHeight="1">
      <c r="A958" s="107"/>
      <c r="B958" s="107"/>
      <c r="C958" s="107"/>
      <c r="D958" s="107"/>
      <c r="E958" s="107"/>
      <c r="F958" s="107"/>
      <c r="G958" s="107"/>
      <c r="H958" s="107"/>
      <c r="I958" s="107"/>
      <c r="J958" s="107"/>
      <c r="K958" s="107"/>
      <c r="L958" s="107"/>
      <c r="M958" s="107"/>
      <c r="N958" s="107"/>
      <c r="O958" s="107"/>
      <c r="P958" s="107"/>
      <c r="Q958" s="107"/>
    </row>
    <row r="959" ht="15.75" customHeight="1">
      <c r="A959" s="107"/>
      <c r="B959" s="107"/>
      <c r="C959" s="107"/>
      <c r="D959" s="107"/>
      <c r="E959" s="107"/>
      <c r="F959" s="107"/>
      <c r="G959" s="107"/>
      <c r="H959" s="107"/>
      <c r="I959" s="107"/>
      <c r="J959" s="107"/>
      <c r="K959" s="107"/>
      <c r="L959" s="107"/>
      <c r="M959" s="107"/>
      <c r="N959" s="107"/>
      <c r="O959" s="107"/>
      <c r="P959" s="107"/>
      <c r="Q959" s="107"/>
    </row>
    <row r="960" ht="15.75" customHeight="1">
      <c r="A960" s="107"/>
      <c r="B960" s="107"/>
      <c r="C960" s="107"/>
      <c r="D960" s="107"/>
      <c r="E960" s="107"/>
      <c r="F960" s="107"/>
      <c r="G960" s="107"/>
      <c r="H960" s="107"/>
      <c r="I960" s="107"/>
      <c r="J960" s="107"/>
      <c r="K960" s="107"/>
      <c r="L960" s="107"/>
      <c r="M960" s="107"/>
      <c r="N960" s="107"/>
      <c r="O960" s="107"/>
      <c r="P960" s="107"/>
      <c r="Q960" s="107"/>
    </row>
    <row r="961" ht="15.75" customHeight="1">
      <c r="A961" s="107"/>
      <c r="B961" s="107"/>
      <c r="C961" s="107"/>
      <c r="D961" s="107"/>
      <c r="E961" s="107"/>
      <c r="F961" s="107"/>
      <c r="G961" s="107"/>
      <c r="H961" s="107"/>
      <c r="I961" s="107"/>
      <c r="J961" s="107"/>
      <c r="K961" s="107"/>
      <c r="L961" s="107"/>
      <c r="M961" s="107"/>
      <c r="N961" s="107"/>
      <c r="O961" s="107"/>
      <c r="P961" s="107"/>
      <c r="Q961" s="107"/>
    </row>
    <row r="962" ht="15.75" customHeight="1">
      <c r="A962" s="107"/>
      <c r="B962" s="107"/>
      <c r="C962" s="107"/>
      <c r="D962" s="107"/>
      <c r="E962" s="107"/>
      <c r="F962" s="107"/>
      <c r="G962" s="107"/>
      <c r="H962" s="107"/>
      <c r="I962" s="107"/>
      <c r="J962" s="107"/>
      <c r="K962" s="107"/>
      <c r="L962" s="107"/>
      <c r="M962" s="107"/>
      <c r="N962" s="107"/>
      <c r="O962" s="107"/>
      <c r="P962" s="107"/>
      <c r="Q962" s="107"/>
    </row>
    <row r="963" ht="15.75" customHeight="1">
      <c r="A963" s="107"/>
      <c r="B963" s="107"/>
      <c r="C963" s="107"/>
      <c r="D963" s="107"/>
      <c r="E963" s="107"/>
      <c r="F963" s="107"/>
      <c r="G963" s="107"/>
      <c r="H963" s="107"/>
      <c r="I963" s="107"/>
      <c r="J963" s="107"/>
      <c r="K963" s="107"/>
      <c r="L963" s="107"/>
      <c r="M963" s="107"/>
      <c r="N963" s="107"/>
      <c r="O963" s="107"/>
      <c r="P963" s="107"/>
      <c r="Q963" s="107"/>
    </row>
    <row r="964" ht="15.75" customHeight="1">
      <c r="A964" s="107"/>
      <c r="B964" s="107"/>
      <c r="C964" s="107"/>
      <c r="D964" s="107"/>
      <c r="E964" s="107"/>
      <c r="F964" s="107"/>
      <c r="G964" s="107"/>
      <c r="H964" s="107"/>
      <c r="I964" s="107"/>
      <c r="J964" s="107"/>
      <c r="K964" s="107"/>
      <c r="L964" s="107"/>
      <c r="M964" s="107"/>
      <c r="N964" s="107"/>
      <c r="O964" s="107"/>
      <c r="P964" s="107"/>
      <c r="Q964" s="107"/>
    </row>
    <row r="965" ht="15.75" customHeight="1">
      <c r="A965" s="107"/>
      <c r="B965" s="107"/>
      <c r="C965" s="107"/>
      <c r="D965" s="107"/>
      <c r="E965" s="107"/>
      <c r="F965" s="107"/>
      <c r="G965" s="107"/>
      <c r="H965" s="107"/>
      <c r="I965" s="107"/>
      <c r="J965" s="107"/>
      <c r="K965" s="107"/>
      <c r="L965" s="107"/>
      <c r="M965" s="107"/>
      <c r="N965" s="107"/>
      <c r="O965" s="107"/>
      <c r="P965" s="107"/>
      <c r="Q965" s="107"/>
    </row>
    <row r="966" ht="15.75" customHeight="1">
      <c r="A966" s="107"/>
      <c r="B966" s="107"/>
      <c r="C966" s="107"/>
      <c r="D966" s="107"/>
      <c r="E966" s="107"/>
      <c r="F966" s="107"/>
      <c r="G966" s="107"/>
      <c r="H966" s="107"/>
      <c r="I966" s="107"/>
      <c r="J966" s="107"/>
      <c r="K966" s="107"/>
      <c r="L966" s="107"/>
      <c r="M966" s="107"/>
      <c r="N966" s="107"/>
      <c r="O966" s="107"/>
      <c r="P966" s="107"/>
      <c r="Q966" s="107"/>
    </row>
    <row r="967" ht="15.75" customHeight="1">
      <c r="A967" s="107"/>
      <c r="B967" s="107"/>
      <c r="C967" s="107"/>
      <c r="D967" s="107"/>
      <c r="E967" s="107"/>
      <c r="F967" s="107"/>
      <c r="G967" s="107"/>
      <c r="H967" s="107"/>
      <c r="I967" s="107"/>
      <c r="J967" s="107"/>
      <c r="K967" s="107"/>
      <c r="L967" s="107"/>
      <c r="M967" s="107"/>
      <c r="N967" s="107"/>
      <c r="O967" s="107"/>
      <c r="P967" s="107"/>
      <c r="Q967" s="107"/>
    </row>
    <row r="968" ht="15.75" customHeight="1">
      <c r="A968" s="107"/>
      <c r="B968" s="107"/>
      <c r="C968" s="107"/>
      <c r="D968" s="107"/>
      <c r="E968" s="107"/>
      <c r="F968" s="107"/>
      <c r="G968" s="107"/>
      <c r="H968" s="107"/>
      <c r="I968" s="107"/>
      <c r="J968" s="107"/>
      <c r="K968" s="107"/>
      <c r="L968" s="107"/>
      <c r="M968" s="107"/>
      <c r="N968" s="107"/>
      <c r="O968" s="107"/>
      <c r="P968" s="107"/>
      <c r="Q968" s="107"/>
    </row>
    <row r="969" ht="15.75" customHeight="1">
      <c r="A969" s="107"/>
      <c r="B969" s="107"/>
      <c r="C969" s="107"/>
      <c r="D969" s="107"/>
      <c r="E969" s="107"/>
      <c r="F969" s="107"/>
      <c r="G969" s="107"/>
      <c r="H969" s="107"/>
      <c r="I969" s="107"/>
      <c r="J969" s="107"/>
      <c r="K969" s="107"/>
      <c r="L969" s="107"/>
      <c r="M969" s="107"/>
      <c r="N969" s="107"/>
      <c r="O969" s="107"/>
      <c r="P969" s="107"/>
      <c r="Q969" s="107"/>
    </row>
    <row r="970" ht="15.75" customHeight="1">
      <c r="A970" s="107"/>
      <c r="B970" s="107"/>
      <c r="C970" s="107"/>
      <c r="D970" s="107"/>
      <c r="E970" s="107"/>
      <c r="F970" s="107"/>
      <c r="G970" s="107"/>
      <c r="H970" s="107"/>
      <c r="I970" s="107"/>
      <c r="J970" s="107"/>
      <c r="K970" s="107"/>
      <c r="L970" s="107"/>
      <c r="M970" s="107"/>
      <c r="N970" s="107"/>
      <c r="O970" s="107"/>
      <c r="P970" s="107"/>
      <c r="Q970" s="107"/>
    </row>
    <row r="971" ht="15.75" customHeight="1">
      <c r="A971" s="107"/>
      <c r="B971" s="107"/>
      <c r="C971" s="107"/>
      <c r="D971" s="107"/>
      <c r="E971" s="107"/>
      <c r="F971" s="107"/>
      <c r="G971" s="107"/>
      <c r="H971" s="107"/>
      <c r="I971" s="107"/>
      <c r="J971" s="107"/>
      <c r="K971" s="107"/>
      <c r="L971" s="107"/>
      <c r="M971" s="107"/>
      <c r="N971" s="107"/>
      <c r="O971" s="107"/>
      <c r="P971" s="107"/>
      <c r="Q971" s="107"/>
    </row>
    <row r="972" ht="15.75" customHeight="1">
      <c r="A972" s="107"/>
      <c r="B972" s="107"/>
      <c r="C972" s="107"/>
      <c r="D972" s="107"/>
      <c r="E972" s="107"/>
      <c r="F972" s="107"/>
      <c r="G972" s="107"/>
      <c r="H972" s="107"/>
      <c r="I972" s="107"/>
      <c r="J972" s="107"/>
      <c r="K972" s="107"/>
      <c r="L972" s="107"/>
      <c r="M972" s="107"/>
      <c r="N972" s="107"/>
      <c r="O972" s="107"/>
      <c r="P972" s="107"/>
      <c r="Q972" s="107"/>
    </row>
    <row r="973" ht="15.75" customHeight="1">
      <c r="A973" s="107"/>
      <c r="E973" s="107"/>
      <c r="F973" s="107"/>
      <c r="G973" s="107"/>
      <c r="H973" s="107"/>
      <c r="I973" s="107"/>
      <c r="J973" s="107"/>
      <c r="K973" s="107"/>
      <c r="L973" s="107"/>
      <c r="M973" s="107"/>
      <c r="N973" s="107"/>
      <c r="O973" s="107"/>
      <c r="P973" s="107"/>
      <c r="Q973" s="107"/>
    </row>
    <row r="974" ht="15.75" customHeight="1">
      <c r="A974" s="107"/>
      <c r="E974" s="107"/>
      <c r="F974" s="107"/>
      <c r="G974" s="107"/>
      <c r="H974" s="107"/>
      <c r="I974" s="107"/>
      <c r="J974" s="107"/>
      <c r="K974" s="107"/>
      <c r="L974" s="107"/>
      <c r="M974" s="107"/>
      <c r="N974" s="107"/>
      <c r="O974" s="107"/>
      <c r="P974" s="107"/>
      <c r="Q974" s="107"/>
    </row>
    <row r="975" ht="15.75" customHeight="1">
      <c r="A975" s="107"/>
      <c r="E975" s="107"/>
      <c r="F975" s="107"/>
      <c r="G975" s="107"/>
      <c r="H975" s="107"/>
      <c r="I975" s="107"/>
      <c r="J975" s="107"/>
      <c r="K975" s="107"/>
      <c r="L975" s="107"/>
      <c r="M975" s="107"/>
      <c r="N975" s="107"/>
      <c r="O975" s="107"/>
      <c r="P975" s="107"/>
      <c r="Q975" s="107"/>
    </row>
    <row r="976" ht="15.75" customHeight="1">
      <c r="A976" s="107"/>
      <c r="E976" s="107"/>
      <c r="F976" s="107"/>
      <c r="L976" s="107"/>
      <c r="M976" s="107"/>
      <c r="N976" s="107"/>
      <c r="O976" s="107"/>
      <c r="P976" s="107"/>
      <c r="Q976" s="107"/>
    </row>
  </sheetData>
  <mergeCells count="5">
    <mergeCell ref="B2:C2"/>
    <mergeCell ref="D2:E2"/>
    <mergeCell ref="B4:E4"/>
    <mergeCell ref="B28:D28"/>
    <mergeCell ref="G28:K28"/>
  </mergeCells>
  <hyperlinks>
    <hyperlink r:id="rId1" ref="C7"/>
    <hyperlink r:id="rId2" ref="G38"/>
  </hyperlinks>
  <printOptions/>
  <pageMargins bottom="0.7874015750000001" footer="0.0" header="0.0" left="0.511811024" right="0.511811024" top="0.7874015750000001"/>
  <pageSetup paperSize="9" orientation="portrait"/>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14"/>
    <col customWidth="1" min="4" max="4" width="4.86"/>
    <col customWidth="1" min="5" max="5" width="21.0"/>
    <col customWidth="1" min="9" max="9" width="4.86"/>
    <col customWidth="1" min="18" max="18" width="45.14"/>
  </cols>
  <sheetData>
    <row r="1">
      <c r="A1" s="171"/>
      <c r="B1" s="171"/>
      <c r="C1" s="171"/>
      <c r="D1" s="171"/>
      <c r="E1" s="171"/>
      <c r="F1" s="171"/>
      <c r="G1" s="171"/>
      <c r="H1" s="171"/>
      <c r="I1" s="171"/>
      <c r="J1" s="171"/>
      <c r="K1" s="171"/>
      <c r="L1" s="171"/>
      <c r="M1" s="171"/>
      <c r="N1" s="171"/>
      <c r="O1" s="171"/>
      <c r="P1" s="171"/>
      <c r="Q1" s="171"/>
      <c r="R1" s="171"/>
      <c r="S1" s="171"/>
      <c r="T1" s="171"/>
      <c r="U1" s="171"/>
      <c r="V1" s="171"/>
    </row>
    <row r="2">
      <c r="A2" s="172" t="s">
        <v>32</v>
      </c>
      <c r="B2" s="172" t="s">
        <v>150</v>
      </c>
      <c r="C2" s="171"/>
      <c r="D2" s="171"/>
      <c r="E2" s="173" t="s">
        <v>159</v>
      </c>
      <c r="F2" s="173" t="s">
        <v>160</v>
      </c>
      <c r="G2" s="173" t="s">
        <v>161</v>
      </c>
      <c r="H2" s="173" t="s">
        <v>162</v>
      </c>
      <c r="I2" s="171"/>
      <c r="J2" s="174" t="s">
        <v>32</v>
      </c>
      <c r="K2" s="172" t="s">
        <v>1</v>
      </c>
      <c r="M2" s="172" t="s">
        <v>163</v>
      </c>
      <c r="O2" s="172" t="s">
        <v>164</v>
      </c>
      <c r="Q2" s="171"/>
      <c r="R2" s="172" t="s">
        <v>165</v>
      </c>
    </row>
    <row r="3">
      <c r="A3" s="175" t="s">
        <v>38</v>
      </c>
      <c r="B3" s="176">
        <f>'Parâmetros'!D30*'Parâmetros'!H2</f>
        <v>3480</v>
      </c>
      <c r="C3" s="177"/>
      <c r="D3" s="171"/>
      <c r="E3" s="178" t="s">
        <v>166</v>
      </c>
      <c r="F3" s="179">
        <v>3.0</v>
      </c>
      <c r="G3" s="180">
        <v>4498.55</v>
      </c>
      <c r="H3" s="180">
        <f t="shared" ref="H3:H6" si="1">G3*F3</f>
        <v>13495.65</v>
      </c>
      <c r="I3" s="171"/>
      <c r="K3" s="181" t="s">
        <v>167</v>
      </c>
      <c r="L3" s="181" t="s">
        <v>168</v>
      </c>
      <c r="M3" s="181" t="s">
        <v>167</v>
      </c>
      <c r="N3" s="181" t="s">
        <v>168</v>
      </c>
      <c r="O3" s="181" t="s">
        <v>167</v>
      </c>
      <c r="P3" s="181" t="s">
        <v>168</v>
      </c>
      <c r="Q3" s="171"/>
      <c r="R3" s="172" t="s">
        <v>169</v>
      </c>
      <c r="S3" s="172" t="s">
        <v>170</v>
      </c>
      <c r="T3" s="172" t="s">
        <v>161</v>
      </c>
      <c r="U3" s="172" t="s">
        <v>171</v>
      </c>
      <c r="V3" s="172" t="s">
        <v>79</v>
      </c>
    </row>
    <row r="4">
      <c r="A4" s="175" t="s">
        <v>42</v>
      </c>
      <c r="B4" s="176">
        <f>'Parâmetros'!D31*'Parâmetros'!H2</f>
        <v>21750</v>
      </c>
      <c r="C4" s="177"/>
      <c r="D4" s="171"/>
      <c r="E4" s="178" t="s">
        <v>172</v>
      </c>
      <c r="F4" s="179">
        <v>0.0</v>
      </c>
      <c r="G4" s="180">
        <v>0.0</v>
      </c>
      <c r="H4" s="180">
        <f t="shared" si="1"/>
        <v>0</v>
      </c>
      <c r="J4" s="182" t="s">
        <v>38</v>
      </c>
      <c r="K4" s="183">
        <f>'Parâmetros'!C30</f>
        <v>0.008</v>
      </c>
      <c r="L4" s="184">
        <f t="shared" ref="L4:L6" si="2">K4*$G$16</f>
        <v>102.34</v>
      </c>
      <c r="M4" s="183">
        <f t="shared" ref="M4:M6" si="3">B3/SUM($B$3:$B$5)</f>
        <v>0.008097165992</v>
      </c>
      <c r="N4" s="184">
        <f t="shared" ref="N4:N6" si="4">$G$22*M4</f>
        <v>33.90455466</v>
      </c>
      <c r="O4" s="183">
        <f t="shared" ref="O4:O5" si="5">B3/SUM($B$3:$B$4)</f>
        <v>0.1379310345</v>
      </c>
      <c r="P4" s="184">
        <f t="shared" ref="P4:P5" si="6">$G$28*O4</f>
        <v>267.3017241</v>
      </c>
      <c r="Q4" s="171"/>
      <c r="R4" s="185" t="s">
        <v>173</v>
      </c>
      <c r="S4" s="186">
        <v>1.0</v>
      </c>
      <c r="T4" s="187">
        <v>12500.0</v>
      </c>
      <c r="U4" s="187">
        <v>5542.0</v>
      </c>
      <c r="V4" s="187">
        <f t="shared" ref="V4:V16" si="7">(T4+U4)*S4</f>
        <v>18042</v>
      </c>
    </row>
    <row r="5">
      <c r="A5" s="175" t="s">
        <v>43</v>
      </c>
      <c r="B5" s="176">
        <f>'Parâmetros'!D33*'Parâmetros'!H2</f>
        <v>404550</v>
      </c>
      <c r="C5" s="177"/>
      <c r="D5" s="171"/>
      <c r="E5" s="178" t="s">
        <v>174</v>
      </c>
      <c r="F5" s="179">
        <v>0.0</v>
      </c>
      <c r="G5" s="180">
        <v>0.0</v>
      </c>
      <c r="H5" s="180">
        <f t="shared" si="1"/>
        <v>0</v>
      </c>
      <c r="J5" s="182" t="s">
        <v>42</v>
      </c>
      <c r="K5" s="188">
        <f>'Parâmetros'!C31</f>
        <v>0.05</v>
      </c>
      <c r="L5" s="184">
        <f t="shared" si="2"/>
        <v>639.625</v>
      </c>
      <c r="M5" s="183">
        <f t="shared" si="3"/>
        <v>0.05060728745</v>
      </c>
      <c r="N5" s="184">
        <f t="shared" si="4"/>
        <v>211.9034666</v>
      </c>
      <c r="O5" s="183">
        <f t="shared" si="5"/>
        <v>0.8620689655</v>
      </c>
      <c r="P5" s="184">
        <f t="shared" si="6"/>
        <v>1670.635776</v>
      </c>
      <c r="Q5" s="171"/>
      <c r="R5" s="189" t="s">
        <v>175</v>
      </c>
      <c r="S5" s="186">
        <v>2.0</v>
      </c>
      <c r="T5" s="187">
        <v>2675.0</v>
      </c>
      <c r="U5" s="187">
        <v>1819.0</v>
      </c>
      <c r="V5" s="187">
        <f t="shared" si="7"/>
        <v>8988</v>
      </c>
    </row>
    <row r="6">
      <c r="A6" s="175"/>
      <c r="B6" s="179"/>
      <c r="C6" s="177"/>
      <c r="D6" s="171"/>
      <c r="E6" s="178" t="s">
        <v>176</v>
      </c>
      <c r="F6" s="179">
        <v>1.0</v>
      </c>
      <c r="G6" s="180">
        <v>5422.0</v>
      </c>
      <c r="H6" s="180">
        <f t="shared" si="1"/>
        <v>5422</v>
      </c>
      <c r="J6" s="182" t="s">
        <v>43</v>
      </c>
      <c r="K6" s="188">
        <f>'Parâmetros'!C33</f>
        <v>0.93</v>
      </c>
      <c r="L6" s="184">
        <f t="shared" si="2"/>
        <v>11897.025</v>
      </c>
      <c r="M6" s="183">
        <f t="shared" si="3"/>
        <v>0.9412955466</v>
      </c>
      <c r="N6" s="184">
        <f t="shared" si="4"/>
        <v>3941.404479</v>
      </c>
      <c r="O6" s="183" t="s">
        <v>18</v>
      </c>
      <c r="P6" s="183" t="s">
        <v>18</v>
      </c>
      <c r="Q6" s="171"/>
      <c r="R6" s="185" t="s">
        <v>177</v>
      </c>
      <c r="S6" s="186">
        <v>1.0</v>
      </c>
      <c r="T6" s="187">
        <v>12500.0</v>
      </c>
      <c r="U6" s="187">
        <v>5542.0</v>
      </c>
      <c r="V6" s="187">
        <f t="shared" si="7"/>
        <v>18042</v>
      </c>
    </row>
    <row r="7">
      <c r="A7" s="175"/>
      <c r="B7" s="179"/>
      <c r="C7" s="177"/>
      <c r="D7" s="171"/>
      <c r="E7" s="171"/>
      <c r="F7" s="171"/>
      <c r="G7" s="190" t="s">
        <v>79</v>
      </c>
      <c r="H7" s="191">
        <f>SUM(H3:H6)</f>
        <v>18917.65</v>
      </c>
      <c r="I7" s="171"/>
      <c r="J7" s="182"/>
      <c r="K7" s="183"/>
      <c r="L7" s="183"/>
      <c r="M7" s="183"/>
      <c r="N7" s="183"/>
      <c r="O7" s="183"/>
      <c r="P7" s="183"/>
      <c r="Q7" s="171"/>
      <c r="R7" s="185" t="s">
        <v>178</v>
      </c>
      <c r="S7" s="186">
        <v>5.0</v>
      </c>
      <c r="T7" s="187">
        <v>2675.0</v>
      </c>
      <c r="U7" s="187">
        <v>1819.0</v>
      </c>
      <c r="V7" s="187">
        <f t="shared" si="7"/>
        <v>22470</v>
      </c>
    </row>
    <row r="8">
      <c r="A8" s="171"/>
      <c r="B8" s="171"/>
      <c r="C8" s="171"/>
      <c r="D8" s="171"/>
      <c r="E8" s="171"/>
      <c r="F8" s="171"/>
      <c r="G8" s="171"/>
      <c r="H8" s="171"/>
      <c r="I8" s="171"/>
      <c r="J8" s="182"/>
      <c r="K8" s="183"/>
      <c r="L8" s="183"/>
      <c r="M8" s="183"/>
      <c r="N8" s="183"/>
      <c r="O8" s="183"/>
      <c r="P8" s="183"/>
      <c r="Q8" s="171"/>
      <c r="R8" s="185" t="s">
        <v>179</v>
      </c>
      <c r="S8" s="186">
        <v>1.0</v>
      </c>
      <c r="T8" s="187">
        <v>4059.0</v>
      </c>
      <c r="U8" s="187">
        <v>2767.02</v>
      </c>
      <c r="V8" s="187">
        <f t="shared" si="7"/>
        <v>6826.02</v>
      </c>
    </row>
    <row r="9">
      <c r="A9" s="171"/>
      <c r="B9" s="171"/>
      <c r="C9" s="171"/>
      <c r="D9" s="171"/>
      <c r="E9" s="173" t="s">
        <v>180</v>
      </c>
      <c r="H9" s="171"/>
      <c r="I9" s="171"/>
      <c r="J9" s="171"/>
      <c r="K9" s="171"/>
      <c r="L9" s="171"/>
      <c r="M9" s="171"/>
      <c r="N9" s="171"/>
      <c r="O9" s="171"/>
      <c r="P9" s="171"/>
      <c r="Q9" s="171"/>
      <c r="R9" s="185" t="s">
        <v>181</v>
      </c>
      <c r="S9" s="186">
        <v>1.0</v>
      </c>
      <c r="T9" s="187">
        <v>12500.0</v>
      </c>
      <c r="U9" s="187">
        <v>5542.0</v>
      </c>
      <c r="V9" s="187">
        <f t="shared" si="7"/>
        <v>18042</v>
      </c>
    </row>
    <row r="10">
      <c r="A10" s="181"/>
      <c r="B10" s="172"/>
      <c r="C10" s="172"/>
      <c r="D10" s="171"/>
      <c r="E10" s="171"/>
      <c r="F10" s="178" t="s">
        <v>160</v>
      </c>
      <c r="G10" s="178" t="s">
        <v>49</v>
      </c>
      <c r="H10" s="171"/>
      <c r="I10" s="171"/>
      <c r="J10" s="171"/>
      <c r="K10" s="171"/>
      <c r="L10" s="171"/>
      <c r="M10" s="171"/>
      <c r="N10" s="171"/>
      <c r="O10" s="171"/>
      <c r="P10" s="171"/>
      <c r="Q10" s="171"/>
      <c r="R10" s="185" t="s">
        <v>182</v>
      </c>
      <c r="S10" s="186">
        <v>1.0</v>
      </c>
      <c r="T10" s="187">
        <v>3746.0</v>
      </c>
      <c r="U10" s="187">
        <v>1676.0</v>
      </c>
      <c r="V10" s="187">
        <f t="shared" si="7"/>
        <v>5422</v>
      </c>
    </row>
    <row r="11">
      <c r="A11" s="181"/>
      <c r="B11" s="172"/>
      <c r="C11" s="172"/>
      <c r="D11" s="171"/>
      <c r="E11" s="190" t="s">
        <v>1</v>
      </c>
      <c r="H11" s="171"/>
      <c r="I11" s="171"/>
      <c r="J11" s="171"/>
      <c r="K11" s="171"/>
      <c r="L11" s="171"/>
      <c r="M11" s="171"/>
      <c r="N11" s="171"/>
      <c r="O11" s="171"/>
      <c r="P11" s="171"/>
      <c r="Q11" s="171"/>
      <c r="R11" s="185" t="s">
        <v>183</v>
      </c>
      <c r="S11" s="186">
        <v>1.0</v>
      </c>
      <c r="T11" s="187">
        <v>2440.0</v>
      </c>
      <c r="U11" s="187">
        <v>0.0</v>
      </c>
      <c r="V11" s="187">
        <f t="shared" si="7"/>
        <v>2440</v>
      </c>
    </row>
    <row r="12">
      <c r="A12" s="181" t="s">
        <v>184</v>
      </c>
      <c r="B12" s="172" t="s">
        <v>185</v>
      </c>
      <c r="C12" s="172" t="s">
        <v>176</v>
      </c>
      <c r="D12" s="171"/>
      <c r="E12" s="178" t="s">
        <v>166</v>
      </c>
      <c r="F12" s="179">
        <v>2.0</v>
      </c>
      <c r="G12" s="180">
        <f t="shared" ref="G12:G13" si="8">G3*F12</f>
        <v>8997.1</v>
      </c>
      <c r="H12" s="171"/>
      <c r="I12" s="171"/>
      <c r="J12" s="192" t="s">
        <v>32</v>
      </c>
      <c r="K12" s="193" t="s">
        <v>186</v>
      </c>
      <c r="L12" s="192" t="s">
        <v>187</v>
      </c>
      <c r="M12" s="171"/>
      <c r="O12" s="171"/>
      <c r="P12" s="171"/>
      <c r="Q12" s="171"/>
      <c r="R12" s="185" t="s">
        <v>188</v>
      </c>
      <c r="S12" s="186">
        <v>1.0</v>
      </c>
      <c r="T12" s="187">
        <v>12500.0</v>
      </c>
      <c r="U12" s="187">
        <v>5542.0</v>
      </c>
      <c r="V12" s="187">
        <f t="shared" si="7"/>
        <v>18042</v>
      </c>
    </row>
    <row r="13">
      <c r="A13" s="178" t="s">
        <v>1</v>
      </c>
      <c r="B13" s="194">
        <v>2.0</v>
      </c>
      <c r="C13" s="195">
        <v>1.0</v>
      </c>
      <c r="D13" s="171"/>
      <c r="E13" s="178" t="s">
        <v>172</v>
      </c>
      <c r="F13" s="179">
        <v>0.0</v>
      </c>
      <c r="G13" s="180">
        <f t="shared" si="8"/>
        <v>0</v>
      </c>
      <c r="H13" s="171"/>
      <c r="I13" s="171"/>
      <c r="M13" s="171"/>
      <c r="N13" s="196" t="s">
        <v>189</v>
      </c>
      <c r="O13" s="171"/>
      <c r="P13" s="171"/>
      <c r="Q13" s="171"/>
      <c r="R13" s="185" t="s">
        <v>190</v>
      </c>
      <c r="S13" s="186">
        <v>3.0</v>
      </c>
      <c r="T13" s="187">
        <v>3922.0</v>
      </c>
      <c r="U13" s="187">
        <v>1754.0</v>
      </c>
      <c r="V13" s="187">
        <f t="shared" si="7"/>
        <v>17028</v>
      </c>
    </row>
    <row r="14">
      <c r="A14" s="178" t="s">
        <v>163</v>
      </c>
      <c r="B14" s="195">
        <v>1.0</v>
      </c>
      <c r="D14" s="171"/>
      <c r="E14" s="178" t="s">
        <v>191</v>
      </c>
      <c r="F14" s="179">
        <v>0.0</v>
      </c>
      <c r="G14" s="180">
        <f>F14*G5</f>
        <v>0</v>
      </c>
      <c r="H14" s="171"/>
      <c r="I14" s="171"/>
      <c r="M14" s="171"/>
      <c r="N14" s="196" t="s">
        <v>192</v>
      </c>
      <c r="O14" s="178" t="s">
        <v>193</v>
      </c>
      <c r="P14" s="178" t="s">
        <v>65</v>
      </c>
      <c r="Q14" s="171"/>
      <c r="R14" s="185" t="s">
        <v>194</v>
      </c>
      <c r="S14" s="186">
        <v>3.0</v>
      </c>
      <c r="T14" s="187">
        <v>3922.0</v>
      </c>
      <c r="U14" s="187">
        <v>1754.0</v>
      </c>
      <c r="V14" s="187">
        <f t="shared" si="7"/>
        <v>17028</v>
      </c>
    </row>
    <row r="15">
      <c r="A15" s="178" t="s">
        <v>164</v>
      </c>
      <c r="D15" s="171"/>
      <c r="E15" s="178" t="s">
        <v>176</v>
      </c>
      <c r="F15" s="179">
        <v>0.7</v>
      </c>
      <c r="G15" s="180">
        <f>G6*F15</f>
        <v>3795.4</v>
      </c>
      <c r="H15" s="171"/>
      <c r="I15" s="171"/>
      <c r="J15" s="182" t="s">
        <v>38</v>
      </c>
      <c r="K15" s="197">
        <f t="shared" ref="K15:K16" si="9">SUM(L4,N4,P4)</f>
        <v>403.5462788</v>
      </c>
      <c r="L15" s="184">
        <f t="shared" ref="L15:L17" si="10">K15/B3</f>
        <v>0.1159615744</v>
      </c>
      <c r="M15" s="171"/>
      <c r="N15" s="176">
        <v>0.798403</v>
      </c>
      <c r="O15" s="178">
        <v>0.31</v>
      </c>
      <c r="P15" s="178">
        <v>40.0</v>
      </c>
      <c r="Q15" s="171"/>
      <c r="R15" s="185" t="s">
        <v>195</v>
      </c>
      <c r="S15" s="186">
        <v>3.0</v>
      </c>
      <c r="T15" s="187">
        <v>3922.0</v>
      </c>
      <c r="U15" s="187">
        <v>1754.0</v>
      </c>
      <c r="V15" s="187">
        <f t="shared" si="7"/>
        <v>17028</v>
      </c>
    </row>
    <row r="16">
      <c r="A16" s="178"/>
      <c r="B16" s="195"/>
      <c r="C16" s="195"/>
      <c r="D16" s="171"/>
      <c r="E16" s="171"/>
      <c r="F16" s="171"/>
      <c r="G16" s="191">
        <f>SUM(G12:G15)</f>
        <v>12792.5</v>
      </c>
      <c r="H16" s="171"/>
      <c r="I16" s="171"/>
      <c r="J16" s="182" t="s">
        <v>42</v>
      </c>
      <c r="K16" s="184">
        <f t="shared" si="9"/>
        <v>2522.164242</v>
      </c>
      <c r="L16" s="184">
        <f t="shared" si="10"/>
        <v>0.1159615744</v>
      </c>
      <c r="M16" s="171"/>
      <c r="N16" s="198">
        <v>7.38523</v>
      </c>
      <c r="O16" s="178">
        <v>0.31</v>
      </c>
      <c r="P16" s="178">
        <v>370.0</v>
      </c>
      <c r="Q16" s="171"/>
      <c r="R16" s="185" t="s">
        <v>196</v>
      </c>
      <c r="S16" s="186">
        <v>3.0</v>
      </c>
      <c r="T16" s="187">
        <v>2440.0</v>
      </c>
      <c r="U16" s="187">
        <v>1100.0</v>
      </c>
      <c r="V16" s="187">
        <f t="shared" si="7"/>
        <v>10620</v>
      </c>
    </row>
    <row r="17">
      <c r="A17" s="178"/>
      <c r="B17" s="195"/>
      <c r="C17" s="195"/>
      <c r="D17" s="171"/>
      <c r="E17" s="190" t="s">
        <v>163</v>
      </c>
      <c r="H17" s="171"/>
      <c r="I17" s="171"/>
      <c r="J17" s="182" t="s">
        <v>43</v>
      </c>
      <c r="K17" s="184">
        <f>SUM(L6,N6)</f>
        <v>15838.42948</v>
      </c>
      <c r="L17" s="184">
        <f t="shared" si="10"/>
        <v>0.0391507341</v>
      </c>
      <c r="M17" s="171"/>
      <c r="N17" s="198">
        <v>91.81637</v>
      </c>
      <c r="O17" s="178">
        <v>0.06</v>
      </c>
      <c r="P17" s="178">
        <v>4600.0</v>
      </c>
      <c r="Q17" s="171"/>
      <c r="R17" s="196" t="s">
        <v>79</v>
      </c>
      <c r="S17" s="199">
        <f t="shared" ref="S17:V17" si="11">SUM(S4:S16)</f>
        <v>26</v>
      </c>
      <c r="T17" s="85">
        <f t="shared" si="11"/>
        <v>79801</v>
      </c>
      <c r="U17" s="85">
        <f t="shared" si="11"/>
        <v>36611.02</v>
      </c>
      <c r="V17" s="200">
        <f t="shared" si="11"/>
        <v>180018.02</v>
      </c>
    </row>
    <row r="18">
      <c r="A18" s="178"/>
      <c r="B18" s="201"/>
      <c r="D18" s="171"/>
      <c r="E18" s="178" t="s">
        <v>166</v>
      </c>
      <c r="F18" s="179">
        <v>0.75</v>
      </c>
      <c r="G18" s="180">
        <f t="shared" ref="G18:G21" si="12">G3*F18</f>
        <v>3373.9125</v>
      </c>
      <c r="H18" s="171"/>
      <c r="I18" s="182"/>
      <c r="J18" s="171"/>
      <c r="K18" s="171"/>
      <c r="L18" s="171"/>
      <c r="M18" s="171"/>
      <c r="N18" s="171"/>
      <c r="O18" s="171"/>
      <c r="P18" s="171"/>
      <c r="Q18" s="171"/>
      <c r="R18" s="178" t="s">
        <v>197</v>
      </c>
      <c r="S18" s="171"/>
      <c r="T18" s="171"/>
      <c r="U18" s="171"/>
      <c r="V18" s="202">
        <f>V17/'Parâmetros'!H2</f>
        <v>4138.345287</v>
      </c>
    </row>
    <row r="19">
      <c r="A19" s="178"/>
      <c r="B19" s="201"/>
      <c r="D19" s="171"/>
      <c r="E19" s="178" t="s">
        <v>172</v>
      </c>
      <c r="F19" s="179">
        <v>0.0</v>
      </c>
      <c r="G19" s="180">
        <f t="shared" si="12"/>
        <v>0</v>
      </c>
      <c r="H19" s="171"/>
      <c r="I19" s="182"/>
      <c r="J19" s="171"/>
      <c r="K19" s="171"/>
      <c r="L19" s="171"/>
      <c r="M19" s="171"/>
      <c r="N19" s="203" t="s">
        <v>198</v>
      </c>
      <c r="Q19" s="171"/>
      <c r="R19" s="171"/>
      <c r="S19" s="171"/>
      <c r="T19" s="171"/>
      <c r="U19" s="171"/>
      <c r="V19" s="171"/>
    </row>
    <row r="20">
      <c r="A20" s="171"/>
      <c r="B20" s="171"/>
      <c r="C20" s="195"/>
      <c r="D20" s="171"/>
      <c r="E20" s="178" t="s">
        <v>191</v>
      </c>
      <c r="F20" s="179">
        <v>0.0</v>
      </c>
      <c r="G20" s="180">
        <f t="shared" si="12"/>
        <v>0</v>
      </c>
      <c r="H20" s="171"/>
      <c r="I20" s="171"/>
      <c r="J20" s="171"/>
      <c r="K20" s="171"/>
      <c r="L20" s="171"/>
      <c r="M20" s="171"/>
      <c r="Q20" s="171"/>
      <c r="R20" s="171"/>
      <c r="S20" s="171"/>
      <c r="T20" s="171"/>
      <c r="U20" s="171"/>
      <c r="V20" s="171"/>
    </row>
    <row r="21">
      <c r="A21" s="171"/>
      <c r="B21" s="171"/>
      <c r="C21" s="195"/>
      <c r="D21" s="171"/>
      <c r="E21" s="178" t="s">
        <v>176</v>
      </c>
      <c r="F21" s="179">
        <v>0.15</v>
      </c>
      <c r="G21" s="180">
        <f t="shared" si="12"/>
        <v>813.3</v>
      </c>
      <c r="H21" s="171"/>
      <c r="I21" s="171"/>
      <c r="J21" s="171"/>
      <c r="K21" s="171"/>
      <c r="L21" s="171"/>
      <c r="M21" s="171"/>
      <c r="Q21" s="171"/>
      <c r="R21" s="171"/>
      <c r="S21" s="171"/>
      <c r="T21" s="171"/>
      <c r="U21" s="171"/>
      <c r="V21" s="171"/>
    </row>
    <row r="22">
      <c r="A22" s="171"/>
      <c r="B22" s="171"/>
      <c r="C22" s="171"/>
      <c r="D22" s="171"/>
      <c r="E22" s="171"/>
      <c r="F22" s="171"/>
      <c r="G22" s="191">
        <f>SUM(G18:G21)</f>
        <v>4187.2125</v>
      </c>
      <c r="H22" s="171"/>
      <c r="I22" s="171"/>
      <c r="J22" s="171"/>
      <c r="K22" s="171"/>
      <c r="L22" s="178"/>
      <c r="M22" s="171"/>
      <c r="Q22" s="171"/>
      <c r="R22" s="171"/>
      <c r="S22" s="171"/>
      <c r="T22" s="171"/>
      <c r="U22" s="171"/>
      <c r="V22" s="171"/>
    </row>
    <row r="23">
      <c r="A23" s="171"/>
      <c r="B23" s="171"/>
      <c r="C23" s="171"/>
      <c r="D23" s="171"/>
      <c r="E23" s="190" t="s">
        <v>164</v>
      </c>
      <c r="H23" s="171"/>
      <c r="I23" s="171"/>
      <c r="J23" s="171"/>
      <c r="K23" s="178"/>
      <c r="L23" s="178"/>
      <c r="M23" s="171"/>
      <c r="Q23" s="171"/>
      <c r="R23" s="171"/>
      <c r="S23" s="171"/>
      <c r="T23" s="171"/>
      <c r="U23" s="171"/>
      <c r="V23" s="171"/>
    </row>
    <row r="24">
      <c r="A24" s="171"/>
      <c r="B24" s="171"/>
      <c r="C24" s="171"/>
      <c r="D24" s="171"/>
      <c r="E24" s="178" t="s">
        <v>166</v>
      </c>
      <c r="F24" s="179">
        <v>0.25</v>
      </c>
      <c r="G24" s="180">
        <f t="shared" ref="G24:G27" si="13">G3*F24</f>
        <v>1124.6375</v>
      </c>
      <c r="H24" s="171"/>
      <c r="I24" s="171"/>
      <c r="J24" s="171"/>
      <c r="K24" s="178"/>
      <c r="L24" s="178"/>
      <c r="M24" s="171"/>
      <c r="Q24" s="171"/>
      <c r="R24" s="171"/>
      <c r="S24" s="171"/>
      <c r="T24" s="171"/>
      <c r="U24" s="171"/>
      <c r="V24" s="171"/>
    </row>
    <row r="25">
      <c r="A25" s="171"/>
      <c r="B25" s="171"/>
      <c r="C25" s="171"/>
      <c r="D25" s="171"/>
      <c r="E25" s="178" t="s">
        <v>172</v>
      </c>
      <c r="F25" s="179">
        <v>0.0</v>
      </c>
      <c r="G25" s="180">
        <f t="shared" si="13"/>
        <v>0</v>
      </c>
      <c r="H25" s="171"/>
      <c r="I25" s="171"/>
      <c r="J25" s="171"/>
      <c r="K25" s="178"/>
      <c r="L25" s="171"/>
      <c r="M25" s="171"/>
      <c r="Q25" s="171"/>
      <c r="R25" s="171"/>
      <c r="S25" s="171"/>
      <c r="T25" s="171"/>
      <c r="U25" s="171"/>
      <c r="V25" s="171"/>
    </row>
    <row r="26">
      <c r="A26" s="171"/>
      <c r="B26" s="171"/>
      <c r="C26" s="171"/>
      <c r="D26" s="171"/>
      <c r="E26" s="178" t="s">
        <v>191</v>
      </c>
      <c r="F26" s="179">
        <v>0.0</v>
      </c>
      <c r="G26" s="180">
        <f t="shared" si="13"/>
        <v>0</v>
      </c>
      <c r="H26" s="171"/>
      <c r="I26" s="171"/>
      <c r="J26" s="171"/>
      <c r="K26" s="171"/>
      <c r="L26" s="171"/>
      <c r="M26" s="171"/>
      <c r="Q26" s="171"/>
      <c r="R26" s="171"/>
      <c r="S26" s="171"/>
      <c r="T26" s="171"/>
      <c r="U26" s="171"/>
      <c r="V26" s="171"/>
    </row>
    <row r="27">
      <c r="A27" s="171"/>
      <c r="B27" s="171"/>
      <c r="C27" s="171"/>
      <c r="D27" s="171"/>
      <c r="E27" s="178" t="s">
        <v>176</v>
      </c>
      <c r="F27" s="179">
        <v>0.15</v>
      </c>
      <c r="G27" s="180">
        <f t="shared" si="13"/>
        <v>813.3</v>
      </c>
      <c r="H27" s="171"/>
      <c r="I27" s="171"/>
      <c r="J27" s="171"/>
      <c r="K27" s="171"/>
      <c r="L27" s="171"/>
      <c r="M27" s="178"/>
      <c r="Q27" s="171"/>
      <c r="R27" s="171"/>
      <c r="S27" s="171"/>
      <c r="T27" s="171"/>
      <c r="U27" s="171"/>
      <c r="V27" s="171"/>
    </row>
    <row r="28">
      <c r="A28" s="171"/>
      <c r="B28" s="171"/>
      <c r="C28" s="171"/>
      <c r="D28" s="171"/>
      <c r="E28" s="171"/>
      <c r="F28" s="171"/>
      <c r="G28" s="191">
        <f>SUM(G24:G27)</f>
        <v>1937.9375</v>
      </c>
      <c r="H28" s="171"/>
      <c r="I28" s="171"/>
      <c r="J28" s="171"/>
      <c r="K28" s="171"/>
      <c r="L28" s="171"/>
      <c r="M28" s="171"/>
      <c r="Q28" s="171"/>
      <c r="R28" s="171"/>
      <c r="S28" s="171"/>
      <c r="T28" s="171"/>
      <c r="U28" s="171"/>
      <c r="V28" s="171"/>
    </row>
    <row r="29">
      <c r="A29" s="171"/>
      <c r="B29" s="171"/>
      <c r="C29" s="171"/>
      <c r="D29" s="171"/>
      <c r="E29" s="171"/>
      <c r="F29" s="171"/>
      <c r="G29" s="171"/>
      <c r="H29" s="171"/>
      <c r="I29" s="171"/>
      <c r="J29" s="171"/>
      <c r="K29" s="171"/>
      <c r="L29" s="171"/>
      <c r="M29" s="171"/>
      <c r="Q29" s="171"/>
      <c r="R29" s="171"/>
      <c r="S29" s="171"/>
      <c r="T29" s="171"/>
      <c r="U29" s="171"/>
      <c r="V29" s="171"/>
    </row>
    <row r="30">
      <c r="A30" s="171"/>
      <c r="B30" s="171"/>
      <c r="C30" s="171"/>
      <c r="D30" s="171"/>
      <c r="E30" s="171"/>
      <c r="F30" s="171"/>
      <c r="G30" s="171"/>
      <c r="H30" s="171"/>
      <c r="I30" s="171"/>
      <c r="J30" s="171"/>
      <c r="K30" s="171"/>
      <c r="L30" s="171"/>
      <c r="M30" s="171"/>
      <c r="N30" s="171"/>
      <c r="O30" s="171"/>
      <c r="P30" s="171"/>
      <c r="Q30" s="171"/>
      <c r="R30" s="171"/>
      <c r="S30" s="171"/>
      <c r="T30" s="171"/>
      <c r="U30" s="171"/>
      <c r="V30" s="171"/>
    </row>
    <row r="31">
      <c r="A31" s="171"/>
      <c r="B31" s="171"/>
      <c r="C31" s="171"/>
      <c r="D31" s="171"/>
      <c r="E31" s="171"/>
      <c r="F31" s="171"/>
      <c r="G31" s="171"/>
      <c r="H31" s="171"/>
      <c r="I31" s="171"/>
      <c r="J31" s="171"/>
      <c r="K31" s="171"/>
      <c r="L31" s="171"/>
      <c r="M31" s="171"/>
      <c r="N31" s="171"/>
      <c r="O31" s="171"/>
      <c r="P31" s="171"/>
      <c r="Q31" s="171"/>
      <c r="R31" s="171"/>
      <c r="S31" s="171"/>
      <c r="T31" s="171"/>
      <c r="U31" s="171"/>
      <c r="V31" s="171"/>
    </row>
    <row r="32">
      <c r="A32" s="171"/>
      <c r="B32" s="171"/>
      <c r="C32" s="171"/>
      <c r="D32" s="171"/>
      <c r="E32" s="171"/>
      <c r="F32" s="171"/>
      <c r="G32" s="171"/>
      <c r="H32" s="171"/>
      <c r="I32" s="171"/>
      <c r="J32" s="171"/>
      <c r="K32" s="171"/>
      <c r="L32" s="171"/>
      <c r="M32" s="171"/>
      <c r="N32" s="171"/>
      <c r="O32" s="171"/>
      <c r="P32" s="171"/>
      <c r="Q32" s="171"/>
      <c r="R32" s="171"/>
      <c r="S32" s="171"/>
      <c r="T32" s="171"/>
      <c r="U32" s="171"/>
      <c r="V32" s="171"/>
    </row>
    <row r="33">
      <c r="A33" s="171"/>
      <c r="B33" s="171"/>
      <c r="C33" s="171"/>
      <c r="D33" s="171"/>
      <c r="E33" s="171"/>
      <c r="F33" s="171"/>
      <c r="G33" s="171"/>
      <c r="H33" s="171"/>
      <c r="I33" s="171"/>
      <c r="J33" s="171"/>
      <c r="K33" s="171"/>
      <c r="L33" s="171"/>
      <c r="M33" s="171"/>
      <c r="N33" s="171"/>
      <c r="O33" s="171"/>
      <c r="P33" s="171"/>
      <c r="Q33" s="171"/>
      <c r="R33" s="171"/>
      <c r="S33" s="171"/>
      <c r="T33" s="171"/>
      <c r="U33" s="171"/>
      <c r="V33" s="171"/>
    </row>
    <row r="34">
      <c r="A34" s="171"/>
      <c r="B34" s="171"/>
      <c r="C34" s="171"/>
      <c r="D34" s="171"/>
      <c r="E34" s="171"/>
      <c r="F34" s="171"/>
      <c r="G34" s="171"/>
      <c r="H34" s="171"/>
      <c r="I34" s="171"/>
      <c r="J34" s="171"/>
      <c r="K34" s="171"/>
      <c r="L34" s="171"/>
      <c r="M34" s="171"/>
      <c r="N34" s="171"/>
      <c r="O34" s="171"/>
      <c r="P34" s="171"/>
      <c r="Q34" s="171"/>
      <c r="R34" s="171"/>
      <c r="S34" s="171"/>
      <c r="T34" s="171"/>
      <c r="U34" s="171"/>
      <c r="V34" s="171"/>
    </row>
    <row r="35">
      <c r="A35" s="171"/>
      <c r="B35" s="171"/>
      <c r="C35" s="171"/>
      <c r="D35" s="171"/>
      <c r="E35" s="171"/>
      <c r="F35" s="171"/>
      <c r="G35" s="171"/>
      <c r="H35" s="171"/>
      <c r="I35" s="171"/>
      <c r="J35" s="171"/>
      <c r="K35" s="171"/>
      <c r="L35" s="171"/>
      <c r="M35" s="171"/>
      <c r="N35" s="171"/>
      <c r="O35" s="171"/>
      <c r="P35" s="171"/>
      <c r="Q35" s="171"/>
      <c r="R35" s="171"/>
      <c r="S35" s="171"/>
      <c r="T35" s="171"/>
      <c r="U35" s="171"/>
      <c r="V35" s="171"/>
    </row>
    <row r="36">
      <c r="A36" s="171"/>
      <c r="B36" s="171"/>
      <c r="C36" s="171"/>
      <c r="D36" s="171"/>
      <c r="E36" s="171"/>
      <c r="F36" s="171"/>
      <c r="G36" s="171"/>
      <c r="H36" s="171"/>
      <c r="I36" s="171"/>
      <c r="J36" s="171"/>
      <c r="K36" s="171"/>
      <c r="L36" s="171"/>
      <c r="M36" s="171"/>
      <c r="N36" s="171"/>
      <c r="O36" s="171"/>
      <c r="P36" s="171"/>
      <c r="Q36" s="171"/>
      <c r="R36" s="171"/>
      <c r="S36" s="171"/>
      <c r="T36" s="171"/>
      <c r="U36" s="171"/>
      <c r="V36" s="171"/>
    </row>
    <row r="37">
      <c r="A37" s="171"/>
      <c r="B37" s="171"/>
      <c r="C37" s="171"/>
      <c r="D37" s="171"/>
      <c r="E37" s="171"/>
      <c r="F37" s="171"/>
      <c r="G37" s="171"/>
      <c r="H37" s="171"/>
      <c r="I37" s="171"/>
      <c r="J37" s="171"/>
      <c r="K37" s="171"/>
      <c r="L37" s="171"/>
      <c r="M37" s="171"/>
      <c r="N37" s="171"/>
      <c r="O37" s="171"/>
      <c r="P37" s="171"/>
      <c r="Q37" s="171"/>
      <c r="R37" s="171"/>
      <c r="S37" s="171"/>
      <c r="T37" s="171"/>
      <c r="U37" s="171"/>
      <c r="V37" s="171"/>
    </row>
    <row r="38">
      <c r="A38" s="171"/>
      <c r="B38" s="171"/>
      <c r="C38" s="171"/>
      <c r="D38" s="171"/>
      <c r="E38" s="171"/>
      <c r="F38" s="171"/>
      <c r="G38" s="171"/>
      <c r="H38" s="171"/>
      <c r="I38" s="171"/>
      <c r="J38" s="171"/>
      <c r="K38" s="171"/>
      <c r="L38" s="171"/>
      <c r="M38" s="171"/>
      <c r="N38" s="171"/>
      <c r="O38" s="171"/>
      <c r="P38" s="171"/>
      <c r="Q38" s="171"/>
      <c r="R38" s="171"/>
      <c r="S38" s="171"/>
      <c r="T38" s="171"/>
      <c r="U38" s="171"/>
      <c r="V38" s="171"/>
    </row>
    <row r="39">
      <c r="A39" s="171"/>
      <c r="B39" s="171"/>
      <c r="C39" s="171"/>
      <c r="D39" s="171"/>
      <c r="E39" s="171"/>
      <c r="F39" s="171"/>
      <c r="G39" s="171"/>
      <c r="H39" s="171"/>
      <c r="I39" s="171"/>
      <c r="J39" s="171"/>
      <c r="K39" s="171"/>
      <c r="L39" s="171"/>
      <c r="M39" s="171"/>
      <c r="N39" s="171"/>
      <c r="O39" s="171"/>
      <c r="P39" s="171"/>
      <c r="Q39" s="171"/>
      <c r="R39" s="171"/>
      <c r="S39" s="171"/>
      <c r="T39" s="171"/>
      <c r="U39" s="171"/>
      <c r="V39" s="171"/>
    </row>
    <row r="40">
      <c r="A40" s="171"/>
      <c r="B40" s="171"/>
      <c r="C40" s="171"/>
      <c r="D40" s="171"/>
      <c r="E40" s="171"/>
      <c r="F40" s="171"/>
      <c r="G40" s="171"/>
      <c r="H40" s="171"/>
      <c r="I40" s="171"/>
      <c r="J40" s="171"/>
      <c r="K40" s="171"/>
      <c r="L40" s="171"/>
      <c r="M40" s="171"/>
      <c r="N40" s="171"/>
      <c r="O40" s="171"/>
      <c r="P40" s="171"/>
      <c r="Q40" s="171"/>
      <c r="R40" s="171"/>
      <c r="S40" s="171"/>
      <c r="T40" s="171"/>
      <c r="U40" s="171"/>
      <c r="V40" s="171"/>
    </row>
    <row r="41">
      <c r="A41" s="171"/>
      <c r="B41" s="171"/>
      <c r="C41" s="171"/>
      <c r="D41" s="171"/>
      <c r="E41" s="171"/>
      <c r="F41" s="171"/>
      <c r="G41" s="171"/>
      <c r="H41" s="171"/>
      <c r="I41" s="171"/>
      <c r="J41" s="171"/>
      <c r="K41" s="171"/>
      <c r="L41" s="171"/>
      <c r="M41" s="171"/>
      <c r="N41" s="171"/>
      <c r="O41" s="171"/>
      <c r="P41" s="171"/>
      <c r="Q41" s="171"/>
      <c r="R41" s="171"/>
      <c r="S41" s="171"/>
      <c r="T41" s="171"/>
      <c r="U41" s="171"/>
      <c r="V41" s="171"/>
    </row>
    <row r="42">
      <c r="C42" s="171"/>
      <c r="D42" s="171"/>
      <c r="E42" s="171"/>
      <c r="F42" s="171"/>
      <c r="G42" s="171"/>
      <c r="H42" s="171"/>
      <c r="I42" s="171"/>
      <c r="M42" s="171"/>
      <c r="N42" s="171"/>
      <c r="O42" s="171"/>
      <c r="P42" s="171"/>
      <c r="Q42" s="171"/>
      <c r="R42" s="171"/>
      <c r="S42" s="171"/>
      <c r="T42" s="171"/>
      <c r="U42" s="171"/>
      <c r="V42" s="171"/>
    </row>
    <row r="43">
      <c r="C43" s="171"/>
      <c r="D43" s="171"/>
      <c r="E43" s="171"/>
      <c r="F43" s="171"/>
      <c r="G43" s="171"/>
      <c r="H43" s="171"/>
      <c r="I43" s="171"/>
      <c r="M43" s="171"/>
      <c r="N43" s="171"/>
      <c r="O43" s="171"/>
      <c r="P43" s="171"/>
      <c r="Q43" s="171"/>
    </row>
  </sheetData>
  <mergeCells count="15">
    <mergeCell ref="J12:J14"/>
    <mergeCell ref="K12:K14"/>
    <mergeCell ref="L12:L14"/>
    <mergeCell ref="C13:C15"/>
    <mergeCell ref="B14:B15"/>
    <mergeCell ref="E17:G17"/>
    <mergeCell ref="N19:P29"/>
    <mergeCell ref="E23:G23"/>
    <mergeCell ref="J2:J3"/>
    <mergeCell ref="K2:L2"/>
    <mergeCell ref="M2:N2"/>
    <mergeCell ref="O2:P2"/>
    <mergeCell ref="R2:V2"/>
    <mergeCell ref="E9:G9"/>
    <mergeCell ref="E11:G1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43"/>
    <col customWidth="1" min="2" max="2" width="25.29"/>
    <col customWidth="1" min="3" max="3" width="9.14"/>
    <col customWidth="1" min="4" max="4" width="13.86"/>
    <col customWidth="1" hidden="1" min="5" max="8" width="14.0"/>
    <col customWidth="1" min="9" max="10" width="14.0"/>
    <col customWidth="1" min="11" max="11" width="14.43"/>
    <col customWidth="1" min="12" max="12" width="51.57"/>
    <col customWidth="1" min="13" max="19" width="14.43"/>
    <col customWidth="1" min="20" max="20" width="58.29"/>
    <col customWidth="1" min="21" max="25" width="14.43"/>
  </cols>
  <sheetData>
    <row r="1" ht="15.75" customHeight="1">
      <c r="A1" s="17"/>
      <c r="B1" s="204" t="s">
        <v>199</v>
      </c>
      <c r="C1" s="46"/>
      <c r="D1" s="46"/>
      <c r="E1" s="46"/>
      <c r="F1" s="46"/>
      <c r="G1" s="46"/>
      <c r="H1" s="46"/>
      <c r="I1" s="46"/>
      <c r="J1" s="47"/>
      <c r="K1" s="17"/>
      <c r="L1" s="205" t="s">
        <v>200</v>
      </c>
      <c r="S1" s="17"/>
      <c r="T1" s="206" t="s">
        <v>54</v>
      </c>
      <c r="U1" s="117"/>
      <c r="V1" s="117"/>
      <c r="W1" s="117"/>
      <c r="X1" s="117"/>
      <c r="Y1" s="118"/>
    </row>
    <row r="2" ht="15.75" customHeight="1">
      <c r="A2" s="17"/>
      <c r="B2" s="207" t="s">
        <v>201</v>
      </c>
      <c r="C2" s="207" t="s">
        <v>103</v>
      </c>
      <c r="D2" s="207" t="s">
        <v>202</v>
      </c>
      <c r="E2" s="208" t="s">
        <v>19</v>
      </c>
      <c r="F2" s="47"/>
      <c r="G2" s="208" t="s">
        <v>30</v>
      </c>
      <c r="H2" s="47"/>
      <c r="I2" s="209" t="s">
        <v>31</v>
      </c>
      <c r="J2" s="210"/>
      <c r="K2" s="17"/>
      <c r="L2" s="211" t="s">
        <v>201</v>
      </c>
      <c r="M2" s="211" t="s">
        <v>103</v>
      </c>
      <c r="N2" s="211" t="s">
        <v>202</v>
      </c>
      <c r="O2" s="211" t="s">
        <v>129</v>
      </c>
      <c r="P2" s="211" t="s">
        <v>203</v>
      </c>
      <c r="Q2" s="212" t="s">
        <v>204</v>
      </c>
      <c r="R2" s="212" t="s">
        <v>205</v>
      </c>
      <c r="S2" s="17"/>
      <c r="T2" s="213" t="s">
        <v>102</v>
      </c>
      <c r="U2" s="213" t="s">
        <v>103</v>
      </c>
      <c r="V2" s="214" t="s">
        <v>202</v>
      </c>
      <c r="W2" s="213" t="s">
        <v>206</v>
      </c>
      <c r="X2" s="213" t="s">
        <v>207</v>
      </c>
      <c r="Y2" s="214" t="s">
        <v>208</v>
      </c>
    </row>
    <row r="3" ht="15.75" customHeight="1">
      <c r="A3" s="17"/>
      <c r="B3" s="215"/>
      <c r="C3" s="215"/>
      <c r="D3" s="215"/>
      <c r="E3" s="216" t="s">
        <v>209</v>
      </c>
      <c r="F3" s="216" t="s">
        <v>208</v>
      </c>
      <c r="G3" s="216" t="s">
        <v>209</v>
      </c>
      <c r="H3" s="216" t="s">
        <v>208</v>
      </c>
      <c r="I3" s="216" t="s">
        <v>209</v>
      </c>
      <c r="J3" s="216" t="s">
        <v>208</v>
      </c>
      <c r="K3" s="17"/>
      <c r="L3" s="217" t="s">
        <v>210</v>
      </c>
      <c r="M3" s="218" t="s">
        <v>211</v>
      </c>
      <c r="N3" s="219">
        <v>0.29</v>
      </c>
      <c r="O3" s="220" t="s">
        <v>91</v>
      </c>
      <c r="P3" s="220">
        <v>2.0</v>
      </c>
      <c r="Q3" s="221">
        <v>1.0</v>
      </c>
      <c r="R3" s="222">
        <f t="shared" ref="R3:R125" si="1">IFS(Q3=0,N3*P3,Q3&gt;0,(N3*P3)/Q3)</f>
        <v>0.58</v>
      </c>
      <c r="S3" s="17"/>
      <c r="T3" s="221" t="s">
        <v>212</v>
      </c>
      <c r="U3" s="218" t="s">
        <v>211</v>
      </c>
      <c r="V3" s="223">
        <f>1973/6</f>
        <v>328.8333333</v>
      </c>
      <c r="W3" s="224">
        <v>1.0</v>
      </c>
      <c r="X3" s="225">
        <v>3.33</v>
      </c>
      <c r="Y3" s="226">
        <f t="shared" ref="Y3:Y7" si="2">IFS(X3=0,V3*W3,X3&gt;0,(V3*W3)/X3)</f>
        <v>98.74874875</v>
      </c>
    </row>
    <row r="4">
      <c r="A4" s="17"/>
      <c r="B4" s="227" t="s">
        <v>213</v>
      </c>
      <c r="C4" s="228" t="s">
        <v>109</v>
      </c>
      <c r="D4" s="229">
        <v>426.0</v>
      </c>
      <c r="E4" s="230">
        <v>0.1</v>
      </c>
      <c r="F4" s="231">
        <f t="shared" ref="F4:F5" si="3">E4*D4</f>
        <v>42.6</v>
      </c>
      <c r="G4" s="230">
        <v>0.1</v>
      </c>
      <c r="H4" s="231">
        <f t="shared" ref="H4:H6" si="4">G4*D4</f>
        <v>42.6</v>
      </c>
      <c r="I4" s="232">
        <v>0.09</v>
      </c>
      <c r="J4" s="233">
        <f t="shared" ref="J4:J6" si="5">I4*D4</f>
        <v>38.34</v>
      </c>
      <c r="K4" s="17"/>
      <c r="L4" s="234" t="s">
        <v>214</v>
      </c>
      <c r="M4" s="218" t="s">
        <v>109</v>
      </c>
      <c r="N4" s="235">
        <v>0.024</v>
      </c>
      <c r="O4" s="220" t="s">
        <v>91</v>
      </c>
      <c r="P4" s="220">
        <v>16.2</v>
      </c>
      <c r="Q4" s="221">
        <v>1.0</v>
      </c>
      <c r="R4" s="222">
        <f t="shared" si="1"/>
        <v>0.3888</v>
      </c>
      <c r="S4" s="17"/>
      <c r="T4" s="221" t="s">
        <v>215</v>
      </c>
      <c r="U4" s="218" t="s">
        <v>216</v>
      </c>
      <c r="V4" s="223">
        <v>25.0</v>
      </c>
      <c r="W4" s="236">
        <v>0.33</v>
      </c>
      <c r="X4" s="237"/>
      <c r="Y4" s="226">
        <f t="shared" si="2"/>
        <v>8.25</v>
      </c>
    </row>
    <row r="5">
      <c r="A5" s="17"/>
      <c r="B5" s="227" t="s">
        <v>217</v>
      </c>
      <c r="C5" s="228" t="s">
        <v>216</v>
      </c>
      <c r="D5" s="229">
        <f>1*'Parâmetros'!H13</f>
        <v>5.35</v>
      </c>
      <c r="E5" s="230">
        <v>5.0</v>
      </c>
      <c r="F5" s="231">
        <f t="shared" si="3"/>
        <v>26.75</v>
      </c>
      <c r="G5" s="230">
        <v>5.0</v>
      </c>
      <c r="H5" s="231">
        <f t="shared" si="4"/>
        <v>26.75</v>
      </c>
      <c r="I5" s="233">
        <f>'Parâmetros'!D14/1000</f>
        <v>10</v>
      </c>
      <c r="J5" s="233">
        <f t="shared" si="5"/>
        <v>53.5</v>
      </c>
      <c r="K5" s="17"/>
      <c r="L5" s="234" t="s">
        <v>218</v>
      </c>
      <c r="M5" s="218" t="s">
        <v>211</v>
      </c>
      <c r="N5" s="235">
        <f>20*'Parâmetros'!H13</f>
        <v>107</v>
      </c>
      <c r="O5" s="220" t="s">
        <v>91</v>
      </c>
      <c r="P5" s="220">
        <v>1.0</v>
      </c>
      <c r="Q5" s="221">
        <v>2.0</v>
      </c>
      <c r="R5" s="222">
        <f t="shared" si="1"/>
        <v>53.5</v>
      </c>
      <c r="S5" s="17"/>
      <c r="T5" s="221" t="s">
        <v>219</v>
      </c>
      <c r="U5" s="218" t="s">
        <v>211</v>
      </c>
      <c r="V5" s="223">
        <v>360.0</v>
      </c>
      <c r="W5" s="236">
        <v>0.005</v>
      </c>
      <c r="X5" s="237"/>
      <c r="Y5" s="226">
        <f t="shared" si="2"/>
        <v>1.8</v>
      </c>
    </row>
    <row r="6">
      <c r="A6" s="17"/>
      <c r="B6" s="238" t="s">
        <v>220</v>
      </c>
      <c r="C6" s="239" t="s">
        <v>109</v>
      </c>
      <c r="D6" s="240">
        <v>216.0</v>
      </c>
      <c r="E6" s="230">
        <v>0.002</v>
      </c>
      <c r="F6" s="231">
        <f>D6*E6</f>
        <v>0.432</v>
      </c>
      <c r="G6" s="230">
        <v>0.002</v>
      </c>
      <c r="H6" s="231">
        <f t="shared" si="4"/>
        <v>0.432</v>
      </c>
      <c r="I6" s="232">
        <v>0.026</v>
      </c>
      <c r="J6" s="233">
        <f t="shared" si="5"/>
        <v>5.616</v>
      </c>
      <c r="K6" s="17"/>
      <c r="L6" s="234" t="s">
        <v>221</v>
      </c>
      <c r="M6" s="218" t="s">
        <v>109</v>
      </c>
      <c r="N6" s="219">
        <v>437.0</v>
      </c>
      <c r="O6" s="220" t="s">
        <v>91</v>
      </c>
      <c r="P6" s="220">
        <v>2.0E-4</v>
      </c>
      <c r="Q6" s="221">
        <v>5000.0</v>
      </c>
      <c r="R6" s="222">
        <f t="shared" si="1"/>
        <v>0.00001748</v>
      </c>
      <c r="S6" s="17"/>
      <c r="T6" s="221" t="s">
        <v>222</v>
      </c>
      <c r="U6" s="218" t="s">
        <v>211</v>
      </c>
      <c r="V6" s="223">
        <v>78.0</v>
      </c>
      <c r="W6" s="236">
        <v>0.02</v>
      </c>
      <c r="X6" s="237"/>
      <c r="Y6" s="226">
        <f t="shared" si="2"/>
        <v>1.56</v>
      </c>
    </row>
    <row r="7">
      <c r="A7" s="17"/>
      <c r="B7" s="238" t="s">
        <v>223</v>
      </c>
      <c r="C7" s="228" t="s">
        <v>109</v>
      </c>
      <c r="D7" s="229" t="s">
        <v>18</v>
      </c>
      <c r="E7" s="230">
        <v>7500.0</v>
      </c>
      <c r="F7" s="231">
        <v>110.54</v>
      </c>
      <c r="G7" s="230">
        <v>7500.0</v>
      </c>
      <c r="H7" s="231">
        <v>110.54</v>
      </c>
      <c r="I7" s="233">
        <f>500+584</f>
        <v>1084</v>
      </c>
      <c r="J7" s="233"/>
      <c r="K7" s="17"/>
      <c r="L7" s="234" t="s">
        <v>224</v>
      </c>
      <c r="M7" s="218" t="s">
        <v>211</v>
      </c>
      <c r="N7" s="219">
        <v>0.1</v>
      </c>
      <c r="O7" s="220" t="s">
        <v>91</v>
      </c>
      <c r="P7" s="220">
        <v>3.0</v>
      </c>
      <c r="Q7" s="221">
        <v>1.0</v>
      </c>
      <c r="R7" s="222">
        <f t="shared" si="1"/>
        <v>0.3</v>
      </c>
      <c r="S7" s="17"/>
      <c r="T7" s="221" t="s">
        <v>225</v>
      </c>
      <c r="U7" s="218" t="s">
        <v>211</v>
      </c>
      <c r="V7" s="223">
        <v>69.0</v>
      </c>
      <c r="W7" s="236">
        <v>0.02</v>
      </c>
      <c r="X7" s="237"/>
      <c r="Y7" s="226">
        <f t="shared" si="2"/>
        <v>1.38</v>
      </c>
    </row>
    <row r="8">
      <c r="A8" s="17"/>
      <c r="B8" s="241" t="s">
        <v>226</v>
      </c>
      <c r="C8" s="228" t="s">
        <v>109</v>
      </c>
      <c r="D8" s="229"/>
      <c r="E8" s="242"/>
      <c r="F8" s="243"/>
      <c r="G8" s="242"/>
      <c r="H8" s="243"/>
      <c r="I8" s="233">
        <v>540.0</v>
      </c>
      <c r="J8" s="233"/>
      <c r="K8" s="17"/>
      <c r="L8" s="234" t="s">
        <v>227</v>
      </c>
      <c r="M8" s="218" t="s">
        <v>109</v>
      </c>
      <c r="N8" s="219"/>
      <c r="O8" s="220" t="s">
        <v>91</v>
      </c>
      <c r="P8" s="220">
        <v>0.2</v>
      </c>
      <c r="Q8" s="221">
        <v>1.0</v>
      </c>
      <c r="R8" s="222">
        <f t="shared" si="1"/>
        <v>0</v>
      </c>
      <c r="S8" s="17"/>
      <c r="T8" s="221"/>
      <c r="U8" s="218"/>
      <c r="V8" s="223"/>
      <c r="W8" s="236"/>
      <c r="X8" s="237"/>
      <c r="Y8" s="226"/>
    </row>
    <row r="9">
      <c r="A9" s="17"/>
      <c r="B9" s="244" t="s">
        <v>228</v>
      </c>
      <c r="C9" s="228" t="s">
        <v>211</v>
      </c>
      <c r="D9" s="229">
        <v>6.5</v>
      </c>
      <c r="E9" s="230">
        <v>2.0</v>
      </c>
      <c r="F9" s="231">
        <f>D9*2</f>
        <v>13</v>
      </c>
      <c r="G9" s="230">
        <v>2.0</v>
      </c>
      <c r="H9" s="231">
        <f t="shared" ref="H9:H12" si="6">G9*D9</f>
        <v>13</v>
      </c>
      <c r="I9" s="233">
        <v>1.0</v>
      </c>
      <c r="J9" s="233">
        <f t="shared" ref="J9:J12" si="7">I9*D9</f>
        <v>6.5</v>
      </c>
      <c r="K9" s="17"/>
      <c r="L9" s="245" t="s">
        <v>229</v>
      </c>
      <c r="M9" s="218" t="s">
        <v>211</v>
      </c>
      <c r="N9" s="219">
        <v>0.2</v>
      </c>
      <c r="O9" s="220" t="s">
        <v>91</v>
      </c>
      <c r="P9" s="220">
        <v>2.0</v>
      </c>
      <c r="Q9" s="221">
        <v>1.0</v>
      </c>
      <c r="R9" s="222">
        <f t="shared" si="1"/>
        <v>0.4</v>
      </c>
      <c r="S9" s="17"/>
      <c r="T9" s="221" t="s">
        <v>230</v>
      </c>
      <c r="U9" s="218" t="s">
        <v>211</v>
      </c>
      <c r="V9" s="223">
        <v>50.0</v>
      </c>
      <c r="W9" s="236">
        <v>0.01</v>
      </c>
      <c r="X9" s="237"/>
      <c r="Y9" s="226">
        <f t="shared" ref="Y9:Y15" si="8">IFS(X9=0,V9*W9,X9&gt;0,(V9*W9)/X9)</f>
        <v>0.5</v>
      </c>
    </row>
    <row r="10">
      <c r="A10" s="17"/>
      <c r="B10" s="233" t="s">
        <v>231</v>
      </c>
      <c r="C10" s="228" t="s">
        <v>211</v>
      </c>
      <c r="D10" s="229">
        <v>0.5</v>
      </c>
      <c r="E10" s="230">
        <v>20.0</v>
      </c>
      <c r="F10" s="231">
        <f t="shared" ref="F10:F12" si="9">E10*D10</f>
        <v>10</v>
      </c>
      <c r="G10" s="230">
        <v>20.0</v>
      </c>
      <c r="H10" s="231">
        <f t="shared" si="6"/>
        <v>10</v>
      </c>
      <c r="I10" s="233">
        <v>20.0</v>
      </c>
      <c r="J10" s="233">
        <f t="shared" si="7"/>
        <v>10</v>
      </c>
      <c r="K10" s="17"/>
      <c r="L10" s="234" t="s">
        <v>232</v>
      </c>
      <c r="M10" s="218" t="s">
        <v>211</v>
      </c>
      <c r="N10" s="219">
        <v>0.1</v>
      </c>
      <c r="O10" s="220" t="s">
        <v>91</v>
      </c>
      <c r="P10" s="220">
        <v>2.0</v>
      </c>
      <c r="Q10" s="221">
        <v>1.0</v>
      </c>
      <c r="R10" s="222">
        <f t="shared" si="1"/>
        <v>0.2</v>
      </c>
      <c r="S10" s="17"/>
      <c r="T10" s="221" t="s">
        <v>233</v>
      </c>
      <c r="U10" s="218" t="s">
        <v>211</v>
      </c>
      <c r="V10" s="223">
        <v>5.0</v>
      </c>
      <c r="W10" s="236">
        <v>0.03</v>
      </c>
      <c r="X10" s="237"/>
      <c r="Y10" s="226">
        <f t="shared" si="8"/>
        <v>0.15</v>
      </c>
    </row>
    <row r="11">
      <c r="A11" s="17"/>
      <c r="B11" s="233" t="s">
        <v>234</v>
      </c>
      <c r="C11" s="228" t="s">
        <v>211</v>
      </c>
      <c r="D11" s="229">
        <v>1.05</v>
      </c>
      <c r="E11" s="230">
        <v>15.0</v>
      </c>
      <c r="F11" s="231">
        <f t="shared" si="9"/>
        <v>15.75</v>
      </c>
      <c r="G11" s="230">
        <v>15.0</v>
      </c>
      <c r="H11" s="231">
        <f t="shared" si="6"/>
        <v>15.75</v>
      </c>
      <c r="I11" s="233">
        <v>15.0</v>
      </c>
      <c r="J11" s="233">
        <f t="shared" si="7"/>
        <v>15.75</v>
      </c>
      <c r="K11" s="17"/>
      <c r="L11" s="234" t="s">
        <v>235</v>
      </c>
      <c r="M11" s="218" t="s">
        <v>211</v>
      </c>
      <c r="N11" s="235">
        <f>0.3*'Parâmetros'!H35</f>
        <v>0</v>
      </c>
      <c r="O11" s="220" t="s">
        <v>91</v>
      </c>
      <c r="P11" s="220">
        <v>2.0</v>
      </c>
      <c r="Q11" s="221">
        <v>100.0</v>
      </c>
      <c r="R11" s="222">
        <f t="shared" si="1"/>
        <v>0</v>
      </c>
      <c r="S11" s="17"/>
      <c r="T11" s="221" t="s">
        <v>236</v>
      </c>
      <c r="U11" s="218" t="s">
        <v>211</v>
      </c>
      <c r="V11" s="223">
        <v>5.0</v>
      </c>
      <c r="W11" s="236">
        <v>0.01</v>
      </c>
      <c r="X11" s="237"/>
      <c r="Y11" s="226">
        <f t="shared" si="8"/>
        <v>0.05</v>
      </c>
    </row>
    <row r="12">
      <c r="A12" s="17"/>
      <c r="B12" s="233" t="s">
        <v>237</v>
      </c>
      <c r="C12" s="228" t="s">
        <v>211</v>
      </c>
      <c r="D12" s="229">
        <v>25.7</v>
      </c>
      <c r="E12" s="230">
        <v>1.0</v>
      </c>
      <c r="F12" s="231">
        <f t="shared" si="9"/>
        <v>25.7</v>
      </c>
      <c r="G12" s="230">
        <v>0.0</v>
      </c>
      <c r="H12" s="231">
        <f t="shared" si="6"/>
        <v>0</v>
      </c>
      <c r="I12" s="233">
        <v>0.0</v>
      </c>
      <c r="J12" s="233">
        <f t="shared" si="7"/>
        <v>0</v>
      </c>
      <c r="K12" s="17"/>
      <c r="L12" s="234" t="s">
        <v>238</v>
      </c>
      <c r="M12" s="218" t="s">
        <v>211</v>
      </c>
      <c r="N12" s="219">
        <v>100.0</v>
      </c>
      <c r="O12" s="220" t="s">
        <v>91</v>
      </c>
      <c r="P12" s="220">
        <v>1.0</v>
      </c>
      <c r="Q12" s="221">
        <v>1825.0</v>
      </c>
      <c r="R12" s="222">
        <f t="shared" si="1"/>
        <v>0.05479452055</v>
      </c>
      <c r="S12" s="17"/>
      <c r="T12" s="221" t="s">
        <v>239</v>
      </c>
      <c r="U12" s="218" t="s">
        <v>211</v>
      </c>
      <c r="V12" s="223">
        <v>100.0</v>
      </c>
      <c r="W12" s="236">
        <v>0.2</v>
      </c>
      <c r="X12" s="237"/>
      <c r="Y12" s="226">
        <f t="shared" si="8"/>
        <v>20</v>
      </c>
    </row>
    <row r="13">
      <c r="A13" s="17"/>
      <c r="B13" s="246" t="s">
        <v>240</v>
      </c>
      <c r="E13" s="17"/>
      <c r="F13" s="17"/>
      <c r="G13" s="17"/>
      <c r="H13" s="17"/>
      <c r="I13" s="17"/>
      <c r="K13" s="17"/>
      <c r="L13" s="234" t="s">
        <v>241</v>
      </c>
      <c r="M13" s="218" t="s">
        <v>211</v>
      </c>
      <c r="N13" s="235">
        <v>35.0</v>
      </c>
      <c r="O13" s="220" t="s">
        <v>91</v>
      </c>
      <c r="P13" s="220">
        <v>1.0</v>
      </c>
      <c r="Q13" s="221">
        <v>1825.0</v>
      </c>
      <c r="R13" s="222">
        <f t="shared" si="1"/>
        <v>0.01917808219</v>
      </c>
      <c r="S13" s="17"/>
      <c r="T13" s="221" t="s">
        <v>242</v>
      </c>
      <c r="U13" s="218" t="s">
        <v>216</v>
      </c>
      <c r="V13" s="223">
        <v>10.0</v>
      </c>
      <c r="W13" s="236">
        <v>0.2</v>
      </c>
      <c r="X13" s="237"/>
      <c r="Y13" s="226">
        <f t="shared" si="8"/>
        <v>2</v>
      </c>
    </row>
    <row r="14">
      <c r="A14" s="17"/>
      <c r="B14" s="17"/>
      <c r="C14" s="17"/>
      <c r="D14" s="17"/>
      <c r="E14" s="17"/>
      <c r="F14" s="17"/>
      <c r="G14" s="17"/>
      <c r="H14" s="17"/>
      <c r="I14" s="17"/>
      <c r="J14" s="17"/>
      <c r="K14" s="17"/>
      <c r="L14" s="234" t="s">
        <v>243</v>
      </c>
      <c r="M14" s="218" t="s">
        <v>211</v>
      </c>
      <c r="N14" s="219">
        <v>0.37</v>
      </c>
      <c r="O14" s="220" t="s">
        <v>244</v>
      </c>
      <c r="P14" s="220">
        <v>2.0</v>
      </c>
      <c r="Q14" s="247">
        <v>1.0</v>
      </c>
      <c r="R14" s="222">
        <f t="shared" si="1"/>
        <v>0.74</v>
      </c>
      <c r="S14" s="17"/>
      <c r="T14" s="221" t="s">
        <v>245</v>
      </c>
      <c r="U14" s="218" t="s">
        <v>211</v>
      </c>
      <c r="V14" s="223">
        <v>2.0</v>
      </c>
      <c r="W14" s="236">
        <v>0.033</v>
      </c>
      <c r="X14" s="225"/>
      <c r="Y14" s="226">
        <f t="shared" si="8"/>
        <v>0.066</v>
      </c>
    </row>
    <row r="15" ht="15.75" customHeight="1">
      <c r="A15" s="17"/>
      <c r="B15" s="204" t="s">
        <v>246</v>
      </c>
      <c r="C15" s="46"/>
      <c r="D15" s="46"/>
      <c r="E15" s="46"/>
      <c r="F15" s="46"/>
      <c r="G15" s="46"/>
      <c r="H15" s="46"/>
      <c r="I15" s="46"/>
      <c r="J15" s="47"/>
      <c r="K15" s="17"/>
      <c r="L15" s="234" t="s">
        <v>247</v>
      </c>
      <c r="M15" s="218" t="s">
        <v>211</v>
      </c>
      <c r="N15" s="219">
        <v>0.12</v>
      </c>
      <c r="O15" s="220" t="s">
        <v>244</v>
      </c>
      <c r="P15" s="220">
        <v>1.0</v>
      </c>
      <c r="Q15" s="247">
        <v>2.0</v>
      </c>
      <c r="R15" s="222">
        <f t="shared" si="1"/>
        <v>0.06</v>
      </c>
      <c r="S15" s="17"/>
      <c r="T15" s="221" t="s">
        <v>248</v>
      </c>
      <c r="U15" s="218" t="s">
        <v>249</v>
      </c>
      <c r="V15" s="223">
        <v>1000.0</v>
      </c>
      <c r="W15" s="236">
        <v>1.0</v>
      </c>
      <c r="X15" s="225">
        <v>4.0</v>
      </c>
      <c r="Y15" s="226">
        <f t="shared" si="8"/>
        <v>250</v>
      </c>
    </row>
    <row r="16" ht="15.75" customHeight="1">
      <c r="A16" s="17"/>
      <c r="B16" s="207" t="s">
        <v>201</v>
      </c>
      <c r="C16" s="207" t="s">
        <v>103</v>
      </c>
      <c r="D16" s="207" t="s">
        <v>202</v>
      </c>
      <c r="E16" s="208" t="s">
        <v>19</v>
      </c>
      <c r="F16" s="47"/>
      <c r="G16" s="208" t="s">
        <v>30</v>
      </c>
      <c r="H16" s="47"/>
      <c r="I16" s="209" t="s">
        <v>31</v>
      </c>
      <c r="J16" s="210"/>
      <c r="K16" s="17"/>
      <c r="L16" s="234" t="s">
        <v>250</v>
      </c>
      <c r="M16" s="218" t="s">
        <v>211</v>
      </c>
      <c r="N16" s="219">
        <v>1.75</v>
      </c>
      <c r="O16" s="220" t="s">
        <v>244</v>
      </c>
      <c r="P16" s="220">
        <v>3.0</v>
      </c>
      <c r="Q16" s="247">
        <v>1.0</v>
      </c>
      <c r="R16" s="222">
        <f t="shared" si="1"/>
        <v>5.25</v>
      </c>
      <c r="S16" s="17"/>
      <c r="T16" s="17"/>
      <c r="U16" s="17"/>
      <c r="V16" s="17"/>
      <c r="W16" s="17"/>
      <c r="X16" s="17"/>
      <c r="Y16" s="17"/>
    </row>
    <row r="17" ht="18.75" customHeight="1">
      <c r="A17" s="17"/>
      <c r="B17" s="215"/>
      <c r="C17" s="215"/>
      <c r="D17" s="215"/>
      <c r="E17" s="216" t="s">
        <v>209</v>
      </c>
      <c r="F17" s="216" t="s">
        <v>208</v>
      </c>
      <c r="G17" s="216" t="s">
        <v>209</v>
      </c>
      <c r="H17" s="216" t="s">
        <v>208</v>
      </c>
      <c r="I17" s="216" t="s">
        <v>209</v>
      </c>
      <c r="J17" s="216" t="s">
        <v>208</v>
      </c>
      <c r="K17" s="17"/>
      <c r="L17" s="234" t="s">
        <v>251</v>
      </c>
      <c r="M17" s="218" t="s">
        <v>252</v>
      </c>
      <c r="N17" s="219">
        <v>0.05</v>
      </c>
      <c r="O17" s="220" t="s">
        <v>244</v>
      </c>
      <c r="P17" s="220">
        <v>0.054</v>
      </c>
      <c r="Q17" s="247">
        <v>1.0</v>
      </c>
      <c r="R17" s="222">
        <f t="shared" si="1"/>
        <v>0.0027</v>
      </c>
      <c r="S17" s="17"/>
      <c r="T17" s="17"/>
      <c r="U17" s="17"/>
      <c r="V17" s="17"/>
      <c r="W17" s="17"/>
      <c r="X17" s="17"/>
      <c r="Y17" s="17"/>
    </row>
    <row r="18" ht="15.75" customHeight="1">
      <c r="A18" s="17"/>
      <c r="B18" s="233" t="s">
        <v>253</v>
      </c>
      <c r="C18" s="228" t="s">
        <v>211</v>
      </c>
      <c r="D18" s="229">
        <v>0.93</v>
      </c>
      <c r="E18" s="233">
        <v>1.0</v>
      </c>
      <c r="F18" s="229">
        <f t="shared" ref="F18:F25" si="10">E18*D18</f>
        <v>0.93</v>
      </c>
      <c r="G18" s="233">
        <v>1.0</v>
      </c>
      <c r="H18" s="229">
        <f t="shared" ref="H18:H25" si="11">G18*D18</f>
        <v>0.93</v>
      </c>
      <c r="I18" s="233">
        <v>1.0</v>
      </c>
      <c r="J18" s="229">
        <f t="shared" ref="J18:J25" si="12">I18*D18</f>
        <v>0.93</v>
      </c>
      <c r="K18" s="17"/>
      <c r="L18" s="234" t="s">
        <v>254</v>
      </c>
      <c r="M18" s="218" t="s">
        <v>255</v>
      </c>
      <c r="N18" s="248">
        <v>50.0</v>
      </c>
      <c r="O18" s="220" t="s">
        <v>244</v>
      </c>
      <c r="P18" s="218">
        <v>1.0</v>
      </c>
      <c r="Q18" s="247">
        <v>100.0</v>
      </c>
      <c r="R18" s="222">
        <f t="shared" si="1"/>
        <v>0.5</v>
      </c>
      <c r="S18" s="17"/>
      <c r="T18" s="17"/>
      <c r="U18" s="17"/>
      <c r="V18" s="17"/>
      <c r="W18" s="17"/>
      <c r="X18" s="17"/>
      <c r="Y18" s="17"/>
    </row>
    <row r="19" ht="15.75" customHeight="1">
      <c r="A19" s="17"/>
      <c r="B19" s="233" t="s">
        <v>256</v>
      </c>
      <c r="C19" s="228" t="s">
        <v>211</v>
      </c>
      <c r="D19" s="229">
        <v>0.9</v>
      </c>
      <c r="E19" s="233">
        <v>1.0</v>
      </c>
      <c r="F19" s="229">
        <f t="shared" si="10"/>
        <v>0.9</v>
      </c>
      <c r="G19" s="233">
        <v>0.0</v>
      </c>
      <c r="H19" s="229">
        <f t="shared" si="11"/>
        <v>0</v>
      </c>
      <c r="I19" s="233">
        <v>0.0</v>
      </c>
      <c r="J19" s="229">
        <f t="shared" si="12"/>
        <v>0</v>
      </c>
      <c r="K19" s="17"/>
      <c r="L19" s="234" t="s">
        <v>257</v>
      </c>
      <c r="M19" s="218" t="s">
        <v>258</v>
      </c>
      <c r="N19" s="248">
        <v>0.05</v>
      </c>
      <c r="O19" s="220" t="s">
        <v>244</v>
      </c>
      <c r="P19" s="218">
        <v>10.0</v>
      </c>
      <c r="Q19" s="247">
        <v>10.0</v>
      </c>
      <c r="R19" s="222">
        <f t="shared" si="1"/>
        <v>0.05</v>
      </c>
      <c r="S19" s="17"/>
      <c r="T19" s="17"/>
      <c r="U19" s="17"/>
      <c r="V19" s="17"/>
      <c r="W19" s="17"/>
      <c r="X19" s="17"/>
      <c r="Y19" s="17"/>
    </row>
    <row r="20" ht="15.75" customHeight="1">
      <c r="A20" s="17"/>
      <c r="B20" s="244" t="s">
        <v>228</v>
      </c>
      <c r="C20" s="228" t="s">
        <v>211</v>
      </c>
      <c r="D20" s="229">
        <v>6.5</v>
      </c>
      <c r="E20" s="233">
        <v>1.0</v>
      </c>
      <c r="F20" s="229">
        <f t="shared" si="10"/>
        <v>6.5</v>
      </c>
      <c r="G20" s="233">
        <v>2.0</v>
      </c>
      <c r="H20" s="229">
        <f t="shared" si="11"/>
        <v>13</v>
      </c>
      <c r="I20" s="233">
        <v>2.0</v>
      </c>
      <c r="J20" s="229">
        <f t="shared" si="12"/>
        <v>13</v>
      </c>
      <c r="K20" s="17"/>
      <c r="L20" s="234" t="s">
        <v>259</v>
      </c>
      <c r="M20" s="218" t="s">
        <v>255</v>
      </c>
      <c r="N20" s="248">
        <v>20.0</v>
      </c>
      <c r="O20" s="220" t="s">
        <v>244</v>
      </c>
      <c r="P20" s="218">
        <v>2.0</v>
      </c>
      <c r="Q20" s="221">
        <v>1000.0</v>
      </c>
      <c r="R20" s="222">
        <f t="shared" si="1"/>
        <v>0.04</v>
      </c>
      <c r="S20" s="17"/>
      <c r="T20" s="17"/>
      <c r="U20" s="17"/>
      <c r="V20" s="17"/>
      <c r="W20" s="17"/>
      <c r="X20" s="17"/>
      <c r="Y20" s="17"/>
    </row>
    <row r="21" ht="15.75" customHeight="1">
      <c r="A21" s="17"/>
      <c r="B21" s="233" t="s">
        <v>260</v>
      </c>
      <c r="C21" s="228" t="s">
        <v>211</v>
      </c>
      <c r="D21" s="229">
        <v>32.45</v>
      </c>
      <c r="E21" s="233">
        <v>0.0</v>
      </c>
      <c r="F21" s="229">
        <f t="shared" si="10"/>
        <v>0</v>
      </c>
      <c r="G21" s="233">
        <v>3.0</v>
      </c>
      <c r="H21" s="229">
        <f t="shared" si="11"/>
        <v>97.35</v>
      </c>
      <c r="I21" s="233">
        <v>3.0</v>
      </c>
      <c r="J21" s="229">
        <f t="shared" si="12"/>
        <v>97.35</v>
      </c>
      <c r="K21" s="17"/>
      <c r="L21" s="234" t="s">
        <v>261</v>
      </c>
      <c r="M21" s="218" t="s">
        <v>255</v>
      </c>
      <c r="N21" s="248">
        <v>0.2</v>
      </c>
      <c r="O21" s="220" t="s">
        <v>244</v>
      </c>
      <c r="P21" s="218">
        <v>4.0</v>
      </c>
      <c r="Q21" s="221">
        <v>1.0</v>
      </c>
      <c r="R21" s="222">
        <f t="shared" si="1"/>
        <v>0.8</v>
      </c>
      <c r="S21" s="17"/>
      <c r="T21" s="17"/>
      <c r="U21" s="17"/>
      <c r="V21" s="17"/>
      <c r="W21" s="17"/>
      <c r="X21" s="17"/>
      <c r="Y21" s="17"/>
    </row>
    <row r="22" ht="15.75" customHeight="1">
      <c r="A22" s="17"/>
      <c r="B22" s="233" t="s">
        <v>262</v>
      </c>
      <c r="C22" s="228" t="s">
        <v>211</v>
      </c>
      <c r="D22" s="229">
        <v>7.6</v>
      </c>
      <c r="E22" s="233">
        <v>0.0</v>
      </c>
      <c r="F22" s="229">
        <f t="shared" si="10"/>
        <v>0</v>
      </c>
      <c r="G22" s="233">
        <v>0.0</v>
      </c>
      <c r="H22" s="229">
        <f t="shared" si="11"/>
        <v>0</v>
      </c>
      <c r="I22" s="233">
        <v>0.0</v>
      </c>
      <c r="J22" s="229">
        <f t="shared" si="12"/>
        <v>0</v>
      </c>
      <c r="K22" s="17"/>
      <c r="L22" s="234" t="s">
        <v>263</v>
      </c>
      <c r="M22" s="218" t="s">
        <v>255</v>
      </c>
      <c r="N22" s="248">
        <v>117.0</v>
      </c>
      <c r="O22" s="220" t="s">
        <v>244</v>
      </c>
      <c r="P22" s="218">
        <v>3.0</v>
      </c>
      <c r="Q22" s="221">
        <v>500.0</v>
      </c>
      <c r="R22" s="222">
        <f t="shared" si="1"/>
        <v>0.702</v>
      </c>
      <c r="S22" s="17"/>
      <c r="T22" s="17"/>
      <c r="U22" s="17"/>
      <c r="V22" s="17"/>
      <c r="W22" s="17"/>
      <c r="X22" s="17"/>
      <c r="Y22" s="17"/>
    </row>
    <row r="23" ht="15.75" customHeight="1">
      <c r="A23" s="17"/>
      <c r="B23" s="233" t="s">
        <v>264</v>
      </c>
      <c r="C23" s="228" t="s">
        <v>211</v>
      </c>
      <c r="D23" s="229">
        <v>0.9</v>
      </c>
      <c r="E23" s="233">
        <v>1.0</v>
      </c>
      <c r="F23" s="229">
        <f t="shared" si="10"/>
        <v>0.9</v>
      </c>
      <c r="G23" s="233">
        <v>1.0</v>
      </c>
      <c r="H23" s="229">
        <f t="shared" si="11"/>
        <v>0.9</v>
      </c>
      <c r="I23" s="233">
        <v>1.0</v>
      </c>
      <c r="J23" s="229">
        <f t="shared" si="12"/>
        <v>0.9</v>
      </c>
      <c r="K23" s="17"/>
      <c r="L23" s="234" t="s">
        <v>265</v>
      </c>
      <c r="M23" s="218" t="s">
        <v>255</v>
      </c>
      <c r="N23" s="248">
        <v>0.27</v>
      </c>
      <c r="O23" s="220" t="s">
        <v>244</v>
      </c>
      <c r="P23" s="218">
        <v>3.0</v>
      </c>
      <c r="Q23" s="221">
        <v>3.0</v>
      </c>
      <c r="R23" s="222">
        <f t="shared" si="1"/>
        <v>0.27</v>
      </c>
      <c r="S23" s="17"/>
      <c r="T23" s="17"/>
      <c r="U23" s="17"/>
      <c r="V23" s="17"/>
      <c r="W23" s="17"/>
      <c r="X23" s="17"/>
      <c r="Y23" s="17"/>
    </row>
    <row r="24" ht="15.75" customHeight="1">
      <c r="A24" s="17"/>
      <c r="B24" s="233" t="s">
        <v>266</v>
      </c>
      <c r="C24" s="228" t="s">
        <v>211</v>
      </c>
      <c r="D24" s="229">
        <v>26.0</v>
      </c>
      <c r="E24" s="233">
        <v>0.0</v>
      </c>
      <c r="F24" s="229">
        <f t="shared" si="10"/>
        <v>0</v>
      </c>
      <c r="G24" s="233">
        <v>0.0</v>
      </c>
      <c r="H24" s="229">
        <f t="shared" si="11"/>
        <v>0</v>
      </c>
      <c r="I24" s="233">
        <v>0.0</v>
      </c>
      <c r="J24" s="229">
        <f t="shared" si="12"/>
        <v>0</v>
      </c>
      <c r="K24" s="17"/>
      <c r="L24" s="234" t="s">
        <v>267</v>
      </c>
      <c r="M24" s="218" t="s">
        <v>255</v>
      </c>
      <c r="N24" s="248">
        <v>1.41</v>
      </c>
      <c r="O24" s="220" t="s">
        <v>244</v>
      </c>
      <c r="P24" s="218">
        <v>1.0</v>
      </c>
      <c r="Q24" s="221">
        <v>10.0</v>
      </c>
      <c r="R24" s="222">
        <f t="shared" si="1"/>
        <v>0.141</v>
      </c>
      <c r="S24" s="17"/>
      <c r="T24" s="17"/>
      <c r="U24" s="17"/>
      <c r="V24" s="17"/>
      <c r="W24" s="17"/>
      <c r="X24" s="17"/>
      <c r="Y24" s="17"/>
    </row>
    <row r="25" ht="15.75" customHeight="1">
      <c r="A25" s="17"/>
      <c r="B25" s="233" t="s">
        <v>268</v>
      </c>
      <c r="C25" s="228" t="s">
        <v>211</v>
      </c>
      <c r="D25" s="229">
        <v>53.4</v>
      </c>
      <c r="E25" s="233">
        <v>0.0</v>
      </c>
      <c r="F25" s="229">
        <f t="shared" si="10"/>
        <v>0</v>
      </c>
      <c r="G25" s="233">
        <v>0.0</v>
      </c>
      <c r="H25" s="229">
        <f t="shared" si="11"/>
        <v>0</v>
      </c>
      <c r="I25" s="233">
        <v>0.0</v>
      </c>
      <c r="J25" s="229">
        <f t="shared" si="12"/>
        <v>0</v>
      </c>
      <c r="K25" s="17"/>
      <c r="L25" s="234" t="s">
        <v>269</v>
      </c>
      <c r="M25" s="218" t="s">
        <v>255</v>
      </c>
      <c r="N25" s="248">
        <v>420.4</v>
      </c>
      <c r="O25" s="220" t="s">
        <v>244</v>
      </c>
      <c r="P25" s="218">
        <v>1.0</v>
      </c>
      <c r="Q25" s="221">
        <v>1000.0</v>
      </c>
      <c r="R25" s="222">
        <f t="shared" si="1"/>
        <v>0.4204</v>
      </c>
      <c r="S25" s="17"/>
      <c r="T25" s="17"/>
      <c r="U25" s="17"/>
      <c r="V25" s="17"/>
      <c r="W25" s="17"/>
      <c r="X25" s="17"/>
      <c r="Y25" s="17"/>
    </row>
    <row r="26" ht="15.75" customHeight="1">
      <c r="A26" s="17"/>
      <c r="B26" s="17"/>
      <c r="C26" s="17"/>
      <c r="D26" s="17"/>
      <c r="E26" s="17"/>
      <c r="F26" s="17"/>
      <c r="G26" s="17"/>
      <c r="H26" s="17"/>
      <c r="I26" s="17"/>
      <c r="J26" s="17"/>
      <c r="K26" s="17"/>
      <c r="L26" s="234" t="s">
        <v>270</v>
      </c>
      <c r="M26" s="218" t="s">
        <v>252</v>
      </c>
      <c r="N26" s="248">
        <v>0.05</v>
      </c>
      <c r="O26" s="220" t="s">
        <v>244</v>
      </c>
      <c r="P26" s="218">
        <v>1.0</v>
      </c>
      <c r="Q26" s="221">
        <v>1.0</v>
      </c>
      <c r="R26" s="222">
        <f t="shared" si="1"/>
        <v>0.05</v>
      </c>
      <c r="S26" s="17"/>
      <c r="T26" s="17"/>
      <c r="U26" s="17"/>
      <c r="V26" s="17"/>
      <c r="W26" s="17"/>
      <c r="X26" s="17"/>
      <c r="Y26" s="17"/>
    </row>
    <row r="27" ht="15.75" customHeight="1">
      <c r="A27" s="17"/>
      <c r="B27" s="204" t="s">
        <v>271</v>
      </c>
      <c r="C27" s="46"/>
      <c r="D27" s="46"/>
      <c r="E27" s="46"/>
      <c r="F27" s="46"/>
      <c r="G27" s="46"/>
      <c r="H27" s="46"/>
      <c r="I27" s="46"/>
      <c r="J27" s="47"/>
      <c r="K27" s="17"/>
      <c r="L27" s="234" t="s">
        <v>272</v>
      </c>
      <c r="M27" s="218" t="s">
        <v>255</v>
      </c>
      <c r="N27" s="248">
        <v>15.0</v>
      </c>
      <c r="O27" s="220" t="s">
        <v>244</v>
      </c>
      <c r="P27" s="218">
        <v>1.0</v>
      </c>
      <c r="Q27" s="221">
        <v>1000.0</v>
      </c>
      <c r="R27" s="222">
        <f t="shared" si="1"/>
        <v>0.015</v>
      </c>
      <c r="S27" s="17"/>
      <c r="T27" s="17"/>
      <c r="U27" s="17"/>
      <c r="V27" s="17"/>
      <c r="W27" s="17"/>
      <c r="X27" s="17"/>
      <c r="Y27" s="17"/>
    </row>
    <row r="28" ht="15.75" customHeight="1">
      <c r="A28" s="17"/>
      <c r="B28" s="207" t="s">
        <v>201</v>
      </c>
      <c r="C28" s="207" t="s">
        <v>103</v>
      </c>
      <c r="D28" s="207" t="s">
        <v>202</v>
      </c>
      <c r="E28" s="208" t="s">
        <v>19</v>
      </c>
      <c r="F28" s="47"/>
      <c r="G28" s="208" t="s">
        <v>30</v>
      </c>
      <c r="H28" s="47"/>
      <c r="I28" s="209" t="s">
        <v>31</v>
      </c>
      <c r="J28" s="210"/>
      <c r="K28" s="17"/>
      <c r="L28" s="234" t="s">
        <v>273</v>
      </c>
      <c r="M28" s="218" t="s">
        <v>274</v>
      </c>
      <c r="N28" s="218"/>
      <c r="O28" s="220" t="s">
        <v>244</v>
      </c>
      <c r="P28" s="218">
        <v>350.0</v>
      </c>
      <c r="Q28" s="221">
        <v>1.0</v>
      </c>
      <c r="R28" s="222">
        <f t="shared" si="1"/>
        <v>0</v>
      </c>
      <c r="S28" s="17"/>
      <c r="T28" s="17"/>
      <c r="U28" s="17"/>
      <c r="V28" s="17"/>
      <c r="W28" s="17"/>
      <c r="X28" s="17"/>
      <c r="Y28" s="17"/>
    </row>
    <row r="29" ht="15.75" customHeight="1">
      <c r="A29" s="17"/>
      <c r="B29" s="215"/>
      <c r="C29" s="215"/>
      <c r="D29" s="215"/>
      <c r="E29" s="216" t="s">
        <v>209</v>
      </c>
      <c r="F29" s="216" t="s">
        <v>208</v>
      </c>
      <c r="G29" s="216" t="s">
        <v>209</v>
      </c>
      <c r="H29" s="216" t="s">
        <v>208</v>
      </c>
      <c r="I29" s="216" t="s">
        <v>209</v>
      </c>
      <c r="J29" s="216" t="s">
        <v>208</v>
      </c>
      <c r="K29" s="17"/>
      <c r="L29" s="234" t="s">
        <v>275</v>
      </c>
      <c r="M29" s="218" t="s">
        <v>211</v>
      </c>
      <c r="N29" s="219">
        <v>5.85</v>
      </c>
      <c r="O29" s="220" t="s">
        <v>244</v>
      </c>
      <c r="P29" s="220">
        <v>1.0</v>
      </c>
      <c r="Q29" s="221">
        <v>200.0</v>
      </c>
      <c r="R29" s="222">
        <f t="shared" si="1"/>
        <v>0.02925</v>
      </c>
      <c r="S29" s="17"/>
      <c r="T29" s="17"/>
      <c r="U29" s="17"/>
      <c r="V29" s="17"/>
      <c r="W29" s="17"/>
      <c r="X29" s="17"/>
      <c r="Y29" s="17"/>
    </row>
    <row r="30" ht="15.75" customHeight="1">
      <c r="A30" s="17"/>
      <c r="B30" s="233" t="s">
        <v>253</v>
      </c>
      <c r="C30" s="228" t="s">
        <v>211</v>
      </c>
      <c r="D30" s="229">
        <v>0.93</v>
      </c>
      <c r="E30" s="233">
        <v>1.0</v>
      </c>
      <c r="F30" s="229">
        <f t="shared" ref="F30:F37" si="13">E30*D30</f>
        <v>0.93</v>
      </c>
      <c r="G30" s="233">
        <v>1.0</v>
      </c>
      <c r="H30" s="229">
        <f t="shared" ref="H30:H37" si="14">G30*D30</f>
        <v>0.93</v>
      </c>
      <c r="I30" s="233">
        <v>1.0</v>
      </c>
      <c r="J30" s="229">
        <f t="shared" ref="J30:J37" si="15">I30*D30</f>
        <v>0.93</v>
      </c>
      <c r="K30" s="17"/>
      <c r="L30" s="234" t="s">
        <v>276</v>
      </c>
      <c r="M30" s="218" t="s">
        <v>211</v>
      </c>
      <c r="N30" s="219">
        <v>0.29</v>
      </c>
      <c r="O30" s="220" t="s">
        <v>244</v>
      </c>
      <c r="P30" s="218">
        <v>2.0</v>
      </c>
      <c r="Q30" s="221">
        <v>1.0</v>
      </c>
      <c r="R30" s="222">
        <f t="shared" si="1"/>
        <v>0.58</v>
      </c>
      <c r="S30" s="17"/>
      <c r="T30" s="17"/>
      <c r="U30" s="17"/>
      <c r="V30" s="17"/>
      <c r="W30" s="17"/>
      <c r="X30" s="17"/>
      <c r="Y30" s="17"/>
    </row>
    <row r="31" ht="15.75" customHeight="1">
      <c r="A31" s="17"/>
      <c r="B31" s="233" t="s">
        <v>256</v>
      </c>
      <c r="C31" s="228" t="s">
        <v>211</v>
      </c>
      <c r="D31" s="229">
        <v>0.9</v>
      </c>
      <c r="E31" s="233">
        <v>1.0</v>
      </c>
      <c r="F31" s="229">
        <f t="shared" si="13"/>
        <v>0.9</v>
      </c>
      <c r="G31" s="233">
        <v>0.0</v>
      </c>
      <c r="H31" s="229">
        <f t="shared" si="14"/>
        <v>0</v>
      </c>
      <c r="I31" s="233">
        <v>0.0</v>
      </c>
      <c r="J31" s="229">
        <f t="shared" si="15"/>
        <v>0</v>
      </c>
      <c r="K31" s="17"/>
      <c r="L31" s="234" t="s">
        <v>277</v>
      </c>
      <c r="M31" s="218" t="s">
        <v>211</v>
      </c>
      <c r="N31" s="219">
        <f>92/250</f>
        <v>0.368</v>
      </c>
      <c r="O31" s="220" t="s">
        <v>90</v>
      </c>
      <c r="P31" s="220">
        <v>1.0</v>
      </c>
      <c r="Q31" s="221">
        <v>1.0</v>
      </c>
      <c r="R31" s="222">
        <f t="shared" si="1"/>
        <v>0.368</v>
      </c>
      <c r="S31" s="17"/>
      <c r="T31" s="17"/>
      <c r="U31" s="17"/>
      <c r="V31" s="17"/>
      <c r="W31" s="17"/>
      <c r="X31" s="17"/>
      <c r="Y31" s="17"/>
    </row>
    <row r="32" ht="15.75" customHeight="1">
      <c r="A32" s="17"/>
      <c r="B32" s="244" t="s">
        <v>228</v>
      </c>
      <c r="C32" s="228" t="s">
        <v>211</v>
      </c>
      <c r="D32" s="229">
        <v>6.5</v>
      </c>
      <c r="E32" s="233">
        <v>1.0</v>
      </c>
      <c r="F32" s="229">
        <f t="shared" si="13"/>
        <v>6.5</v>
      </c>
      <c r="G32" s="233">
        <v>2.0</v>
      </c>
      <c r="H32" s="229">
        <f t="shared" si="14"/>
        <v>13</v>
      </c>
      <c r="I32" s="233">
        <v>2.0</v>
      </c>
      <c r="J32" s="229">
        <f t="shared" si="15"/>
        <v>13</v>
      </c>
      <c r="K32" s="17"/>
      <c r="L32" s="234" t="s">
        <v>278</v>
      </c>
      <c r="M32" s="218" t="s">
        <v>211</v>
      </c>
      <c r="N32" s="219">
        <v>5.0</v>
      </c>
      <c r="O32" s="220" t="s">
        <v>90</v>
      </c>
      <c r="P32" s="220">
        <v>1.0</v>
      </c>
      <c r="Q32" s="221">
        <v>1.0</v>
      </c>
      <c r="R32" s="222">
        <f t="shared" si="1"/>
        <v>5</v>
      </c>
      <c r="S32" s="17"/>
      <c r="T32" s="17"/>
      <c r="U32" s="17"/>
      <c r="V32" s="17"/>
      <c r="W32" s="17"/>
      <c r="X32" s="17"/>
      <c r="Y32" s="17"/>
    </row>
    <row r="33" ht="15.75" customHeight="1">
      <c r="A33" s="17"/>
      <c r="B33" s="233" t="s">
        <v>260</v>
      </c>
      <c r="C33" s="228" t="s">
        <v>211</v>
      </c>
      <c r="D33" s="229">
        <v>32.45</v>
      </c>
      <c r="E33" s="233">
        <v>0.0</v>
      </c>
      <c r="F33" s="229">
        <f t="shared" si="13"/>
        <v>0</v>
      </c>
      <c r="G33" s="233">
        <v>3.0</v>
      </c>
      <c r="H33" s="229">
        <f t="shared" si="14"/>
        <v>97.35</v>
      </c>
      <c r="I33" s="233">
        <v>0.0</v>
      </c>
      <c r="J33" s="229">
        <f t="shared" si="15"/>
        <v>0</v>
      </c>
      <c r="K33" s="17"/>
      <c r="L33" s="234" t="s">
        <v>227</v>
      </c>
      <c r="M33" s="218" t="s">
        <v>109</v>
      </c>
      <c r="N33" s="219"/>
      <c r="O33" s="220" t="s">
        <v>90</v>
      </c>
      <c r="P33" s="220">
        <v>0.2</v>
      </c>
      <c r="Q33" s="221">
        <v>1.0</v>
      </c>
      <c r="R33" s="222">
        <f t="shared" si="1"/>
        <v>0</v>
      </c>
      <c r="S33" s="17"/>
      <c r="T33" s="17"/>
      <c r="U33" s="17"/>
      <c r="V33" s="17"/>
      <c r="W33" s="17"/>
      <c r="X33" s="17"/>
      <c r="Y33" s="17"/>
    </row>
    <row r="34" ht="15.75" customHeight="1">
      <c r="A34" s="17"/>
      <c r="B34" s="233" t="s">
        <v>262</v>
      </c>
      <c r="C34" s="228" t="s">
        <v>211</v>
      </c>
      <c r="D34" s="229">
        <v>7.6</v>
      </c>
      <c r="E34" s="233">
        <v>1.0</v>
      </c>
      <c r="F34" s="229">
        <f t="shared" si="13"/>
        <v>7.6</v>
      </c>
      <c r="G34" s="233">
        <v>0.0</v>
      </c>
      <c r="H34" s="229">
        <f t="shared" si="14"/>
        <v>0</v>
      </c>
      <c r="I34" s="233">
        <v>1.0</v>
      </c>
      <c r="J34" s="229">
        <f t="shared" si="15"/>
        <v>7.6</v>
      </c>
      <c r="K34" s="17"/>
      <c r="L34" s="234" t="s">
        <v>279</v>
      </c>
      <c r="M34" s="218" t="s">
        <v>211</v>
      </c>
      <c r="N34" s="219">
        <v>1.48</v>
      </c>
      <c r="O34" s="220" t="s">
        <v>90</v>
      </c>
      <c r="P34" s="220">
        <v>1.0</v>
      </c>
      <c r="Q34" s="221">
        <v>1.0</v>
      </c>
      <c r="R34" s="222">
        <f t="shared" si="1"/>
        <v>1.48</v>
      </c>
      <c r="S34" s="17"/>
      <c r="T34" s="17"/>
      <c r="U34" s="17"/>
      <c r="V34" s="17"/>
      <c r="W34" s="17"/>
      <c r="X34" s="17"/>
      <c r="Y34" s="17"/>
    </row>
    <row r="35" ht="15.75" customHeight="1">
      <c r="A35" s="17"/>
      <c r="B35" s="233" t="s">
        <v>264</v>
      </c>
      <c r="C35" s="228" t="s">
        <v>211</v>
      </c>
      <c r="D35" s="229">
        <v>0.9</v>
      </c>
      <c r="E35" s="233">
        <v>1.0</v>
      </c>
      <c r="F35" s="229">
        <f t="shared" si="13"/>
        <v>0.9</v>
      </c>
      <c r="G35" s="233">
        <v>1.0</v>
      </c>
      <c r="H35" s="229">
        <f t="shared" si="14"/>
        <v>0.9</v>
      </c>
      <c r="I35" s="233">
        <v>1.0</v>
      </c>
      <c r="J35" s="229">
        <f t="shared" si="15"/>
        <v>0.9</v>
      </c>
      <c r="K35" s="17"/>
      <c r="L35" s="217" t="s">
        <v>210</v>
      </c>
      <c r="M35" s="218" t="s">
        <v>211</v>
      </c>
      <c r="N35" s="219">
        <v>0.29</v>
      </c>
      <c r="O35" s="220" t="s">
        <v>90</v>
      </c>
      <c r="P35" s="220">
        <v>2.0</v>
      </c>
      <c r="Q35" s="221">
        <v>1.0</v>
      </c>
      <c r="R35" s="222">
        <f t="shared" si="1"/>
        <v>0.58</v>
      </c>
      <c r="S35" s="17"/>
      <c r="T35" s="17"/>
      <c r="U35" s="17"/>
      <c r="V35" s="17"/>
      <c r="W35" s="17"/>
      <c r="X35" s="17"/>
      <c r="Y35" s="17"/>
    </row>
    <row r="36" ht="15.75" customHeight="1">
      <c r="A36" s="17"/>
      <c r="B36" s="233" t="s">
        <v>266</v>
      </c>
      <c r="C36" s="228" t="s">
        <v>211</v>
      </c>
      <c r="D36" s="229">
        <v>26.0</v>
      </c>
      <c r="E36" s="233">
        <v>0.0</v>
      </c>
      <c r="F36" s="229">
        <f t="shared" si="13"/>
        <v>0</v>
      </c>
      <c r="G36" s="233">
        <v>5.0</v>
      </c>
      <c r="H36" s="229">
        <f t="shared" si="14"/>
        <v>130</v>
      </c>
      <c r="I36" s="233">
        <v>5.0</v>
      </c>
      <c r="J36" s="229">
        <f t="shared" si="15"/>
        <v>130</v>
      </c>
      <c r="K36" s="17"/>
      <c r="L36" s="234" t="s">
        <v>243</v>
      </c>
      <c r="M36" s="218" t="s">
        <v>255</v>
      </c>
      <c r="N36" s="248">
        <f>0.37*P36</f>
        <v>1.48</v>
      </c>
      <c r="O36" s="220" t="s">
        <v>280</v>
      </c>
      <c r="P36" s="218">
        <v>4.0</v>
      </c>
      <c r="Q36" s="221">
        <v>2.0</v>
      </c>
      <c r="R36" s="222">
        <f t="shared" si="1"/>
        <v>2.96</v>
      </c>
      <c r="S36" s="17"/>
      <c r="T36" s="17"/>
      <c r="U36" s="17"/>
      <c r="V36" s="17"/>
      <c r="W36" s="17"/>
      <c r="X36" s="17"/>
      <c r="Y36" s="17"/>
    </row>
    <row r="37" ht="15.75" customHeight="1">
      <c r="A37" s="17"/>
      <c r="B37" s="233" t="s">
        <v>268</v>
      </c>
      <c r="C37" s="228" t="s">
        <v>211</v>
      </c>
      <c r="D37" s="229">
        <v>53.4</v>
      </c>
      <c r="E37" s="233">
        <v>2.0</v>
      </c>
      <c r="F37" s="229">
        <f t="shared" si="13"/>
        <v>106.8</v>
      </c>
      <c r="G37" s="233">
        <v>0.0</v>
      </c>
      <c r="H37" s="229">
        <f t="shared" si="14"/>
        <v>0</v>
      </c>
      <c r="I37" s="233">
        <v>0.0</v>
      </c>
      <c r="J37" s="229">
        <f t="shared" si="15"/>
        <v>0</v>
      </c>
      <c r="K37" s="17"/>
      <c r="L37" s="234" t="s">
        <v>281</v>
      </c>
      <c r="M37" s="218" t="s">
        <v>255</v>
      </c>
      <c r="N37" s="248">
        <v>20.0</v>
      </c>
      <c r="O37" s="220" t="s">
        <v>280</v>
      </c>
      <c r="P37" s="218">
        <v>1.0</v>
      </c>
      <c r="Q37" s="221">
        <v>2000.0</v>
      </c>
      <c r="R37" s="222">
        <f t="shared" si="1"/>
        <v>0.01</v>
      </c>
      <c r="S37" s="17"/>
      <c r="T37" s="17"/>
      <c r="U37" s="17"/>
      <c r="V37" s="17"/>
      <c r="W37" s="17"/>
      <c r="X37" s="17"/>
      <c r="Y37" s="17"/>
    </row>
    <row r="38" ht="15.75" customHeight="1">
      <c r="A38" s="17"/>
      <c r="B38" s="17"/>
      <c r="C38" s="17"/>
      <c r="D38" s="17"/>
      <c r="E38" s="17"/>
      <c r="F38" s="17"/>
      <c r="G38" s="17"/>
      <c r="H38" s="17"/>
      <c r="I38" s="17"/>
      <c r="J38" s="17"/>
      <c r="K38" s="17"/>
      <c r="L38" s="234" t="s">
        <v>282</v>
      </c>
      <c r="M38" s="218" t="s">
        <v>283</v>
      </c>
      <c r="N38" s="248">
        <v>0.1</v>
      </c>
      <c r="O38" s="220" t="s">
        <v>280</v>
      </c>
      <c r="P38" s="218">
        <v>2.0</v>
      </c>
      <c r="Q38" s="221">
        <v>2.0</v>
      </c>
      <c r="R38" s="222">
        <f t="shared" si="1"/>
        <v>0.1</v>
      </c>
      <c r="S38" s="17"/>
      <c r="T38" s="17"/>
      <c r="U38" s="17"/>
      <c r="V38" s="17"/>
      <c r="W38" s="17"/>
      <c r="X38" s="17"/>
      <c r="Y38" s="17"/>
    </row>
    <row r="39" ht="15.75" customHeight="1">
      <c r="A39" s="17"/>
      <c r="B39" s="204" t="s">
        <v>284</v>
      </c>
      <c r="C39" s="46"/>
      <c r="D39" s="46"/>
      <c r="E39" s="46"/>
      <c r="F39" s="46"/>
      <c r="G39" s="46"/>
      <c r="H39" s="46"/>
      <c r="I39" s="46"/>
      <c r="J39" s="47"/>
      <c r="K39" s="17"/>
      <c r="L39" s="234" t="s">
        <v>285</v>
      </c>
      <c r="M39" s="218" t="s">
        <v>255</v>
      </c>
      <c r="N39" s="248">
        <f>P39* 0.05</f>
        <v>0.15</v>
      </c>
      <c r="O39" s="220" t="s">
        <v>280</v>
      </c>
      <c r="P39" s="218">
        <v>3.0</v>
      </c>
      <c r="Q39" s="221">
        <v>1.0</v>
      </c>
      <c r="R39" s="222">
        <f t="shared" si="1"/>
        <v>0.45</v>
      </c>
      <c r="S39" s="17"/>
      <c r="T39" s="17"/>
      <c r="U39" s="17"/>
      <c r="V39" s="17"/>
      <c r="W39" s="17"/>
      <c r="X39" s="17"/>
      <c r="Y39" s="17"/>
    </row>
    <row r="40" ht="15.75" customHeight="1">
      <c r="A40" s="17"/>
      <c r="B40" s="207" t="s">
        <v>201</v>
      </c>
      <c r="C40" s="207" t="s">
        <v>103</v>
      </c>
      <c r="D40" s="207" t="s">
        <v>202</v>
      </c>
      <c r="E40" s="208" t="s">
        <v>19</v>
      </c>
      <c r="F40" s="47"/>
      <c r="G40" s="208" t="s">
        <v>30</v>
      </c>
      <c r="H40" s="47"/>
      <c r="I40" s="209" t="s">
        <v>31</v>
      </c>
      <c r="J40" s="210"/>
      <c r="K40" s="17"/>
      <c r="L40" s="234" t="s">
        <v>286</v>
      </c>
      <c r="M40" s="218" t="s">
        <v>255</v>
      </c>
      <c r="N40" s="248">
        <v>5.25</v>
      </c>
      <c r="O40" s="220" t="s">
        <v>280</v>
      </c>
      <c r="P40" s="218">
        <v>3.0</v>
      </c>
      <c r="Q40" s="221">
        <v>1.0</v>
      </c>
      <c r="R40" s="222">
        <f t="shared" si="1"/>
        <v>15.75</v>
      </c>
      <c r="S40" s="17"/>
      <c r="T40" s="17"/>
      <c r="U40" s="17"/>
      <c r="V40" s="17"/>
      <c r="W40" s="17"/>
      <c r="X40" s="17"/>
      <c r="Y40" s="17"/>
    </row>
    <row r="41" ht="15.75" customHeight="1">
      <c r="A41" s="17"/>
      <c r="B41" s="215"/>
      <c r="C41" s="215"/>
      <c r="D41" s="215"/>
      <c r="E41" s="216" t="s">
        <v>209</v>
      </c>
      <c r="F41" s="216" t="s">
        <v>208</v>
      </c>
      <c r="G41" s="216" t="s">
        <v>209</v>
      </c>
      <c r="H41" s="216" t="s">
        <v>208</v>
      </c>
      <c r="I41" s="216" t="s">
        <v>209</v>
      </c>
      <c r="J41" s="216" t="s">
        <v>208</v>
      </c>
      <c r="K41" s="17"/>
      <c r="L41" s="234" t="s">
        <v>251</v>
      </c>
      <c r="M41" s="218" t="s">
        <v>252</v>
      </c>
      <c r="N41" s="248">
        <v>0.05</v>
      </c>
      <c r="O41" s="220" t="s">
        <v>280</v>
      </c>
      <c r="P41" s="218">
        <v>0.2675</v>
      </c>
      <c r="Q41" s="221">
        <v>1.0</v>
      </c>
      <c r="R41" s="222">
        <f t="shared" si="1"/>
        <v>0.013375</v>
      </c>
      <c r="S41" s="17"/>
      <c r="T41" s="17"/>
      <c r="U41" s="17"/>
      <c r="V41" s="17"/>
      <c r="W41" s="17"/>
      <c r="X41" s="17"/>
      <c r="Y41" s="17"/>
    </row>
    <row r="42" ht="15.75" customHeight="1">
      <c r="A42" s="17"/>
      <c r="B42" s="217" t="s">
        <v>234</v>
      </c>
      <c r="C42" s="218" t="s">
        <v>211</v>
      </c>
      <c r="D42" s="231">
        <v>1.05</v>
      </c>
      <c r="E42" s="230">
        <v>2.0</v>
      </c>
      <c r="F42" s="231">
        <f t="shared" ref="F42:F49" si="16">E42*D42</f>
        <v>2.1</v>
      </c>
      <c r="G42" s="230">
        <v>4.0</v>
      </c>
      <c r="H42" s="231">
        <f t="shared" ref="H42:H49" si="17">G42*D42</f>
        <v>4.2</v>
      </c>
      <c r="I42" s="230">
        <v>6.0</v>
      </c>
      <c r="J42" s="231">
        <f t="shared" ref="J42:J53" si="18">I42*D42</f>
        <v>6.3</v>
      </c>
      <c r="K42" s="17"/>
      <c r="L42" s="234" t="s">
        <v>273</v>
      </c>
      <c r="M42" s="218" t="s">
        <v>274</v>
      </c>
      <c r="N42" s="248"/>
      <c r="O42" s="220" t="s">
        <v>280</v>
      </c>
      <c r="P42" s="218">
        <v>250.0</v>
      </c>
      <c r="Q42" s="221">
        <v>1.0</v>
      </c>
      <c r="R42" s="222">
        <f t="shared" si="1"/>
        <v>0</v>
      </c>
      <c r="S42" s="17"/>
      <c r="T42" s="17"/>
      <c r="U42" s="17"/>
      <c r="V42" s="17"/>
      <c r="W42" s="17"/>
      <c r="X42" s="17"/>
      <c r="Y42" s="17"/>
    </row>
    <row r="43" ht="15.75" customHeight="1">
      <c r="A43" s="17"/>
      <c r="B43" s="217" t="s">
        <v>287</v>
      </c>
      <c r="C43" s="218" t="s">
        <v>211</v>
      </c>
      <c r="D43" s="231">
        <v>32.45</v>
      </c>
      <c r="E43" s="230">
        <v>0.0</v>
      </c>
      <c r="F43" s="231">
        <f t="shared" si="16"/>
        <v>0</v>
      </c>
      <c r="G43" s="230">
        <v>0.0</v>
      </c>
      <c r="H43" s="231">
        <f t="shared" si="17"/>
        <v>0</v>
      </c>
      <c r="I43" s="230">
        <v>0.0</v>
      </c>
      <c r="J43" s="231">
        <f t="shared" si="18"/>
        <v>0</v>
      </c>
      <c r="K43" s="17"/>
      <c r="L43" s="234" t="s">
        <v>288</v>
      </c>
      <c r="M43" s="218" t="s">
        <v>255</v>
      </c>
      <c r="N43" s="248">
        <v>60.0</v>
      </c>
      <c r="O43" s="220" t="s">
        <v>280</v>
      </c>
      <c r="P43" s="218">
        <v>1.0</v>
      </c>
      <c r="Q43" s="221">
        <v>1000.0</v>
      </c>
      <c r="R43" s="222">
        <f t="shared" si="1"/>
        <v>0.06</v>
      </c>
      <c r="S43" s="17"/>
      <c r="T43" s="17"/>
      <c r="U43" s="17"/>
      <c r="V43" s="17"/>
      <c r="W43" s="17"/>
      <c r="X43" s="17"/>
      <c r="Y43" s="17"/>
    </row>
    <row r="44" ht="15.75" customHeight="1">
      <c r="A44" s="17"/>
      <c r="B44" s="217" t="s">
        <v>289</v>
      </c>
      <c r="C44" s="218" t="s">
        <v>211</v>
      </c>
      <c r="D44" s="231">
        <v>0.22</v>
      </c>
      <c r="E44" s="230">
        <v>1.0</v>
      </c>
      <c r="F44" s="231">
        <f t="shared" si="16"/>
        <v>0.22</v>
      </c>
      <c r="G44" s="230">
        <v>0.0</v>
      </c>
      <c r="H44" s="231">
        <f t="shared" si="17"/>
        <v>0</v>
      </c>
      <c r="I44" s="230">
        <v>2.0</v>
      </c>
      <c r="J44" s="231">
        <f t="shared" si="18"/>
        <v>0.44</v>
      </c>
      <c r="K44" s="17"/>
      <c r="L44" s="234" t="s">
        <v>257</v>
      </c>
      <c r="M44" s="218" t="s">
        <v>258</v>
      </c>
      <c r="N44" s="248">
        <v>0.02</v>
      </c>
      <c r="O44" s="220" t="s">
        <v>280</v>
      </c>
      <c r="P44" s="218">
        <v>10.0</v>
      </c>
      <c r="Q44" s="221">
        <v>10.0</v>
      </c>
      <c r="R44" s="222">
        <f t="shared" si="1"/>
        <v>0.02</v>
      </c>
      <c r="S44" s="17"/>
      <c r="T44" s="17"/>
      <c r="U44" s="17"/>
      <c r="V44" s="17"/>
      <c r="W44" s="17"/>
      <c r="X44" s="17"/>
      <c r="Y44" s="17"/>
    </row>
    <row r="45" ht="15.75" customHeight="1">
      <c r="A45" s="17"/>
      <c r="B45" s="217" t="s">
        <v>290</v>
      </c>
      <c r="C45" s="218" t="s">
        <v>211</v>
      </c>
      <c r="D45" s="231">
        <v>0.09</v>
      </c>
      <c r="E45" s="230">
        <v>1.0</v>
      </c>
      <c r="F45" s="231">
        <f t="shared" si="16"/>
        <v>0.09</v>
      </c>
      <c r="G45" s="230">
        <v>1.0</v>
      </c>
      <c r="H45" s="231">
        <f t="shared" si="17"/>
        <v>0.09</v>
      </c>
      <c r="I45" s="230">
        <v>2.0</v>
      </c>
      <c r="J45" s="231">
        <f t="shared" si="18"/>
        <v>0.18</v>
      </c>
      <c r="K45" s="17"/>
      <c r="L45" s="234" t="s">
        <v>291</v>
      </c>
      <c r="M45" s="218" t="s">
        <v>211</v>
      </c>
      <c r="N45" s="248">
        <v>20.0</v>
      </c>
      <c r="O45" s="220" t="s">
        <v>280</v>
      </c>
      <c r="P45" s="218">
        <v>2.0</v>
      </c>
      <c r="Q45" s="221">
        <v>1000.0</v>
      </c>
      <c r="R45" s="222">
        <f t="shared" si="1"/>
        <v>0.04</v>
      </c>
      <c r="S45" s="17"/>
      <c r="T45" s="17"/>
      <c r="U45" s="17"/>
      <c r="V45" s="17"/>
      <c r="W45" s="17"/>
      <c r="X45" s="17"/>
      <c r="Y45" s="17"/>
    </row>
    <row r="46" ht="15.75" customHeight="1">
      <c r="A46" s="17"/>
      <c r="B46" s="217" t="s">
        <v>262</v>
      </c>
      <c r="C46" s="218" t="s">
        <v>211</v>
      </c>
      <c r="D46" s="231"/>
      <c r="E46" s="230">
        <v>0.0</v>
      </c>
      <c r="F46" s="231">
        <f t="shared" si="16"/>
        <v>0</v>
      </c>
      <c r="G46" s="230">
        <v>2.0</v>
      </c>
      <c r="H46" s="231">
        <f t="shared" si="17"/>
        <v>0</v>
      </c>
      <c r="I46" s="230">
        <v>0.0</v>
      </c>
      <c r="J46" s="231">
        <f t="shared" si="18"/>
        <v>0</v>
      </c>
      <c r="K46" s="17"/>
      <c r="L46" s="234" t="s">
        <v>263</v>
      </c>
      <c r="M46" s="218" t="s">
        <v>211</v>
      </c>
      <c r="N46" s="248">
        <v>117.0</v>
      </c>
      <c r="O46" s="220" t="s">
        <v>280</v>
      </c>
      <c r="P46" s="218">
        <v>3.0</v>
      </c>
      <c r="Q46" s="221">
        <v>500.0</v>
      </c>
      <c r="R46" s="222">
        <f t="shared" si="1"/>
        <v>0.702</v>
      </c>
      <c r="S46" s="17"/>
      <c r="T46" s="17"/>
      <c r="U46" s="17"/>
      <c r="V46" s="17"/>
      <c r="W46" s="17"/>
      <c r="X46" s="17"/>
      <c r="Y46" s="17"/>
    </row>
    <row r="47" ht="15.75" customHeight="1">
      <c r="A47" s="17"/>
      <c r="B47" s="217" t="s">
        <v>292</v>
      </c>
      <c r="C47" s="218" t="s">
        <v>211</v>
      </c>
      <c r="D47" s="231">
        <v>1.65</v>
      </c>
      <c r="E47" s="230">
        <v>0.0</v>
      </c>
      <c r="F47" s="231">
        <f t="shared" si="16"/>
        <v>0</v>
      </c>
      <c r="G47" s="230">
        <v>1.0</v>
      </c>
      <c r="H47" s="231">
        <f t="shared" si="17"/>
        <v>1.65</v>
      </c>
      <c r="I47" s="230">
        <v>1.0</v>
      </c>
      <c r="J47" s="231">
        <f t="shared" si="18"/>
        <v>1.65</v>
      </c>
      <c r="K47" s="17"/>
      <c r="L47" s="234" t="s">
        <v>265</v>
      </c>
      <c r="M47" s="218" t="s">
        <v>211</v>
      </c>
      <c r="N47" s="248">
        <f>0.09*P47</f>
        <v>0.36</v>
      </c>
      <c r="O47" s="220" t="s">
        <v>280</v>
      </c>
      <c r="P47" s="218">
        <v>4.0</v>
      </c>
      <c r="Q47" s="221">
        <v>1.0</v>
      </c>
      <c r="R47" s="222">
        <f t="shared" si="1"/>
        <v>1.44</v>
      </c>
      <c r="S47" s="17"/>
      <c r="T47" s="17"/>
      <c r="U47" s="17"/>
      <c r="V47" s="17"/>
      <c r="W47" s="17"/>
      <c r="X47" s="17"/>
      <c r="Y47" s="17"/>
    </row>
    <row r="48" ht="15.75" customHeight="1">
      <c r="A48" s="17"/>
      <c r="B48" s="217" t="s">
        <v>264</v>
      </c>
      <c r="C48" s="218" t="s">
        <v>211</v>
      </c>
      <c r="D48" s="231">
        <v>0.9</v>
      </c>
      <c r="E48" s="230">
        <v>0.0</v>
      </c>
      <c r="F48" s="231">
        <f t="shared" si="16"/>
        <v>0</v>
      </c>
      <c r="G48" s="230">
        <v>2.0</v>
      </c>
      <c r="H48" s="231">
        <f t="shared" si="17"/>
        <v>1.8</v>
      </c>
      <c r="I48" s="230">
        <v>0.0</v>
      </c>
      <c r="J48" s="231">
        <f t="shared" si="18"/>
        <v>0</v>
      </c>
      <c r="K48" s="17"/>
      <c r="L48" s="234" t="s">
        <v>293</v>
      </c>
      <c r="M48" s="218" t="s">
        <v>211</v>
      </c>
      <c r="N48" s="248">
        <v>300.0</v>
      </c>
      <c r="O48" s="220" t="s">
        <v>280</v>
      </c>
      <c r="P48" s="218">
        <v>1.0</v>
      </c>
      <c r="Q48" s="247">
        <v>500.0</v>
      </c>
      <c r="R48" s="222">
        <f t="shared" si="1"/>
        <v>0.6</v>
      </c>
      <c r="S48" s="17"/>
      <c r="T48" s="17"/>
      <c r="U48" s="17"/>
      <c r="V48" s="17"/>
      <c r="W48" s="17"/>
      <c r="X48" s="17"/>
      <c r="Y48" s="17"/>
    </row>
    <row r="49" ht="15.75" customHeight="1">
      <c r="A49" s="17"/>
      <c r="B49" s="217" t="s">
        <v>266</v>
      </c>
      <c r="C49" s="218" t="s">
        <v>211</v>
      </c>
      <c r="D49" s="231">
        <v>26.0</v>
      </c>
      <c r="E49" s="230">
        <v>0.0</v>
      </c>
      <c r="F49" s="231">
        <f t="shared" si="16"/>
        <v>0</v>
      </c>
      <c r="G49" s="230">
        <v>0.0</v>
      </c>
      <c r="H49" s="231">
        <f t="shared" si="17"/>
        <v>0</v>
      </c>
      <c r="I49" s="230">
        <v>0.0</v>
      </c>
      <c r="J49" s="231">
        <f t="shared" si="18"/>
        <v>0</v>
      </c>
      <c r="K49" s="17"/>
      <c r="L49" s="234" t="s">
        <v>294</v>
      </c>
      <c r="M49" s="218" t="s">
        <v>274</v>
      </c>
      <c r="N49" s="248"/>
      <c r="O49" s="220" t="s">
        <v>280</v>
      </c>
      <c r="P49" s="218">
        <v>600.0</v>
      </c>
      <c r="Q49" s="247">
        <v>1.0</v>
      </c>
      <c r="R49" s="222">
        <f t="shared" si="1"/>
        <v>0</v>
      </c>
      <c r="S49" s="17"/>
      <c r="T49" s="17"/>
      <c r="U49" s="17"/>
      <c r="V49" s="17"/>
      <c r="W49" s="17"/>
      <c r="X49" s="17"/>
      <c r="Y49" s="17"/>
    </row>
    <row r="50" ht="15.75" customHeight="1">
      <c r="A50" s="17"/>
      <c r="B50" s="217" t="s">
        <v>295</v>
      </c>
      <c r="C50" s="218" t="s">
        <v>252</v>
      </c>
      <c r="D50" s="231">
        <v>0.03</v>
      </c>
      <c r="E50" s="230"/>
      <c r="F50" s="231"/>
      <c r="G50" s="230"/>
      <c r="H50" s="231"/>
      <c r="I50" s="230">
        <v>10.0</v>
      </c>
      <c r="J50" s="231">
        <f t="shared" si="18"/>
        <v>0.3</v>
      </c>
      <c r="K50" s="17"/>
      <c r="L50" s="234" t="s">
        <v>272</v>
      </c>
      <c r="M50" s="218" t="s">
        <v>211</v>
      </c>
      <c r="N50" s="248">
        <v>15.0</v>
      </c>
      <c r="O50" s="220" t="s">
        <v>280</v>
      </c>
      <c r="P50" s="218">
        <v>1.0</v>
      </c>
      <c r="Q50" s="247">
        <v>1000.0</v>
      </c>
      <c r="R50" s="222">
        <f t="shared" si="1"/>
        <v>0.015</v>
      </c>
      <c r="S50" s="17"/>
      <c r="T50" s="17"/>
      <c r="U50" s="17"/>
      <c r="V50" s="17"/>
      <c r="W50" s="17"/>
      <c r="X50" s="17"/>
      <c r="Y50" s="17"/>
    </row>
    <row r="51" ht="15.75" customHeight="1">
      <c r="A51" s="17"/>
      <c r="B51" s="217" t="s">
        <v>296</v>
      </c>
      <c r="C51" s="218" t="s">
        <v>274</v>
      </c>
      <c r="D51" s="231">
        <v>0.01</v>
      </c>
      <c r="E51" s="230"/>
      <c r="F51" s="231"/>
      <c r="G51" s="230"/>
      <c r="H51" s="231"/>
      <c r="I51" s="230">
        <v>200.0</v>
      </c>
      <c r="J51" s="231">
        <f t="shared" si="18"/>
        <v>2</v>
      </c>
      <c r="K51" s="17"/>
      <c r="L51" s="234" t="s">
        <v>297</v>
      </c>
      <c r="M51" s="218" t="s">
        <v>211</v>
      </c>
      <c r="N51" s="248">
        <v>50.0</v>
      </c>
      <c r="O51" s="220" t="s">
        <v>280</v>
      </c>
      <c r="P51" s="218">
        <v>1.0</v>
      </c>
      <c r="Q51" s="247">
        <v>100.0</v>
      </c>
      <c r="R51" s="222">
        <f t="shared" si="1"/>
        <v>0.5</v>
      </c>
      <c r="S51" s="17"/>
      <c r="T51" s="17"/>
      <c r="U51" s="17"/>
      <c r="V51" s="17"/>
      <c r="W51" s="17"/>
      <c r="X51" s="17"/>
      <c r="Y51" s="17"/>
    </row>
    <row r="52" ht="15.75" customHeight="1">
      <c r="A52" s="17"/>
      <c r="B52" s="217" t="s">
        <v>298</v>
      </c>
      <c r="C52" s="218" t="s">
        <v>299</v>
      </c>
      <c r="D52" s="231">
        <v>0.13</v>
      </c>
      <c r="E52" s="230"/>
      <c r="F52" s="231"/>
      <c r="G52" s="230"/>
      <c r="H52" s="231"/>
      <c r="I52" s="230">
        <v>10.0</v>
      </c>
      <c r="J52" s="231">
        <f t="shared" si="18"/>
        <v>1.3</v>
      </c>
      <c r="K52" s="17"/>
      <c r="L52" s="234" t="s">
        <v>275</v>
      </c>
      <c r="M52" s="218" t="s">
        <v>211</v>
      </c>
      <c r="N52" s="219">
        <v>5.85</v>
      </c>
      <c r="O52" s="220" t="s">
        <v>280</v>
      </c>
      <c r="P52" s="220">
        <v>1.0</v>
      </c>
      <c r="Q52" s="247">
        <v>200.0</v>
      </c>
      <c r="R52" s="222">
        <f t="shared" si="1"/>
        <v>0.02925</v>
      </c>
      <c r="S52" s="17"/>
      <c r="T52" s="17"/>
      <c r="U52" s="17"/>
      <c r="V52" s="17"/>
      <c r="W52" s="17"/>
      <c r="X52" s="17"/>
      <c r="Y52" s="17"/>
    </row>
    <row r="53" ht="15.75" customHeight="1">
      <c r="A53" s="17"/>
      <c r="B53" s="217" t="s">
        <v>300</v>
      </c>
      <c r="C53" s="218" t="s">
        <v>211</v>
      </c>
      <c r="D53" s="231">
        <v>3.7</v>
      </c>
      <c r="E53" s="230"/>
      <c r="F53" s="231"/>
      <c r="G53" s="230"/>
      <c r="H53" s="231"/>
      <c r="I53" s="230">
        <v>2.0</v>
      </c>
      <c r="J53" s="231">
        <f t="shared" si="18"/>
        <v>7.4</v>
      </c>
      <c r="K53" s="17"/>
      <c r="L53" s="234" t="s">
        <v>276</v>
      </c>
      <c r="M53" s="218" t="s">
        <v>211</v>
      </c>
      <c r="N53" s="248">
        <v>0.29</v>
      </c>
      <c r="O53" s="220" t="s">
        <v>280</v>
      </c>
      <c r="P53" s="218">
        <v>2.0</v>
      </c>
      <c r="Q53" s="247">
        <v>1.0</v>
      </c>
      <c r="R53" s="222">
        <f t="shared" si="1"/>
        <v>0.58</v>
      </c>
      <c r="S53" s="17"/>
      <c r="T53" s="17"/>
      <c r="U53" s="17"/>
      <c r="V53" s="17"/>
      <c r="W53" s="17"/>
      <c r="X53" s="17"/>
      <c r="Y53" s="17"/>
    </row>
    <row r="54" ht="15.75" customHeight="1">
      <c r="A54" s="17"/>
      <c r="B54" s="217"/>
      <c r="C54" s="218"/>
      <c r="D54" s="231"/>
      <c r="E54" s="230"/>
      <c r="F54" s="231"/>
      <c r="G54" s="230"/>
      <c r="H54" s="231"/>
      <c r="I54" s="230"/>
      <c r="J54" s="231"/>
      <c r="K54" s="17"/>
      <c r="L54" s="234" t="s">
        <v>301</v>
      </c>
      <c r="M54" s="218" t="s">
        <v>211</v>
      </c>
      <c r="N54" s="219">
        <v>27.0</v>
      </c>
      <c r="O54" s="220" t="s">
        <v>89</v>
      </c>
      <c r="P54" s="220">
        <v>10.0</v>
      </c>
      <c r="Q54" s="247">
        <v>100.0</v>
      </c>
      <c r="R54" s="222">
        <f t="shared" si="1"/>
        <v>2.7</v>
      </c>
      <c r="S54" s="17"/>
      <c r="T54" s="17"/>
      <c r="U54" s="17"/>
      <c r="V54" s="17"/>
      <c r="W54" s="17"/>
      <c r="X54" s="17"/>
      <c r="Y54" s="17"/>
    </row>
    <row r="55" ht="15.75" customHeight="1">
      <c r="A55" s="17"/>
      <c r="B55" s="17"/>
      <c r="C55" s="17"/>
      <c r="D55" s="17"/>
      <c r="E55" s="17"/>
      <c r="F55" s="17"/>
      <c r="G55" s="17"/>
      <c r="H55" s="17"/>
      <c r="I55" s="17"/>
      <c r="J55" s="17"/>
      <c r="K55" s="17"/>
      <c r="L55" s="234" t="s">
        <v>302</v>
      </c>
      <c r="M55" s="218" t="s">
        <v>109</v>
      </c>
      <c r="N55" s="219">
        <v>142.83</v>
      </c>
      <c r="O55" s="220" t="s">
        <v>89</v>
      </c>
      <c r="P55" s="220">
        <v>1.0</v>
      </c>
      <c r="Q55" s="247">
        <v>100.0</v>
      </c>
      <c r="R55" s="222">
        <f t="shared" si="1"/>
        <v>1.4283</v>
      </c>
      <c r="S55" s="17"/>
      <c r="T55" s="17"/>
      <c r="U55" s="17"/>
      <c r="V55" s="17"/>
      <c r="W55" s="17"/>
      <c r="X55" s="17"/>
      <c r="Y55" s="17"/>
    </row>
    <row r="56" ht="15.75" customHeight="1">
      <c r="A56" s="17"/>
      <c r="B56" s="17"/>
      <c r="C56" s="17"/>
      <c r="D56" s="17"/>
      <c r="E56" s="17"/>
      <c r="F56" s="17"/>
      <c r="G56" s="17"/>
      <c r="H56" s="17"/>
      <c r="I56" s="17"/>
      <c r="J56" s="17"/>
      <c r="K56" s="17"/>
      <c r="L56" s="234" t="s">
        <v>234</v>
      </c>
      <c r="M56" s="218" t="s">
        <v>211</v>
      </c>
      <c r="N56" s="219">
        <v>1.2</v>
      </c>
      <c r="O56" s="220" t="s">
        <v>303</v>
      </c>
      <c r="P56" s="220">
        <v>1.0</v>
      </c>
      <c r="Q56" s="247">
        <v>1.0</v>
      </c>
      <c r="R56" s="222">
        <f t="shared" si="1"/>
        <v>1.2</v>
      </c>
      <c r="S56" s="17"/>
      <c r="T56" s="17"/>
      <c r="U56" s="17"/>
      <c r="V56" s="17"/>
      <c r="W56" s="17"/>
      <c r="X56" s="17"/>
      <c r="Y56" s="17"/>
    </row>
    <row r="57" ht="15.75" customHeight="1">
      <c r="A57" s="17"/>
      <c r="B57" s="17"/>
      <c r="C57" s="17"/>
      <c r="D57" s="17"/>
      <c r="E57" s="17"/>
      <c r="F57" s="17"/>
      <c r="G57" s="17"/>
      <c r="H57" s="17"/>
      <c r="I57" s="17"/>
      <c r="J57" s="17"/>
      <c r="K57" s="17"/>
      <c r="L57" s="234" t="s">
        <v>229</v>
      </c>
      <c r="M57" s="218" t="s">
        <v>211</v>
      </c>
      <c r="N57" s="219">
        <v>0.04</v>
      </c>
      <c r="O57" s="220" t="s">
        <v>303</v>
      </c>
      <c r="P57" s="220">
        <v>1.0</v>
      </c>
      <c r="Q57" s="247">
        <v>1.0</v>
      </c>
      <c r="R57" s="222">
        <f t="shared" si="1"/>
        <v>0.04</v>
      </c>
      <c r="S57" s="17"/>
      <c r="T57" s="17"/>
      <c r="U57" s="17"/>
      <c r="V57" s="17"/>
      <c r="W57" s="17"/>
      <c r="X57" s="17"/>
      <c r="Y57" s="17"/>
    </row>
    <row r="58" ht="15.75" customHeight="1">
      <c r="A58" s="17"/>
      <c r="B58" s="17"/>
      <c r="C58" s="17"/>
      <c r="D58" s="17"/>
      <c r="E58" s="17"/>
      <c r="F58" s="17"/>
      <c r="G58" s="17"/>
      <c r="H58" s="17"/>
      <c r="I58" s="17"/>
      <c r="J58" s="17"/>
      <c r="K58" s="17"/>
      <c r="L58" s="217" t="s">
        <v>210</v>
      </c>
      <c r="M58" s="218" t="s">
        <v>211</v>
      </c>
      <c r="N58" s="219">
        <v>0.29</v>
      </c>
      <c r="O58" s="220" t="s">
        <v>303</v>
      </c>
      <c r="P58" s="220">
        <v>2.0</v>
      </c>
      <c r="Q58" s="247">
        <v>1.0</v>
      </c>
      <c r="R58" s="222">
        <f t="shared" si="1"/>
        <v>0.58</v>
      </c>
      <c r="S58" s="17"/>
      <c r="T58" s="17"/>
      <c r="U58" s="17"/>
      <c r="V58" s="17"/>
      <c r="W58" s="17"/>
      <c r="X58" s="17"/>
      <c r="Y58" s="17"/>
    </row>
    <row r="59" ht="15.75" customHeight="1">
      <c r="A59" s="17"/>
      <c r="B59" s="17"/>
      <c r="C59" s="17"/>
      <c r="D59" s="17"/>
      <c r="E59" s="17"/>
      <c r="F59" s="17"/>
      <c r="G59" s="17"/>
      <c r="H59" s="17"/>
      <c r="I59" s="17"/>
      <c r="J59" s="17"/>
      <c r="K59" s="17"/>
      <c r="L59" s="234" t="s">
        <v>214</v>
      </c>
      <c r="M59" s="218" t="s">
        <v>109</v>
      </c>
      <c r="N59" s="235">
        <v>0.024</v>
      </c>
      <c r="O59" s="220" t="s">
        <v>303</v>
      </c>
      <c r="P59" s="220">
        <v>16.2</v>
      </c>
      <c r="Q59" s="247">
        <v>1.0</v>
      </c>
      <c r="R59" s="222">
        <f t="shared" si="1"/>
        <v>0.3888</v>
      </c>
      <c r="S59" s="17"/>
      <c r="T59" s="17"/>
      <c r="U59" s="17"/>
      <c r="V59" s="17"/>
      <c r="W59" s="17"/>
      <c r="X59" s="17"/>
      <c r="Y59" s="17"/>
    </row>
    <row r="60" ht="15.75" customHeight="1">
      <c r="A60" s="17"/>
      <c r="B60" s="17"/>
      <c r="C60" s="17"/>
      <c r="D60" s="17"/>
      <c r="E60" s="17"/>
      <c r="F60" s="17"/>
      <c r="G60" s="17"/>
      <c r="H60" s="17"/>
      <c r="I60" s="17"/>
      <c r="J60" s="17"/>
      <c r="K60" s="17"/>
      <c r="L60" s="234" t="s">
        <v>221</v>
      </c>
      <c r="M60" s="218" t="s">
        <v>109</v>
      </c>
      <c r="N60" s="219">
        <v>437.0</v>
      </c>
      <c r="O60" s="220" t="s">
        <v>303</v>
      </c>
      <c r="P60" s="220">
        <v>2.0E-4</v>
      </c>
      <c r="Q60" s="247">
        <v>5000.0</v>
      </c>
      <c r="R60" s="222">
        <f t="shared" si="1"/>
        <v>0.00001748</v>
      </c>
      <c r="S60" s="17"/>
      <c r="T60" s="17"/>
      <c r="U60" s="17"/>
      <c r="V60" s="17"/>
      <c r="W60" s="17"/>
      <c r="X60" s="17"/>
      <c r="Y60" s="17"/>
    </row>
    <row r="61" ht="15.75" customHeight="1">
      <c r="A61" s="17"/>
      <c r="B61" s="17"/>
      <c r="C61" s="17"/>
      <c r="D61" s="17"/>
      <c r="E61" s="17"/>
      <c r="F61" s="17"/>
      <c r="G61" s="17"/>
      <c r="H61" s="17"/>
      <c r="I61" s="17"/>
      <c r="J61" s="17"/>
      <c r="K61" s="17"/>
      <c r="L61" s="234" t="s">
        <v>227</v>
      </c>
      <c r="M61" s="218" t="s">
        <v>109</v>
      </c>
      <c r="N61" s="219"/>
      <c r="O61" s="220" t="s">
        <v>303</v>
      </c>
      <c r="P61" s="220">
        <v>0.2</v>
      </c>
      <c r="Q61" s="247">
        <v>1.0</v>
      </c>
      <c r="R61" s="222">
        <f t="shared" si="1"/>
        <v>0</v>
      </c>
      <c r="S61" s="17"/>
      <c r="T61" s="17"/>
      <c r="U61" s="17"/>
      <c r="V61" s="17"/>
      <c r="W61" s="17"/>
      <c r="X61" s="17"/>
      <c r="Y61" s="17"/>
    </row>
    <row r="62" ht="15.75" customHeight="1">
      <c r="A62" s="17"/>
      <c r="B62" s="17"/>
      <c r="C62" s="17"/>
      <c r="D62" s="17"/>
      <c r="E62" s="17"/>
      <c r="F62" s="17"/>
      <c r="G62" s="17"/>
      <c r="H62" s="17"/>
      <c r="I62" s="17"/>
      <c r="J62" s="17"/>
      <c r="K62" s="17"/>
      <c r="L62" s="234" t="s">
        <v>235</v>
      </c>
      <c r="M62" s="218" t="s">
        <v>211</v>
      </c>
      <c r="N62" s="235">
        <f>0.3*'Parâmetros'!H35</f>
        <v>0</v>
      </c>
      <c r="O62" s="220" t="s">
        <v>303</v>
      </c>
      <c r="P62" s="220">
        <v>3.0</v>
      </c>
      <c r="Q62" s="247">
        <v>1.0</v>
      </c>
      <c r="R62" s="222">
        <f t="shared" si="1"/>
        <v>0</v>
      </c>
      <c r="S62" s="17"/>
      <c r="T62" s="17"/>
      <c r="U62" s="17"/>
      <c r="V62" s="17"/>
      <c r="W62" s="17"/>
      <c r="X62" s="17"/>
      <c r="Y62" s="17"/>
    </row>
    <row r="63" ht="15.75" customHeight="1">
      <c r="A63" s="17"/>
      <c r="B63" s="17"/>
      <c r="C63" s="17"/>
      <c r="D63" s="17"/>
      <c r="E63" s="17"/>
      <c r="F63" s="17"/>
      <c r="G63" s="17"/>
      <c r="H63" s="17"/>
      <c r="I63" s="17"/>
      <c r="J63" s="17"/>
      <c r="K63" s="17"/>
      <c r="L63" s="234" t="s">
        <v>241</v>
      </c>
      <c r="M63" s="218" t="s">
        <v>211</v>
      </c>
      <c r="N63" s="235">
        <v>35.0</v>
      </c>
      <c r="O63" s="220" t="s">
        <v>303</v>
      </c>
      <c r="P63" s="220">
        <v>1.0</v>
      </c>
      <c r="Q63" s="247">
        <v>1825.0</v>
      </c>
      <c r="R63" s="222">
        <f t="shared" si="1"/>
        <v>0.01917808219</v>
      </c>
      <c r="S63" s="17"/>
      <c r="T63" s="17"/>
      <c r="U63" s="17"/>
      <c r="V63" s="17"/>
      <c r="W63" s="17"/>
      <c r="X63" s="17"/>
      <c r="Y63" s="17"/>
    </row>
    <row r="64" ht="15.75" customHeight="1">
      <c r="A64" s="17"/>
      <c r="B64" s="17"/>
      <c r="C64" s="17"/>
      <c r="D64" s="17"/>
      <c r="E64" s="17"/>
      <c r="F64" s="17"/>
      <c r="G64" s="17"/>
      <c r="H64" s="17"/>
      <c r="I64" s="17"/>
      <c r="J64" s="17"/>
      <c r="K64" s="17"/>
      <c r="L64" s="234" t="s">
        <v>304</v>
      </c>
      <c r="M64" s="218" t="s">
        <v>211</v>
      </c>
      <c r="N64" s="219">
        <v>100.0</v>
      </c>
      <c r="O64" s="220" t="s">
        <v>305</v>
      </c>
      <c r="P64" s="220">
        <v>1.0</v>
      </c>
      <c r="Q64" s="247">
        <v>108.0</v>
      </c>
      <c r="R64" s="222">
        <f t="shared" si="1"/>
        <v>0.9259259259</v>
      </c>
      <c r="S64" s="17"/>
      <c r="T64" s="17"/>
      <c r="U64" s="17"/>
      <c r="V64" s="17"/>
      <c r="W64" s="17"/>
      <c r="X64" s="17"/>
      <c r="Y64" s="17"/>
    </row>
    <row r="65" ht="15.75" customHeight="1">
      <c r="A65" s="17"/>
      <c r="B65" s="17"/>
      <c r="C65" s="17"/>
      <c r="D65" s="17"/>
      <c r="E65" s="17"/>
      <c r="F65" s="17"/>
      <c r="G65" s="17"/>
      <c r="H65" s="17"/>
      <c r="I65" s="17"/>
      <c r="J65" s="17"/>
      <c r="K65" s="17"/>
      <c r="L65" s="234" t="s">
        <v>306</v>
      </c>
      <c r="M65" s="218" t="s">
        <v>211</v>
      </c>
      <c r="N65" s="219">
        <v>100.0</v>
      </c>
      <c r="O65" s="220" t="s">
        <v>305</v>
      </c>
      <c r="P65" s="220">
        <v>1.0</v>
      </c>
      <c r="Q65" s="247">
        <v>108.0</v>
      </c>
      <c r="R65" s="222">
        <f t="shared" si="1"/>
        <v>0.9259259259</v>
      </c>
      <c r="S65" s="17"/>
      <c r="T65" s="17"/>
      <c r="U65" s="17"/>
      <c r="V65" s="17"/>
      <c r="W65" s="17"/>
      <c r="X65" s="17"/>
      <c r="Y65" s="17"/>
    </row>
    <row r="66" ht="15.75" customHeight="1">
      <c r="A66" s="17"/>
      <c r="B66" s="17"/>
      <c r="C66" s="17"/>
      <c r="D66" s="17"/>
      <c r="E66" s="17"/>
      <c r="F66" s="17"/>
      <c r="G66" s="17"/>
      <c r="H66" s="17"/>
      <c r="I66" s="17"/>
      <c r="J66" s="17"/>
      <c r="K66" s="17"/>
      <c r="L66" s="234" t="s">
        <v>307</v>
      </c>
      <c r="M66" s="218" t="s">
        <v>211</v>
      </c>
      <c r="N66" s="219">
        <v>5000.0</v>
      </c>
      <c r="O66" s="220" t="s">
        <v>305</v>
      </c>
      <c r="P66" s="220">
        <v>1.0</v>
      </c>
      <c r="Q66" s="247">
        <v>36.0</v>
      </c>
      <c r="R66" s="222">
        <f t="shared" si="1"/>
        <v>138.8888889</v>
      </c>
      <c r="S66" s="17"/>
      <c r="T66" s="17"/>
      <c r="U66" s="17"/>
      <c r="V66" s="17"/>
      <c r="W66" s="17"/>
      <c r="X66" s="17"/>
      <c r="Y66" s="17"/>
    </row>
    <row r="67" ht="15.75" customHeight="1">
      <c r="A67" s="17"/>
      <c r="B67" s="17"/>
      <c r="C67" s="17"/>
      <c r="D67" s="17"/>
      <c r="E67" s="17"/>
      <c r="F67" s="17"/>
      <c r="G67" s="17"/>
      <c r="H67" s="17"/>
      <c r="I67" s="17"/>
      <c r="J67" s="17"/>
      <c r="K67" s="17"/>
      <c r="L67" s="234" t="s">
        <v>308</v>
      </c>
      <c r="M67" s="218" t="s">
        <v>211</v>
      </c>
      <c r="N67" s="219">
        <v>2200.0</v>
      </c>
      <c r="O67" s="220" t="s">
        <v>305</v>
      </c>
      <c r="P67" s="220">
        <v>1.0</v>
      </c>
      <c r="Q67" s="247">
        <v>180.0</v>
      </c>
      <c r="R67" s="222">
        <f t="shared" si="1"/>
        <v>12.22222222</v>
      </c>
      <c r="S67" s="17"/>
      <c r="T67" s="17"/>
      <c r="U67" s="17"/>
      <c r="V67" s="17"/>
      <c r="W67" s="17"/>
      <c r="X67" s="17"/>
      <c r="Y67" s="17"/>
    </row>
    <row r="68" ht="15.75" customHeight="1">
      <c r="A68" s="17"/>
      <c r="B68" s="17"/>
      <c r="C68" s="17"/>
      <c r="D68" s="17"/>
      <c r="E68" s="17"/>
      <c r="F68" s="17"/>
      <c r="G68" s="17"/>
      <c r="H68" s="17"/>
      <c r="I68" s="17"/>
      <c r="J68" s="17"/>
      <c r="K68" s="17"/>
      <c r="L68" s="234" t="s">
        <v>309</v>
      </c>
      <c r="M68" s="218" t="s">
        <v>211</v>
      </c>
      <c r="N68" s="219">
        <v>2200.0</v>
      </c>
      <c r="O68" s="220" t="s">
        <v>305</v>
      </c>
      <c r="P68" s="220">
        <v>1.0</v>
      </c>
      <c r="Q68" s="247">
        <v>180.0</v>
      </c>
      <c r="R68" s="222">
        <f t="shared" si="1"/>
        <v>12.22222222</v>
      </c>
      <c r="S68" s="17"/>
      <c r="T68" s="17"/>
      <c r="U68" s="17"/>
      <c r="V68" s="17"/>
      <c r="W68" s="17"/>
      <c r="X68" s="17"/>
      <c r="Y68" s="17"/>
    </row>
    <row r="69" ht="15.75" customHeight="1">
      <c r="A69" s="17"/>
      <c r="B69" s="17"/>
      <c r="C69" s="17"/>
      <c r="D69" s="17"/>
      <c r="E69" s="17"/>
      <c r="F69" s="17"/>
      <c r="G69" s="17"/>
      <c r="H69" s="17"/>
      <c r="I69" s="17"/>
      <c r="J69" s="17"/>
      <c r="K69" s="17"/>
      <c r="L69" s="234" t="s">
        <v>310</v>
      </c>
      <c r="M69" s="218" t="s">
        <v>211</v>
      </c>
      <c r="N69" s="219">
        <v>1750.0</v>
      </c>
      <c r="O69" s="220" t="s">
        <v>305</v>
      </c>
      <c r="P69" s="220">
        <v>1.0</v>
      </c>
      <c r="Q69" s="247">
        <v>36.0</v>
      </c>
      <c r="R69" s="222">
        <f t="shared" si="1"/>
        <v>48.61111111</v>
      </c>
      <c r="S69" s="17"/>
      <c r="T69" s="17"/>
      <c r="U69" s="17"/>
      <c r="V69" s="17"/>
      <c r="W69" s="17"/>
      <c r="X69" s="17"/>
      <c r="Y69" s="17"/>
    </row>
    <row r="70" ht="15.75" customHeight="1">
      <c r="A70" s="17"/>
      <c r="B70" s="17"/>
      <c r="C70" s="17"/>
      <c r="D70" s="17"/>
      <c r="E70" s="17"/>
      <c r="F70" s="17"/>
      <c r="G70" s="17"/>
      <c r="H70" s="17"/>
      <c r="I70" s="17"/>
      <c r="J70" s="17"/>
      <c r="K70" s="17"/>
      <c r="L70" s="234" t="s">
        <v>311</v>
      </c>
      <c r="M70" s="218" t="s">
        <v>211</v>
      </c>
      <c r="N70" s="219">
        <v>600.0</v>
      </c>
      <c r="O70" s="220" t="s">
        <v>305</v>
      </c>
      <c r="P70" s="220">
        <v>1.0</v>
      </c>
      <c r="Q70" s="247">
        <v>72.0</v>
      </c>
      <c r="R70" s="222">
        <f t="shared" si="1"/>
        <v>8.333333333</v>
      </c>
      <c r="S70" s="17"/>
      <c r="T70" s="17"/>
      <c r="U70" s="17"/>
      <c r="V70" s="17"/>
      <c r="W70" s="17"/>
      <c r="X70" s="17"/>
      <c r="Y70" s="17"/>
    </row>
    <row r="71" ht="15.75" customHeight="1">
      <c r="A71" s="17"/>
      <c r="B71" s="17"/>
      <c r="C71" s="17"/>
      <c r="D71" s="17"/>
      <c r="E71" s="17"/>
      <c r="F71" s="17"/>
      <c r="G71" s="17"/>
      <c r="H71" s="17"/>
      <c r="I71" s="17"/>
      <c r="J71" s="17"/>
      <c r="K71" s="17"/>
      <c r="L71" s="234" t="s">
        <v>312</v>
      </c>
      <c r="M71" s="218" t="s">
        <v>211</v>
      </c>
      <c r="N71" s="219">
        <v>5000.0</v>
      </c>
      <c r="O71" s="220" t="s">
        <v>305</v>
      </c>
      <c r="P71" s="220">
        <v>1.0</v>
      </c>
      <c r="Q71" s="247">
        <v>360.0</v>
      </c>
      <c r="R71" s="222">
        <f t="shared" si="1"/>
        <v>13.88888889</v>
      </c>
      <c r="S71" s="17"/>
      <c r="T71" s="17"/>
      <c r="U71" s="17"/>
      <c r="V71" s="17"/>
      <c r="W71" s="17"/>
      <c r="X71" s="17"/>
      <c r="Y71" s="17"/>
    </row>
    <row r="72" ht="15.75" customHeight="1">
      <c r="A72" s="17"/>
      <c r="B72" s="17"/>
      <c r="C72" s="17"/>
      <c r="D72" s="17"/>
      <c r="E72" s="17"/>
      <c r="F72" s="17"/>
      <c r="G72" s="17"/>
      <c r="H72" s="17"/>
      <c r="I72" s="17"/>
      <c r="J72" s="17"/>
      <c r="K72" s="17"/>
      <c r="L72" s="234" t="s">
        <v>313</v>
      </c>
      <c r="M72" s="218" t="s">
        <v>211</v>
      </c>
      <c r="N72" s="219">
        <v>500.0</v>
      </c>
      <c r="O72" s="220" t="s">
        <v>305</v>
      </c>
      <c r="P72" s="220">
        <v>1.0</v>
      </c>
      <c r="Q72" s="247">
        <v>180.0</v>
      </c>
      <c r="R72" s="222">
        <f t="shared" si="1"/>
        <v>2.777777778</v>
      </c>
      <c r="S72" s="17"/>
      <c r="T72" s="17"/>
      <c r="U72" s="17"/>
      <c r="V72" s="17"/>
      <c r="W72" s="17"/>
      <c r="X72" s="17"/>
      <c r="Y72" s="17"/>
    </row>
    <row r="73" ht="15.75" customHeight="1">
      <c r="A73" s="17"/>
      <c r="B73" s="17"/>
      <c r="C73" s="17"/>
      <c r="D73" s="17"/>
      <c r="E73" s="17"/>
      <c r="F73" s="17"/>
      <c r="G73" s="17"/>
      <c r="H73" s="17"/>
      <c r="I73" s="17"/>
      <c r="J73" s="17"/>
      <c r="K73" s="17"/>
      <c r="L73" s="234" t="s">
        <v>314</v>
      </c>
      <c r="M73" s="218" t="s">
        <v>211</v>
      </c>
      <c r="N73" s="219">
        <v>100.0</v>
      </c>
      <c r="O73" s="220" t="s">
        <v>305</v>
      </c>
      <c r="P73" s="220">
        <v>1.0</v>
      </c>
      <c r="Q73" s="247">
        <v>108.0</v>
      </c>
      <c r="R73" s="222">
        <f t="shared" si="1"/>
        <v>0.9259259259</v>
      </c>
      <c r="S73" s="17"/>
      <c r="T73" s="17"/>
      <c r="U73" s="17"/>
      <c r="V73" s="17"/>
      <c r="W73" s="17"/>
      <c r="X73" s="17"/>
      <c r="Y73" s="17"/>
    </row>
    <row r="74" ht="15.75" customHeight="1">
      <c r="A74" s="17"/>
      <c r="B74" s="17"/>
      <c r="C74" s="17"/>
      <c r="D74" s="17"/>
      <c r="E74" s="17"/>
      <c r="F74" s="17"/>
      <c r="G74" s="17"/>
      <c r="H74" s="17"/>
      <c r="I74" s="17"/>
      <c r="J74" s="17"/>
      <c r="K74" s="17"/>
      <c r="L74" s="234" t="s">
        <v>315</v>
      </c>
      <c r="M74" s="218" t="s">
        <v>211</v>
      </c>
      <c r="N74" s="219">
        <v>100.0</v>
      </c>
      <c r="O74" s="220" t="s">
        <v>305</v>
      </c>
      <c r="P74" s="220">
        <v>1.0</v>
      </c>
      <c r="Q74" s="247">
        <v>108.0</v>
      </c>
      <c r="R74" s="222">
        <f t="shared" si="1"/>
        <v>0.9259259259</v>
      </c>
      <c r="S74" s="17"/>
      <c r="T74" s="17"/>
      <c r="U74" s="17"/>
      <c r="V74" s="17"/>
      <c r="W74" s="17"/>
      <c r="X74" s="17"/>
      <c r="Y74" s="17"/>
    </row>
    <row r="75" ht="15.75" customHeight="1">
      <c r="A75" s="17"/>
      <c r="B75" s="17"/>
      <c r="C75" s="17"/>
      <c r="D75" s="17"/>
      <c r="E75" s="17"/>
      <c r="F75" s="17"/>
      <c r="G75" s="17"/>
      <c r="H75" s="17"/>
      <c r="I75" s="17"/>
      <c r="J75" s="17"/>
      <c r="K75" s="17"/>
      <c r="L75" s="234" t="s">
        <v>316</v>
      </c>
      <c r="M75" s="218" t="s">
        <v>211</v>
      </c>
      <c r="N75" s="219">
        <v>250.0</v>
      </c>
      <c r="O75" s="220" t="s">
        <v>305</v>
      </c>
      <c r="P75" s="220">
        <v>1.0</v>
      </c>
      <c r="Q75" s="247">
        <v>24.0</v>
      </c>
      <c r="R75" s="222">
        <f t="shared" si="1"/>
        <v>10.41666667</v>
      </c>
      <c r="S75" s="17"/>
      <c r="T75" s="17"/>
      <c r="U75" s="17"/>
      <c r="V75" s="17"/>
      <c r="W75" s="17"/>
      <c r="X75" s="17"/>
      <c r="Y75" s="17"/>
    </row>
    <row r="76" ht="15.75" customHeight="1">
      <c r="A76" s="17"/>
      <c r="B76" s="17"/>
      <c r="C76" s="17"/>
      <c r="D76" s="17"/>
      <c r="E76" s="17"/>
      <c r="F76" s="17"/>
      <c r="G76" s="17"/>
      <c r="H76" s="17"/>
      <c r="I76" s="17"/>
      <c r="J76" s="17"/>
      <c r="K76" s="17"/>
      <c r="L76" s="234" t="s">
        <v>317</v>
      </c>
      <c r="M76" s="218" t="s">
        <v>109</v>
      </c>
      <c r="N76" s="219">
        <v>2.49</v>
      </c>
      <c r="O76" s="220" t="s">
        <v>305</v>
      </c>
      <c r="P76" s="220">
        <v>1.0</v>
      </c>
      <c r="Q76" s="247">
        <v>1.0</v>
      </c>
      <c r="R76" s="222">
        <f t="shared" si="1"/>
        <v>2.49</v>
      </c>
      <c r="S76" s="17"/>
      <c r="T76" s="17"/>
      <c r="U76" s="17"/>
      <c r="V76" s="17"/>
      <c r="W76" s="17"/>
      <c r="X76" s="17"/>
      <c r="Y76" s="17"/>
    </row>
    <row r="77" ht="15.75" customHeight="1">
      <c r="A77" s="17"/>
      <c r="B77" s="17"/>
      <c r="C77" s="17"/>
      <c r="D77" s="17"/>
      <c r="E77" s="17"/>
      <c r="F77" s="17"/>
      <c r="G77" s="17"/>
      <c r="H77" s="17"/>
      <c r="I77" s="17"/>
      <c r="J77" s="17"/>
      <c r="K77" s="17"/>
      <c r="L77" s="234" t="s">
        <v>318</v>
      </c>
      <c r="M77" s="218" t="s">
        <v>211</v>
      </c>
      <c r="N77" s="219">
        <v>18800.0</v>
      </c>
      <c r="O77" s="220" t="s">
        <v>92</v>
      </c>
      <c r="P77" s="220">
        <v>1.0</v>
      </c>
      <c r="Q77" s="247">
        <v>144.0</v>
      </c>
      <c r="R77" s="222">
        <f t="shared" si="1"/>
        <v>130.5555556</v>
      </c>
      <c r="S77" s="17"/>
      <c r="T77" s="17"/>
      <c r="U77" s="17"/>
      <c r="V77" s="17"/>
      <c r="W77" s="17"/>
      <c r="X77" s="17"/>
      <c r="Y77" s="17"/>
    </row>
    <row r="78" ht="15.75" customHeight="1">
      <c r="A78" s="17"/>
      <c r="B78" s="17"/>
      <c r="C78" s="17"/>
      <c r="D78" s="17"/>
      <c r="E78" s="17"/>
      <c r="F78" s="17"/>
      <c r="G78" s="17"/>
      <c r="H78" s="17"/>
      <c r="I78" s="17"/>
      <c r="J78" s="17"/>
      <c r="K78" s="17"/>
      <c r="L78" s="234" t="s">
        <v>319</v>
      </c>
      <c r="M78" s="218" t="s">
        <v>211</v>
      </c>
      <c r="N78" s="219">
        <v>7500.0</v>
      </c>
      <c r="O78" s="220" t="s">
        <v>92</v>
      </c>
      <c r="P78" s="220">
        <v>1.0</v>
      </c>
      <c r="Q78" s="247">
        <v>144.0</v>
      </c>
      <c r="R78" s="222">
        <f t="shared" si="1"/>
        <v>52.08333333</v>
      </c>
      <c r="S78" s="17"/>
      <c r="T78" s="17"/>
      <c r="U78" s="17"/>
      <c r="V78" s="17"/>
      <c r="W78" s="17"/>
      <c r="X78" s="17"/>
      <c r="Y78" s="17"/>
    </row>
    <row r="79" ht="15.75" customHeight="1">
      <c r="A79" s="17"/>
      <c r="B79" s="17"/>
      <c r="C79" s="17"/>
      <c r="D79" s="17"/>
      <c r="E79" s="17"/>
      <c r="F79" s="17"/>
      <c r="G79" s="17"/>
      <c r="H79" s="17"/>
      <c r="I79" s="17"/>
      <c r="J79" s="17"/>
      <c r="K79" s="17"/>
      <c r="L79" s="234" t="s">
        <v>320</v>
      </c>
      <c r="M79" s="218" t="s">
        <v>211</v>
      </c>
      <c r="N79" s="219">
        <v>15.0</v>
      </c>
      <c r="O79" s="220" t="s">
        <v>92</v>
      </c>
      <c r="P79" s="220">
        <v>1.0</v>
      </c>
      <c r="Q79" s="247">
        <v>144.0</v>
      </c>
      <c r="R79" s="222">
        <f t="shared" si="1"/>
        <v>0.1041666667</v>
      </c>
      <c r="S79" s="17"/>
      <c r="T79" s="17"/>
      <c r="U79" s="17"/>
      <c r="V79" s="17"/>
      <c r="W79" s="17"/>
      <c r="X79" s="17"/>
      <c r="Y79" s="17"/>
    </row>
    <row r="80" ht="15.75" customHeight="1">
      <c r="A80" s="17"/>
      <c r="B80" s="17"/>
      <c r="C80" s="17"/>
      <c r="D80" s="17"/>
      <c r="E80" s="17"/>
      <c r="F80" s="17"/>
      <c r="G80" s="17"/>
      <c r="H80" s="17"/>
      <c r="I80" s="17"/>
      <c r="J80" s="17"/>
      <c r="K80" s="17"/>
      <c r="L80" s="234" t="s">
        <v>321</v>
      </c>
      <c r="M80" s="218" t="s">
        <v>211</v>
      </c>
      <c r="N80" s="219">
        <v>600.0</v>
      </c>
      <c r="O80" s="220" t="s">
        <v>92</v>
      </c>
      <c r="P80" s="220">
        <v>1.0</v>
      </c>
      <c r="Q80" s="247">
        <v>144.0</v>
      </c>
      <c r="R80" s="222">
        <f t="shared" si="1"/>
        <v>4.166666667</v>
      </c>
      <c r="S80" s="17"/>
      <c r="T80" s="17"/>
      <c r="U80" s="17"/>
      <c r="V80" s="17"/>
      <c r="W80" s="17"/>
      <c r="X80" s="17"/>
      <c r="Y80" s="17"/>
    </row>
    <row r="81" ht="15.75" customHeight="1">
      <c r="A81" s="17"/>
      <c r="B81" s="17"/>
      <c r="C81" s="17"/>
      <c r="D81" s="17"/>
      <c r="E81" s="17"/>
      <c r="F81" s="17"/>
      <c r="G81" s="17"/>
      <c r="H81" s="17"/>
      <c r="I81" s="17"/>
      <c r="J81" s="17"/>
      <c r="K81" s="17"/>
      <c r="L81" s="234" t="s">
        <v>322</v>
      </c>
      <c r="M81" s="218" t="s">
        <v>211</v>
      </c>
      <c r="N81" s="219">
        <v>250.0</v>
      </c>
      <c r="O81" s="220" t="s">
        <v>92</v>
      </c>
      <c r="P81" s="220">
        <v>1.0</v>
      </c>
      <c r="Q81" s="247">
        <v>9.0</v>
      </c>
      <c r="R81" s="222">
        <f t="shared" si="1"/>
        <v>27.77777778</v>
      </c>
      <c r="S81" s="17"/>
      <c r="T81" s="17"/>
      <c r="U81" s="17"/>
      <c r="V81" s="17"/>
      <c r="W81" s="17"/>
      <c r="X81" s="17"/>
      <c r="Y81" s="17"/>
    </row>
    <row r="82" ht="15.75" customHeight="1">
      <c r="A82" s="17"/>
      <c r="B82" s="17"/>
      <c r="C82" s="17"/>
      <c r="D82" s="17"/>
      <c r="E82" s="17"/>
      <c r="F82" s="17"/>
      <c r="G82" s="17"/>
      <c r="H82" s="17"/>
      <c r="I82" s="17"/>
      <c r="J82" s="17"/>
      <c r="K82" s="17"/>
      <c r="L82" s="234" t="s">
        <v>221</v>
      </c>
      <c r="M82" s="218" t="s">
        <v>109</v>
      </c>
      <c r="N82" s="219">
        <v>437.0</v>
      </c>
      <c r="O82" s="220" t="s">
        <v>323</v>
      </c>
      <c r="P82" s="220">
        <v>0.5</v>
      </c>
      <c r="Q82" s="247"/>
      <c r="R82" s="222">
        <f t="shared" si="1"/>
        <v>218.5</v>
      </c>
      <c r="S82" s="17"/>
      <c r="T82" s="17"/>
      <c r="U82" s="17"/>
      <c r="V82" s="17"/>
      <c r="W82" s="17"/>
      <c r="X82" s="17"/>
      <c r="Y82" s="17"/>
    </row>
    <row r="83" ht="15.75" customHeight="1">
      <c r="A83" s="17"/>
      <c r="B83" s="17"/>
      <c r="C83" s="17"/>
      <c r="D83" s="17"/>
      <c r="E83" s="17"/>
      <c r="F83" s="17"/>
      <c r="G83" s="17"/>
      <c r="H83" s="17"/>
      <c r="I83" s="17"/>
      <c r="J83" s="17"/>
      <c r="K83" s="17"/>
      <c r="L83" s="234" t="s">
        <v>224</v>
      </c>
      <c r="M83" s="218" t="s">
        <v>211</v>
      </c>
      <c r="N83" s="219">
        <v>0.1</v>
      </c>
      <c r="O83" s="220" t="s">
        <v>323</v>
      </c>
      <c r="P83" s="220">
        <v>3.0</v>
      </c>
      <c r="Q83" s="247">
        <v>1.0</v>
      </c>
      <c r="R83" s="222">
        <f t="shared" si="1"/>
        <v>0.3</v>
      </c>
      <c r="S83" s="17"/>
      <c r="T83" s="17"/>
      <c r="U83" s="17"/>
      <c r="V83" s="17"/>
      <c r="W83" s="17"/>
      <c r="X83" s="17"/>
      <c r="Y83" s="17"/>
    </row>
    <row r="84" ht="15.75" customHeight="1">
      <c r="A84" s="17"/>
      <c r="B84" s="17"/>
      <c r="C84" s="17"/>
      <c r="D84" s="17"/>
      <c r="E84" s="17"/>
      <c r="F84" s="17"/>
      <c r="G84" s="17"/>
      <c r="H84" s="17"/>
      <c r="I84" s="17"/>
      <c r="J84" s="17"/>
      <c r="K84" s="17"/>
      <c r="L84" s="234" t="s">
        <v>235</v>
      </c>
      <c r="M84" s="218" t="s">
        <v>211</v>
      </c>
      <c r="N84" s="235">
        <f>0.3*'Parâmetros'!H35</f>
        <v>0</v>
      </c>
      <c r="O84" s="220" t="s">
        <v>323</v>
      </c>
      <c r="P84" s="220">
        <v>3.0</v>
      </c>
      <c r="Q84" s="249"/>
      <c r="R84" s="222">
        <f t="shared" si="1"/>
        <v>0</v>
      </c>
      <c r="S84" s="17"/>
      <c r="T84" s="17"/>
      <c r="U84" s="17"/>
      <c r="V84" s="17"/>
      <c r="W84" s="17"/>
      <c r="X84" s="17"/>
      <c r="Y84" s="17"/>
    </row>
    <row r="85" ht="15.75" customHeight="1">
      <c r="A85" s="17"/>
      <c r="B85" s="17"/>
      <c r="C85" s="17"/>
      <c r="D85" s="17"/>
      <c r="E85" s="17"/>
      <c r="F85" s="17"/>
      <c r="G85" s="17"/>
      <c r="H85" s="17"/>
      <c r="I85" s="17"/>
      <c r="J85" s="17"/>
      <c r="K85" s="17"/>
      <c r="L85" s="234" t="s">
        <v>324</v>
      </c>
      <c r="M85" s="218" t="s">
        <v>211</v>
      </c>
      <c r="N85" s="219">
        <v>20.0</v>
      </c>
      <c r="O85" s="220" t="s">
        <v>325</v>
      </c>
      <c r="P85" s="220">
        <v>3.0</v>
      </c>
      <c r="Q85" s="249"/>
      <c r="R85" s="222">
        <f t="shared" si="1"/>
        <v>60</v>
      </c>
      <c r="S85" s="17"/>
      <c r="T85" s="17"/>
      <c r="U85" s="17"/>
      <c r="V85" s="17"/>
      <c r="W85" s="17"/>
      <c r="X85" s="17"/>
      <c r="Y85" s="17"/>
    </row>
    <row r="86" ht="15.75" customHeight="1">
      <c r="A86" s="17"/>
      <c r="B86" s="17"/>
      <c r="C86" s="17"/>
      <c r="D86" s="17"/>
      <c r="E86" s="17"/>
      <c r="F86" s="17"/>
      <c r="G86" s="17"/>
      <c r="H86" s="17"/>
      <c r="I86" s="17"/>
      <c r="J86" s="17"/>
      <c r="K86" s="17"/>
      <c r="L86" s="217" t="s">
        <v>210</v>
      </c>
      <c r="M86" s="218" t="s">
        <v>211</v>
      </c>
      <c r="N86" s="219">
        <v>0.29</v>
      </c>
      <c r="O86" s="220" t="s">
        <v>325</v>
      </c>
      <c r="P86" s="220">
        <v>2.0</v>
      </c>
      <c r="Q86" s="247">
        <v>1.0</v>
      </c>
      <c r="R86" s="222">
        <f t="shared" si="1"/>
        <v>0.58</v>
      </c>
      <c r="S86" s="17"/>
      <c r="T86" s="17"/>
      <c r="U86" s="17"/>
      <c r="V86" s="17"/>
      <c r="W86" s="17"/>
      <c r="X86" s="17"/>
      <c r="Y86" s="17"/>
    </row>
    <row r="87" ht="15.75" customHeight="1">
      <c r="A87" s="17"/>
      <c r="B87" s="17"/>
      <c r="C87" s="17"/>
      <c r="D87" s="17"/>
      <c r="E87" s="17"/>
      <c r="F87" s="17"/>
      <c r="G87" s="17"/>
      <c r="H87" s="17"/>
      <c r="I87" s="17"/>
      <c r="J87" s="17"/>
      <c r="K87" s="17"/>
      <c r="L87" s="234" t="s">
        <v>214</v>
      </c>
      <c r="M87" s="218" t="s">
        <v>109</v>
      </c>
      <c r="N87" s="235">
        <v>0.024</v>
      </c>
      <c r="O87" s="220" t="s">
        <v>325</v>
      </c>
      <c r="P87" s="220">
        <v>16.2</v>
      </c>
      <c r="Q87" s="247">
        <v>1.0</v>
      </c>
      <c r="R87" s="222">
        <f t="shared" si="1"/>
        <v>0.3888</v>
      </c>
      <c r="S87" s="17"/>
      <c r="T87" s="17"/>
      <c r="U87" s="17"/>
      <c r="V87" s="17"/>
      <c r="W87" s="17"/>
      <c r="X87" s="17"/>
      <c r="Y87" s="17"/>
    </row>
    <row r="88" ht="15.75" customHeight="1">
      <c r="A88" s="17"/>
      <c r="B88" s="17"/>
      <c r="C88" s="17"/>
      <c r="D88" s="17"/>
      <c r="E88" s="17"/>
      <c r="F88" s="17"/>
      <c r="G88" s="17"/>
      <c r="H88" s="17"/>
      <c r="I88" s="17"/>
      <c r="J88" s="17"/>
      <c r="K88" s="17"/>
      <c r="L88" s="234" t="s">
        <v>326</v>
      </c>
      <c r="M88" s="218" t="s">
        <v>211</v>
      </c>
      <c r="N88" s="219">
        <v>0.084</v>
      </c>
      <c r="O88" s="220" t="s">
        <v>87</v>
      </c>
      <c r="P88" s="220">
        <v>2.0</v>
      </c>
      <c r="Q88" s="247">
        <v>1.0</v>
      </c>
      <c r="R88" s="222">
        <f t="shared" si="1"/>
        <v>0.168</v>
      </c>
      <c r="S88" s="17"/>
      <c r="T88" s="17"/>
      <c r="U88" s="17"/>
      <c r="V88" s="17"/>
      <c r="W88" s="17"/>
      <c r="X88" s="17"/>
      <c r="Y88" s="17"/>
    </row>
    <row r="89" ht="15.75" customHeight="1">
      <c r="A89" s="17"/>
      <c r="B89" s="17"/>
      <c r="C89" s="17"/>
      <c r="D89" s="17"/>
      <c r="E89" s="17"/>
      <c r="F89" s="17"/>
      <c r="G89" s="17"/>
      <c r="H89" s="17"/>
      <c r="I89" s="17"/>
      <c r="J89" s="17"/>
      <c r="K89" s="17"/>
      <c r="L89" s="234" t="s">
        <v>224</v>
      </c>
      <c r="M89" s="218" t="s">
        <v>211</v>
      </c>
      <c r="N89" s="219">
        <v>0.017</v>
      </c>
      <c r="O89" s="220" t="s">
        <v>87</v>
      </c>
      <c r="P89" s="220">
        <v>2.0</v>
      </c>
      <c r="Q89" s="247">
        <v>1.0</v>
      </c>
      <c r="R89" s="222">
        <f t="shared" si="1"/>
        <v>0.034</v>
      </c>
      <c r="S89" s="17"/>
      <c r="T89" s="17"/>
      <c r="U89" s="17"/>
      <c r="V89" s="17"/>
      <c r="W89" s="17"/>
      <c r="X89" s="17"/>
      <c r="Y89" s="17"/>
    </row>
    <row r="90" ht="15.75" customHeight="1">
      <c r="A90" s="17"/>
      <c r="B90" s="17"/>
      <c r="C90" s="17"/>
      <c r="D90" s="17"/>
      <c r="E90" s="17"/>
      <c r="F90" s="17"/>
      <c r="G90" s="17"/>
      <c r="H90" s="17"/>
      <c r="I90" s="17"/>
      <c r="J90" s="17"/>
      <c r="K90" s="17"/>
      <c r="L90" s="234" t="s">
        <v>232</v>
      </c>
      <c r="M90" s="218" t="s">
        <v>211</v>
      </c>
      <c r="N90" s="219">
        <v>0.1</v>
      </c>
      <c r="O90" s="220" t="s">
        <v>87</v>
      </c>
      <c r="P90" s="220">
        <v>1.0</v>
      </c>
      <c r="Q90" s="247">
        <v>1.0</v>
      </c>
      <c r="R90" s="222">
        <f t="shared" si="1"/>
        <v>0.1</v>
      </c>
      <c r="S90" s="17"/>
      <c r="T90" s="17"/>
      <c r="U90" s="17"/>
      <c r="V90" s="17"/>
      <c r="W90" s="17"/>
      <c r="X90" s="17"/>
      <c r="Y90" s="17"/>
    </row>
    <row r="91" ht="15.75" customHeight="1">
      <c r="A91" s="17"/>
      <c r="B91" s="17"/>
      <c r="C91" s="17"/>
      <c r="D91" s="17"/>
      <c r="E91" s="17"/>
      <c r="F91" s="17"/>
      <c r="G91" s="17"/>
      <c r="H91" s="17"/>
      <c r="I91" s="17"/>
      <c r="J91" s="17"/>
      <c r="K91" s="17"/>
      <c r="L91" s="245" t="s">
        <v>229</v>
      </c>
      <c r="M91" s="218" t="s">
        <v>211</v>
      </c>
      <c r="N91" s="219">
        <v>0.111</v>
      </c>
      <c r="O91" s="220" t="s">
        <v>87</v>
      </c>
      <c r="P91" s="220">
        <v>1.0</v>
      </c>
      <c r="Q91" s="247">
        <v>1.0</v>
      </c>
      <c r="R91" s="222">
        <f t="shared" si="1"/>
        <v>0.111</v>
      </c>
      <c r="S91" s="17"/>
      <c r="T91" s="17"/>
      <c r="U91" s="17"/>
      <c r="V91" s="17"/>
      <c r="W91" s="17"/>
      <c r="X91" s="17"/>
      <c r="Y91" s="17"/>
    </row>
    <row r="92" ht="15.75" customHeight="1">
      <c r="A92" s="17"/>
      <c r="B92" s="17"/>
      <c r="C92" s="17"/>
      <c r="D92" s="17"/>
      <c r="E92" s="17"/>
      <c r="F92" s="17"/>
      <c r="G92" s="17"/>
      <c r="H92" s="17"/>
      <c r="I92" s="17"/>
      <c r="J92" s="17"/>
      <c r="K92" s="17"/>
      <c r="L92" s="217" t="s">
        <v>210</v>
      </c>
      <c r="M92" s="218" t="s">
        <v>211</v>
      </c>
      <c r="N92" s="219">
        <v>0.285</v>
      </c>
      <c r="O92" s="220" t="s">
        <v>87</v>
      </c>
      <c r="P92" s="220">
        <v>2.0</v>
      </c>
      <c r="Q92" s="247">
        <v>3.0</v>
      </c>
      <c r="R92" s="222">
        <f t="shared" si="1"/>
        <v>0.19</v>
      </c>
      <c r="S92" s="17"/>
      <c r="T92" s="17"/>
      <c r="U92" s="17"/>
      <c r="V92" s="17"/>
      <c r="W92" s="17"/>
      <c r="X92" s="17"/>
      <c r="Y92" s="17"/>
    </row>
    <row r="93" ht="15.75" customHeight="1">
      <c r="A93" s="17"/>
      <c r="B93" s="17"/>
      <c r="C93" s="17"/>
      <c r="D93" s="17"/>
      <c r="E93" s="17"/>
      <c r="F93" s="17"/>
      <c r="G93" s="17"/>
      <c r="H93" s="17"/>
      <c r="I93" s="17"/>
      <c r="J93" s="17"/>
      <c r="K93" s="17"/>
      <c r="L93" s="234" t="s">
        <v>327</v>
      </c>
      <c r="M93" s="218" t="s">
        <v>109</v>
      </c>
      <c r="N93" s="219">
        <v>16.0</v>
      </c>
      <c r="O93" s="220" t="s">
        <v>87</v>
      </c>
      <c r="P93" s="220">
        <v>0.005</v>
      </c>
      <c r="Q93" s="247">
        <v>1.0</v>
      </c>
      <c r="R93" s="222">
        <f t="shared" si="1"/>
        <v>0.08</v>
      </c>
      <c r="S93" s="17"/>
      <c r="T93" s="17"/>
      <c r="U93" s="17"/>
      <c r="V93" s="17"/>
      <c r="W93" s="17"/>
      <c r="X93" s="17"/>
      <c r="Y93" s="17"/>
    </row>
    <row r="94" ht="15.75" customHeight="1">
      <c r="A94" s="17"/>
      <c r="B94" s="17"/>
      <c r="C94" s="17"/>
      <c r="D94" s="17"/>
      <c r="E94" s="17"/>
      <c r="F94" s="17"/>
      <c r="G94" s="17"/>
      <c r="H94" s="17"/>
      <c r="I94" s="17"/>
      <c r="J94" s="17"/>
      <c r="K94" s="17"/>
      <c r="L94" s="234" t="s">
        <v>328</v>
      </c>
      <c r="M94" s="218" t="s">
        <v>211</v>
      </c>
      <c r="N94" s="219">
        <v>0.087</v>
      </c>
      <c r="O94" s="220" t="s">
        <v>87</v>
      </c>
      <c r="P94" s="220">
        <v>2.0</v>
      </c>
      <c r="Q94" s="247">
        <v>1.0</v>
      </c>
      <c r="R94" s="222">
        <f t="shared" si="1"/>
        <v>0.174</v>
      </c>
      <c r="S94" s="17"/>
      <c r="T94" s="17"/>
      <c r="U94" s="17"/>
      <c r="V94" s="17"/>
      <c r="W94" s="17"/>
      <c r="X94" s="17"/>
      <c r="Y94" s="17"/>
    </row>
    <row r="95" ht="15.75" customHeight="1">
      <c r="A95" s="17"/>
      <c r="B95" s="17"/>
      <c r="C95" s="17"/>
      <c r="D95" s="17"/>
      <c r="E95" s="17"/>
      <c r="F95" s="17"/>
      <c r="G95" s="17"/>
      <c r="H95" s="17"/>
      <c r="I95" s="17"/>
      <c r="J95" s="17"/>
      <c r="K95" s="17"/>
      <c r="L95" s="234" t="s">
        <v>329</v>
      </c>
      <c r="M95" s="218" t="s">
        <v>109</v>
      </c>
      <c r="N95" s="235">
        <v>0.28</v>
      </c>
      <c r="O95" s="220" t="s">
        <v>88</v>
      </c>
      <c r="P95" s="220">
        <v>20.0</v>
      </c>
      <c r="Q95" s="247">
        <v>1.0</v>
      </c>
      <c r="R95" s="222">
        <f t="shared" si="1"/>
        <v>5.6</v>
      </c>
      <c r="S95" s="17"/>
      <c r="T95" s="17"/>
      <c r="U95" s="17"/>
      <c r="V95" s="17"/>
      <c r="W95" s="17"/>
      <c r="X95" s="17"/>
      <c r="Y95" s="17"/>
    </row>
    <row r="96" ht="15.75" customHeight="1">
      <c r="A96" s="17"/>
      <c r="B96" s="17"/>
      <c r="C96" s="17"/>
      <c r="D96" s="17"/>
      <c r="E96" s="17"/>
      <c r="F96" s="17"/>
      <c r="G96" s="17"/>
      <c r="H96" s="17"/>
      <c r="I96" s="17"/>
      <c r="J96" s="17"/>
      <c r="K96" s="17"/>
      <c r="L96" s="234" t="s">
        <v>214</v>
      </c>
      <c r="M96" s="218" t="s">
        <v>109</v>
      </c>
      <c r="N96" s="235">
        <v>0.024</v>
      </c>
      <c r="O96" s="220" t="s">
        <v>88</v>
      </c>
      <c r="P96" s="220">
        <v>20.0</v>
      </c>
      <c r="Q96" s="247">
        <v>1.0</v>
      </c>
      <c r="R96" s="250">
        <f t="shared" si="1"/>
        <v>0.48</v>
      </c>
      <c r="S96" s="17"/>
      <c r="T96" s="17"/>
      <c r="U96" s="17"/>
      <c r="V96" s="17"/>
      <c r="W96" s="17"/>
      <c r="X96" s="17"/>
      <c r="Y96" s="17"/>
    </row>
    <row r="97" ht="15.75" customHeight="1">
      <c r="A97" s="17"/>
      <c r="B97" s="17"/>
      <c r="C97" s="17"/>
      <c r="D97" s="17"/>
      <c r="E97" s="17"/>
      <c r="F97" s="17"/>
      <c r="G97" s="17"/>
      <c r="H97" s="17"/>
      <c r="I97" s="17"/>
      <c r="J97" s="17"/>
      <c r="K97" s="17"/>
      <c r="L97" s="234" t="s">
        <v>330</v>
      </c>
      <c r="M97" s="218" t="s">
        <v>211</v>
      </c>
      <c r="N97" s="235">
        <v>293.3</v>
      </c>
      <c r="O97" s="220" t="s">
        <v>88</v>
      </c>
      <c r="P97" s="220">
        <v>1.0</v>
      </c>
      <c r="Q97" s="247">
        <v>40.0</v>
      </c>
      <c r="R97" s="222">
        <f t="shared" si="1"/>
        <v>7.3325</v>
      </c>
      <c r="S97" s="17"/>
      <c r="T97" s="17"/>
      <c r="U97" s="17"/>
      <c r="V97" s="17"/>
      <c r="W97" s="17"/>
      <c r="X97" s="17"/>
      <c r="Y97" s="17"/>
    </row>
    <row r="98" ht="15.75" customHeight="1">
      <c r="A98" s="17"/>
      <c r="B98" s="17"/>
      <c r="C98" s="17"/>
      <c r="D98" s="17"/>
      <c r="E98" s="17"/>
      <c r="F98" s="17"/>
      <c r="G98" s="17"/>
      <c r="H98" s="17"/>
      <c r="I98" s="17"/>
      <c r="J98" s="17"/>
      <c r="K98" s="17"/>
      <c r="L98" s="234" t="s">
        <v>231</v>
      </c>
      <c r="M98" s="218" t="s">
        <v>211</v>
      </c>
      <c r="N98" s="219">
        <v>0.976</v>
      </c>
      <c r="O98" s="220" t="s">
        <v>331</v>
      </c>
      <c r="P98" s="220">
        <v>1.0</v>
      </c>
      <c r="Q98" s="247">
        <v>1.0</v>
      </c>
      <c r="R98" s="222">
        <f t="shared" si="1"/>
        <v>0.976</v>
      </c>
      <c r="S98" s="17"/>
      <c r="T98" s="17"/>
      <c r="U98" s="17"/>
      <c r="V98" s="17"/>
      <c r="W98" s="17"/>
      <c r="X98" s="17"/>
      <c r="Y98" s="17"/>
    </row>
    <row r="99" ht="15.75" customHeight="1">
      <c r="A99" s="17"/>
      <c r="B99" s="17"/>
      <c r="C99" s="17"/>
      <c r="D99" s="17"/>
      <c r="E99" s="17"/>
      <c r="F99" s="17"/>
      <c r="G99" s="17"/>
      <c r="H99" s="17"/>
      <c r="I99" s="17"/>
      <c r="J99" s="17"/>
      <c r="K99" s="17"/>
      <c r="L99" s="234" t="s">
        <v>332</v>
      </c>
      <c r="M99" s="218" t="s">
        <v>211</v>
      </c>
      <c r="N99" s="219">
        <v>0.37</v>
      </c>
      <c r="O99" s="220" t="s">
        <v>331</v>
      </c>
      <c r="P99" s="220">
        <v>1.0</v>
      </c>
      <c r="Q99" s="247">
        <v>2.0</v>
      </c>
      <c r="R99" s="222">
        <f t="shared" si="1"/>
        <v>0.185</v>
      </c>
      <c r="S99" s="17"/>
      <c r="T99" s="17"/>
      <c r="U99" s="17"/>
      <c r="V99" s="17"/>
      <c r="W99" s="17"/>
      <c r="X99" s="17"/>
      <c r="Y99" s="17"/>
    </row>
    <row r="100" ht="15.75" customHeight="1">
      <c r="A100" s="17"/>
      <c r="B100" s="17"/>
      <c r="C100" s="17"/>
      <c r="D100" s="17"/>
      <c r="E100" s="17"/>
      <c r="F100" s="17"/>
      <c r="G100" s="17"/>
      <c r="H100" s="17"/>
      <c r="I100" s="17"/>
      <c r="J100" s="17"/>
      <c r="K100" s="17"/>
      <c r="L100" s="234" t="s">
        <v>333</v>
      </c>
      <c r="M100" s="218" t="s">
        <v>211</v>
      </c>
      <c r="N100" s="219">
        <v>0.12</v>
      </c>
      <c r="O100" s="220" t="s">
        <v>331</v>
      </c>
      <c r="P100" s="220">
        <v>1.0</v>
      </c>
      <c r="Q100" s="247">
        <v>2.0</v>
      </c>
      <c r="R100" s="222">
        <f t="shared" si="1"/>
        <v>0.06</v>
      </c>
      <c r="S100" s="17"/>
      <c r="T100" s="17"/>
      <c r="U100" s="17"/>
      <c r="V100" s="17"/>
      <c r="W100" s="17"/>
      <c r="X100" s="17"/>
      <c r="Y100" s="17"/>
    </row>
    <row r="101" ht="15.75" customHeight="1">
      <c r="A101" s="17"/>
      <c r="B101" s="17"/>
      <c r="C101" s="17"/>
      <c r="D101" s="17"/>
      <c r="E101" s="17"/>
      <c r="F101" s="17"/>
      <c r="G101" s="17"/>
      <c r="H101" s="17"/>
      <c r="I101" s="17"/>
      <c r="J101" s="17"/>
      <c r="K101" s="17"/>
      <c r="L101" s="234" t="s">
        <v>334</v>
      </c>
      <c r="M101" s="218" t="s">
        <v>211</v>
      </c>
      <c r="N101" s="219">
        <v>1.5</v>
      </c>
      <c r="O101" s="220" t="s">
        <v>331</v>
      </c>
      <c r="P101" s="220">
        <v>1.0</v>
      </c>
      <c r="Q101" s="247">
        <v>1.0</v>
      </c>
      <c r="R101" s="222">
        <f t="shared" si="1"/>
        <v>1.5</v>
      </c>
      <c r="S101" s="17"/>
      <c r="T101" s="17"/>
      <c r="U101" s="17"/>
      <c r="V101" s="17"/>
      <c r="W101" s="17"/>
      <c r="X101" s="17"/>
      <c r="Y101" s="17"/>
    </row>
    <row r="102" ht="15.75" customHeight="1">
      <c r="A102" s="17"/>
      <c r="B102" s="17"/>
      <c r="C102" s="17"/>
      <c r="D102" s="17"/>
      <c r="E102" s="17"/>
      <c r="F102" s="17"/>
      <c r="G102" s="17"/>
      <c r="H102" s="17"/>
      <c r="I102" s="17"/>
      <c r="J102" s="17"/>
      <c r="K102" s="17"/>
      <c r="L102" s="234" t="s">
        <v>335</v>
      </c>
      <c r="M102" s="218" t="s">
        <v>211</v>
      </c>
      <c r="N102" s="219">
        <v>1.2</v>
      </c>
      <c r="O102" s="220" t="s">
        <v>331</v>
      </c>
      <c r="P102" s="220">
        <v>1.0</v>
      </c>
      <c r="Q102" s="247">
        <v>1.0</v>
      </c>
      <c r="R102" s="222">
        <f t="shared" si="1"/>
        <v>1.2</v>
      </c>
      <c r="S102" s="17"/>
      <c r="T102" s="17"/>
      <c r="U102" s="17"/>
      <c r="V102" s="17"/>
      <c r="W102" s="17"/>
      <c r="X102" s="17"/>
      <c r="Y102" s="17"/>
    </row>
    <row r="103" ht="15.75" customHeight="1">
      <c r="A103" s="17"/>
      <c r="B103" s="17"/>
      <c r="C103" s="17"/>
      <c r="D103" s="17"/>
      <c r="E103" s="17"/>
      <c r="F103" s="17"/>
      <c r="G103" s="17"/>
      <c r="H103" s="17"/>
      <c r="I103" s="17"/>
      <c r="J103" s="17"/>
      <c r="K103" s="17"/>
      <c r="L103" s="234" t="s">
        <v>272</v>
      </c>
      <c r="M103" s="218" t="s">
        <v>211</v>
      </c>
      <c r="N103" s="219">
        <v>8.0</v>
      </c>
      <c r="O103" s="220" t="s">
        <v>331</v>
      </c>
      <c r="P103" s="220">
        <v>1.0</v>
      </c>
      <c r="Q103" s="247">
        <v>1000.0</v>
      </c>
      <c r="R103" s="222">
        <f t="shared" si="1"/>
        <v>0.008</v>
      </c>
      <c r="S103" s="17"/>
      <c r="T103" s="17"/>
      <c r="U103" s="17"/>
      <c r="V103" s="17"/>
      <c r="W103" s="17"/>
      <c r="X103" s="17"/>
      <c r="Y103" s="17"/>
    </row>
    <row r="104" ht="15.75" customHeight="1">
      <c r="A104" s="17"/>
      <c r="B104" s="17"/>
      <c r="C104" s="17"/>
      <c r="D104" s="17"/>
      <c r="E104" s="17"/>
      <c r="F104" s="17"/>
      <c r="G104" s="17"/>
      <c r="H104" s="17"/>
      <c r="I104" s="17"/>
      <c r="J104" s="17"/>
      <c r="K104" s="17"/>
      <c r="L104" s="234" t="s">
        <v>210</v>
      </c>
      <c r="M104" s="218" t="s">
        <v>211</v>
      </c>
      <c r="N104" s="219">
        <v>0.29</v>
      </c>
      <c r="O104" s="220" t="s">
        <v>331</v>
      </c>
      <c r="P104" s="220">
        <v>2.0</v>
      </c>
      <c r="Q104" s="247">
        <v>1.0</v>
      </c>
      <c r="R104" s="222">
        <f t="shared" si="1"/>
        <v>0.58</v>
      </c>
      <c r="S104" s="17"/>
      <c r="T104" s="17"/>
      <c r="U104" s="17"/>
      <c r="V104" s="17"/>
      <c r="W104" s="17"/>
      <c r="X104" s="17"/>
      <c r="Y104" s="17"/>
    </row>
    <row r="105" ht="15.75" customHeight="1">
      <c r="A105" s="17"/>
      <c r="B105" s="17"/>
      <c r="C105" s="17"/>
      <c r="D105" s="17"/>
      <c r="E105" s="17"/>
      <c r="F105" s="17"/>
      <c r="G105" s="17"/>
      <c r="H105" s="17"/>
      <c r="I105" s="17"/>
      <c r="J105" s="17"/>
      <c r="K105" s="17"/>
      <c r="L105" s="234" t="s">
        <v>336</v>
      </c>
      <c r="M105" s="218" t="s">
        <v>337</v>
      </c>
      <c r="N105" s="219">
        <v>11.57</v>
      </c>
      <c r="O105" s="220" t="s">
        <v>331</v>
      </c>
      <c r="P105" s="220">
        <v>1.0</v>
      </c>
      <c r="Q105" s="247">
        <v>200.0</v>
      </c>
      <c r="R105" s="222">
        <f t="shared" si="1"/>
        <v>0.05785</v>
      </c>
      <c r="S105" s="17"/>
      <c r="T105" s="17"/>
      <c r="U105" s="17"/>
      <c r="V105" s="17"/>
      <c r="W105" s="17"/>
      <c r="X105" s="17"/>
      <c r="Y105" s="17"/>
    </row>
    <row r="106" ht="15.75" customHeight="1">
      <c r="A106" s="17"/>
      <c r="B106" s="17"/>
      <c r="C106" s="17"/>
      <c r="D106" s="17"/>
      <c r="E106" s="17"/>
      <c r="F106" s="17"/>
      <c r="G106" s="17"/>
      <c r="H106" s="17"/>
      <c r="I106" s="17"/>
      <c r="J106" s="17"/>
      <c r="K106" s="17"/>
      <c r="L106" s="234" t="s">
        <v>328</v>
      </c>
      <c r="M106" s="218" t="s">
        <v>337</v>
      </c>
      <c r="N106" s="219">
        <v>13.0</v>
      </c>
      <c r="O106" s="220" t="s">
        <v>331</v>
      </c>
      <c r="P106" s="220">
        <v>1.0</v>
      </c>
      <c r="Q106" s="247">
        <v>200.0</v>
      </c>
      <c r="R106" s="222">
        <f t="shared" si="1"/>
        <v>0.065</v>
      </c>
      <c r="S106" s="17"/>
      <c r="T106" s="17"/>
      <c r="U106" s="17"/>
      <c r="V106" s="17"/>
      <c r="W106" s="17"/>
      <c r="X106" s="17"/>
      <c r="Y106" s="17"/>
    </row>
    <row r="107" ht="15.75" customHeight="1">
      <c r="A107" s="17"/>
      <c r="B107" s="17"/>
      <c r="C107" s="17"/>
      <c r="D107" s="17"/>
      <c r="E107" s="17"/>
      <c r="F107" s="17"/>
      <c r="G107" s="17"/>
      <c r="H107" s="17"/>
      <c r="I107" s="17"/>
      <c r="J107" s="17"/>
      <c r="K107" s="17"/>
      <c r="L107" s="234" t="s">
        <v>275</v>
      </c>
      <c r="M107" s="218" t="s">
        <v>211</v>
      </c>
      <c r="N107" s="219">
        <v>5.85</v>
      </c>
      <c r="O107" s="220" t="s">
        <v>331</v>
      </c>
      <c r="P107" s="220">
        <v>1.0</v>
      </c>
      <c r="Q107" s="247">
        <v>200.0</v>
      </c>
      <c r="R107" s="222">
        <f t="shared" si="1"/>
        <v>0.02925</v>
      </c>
      <c r="S107" s="17"/>
      <c r="T107" s="17"/>
      <c r="U107" s="17"/>
      <c r="V107" s="17"/>
      <c r="W107" s="17"/>
      <c r="X107" s="17"/>
      <c r="Y107" s="17"/>
    </row>
    <row r="108" ht="15.75" customHeight="1">
      <c r="A108" s="17"/>
      <c r="B108" s="17"/>
      <c r="C108" s="17"/>
      <c r="D108" s="17"/>
      <c r="E108" s="17"/>
      <c r="F108" s="17"/>
      <c r="G108" s="17"/>
      <c r="H108" s="17"/>
      <c r="I108" s="17"/>
      <c r="J108" s="17"/>
      <c r="K108" s="17"/>
      <c r="L108" s="234" t="s">
        <v>338</v>
      </c>
      <c r="M108" s="218" t="s">
        <v>252</v>
      </c>
      <c r="N108" s="248">
        <v>0.05</v>
      </c>
      <c r="O108" s="220" t="s">
        <v>331</v>
      </c>
      <c r="P108" s="218">
        <v>0.0535</v>
      </c>
      <c r="Q108" s="247">
        <v>1.0</v>
      </c>
      <c r="R108" s="222">
        <f t="shared" si="1"/>
        <v>0.002675</v>
      </c>
      <c r="S108" s="17"/>
      <c r="T108" s="17"/>
      <c r="U108" s="17"/>
      <c r="V108" s="17"/>
      <c r="W108" s="17"/>
      <c r="X108" s="17"/>
      <c r="Y108" s="17"/>
    </row>
    <row r="109" ht="15.75" customHeight="1">
      <c r="A109" s="17"/>
      <c r="B109" s="17"/>
      <c r="C109" s="17"/>
      <c r="D109" s="17"/>
      <c r="E109" s="17"/>
      <c r="F109" s="17"/>
      <c r="G109" s="17"/>
      <c r="H109" s="17"/>
      <c r="I109" s="17"/>
      <c r="J109" s="17"/>
      <c r="K109" s="17"/>
      <c r="L109" s="234" t="s">
        <v>339</v>
      </c>
      <c r="M109" s="218" t="s">
        <v>255</v>
      </c>
      <c r="N109" s="248">
        <v>50.0</v>
      </c>
      <c r="O109" s="220" t="s">
        <v>331</v>
      </c>
      <c r="P109" s="218">
        <v>1.0</v>
      </c>
      <c r="Q109" s="247">
        <v>1000.0</v>
      </c>
      <c r="R109" s="222">
        <f t="shared" si="1"/>
        <v>0.05</v>
      </c>
      <c r="S109" s="17"/>
      <c r="T109" s="17"/>
      <c r="U109" s="17"/>
      <c r="V109" s="17"/>
      <c r="W109" s="17"/>
      <c r="X109" s="17"/>
      <c r="Y109" s="17"/>
    </row>
    <row r="110" ht="15.75" customHeight="1">
      <c r="A110" s="17"/>
      <c r="B110" s="17"/>
      <c r="C110" s="17"/>
      <c r="D110" s="17"/>
      <c r="E110" s="17"/>
      <c r="F110" s="17"/>
      <c r="G110" s="17"/>
      <c r="H110" s="17"/>
      <c r="I110" s="17"/>
      <c r="J110" s="17"/>
      <c r="K110" s="17"/>
      <c r="L110" s="234" t="s">
        <v>257</v>
      </c>
      <c r="M110" s="218" t="s">
        <v>258</v>
      </c>
      <c r="N110" s="248">
        <v>0.05</v>
      </c>
      <c r="O110" s="220" t="s">
        <v>331</v>
      </c>
      <c r="P110" s="218">
        <v>10.0</v>
      </c>
      <c r="Q110" s="247">
        <v>10.0</v>
      </c>
      <c r="R110" s="222">
        <f t="shared" si="1"/>
        <v>0.05</v>
      </c>
      <c r="S110" s="17"/>
      <c r="T110" s="17"/>
      <c r="U110" s="17"/>
      <c r="V110" s="17"/>
      <c r="W110" s="17"/>
      <c r="X110" s="17"/>
      <c r="Y110" s="17"/>
    </row>
    <row r="111" ht="15.75" customHeight="1">
      <c r="A111" s="17"/>
      <c r="B111" s="17"/>
      <c r="C111" s="17"/>
      <c r="D111" s="17"/>
      <c r="E111" s="17"/>
      <c r="F111" s="17"/>
      <c r="G111" s="17"/>
      <c r="H111" s="17"/>
      <c r="I111" s="17"/>
      <c r="J111" s="17"/>
      <c r="K111" s="17"/>
      <c r="L111" s="234" t="s">
        <v>340</v>
      </c>
      <c r="M111" s="218" t="s">
        <v>255</v>
      </c>
      <c r="N111" s="248">
        <v>20.0</v>
      </c>
      <c r="O111" s="220" t="s">
        <v>331</v>
      </c>
      <c r="P111" s="218">
        <v>1.0</v>
      </c>
      <c r="Q111" s="247">
        <v>1000.0</v>
      </c>
      <c r="R111" s="222">
        <f t="shared" si="1"/>
        <v>0.02</v>
      </c>
      <c r="S111" s="17"/>
      <c r="T111" s="17"/>
      <c r="U111" s="17"/>
      <c r="V111" s="17"/>
      <c r="W111" s="17"/>
      <c r="X111" s="17"/>
      <c r="Y111" s="17"/>
    </row>
    <row r="112" ht="15.75" customHeight="1">
      <c r="A112" s="17"/>
      <c r="B112" s="17"/>
      <c r="C112" s="17"/>
      <c r="D112" s="17"/>
      <c r="E112" s="17"/>
      <c r="F112" s="17"/>
      <c r="G112" s="17"/>
      <c r="H112" s="17"/>
      <c r="I112" s="17"/>
      <c r="J112" s="17"/>
      <c r="K112" s="17"/>
      <c r="L112" s="234" t="s">
        <v>263</v>
      </c>
      <c r="M112" s="218" t="s">
        <v>255</v>
      </c>
      <c r="N112" s="248">
        <v>117.0</v>
      </c>
      <c r="O112" s="220" t="s">
        <v>331</v>
      </c>
      <c r="P112" s="218">
        <v>3.0</v>
      </c>
      <c r="Q112" s="247">
        <v>500.0</v>
      </c>
      <c r="R112" s="222">
        <f t="shared" si="1"/>
        <v>0.702</v>
      </c>
      <c r="S112" s="17"/>
      <c r="T112" s="17"/>
      <c r="U112" s="17"/>
      <c r="V112" s="17"/>
      <c r="W112" s="17"/>
      <c r="X112" s="17"/>
      <c r="Y112" s="17"/>
    </row>
    <row r="113" ht="15.75" customHeight="1">
      <c r="A113" s="17"/>
      <c r="B113" s="17"/>
      <c r="C113" s="17"/>
      <c r="D113" s="17"/>
      <c r="E113" s="17"/>
      <c r="F113" s="17"/>
      <c r="G113" s="17"/>
      <c r="H113" s="17"/>
      <c r="I113" s="17"/>
      <c r="J113" s="17"/>
      <c r="K113" s="17"/>
      <c r="L113" s="234" t="s">
        <v>341</v>
      </c>
      <c r="M113" s="218" t="s">
        <v>211</v>
      </c>
      <c r="N113" s="219">
        <v>2192.4</v>
      </c>
      <c r="O113" s="220" t="s">
        <v>331</v>
      </c>
      <c r="P113" s="220">
        <v>2.0</v>
      </c>
      <c r="Q113" s="247">
        <v>1000.0</v>
      </c>
      <c r="R113" s="222">
        <f t="shared" si="1"/>
        <v>4.3848</v>
      </c>
      <c r="S113" s="17"/>
      <c r="T113" s="17"/>
      <c r="U113" s="17"/>
      <c r="V113" s="17"/>
      <c r="W113" s="17"/>
      <c r="X113" s="17"/>
      <c r="Y113" s="17"/>
    </row>
    <row r="114" ht="15.75" customHeight="1">
      <c r="A114" s="17"/>
      <c r="B114" s="17"/>
      <c r="C114" s="17"/>
      <c r="D114" s="17"/>
      <c r="E114" s="17"/>
      <c r="F114" s="17"/>
      <c r="G114" s="17"/>
      <c r="H114" s="17"/>
      <c r="I114" s="17"/>
      <c r="J114" s="17"/>
      <c r="K114" s="17"/>
      <c r="L114" s="234" t="s">
        <v>243</v>
      </c>
      <c r="M114" s="218" t="s">
        <v>255</v>
      </c>
      <c r="N114" s="248">
        <v>0.74</v>
      </c>
      <c r="O114" s="220" t="s">
        <v>342</v>
      </c>
      <c r="P114" s="218">
        <v>2.0</v>
      </c>
      <c r="Q114" s="247">
        <v>1.0</v>
      </c>
      <c r="R114" s="222">
        <f t="shared" si="1"/>
        <v>1.48</v>
      </c>
      <c r="S114" s="17"/>
      <c r="T114" s="17"/>
      <c r="U114" s="17"/>
      <c r="V114" s="17"/>
      <c r="W114" s="17"/>
      <c r="X114" s="17"/>
      <c r="Y114" s="17"/>
    </row>
    <row r="115" ht="15.75" customHeight="1">
      <c r="A115" s="17"/>
      <c r="B115" s="17"/>
      <c r="C115" s="17"/>
      <c r="D115" s="17"/>
      <c r="E115" s="17"/>
      <c r="F115" s="17"/>
      <c r="G115" s="17"/>
      <c r="H115" s="17"/>
      <c r="I115" s="17"/>
      <c r="J115" s="17"/>
      <c r="K115" s="17"/>
      <c r="L115" s="234" t="s">
        <v>247</v>
      </c>
      <c r="M115" s="218" t="s">
        <v>255</v>
      </c>
      <c r="N115" s="248">
        <v>0.24</v>
      </c>
      <c r="O115" s="220" t="s">
        <v>342</v>
      </c>
      <c r="P115" s="218">
        <v>2.0</v>
      </c>
      <c r="Q115" s="247">
        <v>1.0</v>
      </c>
      <c r="R115" s="222">
        <f t="shared" si="1"/>
        <v>0.48</v>
      </c>
      <c r="S115" s="17"/>
      <c r="T115" s="17"/>
      <c r="U115" s="17"/>
      <c r="V115" s="17"/>
      <c r="W115" s="17"/>
      <c r="X115" s="17"/>
      <c r="Y115" s="17"/>
    </row>
    <row r="116" ht="15.75" customHeight="1">
      <c r="A116" s="17"/>
      <c r="B116" s="17"/>
      <c r="C116" s="17"/>
      <c r="D116" s="17"/>
      <c r="E116" s="17"/>
      <c r="F116" s="17"/>
      <c r="G116" s="17"/>
      <c r="H116" s="17"/>
      <c r="I116" s="17"/>
      <c r="J116" s="17"/>
      <c r="K116" s="17"/>
      <c r="L116" s="234" t="s">
        <v>286</v>
      </c>
      <c r="M116" s="218" t="s">
        <v>255</v>
      </c>
      <c r="N116" s="248">
        <v>5.25</v>
      </c>
      <c r="O116" s="220" t="s">
        <v>342</v>
      </c>
      <c r="P116" s="218">
        <v>3.0</v>
      </c>
      <c r="Q116" s="247">
        <v>1.0</v>
      </c>
      <c r="R116" s="222">
        <f t="shared" si="1"/>
        <v>15.75</v>
      </c>
      <c r="S116" s="17"/>
      <c r="T116" s="17"/>
      <c r="U116" s="17"/>
      <c r="V116" s="17"/>
      <c r="W116" s="17"/>
      <c r="X116" s="17"/>
      <c r="Y116" s="17"/>
    </row>
    <row r="117" ht="15.75" customHeight="1">
      <c r="A117" s="17"/>
      <c r="B117" s="17"/>
      <c r="C117" s="17"/>
      <c r="D117" s="17"/>
      <c r="E117" s="17"/>
      <c r="F117" s="17"/>
      <c r="G117" s="17"/>
      <c r="H117" s="17"/>
      <c r="I117" s="17"/>
      <c r="J117" s="17"/>
      <c r="K117" s="17"/>
      <c r="L117" s="234" t="s">
        <v>251</v>
      </c>
      <c r="M117" s="218" t="s">
        <v>252</v>
      </c>
      <c r="N117" s="248">
        <v>0.05</v>
      </c>
      <c r="O117" s="220" t="s">
        <v>342</v>
      </c>
      <c r="P117" s="218">
        <v>0.0535</v>
      </c>
      <c r="Q117" s="247">
        <v>1.0</v>
      </c>
      <c r="R117" s="222">
        <f t="shared" si="1"/>
        <v>0.002675</v>
      </c>
      <c r="S117" s="17"/>
      <c r="T117" s="17"/>
      <c r="U117" s="17"/>
      <c r="V117" s="17"/>
      <c r="W117" s="17"/>
      <c r="X117" s="17"/>
      <c r="Y117" s="17"/>
    </row>
    <row r="118" ht="15.75" customHeight="1">
      <c r="A118" s="17"/>
      <c r="B118" s="17"/>
      <c r="C118" s="17"/>
      <c r="D118" s="17"/>
      <c r="E118" s="17"/>
      <c r="F118" s="17"/>
      <c r="G118" s="17"/>
      <c r="H118" s="17"/>
      <c r="I118" s="17"/>
      <c r="J118" s="17"/>
      <c r="K118" s="17"/>
      <c r="L118" s="234" t="s">
        <v>254</v>
      </c>
      <c r="M118" s="218" t="s">
        <v>255</v>
      </c>
      <c r="N118" s="248">
        <v>50.0</v>
      </c>
      <c r="O118" s="220" t="s">
        <v>342</v>
      </c>
      <c r="P118" s="218">
        <v>1.0</v>
      </c>
      <c r="Q118" s="247">
        <v>100.0</v>
      </c>
      <c r="R118" s="222">
        <f t="shared" si="1"/>
        <v>0.5</v>
      </c>
      <c r="S118" s="17"/>
      <c r="T118" s="17"/>
      <c r="U118" s="17"/>
      <c r="V118" s="17"/>
      <c r="W118" s="17"/>
      <c r="X118" s="17"/>
      <c r="Y118" s="17"/>
    </row>
    <row r="119" ht="15.75" customHeight="1">
      <c r="A119" s="17"/>
      <c r="B119" s="17"/>
      <c r="C119" s="17"/>
      <c r="D119" s="17"/>
      <c r="E119" s="17"/>
      <c r="F119" s="17"/>
      <c r="G119" s="17"/>
      <c r="H119" s="17"/>
      <c r="I119" s="17"/>
      <c r="J119" s="17"/>
      <c r="K119" s="17"/>
      <c r="L119" s="234" t="s">
        <v>257</v>
      </c>
      <c r="M119" s="218" t="s">
        <v>258</v>
      </c>
      <c r="N119" s="248">
        <v>0.05</v>
      </c>
      <c r="O119" s="220" t="s">
        <v>342</v>
      </c>
      <c r="P119" s="218">
        <v>10.0</v>
      </c>
      <c r="Q119" s="247">
        <v>10.0</v>
      </c>
      <c r="R119" s="222">
        <f t="shared" si="1"/>
        <v>0.05</v>
      </c>
      <c r="S119" s="17"/>
      <c r="T119" s="17"/>
      <c r="U119" s="17"/>
      <c r="V119" s="17"/>
      <c r="W119" s="17"/>
      <c r="X119" s="17"/>
      <c r="Y119" s="17"/>
    </row>
    <row r="120" ht="15.75" customHeight="1">
      <c r="A120" s="17"/>
      <c r="B120" s="17"/>
      <c r="C120" s="17"/>
      <c r="D120" s="17"/>
      <c r="E120" s="17"/>
      <c r="F120" s="17"/>
      <c r="G120" s="17"/>
      <c r="H120" s="17"/>
      <c r="I120" s="17"/>
      <c r="J120" s="17"/>
      <c r="K120" s="17"/>
      <c r="L120" s="234" t="s">
        <v>259</v>
      </c>
      <c r="M120" s="218" t="s">
        <v>255</v>
      </c>
      <c r="N120" s="248">
        <v>20.0</v>
      </c>
      <c r="O120" s="220" t="s">
        <v>342</v>
      </c>
      <c r="P120" s="218">
        <v>2.0</v>
      </c>
      <c r="Q120" s="247">
        <v>1000.0</v>
      </c>
      <c r="R120" s="222">
        <f t="shared" si="1"/>
        <v>0.04</v>
      </c>
      <c r="S120" s="17"/>
      <c r="T120" s="17"/>
      <c r="U120" s="17"/>
      <c r="V120" s="17"/>
      <c r="W120" s="17"/>
      <c r="X120" s="17"/>
      <c r="Y120" s="17"/>
    </row>
    <row r="121" ht="15.75" customHeight="1">
      <c r="A121" s="17"/>
      <c r="B121" s="17"/>
      <c r="C121" s="17"/>
      <c r="D121" s="17"/>
      <c r="E121" s="17"/>
      <c r="F121" s="17"/>
      <c r="G121" s="17"/>
      <c r="H121" s="17"/>
      <c r="I121" s="17"/>
      <c r="J121" s="17"/>
      <c r="K121" s="17"/>
      <c r="L121" s="234" t="s">
        <v>285</v>
      </c>
      <c r="M121" s="218" t="s">
        <v>255</v>
      </c>
      <c r="N121" s="248">
        <v>0.1</v>
      </c>
      <c r="O121" s="220" t="s">
        <v>342</v>
      </c>
      <c r="P121" s="218">
        <v>2.0</v>
      </c>
      <c r="Q121" s="247">
        <v>1.0</v>
      </c>
      <c r="R121" s="222">
        <f t="shared" si="1"/>
        <v>0.2</v>
      </c>
      <c r="S121" s="17"/>
      <c r="T121" s="17"/>
      <c r="U121" s="17"/>
      <c r="V121" s="17"/>
      <c r="W121" s="17"/>
      <c r="X121" s="17"/>
      <c r="Y121" s="17"/>
    </row>
    <row r="122" ht="15.75" customHeight="1">
      <c r="A122" s="17"/>
      <c r="B122" s="17"/>
      <c r="C122" s="17"/>
      <c r="D122" s="17"/>
      <c r="E122" s="17"/>
      <c r="F122" s="17"/>
      <c r="G122" s="17"/>
      <c r="H122" s="17"/>
      <c r="I122" s="17"/>
      <c r="J122" s="17"/>
      <c r="K122" s="17"/>
      <c r="L122" s="234" t="s">
        <v>263</v>
      </c>
      <c r="M122" s="218" t="s">
        <v>255</v>
      </c>
      <c r="N122" s="248">
        <v>117.0</v>
      </c>
      <c r="O122" s="220" t="s">
        <v>342</v>
      </c>
      <c r="P122" s="218">
        <v>3.0</v>
      </c>
      <c r="Q122" s="247">
        <v>500.0</v>
      </c>
      <c r="R122" s="222">
        <f t="shared" si="1"/>
        <v>0.702</v>
      </c>
      <c r="S122" s="17"/>
      <c r="T122" s="17"/>
      <c r="U122" s="17"/>
      <c r="V122" s="17"/>
      <c r="W122" s="17"/>
      <c r="X122" s="17"/>
      <c r="Y122" s="17"/>
    </row>
    <row r="123" ht="15.75" customHeight="1">
      <c r="A123" s="17"/>
      <c r="B123" s="17"/>
      <c r="C123" s="17"/>
      <c r="D123" s="17"/>
      <c r="E123" s="17"/>
      <c r="F123" s="17"/>
      <c r="G123" s="17"/>
      <c r="H123" s="17"/>
      <c r="I123" s="17"/>
      <c r="J123" s="17"/>
      <c r="K123" s="17"/>
      <c r="L123" s="234" t="s">
        <v>343</v>
      </c>
      <c r="M123" s="218" t="s">
        <v>255</v>
      </c>
      <c r="N123" s="248">
        <v>560.27</v>
      </c>
      <c r="O123" s="220" t="s">
        <v>342</v>
      </c>
      <c r="P123" s="218">
        <v>1.0</v>
      </c>
      <c r="Q123" s="247">
        <v>20.0</v>
      </c>
      <c r="R123" s="222">
        <f t="shared" si="1"/>
        <v>28.0135</v>
      </c>
      <c r="S123" s="17"/>
      <c r="T123" s="17"/>
      <c r="U123" s="17"/>
      <c r="V123" s="17"/>
      <c r="W123" s="17"/>
      <c r="X123" s="17"/>
      <c r="Y123" s="17"/>
    </row>
    <row r="124" ht="15.75" customHeight="1">
      <c r="A124" s="17"/>
      <c r="B124" s="17"/>
      <c r="C124" s="17"/>
      <c r="D124" s="17"/>
      <c r="E124" s="17"/>
      <c r="F124" s="17"/>
      <c r="G124" s="17"/>
      <c r="H124" s="17"/>
      <c r="I124" s="17"/>
      <c r="J124" s="17"/>
      <c r="K124" s="17"/>
      <c r="L124" s="234" t="s">
        <v>265</v>
      </c>
      <c r="M124" s="218" t="s">
        <v>255</v>
      </c>
      <c r="N124" s="248">
        <f>0.09*P124</f>
        <v>0.27</v>
      </c>
      <c r="O124" s="220" t="s">
        <v>342</v>
      </c>
      <c r="P124" s="218">
        <v>3.0</v>
      </c>
      <c r="Q124" s="247">
        <v>3.0</v>
      </c>
      <c r="R124" s="222">
        <f t="shared" si="1"/>
        <v>0.27</v>
      </c>
      <c r="S124" s="17"/>
      <c r="T124" s="17"/>
      <c r="U124" s="17"/>
      <c r="V124" s="17"/>
      <c r="W124" s="17"/>
      <c r="X124" s="17"/>
      <c r="Y124" s="17"/>
    </row>
    <row r="125" ht="15.75" customHeight="1">
      <c r="A125" s="17"/>
      <c r="B125" s="17"/>
      <c r="C125" s="17"/>
      <c r="D125" s="17"/>
      <c r="E125" s="17"/>
      <c r="F125" s="17"/>
      <c r="G125" s="17"/>
      <c r="H125" s="17"/>
      <c r="I125" s="17"/>
      <c r="J125" s="17"/>
      <c r="K125" s="17"/>
      <c r="L125" s="234" t="s">
        <v>272</v>
      </c>
      <c r="M125" s="218" t="s">
        <v>255</v>
      </c>
      <c r="N125" s="248">
        <v>15.0</v>
      </c>
      <c r="O125" s="220" t="s">
        <v>342</v>
      </c>
      <c r="P125" s="218">
        <v>1.0</v>
      </c>
      <c r="Q125" s="247">
        <v>100.0</v>
      </c>
      <c r="R125" s="222">
        <f t="shared" si="1"/>
        <v>0.15</v>
      </c>
      <c r="S125" s="17"/>
      <c r="T125" s="17"/>
      <c r="U125" s="17"/>
      <c r="V125" s="17"/>
      <c r="W125" s="17"/>
      <c r="X125" s="17"/>
      <c r="Y125" s="17"/>
    </row>
    <row r="126" ht="15.75" customHeight="1">
      <c r="A126" s="17"/>
      <c r="B126" s="17"/>
      <c r="C126" s="17"/>
      <c r="D126" s="17"/>
      <c r="E126" s="17"/>
      <c r="F126" s="17"/>
      <c r="G126" s="17"/>
      <c r="H126" s="17"/>
      <c r="I126" s="17"/>
      <c r="J126" s="17"/>
      <c r="K126" s="17"/>
      <c r="L126" s="234" t="s">
        <v>273</v>
      </c>
      <c r="M126" s="218" t="s">
        <v>274</v>
      </c>
      <c r="N126" s="251">
        <v>0.0</v>
      </c>
      <c r="O126" s="220" t="s">
        <v>342</v>
      </c>
      <c r="P126" s="218">
        <v>200.0</v>
      </c>
      <c r="Q126" s="247">
        <v>1.0</v>
      </c>
      <c r="R126" s="222"/>
      <c r="S126" s="17"/>
      <c r="T126" s="17"/>
      <c r="U126" s="17"/>
      <c r="V126" s="17"/>
      <c r="W126" s="17"/>
      <c r="X126" s="17"/>
      <c r="Y126" s="17"/>
    </row>
    <row r="127" ht="15.75" customHeight="1">
      <c r="A127" s="17"/>
      <c r="B127" s="17"/>
      <c r="C127" s="17"/>
      <c r="D127" s="17"/>
      <c r="E127" s="17"/>
      <c r="F127" s="17"/>
      <c r="G127" s="17"/>
      <c r="H127" s="17"/>
      <c r="I127" s="17"/>
      <c r="J127" s="17"/>
      <c r="K127" s="17"/>
      <c r="L127" s="252" t="s">
        <v>276</v>
      </c>
      <c r="M127" s="253" t="s">
        <v>211</v>
      </c>
      <c r="N127" s="248">
        <v>0.29</v>
      </c>
      <c r="O127" s="254" t="s">
        <v>342</v>
      </c>
      <c r="P127" s="253">
        <v>2.0</v>
      </c>
      <c r="Q127" s="221">
        <v>1.0</v>
      </c>
      <c r="R127" s="222">
        <f t="shared" ref="R127:R128" si="19">IFS(Q127=0,N127*P127,Q127&gt;0,(N127*P127)/Q127)</f>
        <v>0.58</v>
      </c>
      <c r="S127" s="17"/>
      <c r="T127" s="17"/>
      <c r="U127" s="17"/>
      <c r="V127" s="17"/>
      <c r="W127" s="17"/>
      <c r="X127" s="17"/>
      <c r="Y127" s="17"/>
    </row>
    <row r="128" ht="15.0" customHeight="1">
      <c r="B128" s="17"/>
      <c r="C128" s="17"/>
      <c r="D128" s="17"/>
      <c r="E128" s="17"/>
      <c r="F128" s="17"/>
      <c r="G128" s="17"/>
      <c r="H128" s="17"/>
      <c r="I128" s="17"/>
      <c r="J128" s="17"/>
      <c r="L128" s="252" t="s">
        <v>275</v>
      </c>
      <c r="M128" s="253" t="s">
        <v>211</v>
      </c>
      <c r="N128" s="219">
        <v>5.85</v>
      </c>
      <c r="O128" s="254" t="s">
        <v>344</v>
      </c>
      <c r="P128" s="254">
        <v>1.0</v>
      </c>
      <c r="Q128" s="221">
        <v>200.0</v>
      </c>
      <c r="R128" s="222">
        <f t="shared" si="19"/>
        <v>0.02925</v>
      </c>
      <c r="S128" s="17"/>
      <c r="T128" s="17"/>
      <c r="U128" s="17"/>
      <c r="V128" s="17"/>
      <c r="W128" s="17"/>
      <c r="X128" s="17"/>
      <c r="Y128" s="17"/>
    </row>
    <row r="129" ht="15.0" customHeight="1">
      <c r="B129" s="17"/>
      <c r="C129" s="17"/>
      <c r="D129" s="17"/>
      <c r="E129" s="17"/>
      <c r="F129" s="17"/>
      <c r="G129" s="17"/>
      <c r="H129" s="17"/>
      <c r="I129" s="17"/>
      <c r="J129" s="17"/>
      <c r="S129" s="17"/>
      <c r="T129" s="17"/>
      <c r="U129" s="17"/>
      <c r="V129" s="17"/>
      <c r="W129" s="17"/>
      <c r="X129" s="17"/>
      <c r="Y129" s="17"/>
    </row>
    <row r="130" ht="15.0" customHeight="1">
      <c r="B130" s="17"/>
      <c r="C130" s="17"/>
      <c r="D130" s="17"/>
      <c r="E130" s="17"/>
      <c r="F130" s="17"/>
      <c r="G130" s="17"/>
      <c r="H130" s="17"/>
      <c r="I130" s="17"/>
      <c r="J130" s="17"/>
      <c r="S130" s="17"/>
      <c r="T130" s="17"/>
      <c r="U130" s="17"/>
      <c r="V130" s="17"/>
      <c r="W130" s="17"/>
      <c r="X130" s="17"/>
      <c r="Y130" s="17"/>
    </row>
    <row r="131" ht="15.0" customHeight="1">
      <c r="B131" s="17"/>
      <c r="C131" s="17"/>
      <c r="D131" s="17"/>
      <c r="E131" s="17"/>
      <c r="F131" s="17"/>
      <c r="G131" s="17"/>
      <c r="H131" s="17"/>
      <c r="I131" s="17"/>
      <c r="J131" s="17"/>
      <c r="S131" s="17"/>
      <c r="T131" s="17"/>
      <c r="U131" s="17"/>
      <c r="V131" s="17"/>
      <c r="W131" s="17"/>
      <c r="X131" s="17"/>
      <c r="Y131" s="17"/>
    </row>
    <row r="132" ht="15.0" customHeight="1">
      <c r="B132" s="17"/>
      <c r="C132" s="17"/>
      <c r="D132" s="17"/>
      <c r="E132" s="17"/>
      <c r="F132" s="17"/>
      <c r="G132" s="17"/>
      <c r="H132" s="17"/>
      <c r="I132" s="17"/>
      <c r="J132" s="17"/>
      <c r="S132" s="17"/>
      <c r="T132" s="17"/>
      <c r="U132" s="17"/>
      <c r="V132" s="17"/>
      <c r="W132" s="17"/>
      <c r="X132" s="17"/>
      <c r="Y132" s="17"/>
    </row>
    <row r="133" ht="15.0" customHeight="1">
      <c r="B133" s="17"/>
      <c r="C133" s="17"/>
      <c r="D133" s="17"/>
      <c r="E133" s="17"/>
      <c r="F133" s="17"/>
      <c r="G133" s="17"/>
      <c r="H133" s="17"/>
      <c r="I133" s="17"/>
      <c r="J133" s="17"/>
      <c r="S133" s="17"/>
      <c r="T133" s="17"/>
      <c r="U133" s="17"/>
      <c r="V133" s="17"/>
      <c r="W133" s="17"/>
      <c r="X133" s="17"/>
      <c r="Y133" s="17"/>
    </row>
    <row r="134" ht="15.0" customHeight="1">
      <c r="B134" s="17"/>
      <c r="C134" s="17"/>
      <c r="D134" s="17"/>
      <c r="E134" s="17"/>
      <c r="F134" s="17"/>
      <c r="G134" s="17"/>
      <c r="H134" s="17"/>
      <c r="I134" s="17"/>
      <c r="J134" s="17"/>
      <c r="S134" s="17"/>
      <c r="T134" s="17"/>
      <c r="U134" s="17"/>
      <c r="V134" s="17"/>
      <c r="W134" s="17"/>
      <c r="X134" s="17"/>
      <c r="Y134" s="17"/>
    </row>
    <row r="135" ht="15.75" customHeight="1">
      <c r="E135" s="17"/>
      <c r="F135" s="17"/>
      <c r="G135" s="17"/>
      <c r="H135" s="17"/>
      <c r="I135" s="17"/>
      <c r="S135" s="17"/>
      <c r="T135" s="17"/>
      <c r="U135" s="17"/>
      <c r="V135" s="17"/>
      <c r="W135" s="17"/>
      <c r="X135" s="17"/>
      <c r="Y135" s="17"/>
    </row>
    <row r="136" ht="15.75" customHeight="1">
      <c r="E136" s="17"/>
      <c r="F136" s="17"/>
      <c r="G136" s="17"/>
      <c r="H136" s="17"/>
      <c r="I136" s="17"/>
      <c r="S136" s="17"/>
      <c r="T136" s="17"/>
      <c r="U136" s="17"/>
      <c r="V136" s="17"/>
      <c r="W136" s="17"/>
      <c r="X136" s="17"/>
      <c r="Y136" s="17"/>
    </row>
    <row r="137" ht="15.75" customHeight="1">
      <c r="E137" s="17"/>
      <c r="F137" s="17"/>
      <c r="G137" s="17"/>
      <c r="H137" s="17"/>
      <c r="I137" s="17"/>
      <c r="S137" s="17"/>
      <c r="T137" s="17"/>
      <c r="U137" s="17"/>
      <c r="V137" s="17"/>
      <c r="W137" s="17"/>
      <c r="X137" s="17"/>
      <c r="Y137" s="17"/>
    </row>
    <row r="138" ht="15.75" customHeight="1">
      <c r="E138" s="17"/>
      <c r="F138" s="17"/>
      <c r="G138" s="17"/>
      <c r="H138" s="17"/>
      <c r="I138" s="17"/>
      <c r="S138" s="17"/>
      <c r="T138" s="17"/>
      <c r="U138" s="17"/>
      <c r="V138" s="17"/>
      <c r="W138" s="17"/>
      <c r="X138" s="17"/>
      <c r="Y138" s="17"/>
    </row>
    <row r="139" ht="15.75" customHeight="1">
      <c r="E139" s="17"/>
      <c r="F139" s="17"/>
      <c r="G139" s="17"/>
      <c r="H139" s="17"/>
      <c r="I139" s="17"/>
      <c r="S139" s="17"/>
      <c r="T139" s="17"/>
      <c r="U139" s="17"/>
      <c r="V139" s="17"/>
      <c r="W139" s="17"/>
      <c r="X139" s="17"/>
      <c r="Y139" s="17"/>
    </row>
    <row r="140" ht="15.75" customHeight="1">
      <c r="E140" s="17"/>
      <c r="F140" s="17"/>
      <c r="G140" s="17"/>
      <c r="H140" s="17"/>
      <c r="I140" s="17"/>
      <c r="S140" s="17"/>
      <c r="T140" s="17"/>
      <c r="U140" s="17"/>
      <c r="V140" s="17"/>
      <c r="W140" s="17"/>
      <c r="X140" s="17"/>
      <c r="Y140" s="17"/>
    </row>
    <row r="141" ht="15.75" customHeight="1">
      <c r="E141" s="17"/>
      <c r="F141" s="17"/>
      <c r="G141" s="17"/>
      <c r="H141" s="17"/>
      <c r="I141" s="17"/>
      <c r="S141" s="17"/>
      <c r="T141" s="17"/>
      <c r="U141" s="17"/>
      <c r="V141" s="17"/>
      <c r="W141" s="17"/>
      <c r="X141" s="17"/>
      <c r="Y141" s="17"/>
    </row>
    <row r="142" ht="15.75" customHeight="1">
      <c r="E142" s="17"/>
      <c r="F142" s="17"/>
      <c r="G142" s="17"/>
      <c r="H142" s="17"/>
      <c r="I142" s="17"/>
      <c r="S142" s="17"/>
      <c r="T142" s="17"/>
      <c r="U142" s="17"/>
      <c r="V142" s="17"/>
      <c r="W142" s="17"/>
      <c r="X142" s="17"/>
      <c r="Y142" s="17"/>
    </row>
    <row r="143" ht="15.75" customHeight="1">
      <c r="E143" s="17"/>
      <c r="F143" s="17"/>
      <c r="G143" s="17"/>
      <c r="H143" s="17"/>
      <c r="I143" s="17"/>
      <c r="S143" s="17"/>
      <c r="T143" s="17"/>
      <c r="U143" s="17"/>
      <c r="V143" s="17"/>
      <c r="W143" s="17"/>
      <c r="X143" s="17"/>
      <c r="Y143" s="17"/>
    </row>
    <row r="144" ht="15.75" customHeight="1">
      <c r="E144" s="17"/>
      <c r="F144" s="17"/>
      <c r="G144" s="17"/>
      <c r="H144" s="17"/>
      <c r="I144" s="17"/>
      <c r="S144" s="17"/>
      <c r="T144" s="17"/>
      <c r="U144" s="17"/>
      <c r="V144" s="17"/>
      <c r="W144" s="17"/>
      <c r="X144" s="17"/>
      <c r="Y144" s="17"/>
    </row>
    <row r="145" ht="15.75" customHeight="1">
      <c r="E145" s="17"/>
      <c r="F145" s="17"/>
      <c r="G145" s="17"/>
      <c r="H145" s="17"/>
      <c r="I145" s="17"/>
      <c r="S145" s="17"/>
      <c r="T145" s="17"/>
      <c r="U145" s="17"/>
      <c r="V145" s="17"/>
      <c r="W145" s="17"/>
      <c r="X145" s="17"/>
      <c r="Y145" s="17"/>
    </row>
    <row r="146" ht="15.75" customHeight="1">
      <c r="E146" s="17"/>
      <c r="F146" s="17"/>
      <c r="G146" s="17"/>
      <c r="H146" s="17"/>
      <c r="I146" s="17"/>
    </row>
    <row r="147" ht="15.75" customHeight="1">
      <c r="E147" s="17"/>
      <c r="F147" s="17"/>
      <c r="G147" s="17"/>
      <c r="H147" s="17"/>
      <c r="I147" s="17"/>
    </row>
    <row r="148" ht="15.75" customHeight="1">
      <c r="E148" s="17"/>
      <c r="F148" s="17"/>
      <c r="G148" s="17"/>
      <c r="H148" s="17"/>
      <c r="I148" s="17"/>
    </row>
    <row r="149" ht="15.75" customHeight="1">
      <c r="E149" s="17"/>
      <c r="F149" s="17"/>
      <c r="G149" s="17"/>
      <c r="H149" s="17"/>
      <c r="I149" s="17"/>
    </row>
    <row r="150" ht="15.75" customHeight="1">
      <c r="E150" s="17"/>
      <c r="F150" s="17"/>
      <c r="G150" s="17"/>
      <c r="H150" s="17"/>
      <c r="I150" s="17"/>
    </row>
    <row r="151" ht="15.75" customHeight="1">
      <c r="E151" s="17"/>
      <c r="F151" s="17"/>
      <c r="G151" s="17"/>
      <c r="H151" s="17"/>
      <c r="I151" s="17"/>
    </row>
    <row r="152" ht="15.75" customHeight="1">
      <c r="E152" s="17"/>
      <c r="F152" s="17"/>
      <c r="G152" s="17"/>
      <c r="H152" s="17"/>
      <c r="I152" s="17"/>
    </row>
    <row r="153" ht="15.75" customHeight="1">
      <c r="E153" s="17"/>
      <c r="F153" s="17"/>
      <c r="G153" s="17"/>
      <c r="H153" s="17"/>
      <c r="I153" s="17"/>
    </row>
    <row r="154" ht="15.75" customHeight="1">
      <c r="E154" s="17"/>
      <c r="F154" s="17"/>
      <c r="G154" s="17"/>
      <c r="H154" s="17"/>
      <c r="I154" s="17"/>
    </row>
    <row r="155" ht="15.75" customHeight="1">
      <c r="E155" s="17"/>
      <c r="F155" s="17"/>
      <c r="G155" s="17"/>
      <c r="H155" s="17"/>
      <c r="I155" s="17"/>
    </row>
    <row r="156" ht="15.75" customHeight="1">
      <c r="E156" s="17"/>
      <c r="F156" s="17"/>
      <c r="G156" s="17"/>
      <c r="H156" s="17"/>
      <c r="I156" s="17"/>
    </row>
    <row r="157" ht="15.75" customHeight="1">
      <c r="E157" s="17"/>
      <c r="F157" s="17"/>
      <c r="G157" s="17"/>
      <c r="H157" s="17"/>
      <c r="I157" s="17"/>
    </row>
    <row r="158" ht="15.75" customHeight="1">
      <c r="E158" s="17"/>
      <c r="F158" s="17"/>
      <c r="G158" s="17"/>
      <c r="H158" s="17"/>
      <c r="I158" s="17"/>
    </row>
    <row r="159" ht="15.75" customHeight="1">
      <c r="E159" s="17"/>
      <c r="F159" s="17"/>
      <c r="G159" s="17"/>
      <c r="H159" s="17"/>
      <c r="I159" s="17"/>
    </row>
    <row r="160" ht="15.75" customHeight="1">
      <c r="E160" s="17"/>
      <c r="F160" s="17"/>
      <c r="G160" s="17"/>
      <c r="H160" s="17"/>
      <c r="I160" s="17"/>
    </row>
    <row r="161" ht="15.75" customHeight="1">
      <c r="E161" s="17"/>
      <c r="F161" s="17"/>
      <c r="G161" s="17"/>
      <c r="H161" s="17"/>
      <c r="I161" s="17"/>
    </row>
    <row r="162" ht="15.75" customHeight="1">
      <c r="E162" s="17"/>
      <c r="F162" s="17"/>
      <c r="G162" s="17"/>
      <c r="H162" s="17"/>
      <c r="I162" s="17"/>
    </row>
    <row r="163" ht="15.75" customHeight="1">
      <c r="E163" s="17"/>
      <c r="F163" s="17"/>
      <c r="G163" s="17"/>
      <c r="H163" s="17"/>
      <c r="I163" s="17"/>
    </row>
    <row r="164" ht="15.75" customHeight="1">
      <c r="E164" s="17"/>
      <c r="F164" s="17"/>
      <c r="G164" s="17"/>
      <c r="H164" s="17"/>
      <c r="I164" s="17"/>
    </row>
    <row r="165" ht="15.75" customHeight="1">
      <c r="E165" s="17"/>
      <c r="F165" s="17"/>
      <c r="G165" s="17"/>
      <c r="H165" s="17"/>
      <c r="I165" s="17"/>
    </row>
    <row r="166" ht="15.75" customHeight="1">
      <c r="E166" s="17"/>
      <c r="F166" s="17"/>
      <c r="G166" s="17"/>
      <c r="H166" s="17"/>
      <c r="I166" s="17"/>
    </row>
    <row r="167" ht="15.75" customHeight="1">
      <c r="E167" s="17"/>
      <c r="F167" s="17"/>
      <c r="G167" s="17"/>
      <c r="H167" s="17"/>
      <c r="I167" s="17"/>
    </row>
    <row r="168" ht="15.75" customHeight="1">
      <c r="E168" s="17"/>
      <c r="F168" s="17"/>
      <c r="G168" s="17"/>
      <c r="H168" s="17"/>
      <c r="I168" s="17"/>
    </row>
    <row r="169" ht="15.75" customHeight="1">
      <c r="E169" s="17"/>
      <c r="F169" s="17"/>
      <c r="G169" s="17"/>
      <c r="H169" s="17"/>
      <c r="I169" s="17"/>
    </row>
    <row r="170" ht="15.75" customHeight="1">
      <c r="E170" s="17"/>
      <c r="F170" s="17"/>
      <c r="G170" s="17"/>
      <c r="H170" s="17"/>
      <c r="I170" s="17"/>
    </row>
    <row r="171" ht="15.75" customHeight="1">
      <c r="E171" s="17"/>
      <c r="F171" s="17"/>
      <c r="G171" s="17"/>
      <c r="H171" s="17"/>
      <c r="I171" s="17"/>
    </row>
    <row r="172" ht="15.75" customHeight="1">
      <c r="E172" s="17"/>
      <c r="F172" s="17"/>
      <c r="G172" s="17"/>
      <c r="H172" s="17"/>
      <c r="I172" s="17"/>
    </row>
    <row r="173" ht="15.75" customHeight="1">
      <c r="E173" s="17"/>
      <c r="F173" s="17"/>
      <c r="G173" s="17"/>
      <c r="H173" s="17"/>
      <c r="I173" s="17"/>
    </row>
    <row r="174" ht="15.75" customHeight="1">
      <c r="E174" s="17"/>
      <c r="F174" s="17"/>
      <c r="G174" s="17"/>
      <c r="H174" s="17"/>
      <c r="I174" s="17"/>
    </row>
    <row r="175" ht="15.75" customHeight="1">
      <c r="E175" s="17"/>
      <c r="F175" s="17"/>
      <c r="G175" s="17"/>
      <c r="H175" s="17"/>
      <c r="I175" s="17"/>
    </row>
    <row r="176" ht="15.75" customHeight="1">
      <c r="E176" s="17"/>
      <c r="F176" s="17"/>
      <c r="G176" s="17"/>
      <c r="H176" s="17"/>
      <c r="I176" s="17"/>
    </row>
    <row r="177" ht="15.75" customHeight="1">
      <c r="E177" s="17"/>
      <c r="F177" s="17"/>
      <c r="G177" s="17"/>
      <c r="H177" s="17"/>
      <c r="I177" s="17"/>
    </row>
    <row r="178" ht="15.75" customHeight="1">
      <c r="E178" s="17"/>
      <c r="F178" s="17"/>
      <c r="G178" s="17"/>
      <c r="H178" s="17"/>
      <c r="I178" s="17"/>
    </row>
    <row r="179" ht="15.75" customHeight="1">
      <c r="E179" s="17"/>
      <c r="F179" s="17"/>
      <c r="G179" s="17"/>
      <c r="H179" s="17"/>
      <c r="I179" s="17"/>
    </row>
    <row r="180" ht="15.75" customHeight="1">
      <c r="E180" s="17"/>
      <c r="F180" s="17"/>
      <c r="G180" s="17"/>
      <c r="H180" s="17"/>
      <c r="I180" s="17"/>
    </row>
    <row r="181" ht="15.75" customHeight="1">
      <c r="E181" s="17"/>
      <c r="F181" s="17"/>
      <c r="G181" s="17"/>
      <c r="H181" s="17"/>
      <c r="I181" s="17"/>
    </row>
    <row r="182" ht="15.75" customHeight="1">
      <c r="E182" s="17"/>
      <c r="F182" s="17"/>
      <c r="G182" s="17"/>
      <c r="H182" s="17"/>
      <c r="I182" s="17"/>
    </row>
    <row r="183" ht="15.75" customHeight="1">
      <c r="E183" s="17"/>
      <c r="F183" s="17"/>
      <c r="G183" s="17"/>
      <c r="H183" s="17"/>
      <c r="I183" s="17"/>
    </row>
    <row r="184" ht="15.75" customHeight="1">
      <c r="E184" s="17"/>
      <c r="F184" s="17"/>
      <c r="G184" s="17"/>
      <c r="H184" s="17"/>
      <c r="I184" s="17"/>
    </row>
    <row r="185" ht="15.75" customHeight="1">
      <c r="E185" s="17"/>
      <c r="F185" s="17"/>
      <c r="G185" s="17"/>
      <c r="H185" s="17"/>
      <c r="I185" s="17"/>
    </row>
    <row r="186" ht="15.75" customHeight="1">
      <c r="E186" s="17"/>
      <c r="F186" s="17"/>
      <c r="G186" s="17"/>
      <c r="H186" s="17"/>
      <c r="I186" s="17"/>
    </row>
    <row r="187" ht="15.75" customHeight="1">
      <c r="E187" s="17"/>
      <c r="F187" s="17"/>
      <c r="G187" s="17"/>
      <c r="H187" s="17"/>
      <c r="I187" s="17"/>
    </row>
    <row r="188" ht="15.75" customHeight="1">
      <c r="E188" s="17"/>
      <c r="F188" s="17"/>
      <c r="G188" s="17"/>
      <c r="H188" s="17"/>
      <c r="I188" s="17"/>
    </row>
    <row r="189" ht="15.75" customHeight="1">
      <c r="E189" s="17"/>
      <c r="F189" s="17"/>
      <c r="G189" s="17"/>
      <c r="H189" s="17"/>
      <c r="I189" s="17"/>
    </row>
    <row r="190" ht="15.75" customHeight="1">
      <c r="E190" s="17"/>
      <c r="F190" s="17"/>
      <c r="G190" s="17"/>
      <c r="H190" s="17"/>
      <c r="I190" s="17"/>
    </row>
    <row r="191" ht="15.75" customHeight="1">
      <c r="E191" s="17"/>
      <c r="F191" s="17"/>
      <c r="G191" s="17"/>
      <c r="H191" s="17"/>
      <c r="I191" s="17"/>
    </row>
    <row r="192" ht="15.75" customHeight="1">
      <c r="E192" s="17"/>
      <c r="F192" s="17"/>
      <c r="G192" s="17"/>
      <c r="H192" s="17"/>
      <c r="I192" s="17"/>
    </row>
    <row r="193" ht="15.75" customHeight="1">
      <c r="E193" s="17"/>
      <c r="F193" s="17"/>
      <c r="G193" s="17"/>
      <c r="H193" s="17"/>
      <c r="I193" s="17"/>
    </row>
    <row r="194" ht="15.75" customHeight="1">
      <c r="E194" s="17"/>
      <c r="F194" s="17"/>
      <c r="G194" s="17"/>
      <c r="H194" s="17"/>
      <c r="I194" s="17"/>
    </row>
    <row r="195" ht="15.75" customHeight="1">
      <c r="E195" s="17"/>
      <c r="F195" s="17"/>
      <c r="G195" s="17"/>
      <c r="H195" s="17"/>
      <c r="I195" s="17"/>
    </row>
    <row r="196" ht="15.75" customHeight="1">
      <c r="E196" s="17"/>
      <c r="F196" s="17"/>
      <c r="G196" s="17"/>
      <c r="H196" s="17"/>
      <c r="I196" s="17"/>
    </row>
    <row r="197" ht="15.75" customHeight="1">
      <c r="E197" s="17"/>
      <c r="F197" s="17"/>
      <c r="G197" s="17"/>
      <c r="H197" s="17"/>
      <c r="I197" s="17"/>
    </row>
    <row r="198" ht="15.75" customHeight="1">
      <c r="E198" s="17"/>
      <c r="F198" s="17"/>
      <c r="G198" s="17"/>
      <c r="H198" s="17"/>
      <c r="I198" s="17"/>
    </row>
    <row r="199" ht="15.75" customHeight="1">
      <c r="E199" s="17"/>
      <c r="F199" s="17"/>
      <c r="G199" s="17"/>
      <c r="H199" s="17"/>
      <c r="I199" s="17"/>
    </row>
    <row r="200" ht="15.75" customHeight="1">
      <c r="E200" s="17"/>
      <c r="F200" s="17"/>
      <c r="G200" s="17"/>
      <c r="H200" s="17"/>
      <c r="I200" s="17"/>
    </row>
    <row r="201" ht="15.75" customHeight="1">
      <c r="E201" s="17"/>
      <c r="F201" s="17"/>
      <c r="G201" s="17"/>
      <c r="H201" s="17"/>
      <c r="I201" s="17"/>
    </row>
    <row r="202" ht="15.75" customHeight="1">
      <c r="E202" s="17"/>
      <c r="F202" s="17"/>
      <c r="G202" s="17"/>
      <c r="H202" s="17"/>
      <c r="I202" s="17"/>
    </row>
    <row r="203" ht="15.75" customHeight="1">
      <c r="E203" s="17"/>
      <c r="F203" s="17"/>
      <c r="G203" s="17"/>
      <c r="H203" s="17"/>
      <c r="I203" s="17"/>
    </row>
    <row r="204" ht="15.75" customHeight="1">
      <c r="E204" s="17"/>
      <c r="F204" s="17"/>
      <c r="G204" s="17"/>
      <c r="H204" s="17"/>
      <c r="I204" s="17"/>
    </row>
    <row r="205" ht="15.75" customHeight="1">
      <c r="E205" s="17"/>
      <c r="F205" s="17"/>
      <c r="G205" s="17"/>
      <c r="H205" s="17"/>
      <c r="I205" s="17"/>
    </row>
    <row r="206" ht="15.75" customHeight="1">
      <c r="E206" s="17"/>
      <c r="F206" s="17"/>
      <c r="G206" s="17"/>
      <c r="H206" s="17"/>
      <c r="I206" s="17"/>
    </row>
    <row r="207" ht="15.75" customHeight="1">
      <c r="E207" s="17"/>
      <c r="F207" s="17"/>
      <c r="G207" s="17"/>
      <c r="H207" s="17"/>
      <c r="I207" s="17"/>
    </row>
    <row r="208" ht="15.75" customHeight="1">
      <c r="E208" s="17"/>
      <c r="F208" s="17"/>
      <c r="G208" s="17"/>
      <c r="H208" s="17"/>
      <c r="I208" s="17"/>
    </row>
    <row r="209" ht="15.75" customHeight="1">
      <c r="E209" s="17"/>
      <c r="F209" s="17"/>
      <c r="G209" s="17"/>
      <c r="H209" s="17"/>
      <c r="I209" s="17"/>
    </row>
    <row r="210" ht="15.75" customHeight="1">
      <c r="E210" s="17"/>
      <c r="F210" s="17"/>
      <c r="G210" s="17"/>
      <c r="H210" s="17"/>
      <c r="I210" s="17"/>
    </row>
    <row r="211" ht="15.75" customHeight="1">
      <c r="E211" s="17"/>
      <c r="F211" s="17"/>
      <c r="G211" s="17"/>
      <c r="H211" s="17"/>
      <c r="I211" s="17"/>
    </row>
    <row r="212" ht="15.75" customHeight="1">
      <c r="E212" s="17"/>
      <c r="F212" s="17"/>
      <c r="G212" s="17"/>
      <c r="H212" s="17"/>
      <c r="I212" s="17"/>
    </row>
    <row r="213" ht="15.75" customHeight="1">
      <c r="E213" s="17"/>
      <c r="F213" s="17"/>
      <c r="G213" s="17"/>
      <c r="H213" s="17"/>
      <c r="I213" s="17"/>
    </row>
    <row r="214" ht="15.75" customHeight="1">
      <c r="E214" s="17"/>
      <c r="F214" s="17"/>
      <c r="G214" s="17"/>
      <c r="H214" s="17"/>
      <c r="I214" s="17"/>
    </row>
    <row r="215" ht="15.75" customHeight="1">
      <c r="E215" s="17"/>
      <c r="F215" s="17"/>
      <c r="G215" s="17"/>
      <c r="H215" s="17"/>
      <c r="I215" s="17"/>
    </row>
    <row r="216" ht="15.75" customHeight="1">
      <c r="E216" s="17"/>
      <c r="F216" s="17"/>
      <c r="G216" s="17"/>
      <c r="H216" s="17"/>
      <c r="I216" s="17"/>
    </row>
    <row r="217" ht="15.75" customHeight="1">
      <c r="E217" s="17"/>
      <c r="F217" s="17"/>
      <c r="G217" s="17"/>
      <c r="H217" s="17"/>
      <c r="I217" s="17"/>
    </row>
    <row r="218" ht="15.75" customHeight="1">
      <c r="E218" s="17"/>
      <c r="F218" s="17"/>
      <c r="G218" s="17"/>
      <c r="H218" s="17"/>
      <c r="I218" s="17"/>
    </row>
    <row r="219" ht="15.75" customHeight="1">
      <c r="E219" s="17"/>
      <c r="F219" s="17"/>
      <c r="G219" s="17"/>
      <c r="H219" s="17"/>
      <c r="I219" s="17"/>
    </row>
    <row r="220" ht="15.75" customHeight="1">
      <c r="E220" s="17"/>
      <c r="F220" s="17"/>
      <c r="G220" s="17"/>
      <c r="H220" s="17"/>
      <c r="I220" s="17"/>
    </row>
    <row r="221" ht="15.75" customHeight="1">
      <c r="E221" s="17"/>
      <c r="F221" s="17"/>
      <c r="G221" s="17"/>
      <c r="H221" s="17"/>
      <c r="I221" s="17"/>
    </row>
    <row r="222" ht="15.75" customHeight="1">
      <c r="E222" s="17"/>
      <c r="F222" s="17"/>
      <c r="G222" s="17"/>
      <c r="H222" s="17"/>
      <c r="I222" s="17"/>
    </row>
    <row r="223" ht="15.75" customHeight="1">
      <c r="E223" s="17"/>
      <c r="F223" s="17"/>
      <c r="G223" s="17"/>
      <c r="H223" s="17"/>
      <c r="I223" s="17"/>
    </row>
    <row r="224" ht="15.75" customHeight="1">
      <c r="E224" s="17"/>
      <c r="F224" s="17"/>
      <c r="G224" s="17"/>
      <c r="H224" s="17"/>
      <c r="I224" s="17"/>
    </row>
    <row r="225" ht="15.75" customHeight="1">
      <c r="E225" s="17"/>
      <c r="F225" s="17"/>
      <c r="G225" s="17"/>
      <c r="H225" s="17"/>
      <c r="I225" s="17"/>
    </row>
    <row r="226" ht="15.75" customHeight="1">
      <c r="E226" s="17"/>
      <c r="F226" s="17"/>
      <c r="G226" s="17"/>
      <c r="H226" s="17"/>
      <c r="I226" s="17"/>
    </row>
    <row r="227" ht="15.75" customHeight="1">
      <c r="E227" s="17"/>
      <c r="F227" s="17"/>
      <c r="G227" s="17"/>
      <c r="H227" s="17"/>
      <c r="I227" s="17"/>
    </row>
    <row r="228" ht="15.75" customHeight="1">
      <c r="E228" s="17"/>
      <c r="F228" s="17"/>
      <c r="G228" s="17"/>
      <c r="H228" s="17"/>
      <c r="I228" s="17"/>
    </row>
    <row r="229" ht="15.75" customHeight="1">
      <c r="E229" s="17"/>
      <c r="F229" s="17"/>
      <c r="G229" s="17"/>
      <c r="H229" s="17"/>
      <c r="I229" s="17"/>
    </row>
    <row r="230" ht="15.75" customHeight="1">
      <c r="E230" s="17"/>
      <c r="F230" s="17"/>
      <c r="G230" s="17"/>
      <c r="H230" s="17"/>
      <c r="I230" s="17"/>
    </row>
    <row r="231" ht="15.75" customHeight="1">
      <c r="E231" s="17"/>
      <c r="F231" s="17"/>
      <c r="G231" s="17"/>
      <c r="H231" s="17"/>
      <c r="I231" s="17"/>
    </row>
    <row r="232" ht="15.75" customHeight="1">
      <c r="E232" s="17"/>
      <c r="F232" s="17"/>
      <c r="G232" s="17"/>
      <c r="H232" s="17"/>
      <c r="I232" s="17"/>
    </row>
    <row r="233" ht="15.75" customHeight="1">
      <c r="E233" s="17"/>
      <c r="F233" s="17"/>
      <c r="G233" s="17"/>
      <c r="H233" s="17"/>
      <c r="I233" s="17"/>
    </row>
    <row r="234" ht="15.75" customHeight="1">
      <c r="E234" s="17"/>
      <c r="F234" s="17"/>
      <c r="G234" s="17"/>
      <c r="H234" s="17"/>
      <c r="I234" s="17"/>
    </row>
    <row r="235" ht="15.75" customHeight="1">
      <c r="E235" s="17"/>
      <c r="F235" s="17"/>
      <c r="G235" s="17"/>
      <c r="H235" s="17"/>
      <c r="I235" s="17"/>
    </row>
    <row r="236" ht="15.75" customHeight="1">
      <c r="E236" s="17"/>
      <c r="F236" s="17"/>
      <c r="G236" s="17"/>
      <c r="H236" s="17"/>
      <c r="I236" s="17"/>
    </row>
    <row r="237" ht="15.75" customHeight="1">
      <c r="E237" s="17"/>
      <c r="F237" s="17"/>
      <c r="G237" s="17"/>
      <c r="H237" s="17"/>
      <c r="I237" s="17"/>
    </row>
    <row r="238" ht="15.75" customHeight="1">
      <c r="E238" s="17"/>
      <c r="F238" s="17"/>
      <c r="G238" s="17"/>
      <c r="H238" s="17"/>
      <c r="I238" s="17"/>
    </row>
    <row r="239" ht="15.75" customHeight="1">
      <c r="E239" s="17"/>
      <c r="F239" s="17"/>
      <c r="G239" s="17"/>
      <c r="H239" s="17"/>
      <c r="I239" s="17"/>
    </row>
    <row r="240" ht="15.75" customHeight="1">
      <c r="E240" s="17"/>
      <c r="F240" s="17"/>
      <c r="G240" s="17"/>
      <c r="H240" s="17"/>
      <c r="I240" s="17"/>
    </row>
    <row r="241" ht="15.75" customHeight="1">
      <c r="E241" s="17"/>
      <c r="F241" s="17"/>
      <c r="G241" s="17"/>
      <c r="H241" s="17"/>
      <c r="I241" s="17"/>
    </row>
    <row r="242" ht="15.75" customHeight="1">
      <c r="E242" s="17"/>
      <c r="F242" s="17"/>
      <c r="G242" s="17"/>
      <c r="H242" s="17"/>
      <c r="I242" s="17"/>
    </row>
    <row r="243" ht="15.75" customHeight="1">
      <c r="E243" s="17"/>
      <c r="F243" s="17"/>
      <c r="G243" s="17"/>
      <c r="H243" s="17"/>
      <c r="I243" s="17"/>
    </row>
    <row r="244" ht="15.75" customHeight="1">
      <c r="E244" s="17"/>
      <c r="F244" s="17"/>
      <c r="G244" s="17"/>
      <c r="H244" s="17"/>
      <c r="I244" s="17"/>
    </row>
    <row r="245" ht="15.75" customHeight="1">
      <c r="E245" s="17"/>
      <c r="F245" s="17"/>
      <c r="G245" s="17"/>
      <c r="H245" s="17"/>
      <c r="I245" s="17"/>
    </row>
    <row r="246" ht="15.75" customHeight="1">
      <c r="E246" s="17"/>
      <c r="F246" s="17"/>
      <c r="G246" s="17"/>
      <c r="H246" s="17"/>
      <c r="I246" s="17"/>
    </row>
    <row r="247" ht="15.75" customHeight="1">
      <c r="E247" s="17"/>
      <c r="F247" s="17"/>
      <c r="G247" s="17"/>
      <c r="H247" s="17"/>
      <c r="I247" s="17"/>
    </row>
    <row r="248" ht="15.75" customHeight="1">
      <c r="E248" s="17"/>
      <c r="F248" s="17"/>
      <c r="G248" s="17"/>
      <c r="H248" s="17"/>
      <c r="I248" s="17"/>
    </row>
    <row r="249" ht="15.75" customHeight="1">
      <c r="E249" s="17"/>
      <c r="F249" s="17"/>
      <c r="G249" s="17"/>
      <c r="H249" s="17"/>
      <c r="I249" s="17"/>
    </row>
    <row r="250" ht="15.75" customHeight="1">
      <c r="E250" s="17"/>
      <c r="F250" s="17"/>
      <c r="G250" s="17"/>
      <c r="H250" s="17"/>
      <c r="I250" s="17"/>
    </row>
    <row r="251" ht="15.75" customHeight="1">
      <c r="E251" s="17"/>
      <c r="F251" s="17"/>
      <c r="G251" s="17"/>
      <c r="H251" s="17"/>
      <c r="I251" s="17"/>
    </row>
    <row r="252" ht="15.75" customHeight="1">
      <c r="E252" s="17"/>
      <c r="F252" s="17"/>
      <c r="G252" s="17"/>
      <c r="H252" s="17"/>
      <c r="I252" s="17"/>
    </row>
    <row r="253" ht="15.75" customHeight="1">
      <c r="E253" s="17"/>
      <c r="F253" s="17"/>
      <c r="G253" s="17"/>
      <c r="H253" s="17"/>
      <c r="I253" s="17"/>
    </row>
    <row r="254" ht="15.75" customHeight="1">
      <c r="E254" s="17"/>
      <c r="F254" s="17"/>
      <c r="G254" s="17"/>
      <c r="H254" s="17"/>
      <c r="I254" s="17"/>
    </row>
    <row r="255" ht="15.75" customHeight="1">
      <c r="E255" s="17"/>
      <c r="F255" s="17"/>
      <c r="G255" s="17"/>
      <c r="H255" s="17"/>
      <c r="I255" s="17"/>
    </row>
    <row r="256" ht="15.75" customHeight="1">
      <c r="E256" s="17"/>
      <c r="F256" s="17"/>
      <c r="G256" s="17"/>
      <c r="H256" s="17"/>
      <c r="I256" s="17"/>
    </row>
    <row r="257" ht="15.75" customHeight="1">
      <c r="E257" s="17"/>
      <c r="F257" s="17"/>
      <c r="G257" s="17"/>
      <c r="H257" s="17"/>
      <c r="I257" s="17"/>
    </row>
    <row r="258" ht="15.75" customHeight="1">
      <c r="E258" s="17"/>
      <c r="F258" s="17"/>
      <c r="G258" s="17"/>
      <c r="H258" s="17"/>
      <c r="I258" s="17"/>
    </row>
    <row r="259" ht="15.75" customHeight="1">
      <c r="E259" s="17"/>
      <c r="F259" s="17"/>
      <c r="G259" s="17"/>
      <c r="H259" s="17"/>
      <c r="I259" s="17"/>
    </row>
    <row r="260" ht="15.75" customHeight="1">
      <c r="E260" s="17"/>
      <c r="F260" s="17"/>
      <c r="G260" s="17"/>
      <c r="H260" s="17"/>
      <c r="I260" s="17"/>
    </row>
    <row r="261" ht="15.75" customHeight="1">
      <c r="E261" s="17"/>
      <c r="F261" s="17"/>
      <c r="G261" s="17"/>
      <c r="H261" s="17"/>
      <c r="I261" s="17"/>
    </row>
    <row r="262" ht="15.75" customHeight="1">
      <c r="E262" s="17"/>
      <c r="F262" s="17"/>
      <c r="G262" s="17"/>
      <c r="H262" s="17"/>
      <c r="I262" s="17"/>
    </row>
    <row r="263" ht="15.75" customHeight="1">
      <c r="E263" s="17"/>
      <c r="F263" s="17"/>
      <c r="G263" s="17"/>
      <c r="H263" s="17"/>
      <c r="I263" s="17"/>
    </row>
    <row r="264" ht="15.75" customHeight="1">
      <c r="E264" s="17"/>
      <c r="F264" s="17"/>
      <c r="G264" s="17"/>
      <c r="H264" s="17"/>
      <c r="I264" s="17"/>
    </row>
    <row r="265" ht="15.75" customHeight="1">
      <c r="E265" s="17"/>
      <c r="F265" s="17"/>
      <c r="G265" s="17"/>
      <c r="H265" s="17"/>
      <c r="I265" s="17"/>
    </row>
    <row r="266" ht="15.75" customHeight="1">
      <c r="E266" s="17"/>
      <c r="F266" s="17"/>
      <c r="G266" s="17"/>
      <c r="H266" s="17"/>
      <c r="I266" s="17"/>
    </row>
    <row r="267" ht="15.75" customHeight="1">
      <c r="E267" s="17"/>
      <c r="F267" s="17"/>
      <c r="G267" s="17"/>
      <c r="H267" s="17"/>
      <c r="I267" s="17"/>
    </row>
    <row r="268" ht="15.75" customHeight="1">
      <c r="E268" s="17"/>
      <c r="F268" s="17"/>
      <c r="G268" s="17"/>
      <c r="H268" s="17"/>
      <c r="I268" s="17"/>
    </row>
    <row r="269" ht="15.75" customHeight="1">
      <c r="E269" s="17"/>
      <c r="F269" s="17"/>
      <c r="G269" s="17"/>
      <c r="H269" s="17"/>
      <c r="I269" s="17"/>
    </row>
    <row r="270" ht="15.75" customHeight="1">
      <c r="E270" s="17"/>
      <c r="F270" s="17"/>
      <c r="G270" s="17"/>
      <c r="H270" s="17"/>
      <c r="I270" s="17"/>
    </row>
    <row r="271" ht="15.75" customHeight="1">
      <c r="E271" s="17"/>
      <c r="F271" s="17"/>
      <c r="G271" s="17"/>
      <c r="H271" s="17"/>
      <c r="I271" s="17"/>
    </row>
    <row r="272" ht="15.75" customHeight="1">
      <c r="E272" s="17"/>
      <c r="F272" s="17"/>
      <c r="G272" s="17"/>
      <c r="H272" s="17"/>
      <c r="I272" s="17"/>
    </row>
    <row r="273" ht="15.75" customHeight="1">
      <c r="E273" s="17"/>
      <c r="F273" s="17"/>
      <c r="G273" s="17"/>
      <c r="H273" s="17"/>
      <c r="I273" s="17"/>
    </row>
    <row r="274" ht="15.75" customHeight="1">
      <c r="E274" s="17"/>
      <c r="F274" s="17"/>
      <c r="G274" s="17"/>
      <c r="H274" s="17"/>
      <c r="I274" s="17"/>
    </row>
    <row r="275" ht="15.75" customHeight="1">
      <c r="E275" s="17"/>
      <c r="F275" s="17"/>
      <c r="G275" s="17"/>
      <c r="H275" s="17"/>
      <c r="I275" s="17"/>
    </row>
    <row r="276" ht="15.75" customHeight="1">
      <c r="E276" s="17"/>
      <c r="F276" s="17"/>
      <c r="G276" s="17"/>
      <c r="H276" s="17"/>
      <c r="I276" s="17"/>
    </row>
    <row r="277" ht="15.75" customHeight="1">
      <c r="E277" s="17"/>
      <c r="F277" s="17"/>
      <c r="G277" s="17"/>
      <c r="H277" s="17"/>
      <c r="I277" s="17"/>
    </row>
    <row r="278" ht="15.75" customHeight="1">
      <c r="E278" s="17"/>
      <c r="F278" s="17"/>
      <c r="G278" s="17"/>
      <c r="H278" s="17"/>
      <c r="I278" s="17"/>
    </row>
    <row r="279" ht="15.75" customHeight="1">
      <c r="E279" s="17"/>
      <c r="F279" s="17"/>
      <c r="G279" s="17"/>
      <c r="H279" s="17"/>
      <c r="I279" s="17"/>
    </row>
    <row r="280" ht="15.75" customHeight="1">
      <c r="E280" s="17"/>
      <c r="F280" s="17"/>
      <c r="G280" s="17"/>
      <c r="H280" s="17"/>
      <c r="I280" s="17"/>
    </row>
    <row r="281" ht="15.75" customHeight="1">
      <c r="E281" s="17"/>
      <c r="F281" s="17"/>
      <c r="G281" s="17"/>
      <c r="H281" s="17"/>
      <c r="I281" s="17"/>
    </row>
    <row r="282" ht="15.75" customHeight="1">
      <c r="E282" s="17"/>
      <c r="F282" s="17"/>
      <c r="G282" s="17"/>
      <c r="H282" s="17"/>
      <c r="I282" s="17"/>
    </row>
    <row r="283" ht="15.75" customHeight="1">
      <c r="E283" s="17"/>
      <c r="F283" s="17"/>
      <c r="G283" s="17"/>
      <c r="H283" s="17"/>
      <c r="I283" s="17"/>
    </row>
    <row r="284" ht="15.75" customHeight="1">
      <c r="E284" s="17"/>
      <c r="F284" s="17"/>
      <c r="G284" s="17"/>
      <c r="H284" s="17"/>
      <c r="I284" s="17"/>
    </row>
    <row r="285" ht="15.75" customHeight="1">
      <c r="E285" s="17"/>
      <c r="F285" s="17"/>
      <c r="G285" s="17"/>
      <c r="H285" s="17"/>
      <c r="I285" s="17"/>
    </row>
    <row r="286" ht="15.75" customHeight="1">
      <c r="E286" s="17"/>
      <c r="F286" s="17"/>
      <c r="G286" s="17"/>
      <c r="H286" s="17"/>
      <c r="I286" s="17"/>
    </row>
    <row r="287" ht="15.75" customHeight="1">
      <c r="E287" s="17"/>
      <c r="F287" s="17"/>
      <c r="G287" s="17"/>
      <c r="H287" s="17"/>
      <c r="I287" s="17"/>
    </row>
    <row r="288" ht="15.75" customHeight="1">
      <c r="E288" s="17"/>
      <c r="F288" s="17"/>
      <c r="G288" s="17"/>
      <c r="H288" s="17"/>
      <c r="I288" s="17"/>
    </row>
    <row r="289" ht="15.75" customHeight="1">
      <c r="E289" s="17"/>
      <c r="F289" s="17"/>
      <c r="G289" s="17"/>
      <c r="H289" s="17"/>
      <c r="I289" s="17"/>
    </row>
    <row r="290" ht="15.75" customHeight="1">
      <c r="E290" s="17"/>
      <c r="F290" s="17"/>
      <c r="G290" s="17"/>
      <c r="H290" s="17"/>
      <c r="I290" s="17"/>
    </row>
    <row r="291" ht="15.75" customHeight="1">
      <c r="E291" s="17"/>
      <c r="F291" s="17"/>
      <c r="G291" s="17"/>
      <c r="H291" s="17"/>
      <c r="I291" s="17"/>
    </row>
    <row r="292" ht="15.75" customHeight="1">
      <c r="E292" s="17"/>
      <c r="F292" s="17"/>
      <c r="G292" s="17"/>
      <c r="H292" s="17"/>
      <c r="I292" s="17"/>
    </row>
    <row r="293" ht="15.75" customHeight="1">
      <c r="E293" s="17"/>
      <c r="F293" s="17"/>
      <c r="G293" s="17"/>
      <c r="H293" s="17"/>
      <c r="I293" s="17"/>
    </row>
    <row r="294" ht="15.75" customHeight="1">
      <c r="E294" s="17"/>
      <c r="F294" s="17"/>
      <c r="G294" s="17"/>
      <c r="H294" s="17"/>
      <c r="I294" s="17"/>
    </row>
    <row r="295" ht="15.75" customHeight="1">
      <c r="E295" s="17"/>
      <c r="F295" s="17"/>
      <c r="G295" s="17"/>
      <c r="H295" s="17"/>
      <c r="I295" s="17"/>
    </row>
    <row r="296" ht="15.75" customHeight="1">
      <c r="E296" s="17"/>
      <c r="F296" s="17"/>
      <c r="G296" s="17"/>
      <c r="H296" s="17"/>
      <c r="I296" s="17"/>
    </row>
    <row r="297" ht="15.75" customHeight="1">
      <c r="E297" s="17"/>
      <c r="F297" s="17"/>
      <c r="G297" s="17"/>
      <c r="H297" s="17"/>
      <c r="I297" s="17"/>
    </row>
    <row r="298" ht="15.75" customHeight="1">
      <c r="E298" s="17"/>
      <c r="F298" s="17"/>
      <c r="G298" s="17"/>
      <c r="H298" s="17"/>
      <c r="I298" s="17"/>
    </row>
    <row r="299" ht="15.75" customHeight="1">
      <c r="E299" s="17"/>
      <c r="F299" s="17"/>
      <c r="G299" s="17"/>
      <c r="H299" s="17"/>
      <c r="I299" s="17"/>
    </row>
    <row r="300" ht="15.75" customHeight="1">
      <c r="E300" s="17"/>
      <c r="F300" s="17"/>
      <c r="G300" s="17"/>
      <c r="H300" s="17"/>
      <c r="I300" s="17"/>
    </row>
    <row r="301" ht="15.75" customHeight="1">
      <c r="E301" s="17"/>
      <c r="F301" s="17"/>
      <c r="G301" s="17"/>
      <c r="H301" s="17"/>
      <c r="I301" s="17"/>
    </row>
    <row r="302" ht="15.75" customHeight="1">
      <c r="E302" s="17"/>
      <c r="F302" s="17"/>
      <c r="G302" s="17"/>
      <c r="H302" s="17"/>
      <c r="I302" s="17"/>
    </row>
    <row r="303" ht="15.75" customHeight="1">
      <c r="E303" s="17"/>
      <c r="F303" s="17"/>
      <c r="G303" s="17"/>
      <c r="H303" s="17"/>
      <c r="I303" s="17"/>
    </row>
    <row r="304" ht="15.75" customHeight="1">
      <c r="E304" s="17"/>
      <c r="F304" s="17"/>
      <c r="G304" s="17"/>
      <c r="H304" s="17"/>
      <c r="I304" s="17"/>
    </row>
    <row r="305" ht="15.75" customHeight="1">
      <c r="E305" s="17"/>
      <c r="F305" s="17"/>
      <c r="G305" s="17"/>
      <c r="H305" s="17"/>
      <c r="I305" s="17"/>
    </row>
    <row r="306" ht="15.75" customHeight="1">
      <c r="E306" s="17"/>
      <c r="F306" s="17"/>
      <c r="G306" s="17"/>
      <c r="H306" s="17"/>
      <c r="I306" s="17"/>
    </row>
    <row r="307" ht="15.75" customHeight="1">
      <c r="E307" s="17"/>
      <c r="F307" s="17"/>
      <c r="G307" s="17"/>
      <c r="H307" s="17"/>
      <c r="I307" s="17"/>
    </row>
    <row r="308" ht="15.75" customHeight="1">
      <c r="E308" s="17"/>
      <c r="F308" s="17"/>
      <c r="G308" s="17"/>
      <c r="H308" s="17"/>
      <c r="I308" s="17"/>
    </row>
    <row r="309" ht="15.75" customHeight="1">
      <c r="E309" s="17"/>
      <c r="F309" s="17"/>
      <c r="G309" s="17"/>
      <c r="H309" s="17"/>
      <c r="I309" s="17"/>
    </row>
    <row r="310" ht="15.75" customHeight="1">
      <c r="E310" s="17"/>
      <c r="F310" s="17"/>
      <c r="G310" s="17"/>
      <c r="H310" s="17"/>
      <c r="I310" s="17"/>
    </row>
    <row r="311" ht="15.75" customHeight="1">
      <c r="E311" s="17"/>
      <c r="F311" s="17"/>
      <c r="G311" s="17"/>
      <c r="H311" s="17"/>
      <c r="I311" s="17"/>
    </row>
    <row r="312" ht="15.75" customHeight="1">
      <c r="E312" s="17"/>
      <c r="F312" s="17"/>
      <c r="G312" s="17"/>
      <c r="H312" s="17"/>
      <c r="I312" s="17"/>
    </row>
    <row r="313" ht="15.75" customHeight="1">
      <c r="E313" s="17"/>
      <c r="F313" s="17"/>
      <c r="G313" s="17"/>
      <c r="H313" s="17"/>
      <c r="I313" s="17"/>
    </row>
    <row r="314" ht="15.75" customHeight="1">
      <c r="E314" s="17"/>
      <c r="F314" s="17"/>
      <c r="G314" s="17"/>
      <c r="H314" s="17"/>
      <c r="I314" s="17"/>
    </row>
    <row r="315" ht="15.75" customHeight="1">
      <c r="E315" s="17"/>
      <c r="F315" s="17"/>
      <c r="G315" s="17"/>
      <c r="H315" s="17"/>
      <c r="I315" s="17"/>
    </row>
    <row r="316" ht="15.75" customHeight="1">
      <c r="E316" s="17"/>
      <c r="F316" s="17"/>
      <c r="G316" s="17"/>
      <c r="H316" s="17"/>
      <c r="I316" s="17"/>
    </row>
    <row r="317" ht="15.75" customHeight="1">
      <c r="E317" s="17"/>
      <c r="F317" s="17"/>
      <c r="G317" s="17"/>
      <c r="H317" s="17"/>
      <c r="I317" s="17"/>
    </row>
    <row r="318" ht="15.75" customHeight="1">
      <c r="E318" s="17"/>
      <c r="F318" s="17"/>
      <c r="G318" s="17"/>
      <c r="H318" s="17"/>
      <c r="I318" s="17"/>
    </row>
    <row r="319" ht="15.75" customHeight="1">
      <c r="E319" s="17"/>
      <c r="F319" s="17"/>
      <c r="G319" s="17"/>
      <c r="H319" s="17"/>
      <c r="I319" s="17"/>
    </row>
    <row r="320" ht="15.75" customHeight="1">
      <c r="E320" s="17"/>
      <c r="F320" s="17"/>
      <c r="G320" s="17"/>
      <c r="H320" s="17"/>
      <c r="I320" s="17"/>
    </row>
    <row r="321" ht="15.75" customHeight="1">
      <c r="E321" s="17"/>
      <c r="F321" s="17"/>
      <c r="G321" s="17"/>
      <c r="H321" s="17"/>
      <c r="I321" s="17"/>
    </row>
    <row r="322" ht="15.75" customHeight="1">
      <c r="E322" s="17"/>
      <c r="F322" s="17"/>
      <c r="G322" s="17"/>
      <c r="H322" s="17"/>
      <c r="I322" s="17"/>
    </row>
    <row r="323" ht="15.75" customHeight="1">
      <c r="E323" s="17"/>
      <c r="F323" s="17"/>
      <c r="G323" s="17"/>
      <c r="H323" s="17"/>
      <c r="I323" s="17"/>
    </row>
    <row r="324" ht="15.75" customHeight="1">
      <c r="E324" s="17"/>
      <c r="F324" s="17"/>
      <c r="G324" s="17"/>
      <c r="H324" s="17"/>
      <c r="I324" s="17"/>
    </row>
    <row r="325" ht="15.75" customHeight="1">
      <c r="E325" s="17"/>
      <c r="F325" s="17"/>
      <c r="G325" s="17"/>
      <c r="H325" s="17"/>
      <c r="I325" s="17"/>
    </row>
    <row r="326" ht="15.75" customHeight="1">
      <c r="E326" s="17"/>
      <c r="F326" s="17"/>
      <c r="G326" s="17"/>
      <c r="H326" s="17"/>
      <c r="I326" s="17"/>
    </row>
    <row r="327" ht="15.75" customHeight="1">
      <c r="E327" s="17"/>
      <c r="F327" s="17"/>
      <c r="G327" s="17"/>
      <c r="H327" s="17"/>
      <c r="I327" s="17"/>
    </row>
    <row r="328" ht="15.75" customHeight="1">
      <c r="E328" s="17"/>
      <c r="F328" s="17"/>
      <c r="G328" s="17"/>
      <c r="H328" s="17"/>
      <c r="I328" s="17"/>
    </row>
    <row r="329" ht="15.75" customHeight="1">
      <c r="E329" s="17"/>
      <c r="F329" s="17"/>
      <c r="G329" s="17"/>
      <c r="H329" s="17"/>
      <c r="I329" s="17"/>
    </row>
    <row r="330" ht="15.75" customHeight="1">
      <c r="E330" s="17"/>
      <c r="F330" s="17"/>
      <c r="G330" s="17"/>
      <c r="H330" s="17"/>
      <c r="I330" s="17"/>
    </row>
    <row r="331" ht="15.75" customHeight="1">
      <c r="E331" s="17"/>
      <c r="F331" s="17"/>
      <c r="G331" s="17"/>
      <c r="H331" s="17"/>
      <c r="I331" s="17"/>
    </row>
    <row r="332" ht="15.75" customHeight="1">
      <c r="E332" s="17"/>
      <c r="F332" s="17"/>
      <c r="G332" s="17"/>
      <c r="H332" s="17"/>
      <c r="I332" s="17"/>
    </row>
    <row r="333" ht="15.75" customHeight="1">
      <c r="E333" s="17"/>
      <c r="F333" s="17"/>
      <c r="G333" s="17"/>
      <c r="H333" s="17"/>
      <c r="I333" s="17"/>
    </row>
    <row r="334" ht="15.75" customHeight="1">
      <c r="E334" s="17"/>
      <c r="F334" s="17"/>
      <c r="G334" s="17"/>
      <c r="H334" s="17"/>
      <c r="I334" s="17"/>
    </row>
    <row r="335" ht="15.75" customHeight="1">
      <c r="E335" s="17"/>
      <c r="F335" s="17"/>
      <c r="G335" s="17"/>
      <c r="H335" s="17"/>
      <c r="I335" s="17"/>
    </row>
    <row r="336" ht="15.75" customHeight="1">
      <c r="E336" s="17"/>
      <c r="F336" s="17"/>
      <c r="G336" s="17"/>
      <c r="H336" s="17"/>
      <c r="I336" s="17"/>
    </row>
    <row r="337" ht="15.75" customHeight="1">
      <c r="E337" s="17"/>
      <c r="F337" s="17"/>
      <c r="G337" s="17"/>
      <c r="H337" s="17"/>
      <c r="I337" s="17"/>
    </row>
    <row r="338" ht="15.75" customHeight="1">
      <c r="E338" s="17"/>
      <c r="F338" s="17"/>
      <c r="G338" s="17"/>
      <c r="H338" s="17"/>
      <c r="I338" s="17"/>
    </row>
    <row r="339" ht="15.75" customHeight="1">
      <c r="E339" s="17"/>
      <c r="F339" s="17"/>
      <c r="G339" s="17"/>
      <c r="H339" s="17"/>
      <c r="I339" s="17"/>
    </row>
    <row r="340" ht="15.75" customHeight="1">
      <c r="E340" s="17"/>
      <c r="F340" s="17"/>
      <c r="G340" s="17"/>
      <c r="H340" s="17"/>
      <c r="I340" s="17"/>
    </row>
    <row r="341" ht="15.75" customHeight="1">
      <c r="E341" s="17"/>
      <c r="F341" s="17"/>
      <c r="G341" s="17"/>
      <c r="H341" s="17"/>
      <c r="I341" s="17"/>
    </row>
    <row r="342" ht="15.75" customHeight="1">
      <c r="E342" s="17"/>
      <c r="F342" s="17"/>
      <c r="G342" s="17"/>
      <c r="H342" s="17"/>
      <c r="I342" s="17"/>
    </row>
    <row r="343" ht="15.75" customHeight="1">
      <c r="E343" s="17"/>
      <c r="F343" s="17"/>
      <c r="G343" s="17"/>
      <c r="H343" s="17"/>
      <c r="I343" s="17"/>
    </row>
    <row r="344" ht="15.75" customHeight="1">
      <c r="E344" s="17"/>
      <c r="F344" s="17"/>
      <c r="G344" s="17"/>
      <c r="H344" s="17"/>
      <c r="I344" s="17"/>
    </row>
    <row r="345" ht="15.75" customHeight="1">
      <c r="E345" s="17"/>
      <c r="F345" s="17"/>
      <c r="G345" s="17"/>
      <c r="H345" s="17"/>
      <c r="I345" s="17"/>
    </row>
    <row r="346" ht="15.75" customHeight="1">
      <c r="E346" s="17"/>
      <c r="F346" s="17"/>
      <c r="G346" s="17"/>
      <c r="H346" s="17"/>
      <c r="I346" s="17"/>
    </row>
    <row r="347" ht="15.75" customHeight="1">
      <c r="E347" s="17"/>
      <c r="F347" s="17"/>
      <c r="G347" s="17"/>
      <c r="H347" s="17"/>
      <c r="I347" s="17"/>
    </row>
    <row r="348" ht="15.75" customHeight="1">
      <c r="E348" s="17"/>
      <c r="F348" s="17"/>
      <c r="G348" s="17"/>
      <c r="H348" s="17"/>
      <c r="I348" s="17"/>
    </row>
    <row r="349" ht="15.75" customHeight="1">
      <c r="E349" s="17"/>
      <c r="F349" s="17"/>
      <c r="G349" s="17"/>
      <c r="H349" s="17"/>
      <c r="I349" s="17"/>
    </row>
    <row r="350" ht="15.75" customHeight="1">
      <c r="E350" s="17"/>
      <c r="F350" s="17"/>
      <c r="G350" s="17"/>
      <c r="H350" s="17"/>
      <c r="I350" s="17"/>
    </row>
    <row r="351" ht="15.75" customHeight="1">
      <c r="E351" s="17"/>
      <c r="F351" s="17"/>
      <c r="G351" s="17"/>
      <c r="H351" s="17"/>
      <c r="I351" s="17"/>
    </row>
    <row r="352" ht="15.75" customHeight="1">
      <c r="E352" s="17"/>
      <c r="F352" s="17"/>
      <c r="G352" s="17"/>
      <c r="H352" s="17"/>
      <c r="I352" s="17"/>
    </row>
    <row r="353" ht="15.75" customHeight="1">
      <c r="E353" s="17"/>
      <c r="F353" s="17"/>
      <c r="G353" s="17"/>
      <c r="H353" s="17"/>
      <c r="I353" s="17"/>
    </row>
    <row r="354" ht="15.75" customHeight="1">
      <c r="E354" s="17"/>
      <c r="F354" s="17"/>
      <c r="G354" s="17"/>
      <c r="H354" s="17"/>
      <c r="I354" s="17"/>
    </row>
    <row r="355" ht="15.75" customHeight="1">
      <c r="E355" s="17"/>
      <c r="F355" s="17"/>
      <c r="G355" s="17"/>
      <c r="H355" s="17"/>
      <c r="I355" s="17"/>
    </row>
    <row r="356" ht="15.75" customHeight="1">
      <c r="E356" s="17"/>
      <c r="F356" s="17"/>
      <c r="G356" s="17"/>
      <c r="H356" s="17"/>
      <c r="I356" s="17"/>
    </row>
    <row r="357" ht="15.75" customHeight="1">
      <c r="E357" s="17"/>
      <c r="F357" s="17"/>
      <c r="G357" s="17"/>
      <c r="H357" s="17"/>
      <c r="I357" s="17"/>
    </row>
    <row r="358" ht="15.75" customHeight="1">
      <c r="E358" s="17"/>
      <c r="F358" s="17"/>
      <c r="G358" s="17"/>
      <c r="H358" s="17"/>
      <c r="I358" s="17"/>
    </row>
    <row r="359" ht="15.75" customHeight="1">
      <c r="E359" s="17"/>
      <c r="F359" s="17"/>
      <c r="G359" s="17"/>
      <c r="H359" s="17"/>
      <c r="I359" s="17"/>
    </row>
    <row r="360" ht="15.75" customHeight="1">
      <c r="E360" s="17"/>
      <c r="F360" s="17"/>
      <c r="G360" s="17"/>
      <c r="H360" s="17"/>
      <c r="I360" s="17"/>
    </row>
    <row r="361" ht="15.75" customHeight="1">
      <c r="E361" s="17"/>
      <c r="F361" s="17"/>
      <c r="G361" s="17"/>
      <c r="H361" s="17"/>
      <c r="I361" s="17"/>
    </row>
    <row r="362" ht="15.75" customHeight="1">
      <c r="E362" s="17"/>
      <c r="F362" s="17"/>
      <c r="G362" s="17"/>
      <c r="H362" s="17"/>
      <c r="I362" s="17"/>
    </row>
    <row r="363" ht="15.75" customHeight="1">
      <c r="E363" s="17"/>
      <c r="F363" s="17"/>
      <c r="G363" s="17"/>
      <c r="H363" s="17"/>
      <c r="I363" s="17"/>
    </row>
    <row r="364" ht="15.75" customHeight="1">
      <c r="E364" s="17"/>
      <c r="F364" s="17"/>
      <c r="G364" s="17"/>
      <c r="H364" s="17"/>
      <c r="I364" s="17"/>
    </row>
    <row r="365" ht="15.75" customHeight="1">
      <c r="E365" s="17"/>
      <c r="F365" s="17"/>
      <c r="G365" s="17"/>
      <c r="H365" s="17"/>
      <c r="I365" s="17"/>
    </row>
    <row r="366" ht="15.75" customHeight="1">
      <c r="E366" s="17"/>
      <c r="F366" s="17"/>
      <c r="G366" s="17"/>
      <c r="H366" s="17"/>
      <c r="I366" s="17"/>
    </row>
    <row r="367" ht="15.75" customHeight="1">
      <c r="E367" s="17"/>
      <c r="F367" s="17"/>
      <c r="G367" s="17"/>
      <c r="H367" s="17"/>
      <c r="I367" s="17"/>
    </row>
    <row r="368" ht="15.75" customHeight="1">
      <c r="E368" s="17"/>
      <c r="F368" s="17"/>
      <c r="G368" s="17"/>
      <c r="H368" s="17"/>
      <c r="I368" s="17"/>
    </row>
    <row r="369" ht="15.75" customHeight="1">
      <c r="E369" s="17"/>
      <c r="F369" s="17"/>
      <c r="G369" s="17"/>
      <c r="H369" s="17"/>
      <c r="I369" s="17"/>
    </row>
    <row r="370" ht="15.75" customHeight="1">
      <c r="E370" s="17"/>
      <c r="F370" s="17"/>
      <c r="G370" s="17"/>
      <c r="H370" s="17"/>
      <c r="I370" s="17"/>
    </row>
    <row r="371" ht="15.75" customHeight="1">
      <c r="E371" s="17"/>
      <c r="F371" s="17"/>
      <c r="G371" s="17"/>
      <c r="H371" s="17"/>
      <c r="I371" s="17"/>
    </row>
    <row r="372" ht="15.75" customHeight="1">
      <c r="E372" s="17"/>
      <c r="F372" s="17"/>
      <c r="G372" s="17"/>
      <c r="H372" s="17"/>
      <c r="I372" s="17"/>
    </row>
    <row r="373" ht="15.75" customHeight="1">
      <c r="E373" s="17"/>
      <c r="F373" s="17"/>
      <c r="G373" s="17"/>
      <c r="H373" s="17"/>
      <c r="I373" s="17"/>
    </row>
    <row r="374" ht="15.75" customHeight="1">
      <c r="E374" s="17"/>
      <c r="F374" s="17"/>
      <c r="G374" s="17"/>
      <c r="H374" s="17"/>
      <c r="I374" s="17"/>
    </row>
    <row r="375" ht="15.75" customHeight="1">
      <c r="E375" s="17"/>
      <c r="F375" s="17"/>
      <c r="G375" s="17"/>
      <c r="H375" s="17"/>
      <c r="I375" s="17"/>
    </row>
    <row r="376" ht="15.75" customHeight="1">
      <c r="E376" s="17"/>
      <c r="F376" s="17"/>
      <c r="G376" s="17"/>
      <c r="H376" s="17"/>
      <c r="I376" s="17"/>
    </row>
    <row r="377" ht="15.75" customHeight="1">
      <c r="E377" s="17"/>
      <c r="F377" s="17"/>
      <c r="G377" s="17"/>
      <c r="H377" s="17"/>
      <c r="I377" s="17"/>
    </row>
    <row r="378" ht="15.75" customHeight="1">
      <c r="E378" s="17"/>
      <c r="F378" s="17"/>
      <c r="G378" s="17"/>
      <c r="H378" s="17"/>
      <c r="I378" s="17"/>
    </row>
    <row r="379" ht="15.75" customHeight="1">
      <c r="E379" s="17"/>
      <c r="F379" s="17"/>
      <c r="G379" s="17"/>
      <c r="H379" s="17"/>
      <c r="I379" s="17"/>
    </row>
    <row r="380" ht="15.75" customHeight="1">
      <c r="E380" s="17"/>
      <c r="F380" s="17"/>
      <c r="G380" s="17"/>
      <c r="H380" s="17"/>
      <c r="I380" s="17"/>
    </row>
    <row r="381" ht="15.75" customHeight="1">
      <c r="E381" s="17"/>
      <c r="F381" s="17"/>
      <c r="G381" s="17"/>
      <c r="H381" s="17"/>
      <c r="I381" s="17"/>
    </row>
    <row r="382" ht="15.75" customHeight="1">
      <c r="E382" s="17"/>
      <c r="F382" s="17"/>
      <c r="G382" s="17"/>
      <c r="H382" s="17"/>
      <c r="I382" s="17"/>
    </row>
    <row r="383" ht="15.75" customHeight="1">
      <c r="E383" s="17"/>
      <c r="F383" s="17"/>
      <c r="G383" s="17"/>
      <c r="H383" s="17"/>
      <c r="I383" s="17"/>
    </row>
    <row r="384" ht="15.75" customHeight="1">
      <c r="E384" s="17"/>
      <c r="F384" s="17"/>
      <c r="G384" s="17"/>
      <c r="H384" s="17"/>
      <c r="I384" s="17"/>
    </row>
    <row r="385" ht="15.75" customHeight="1">
      <c r="E385" s="17"/>
      <c r="F385" s="17"/>
      <c r="G385" s="17"/>
      <c r="H385" s="17"/>
      <c r="I385" s="17"/>
    </row>
    <row r="386" ht="15.75" customHeight="1">
      <c r="E386" s="17"/>
      <c r="F386" s="17"/>
      <c r="G386" s="17"/>
      <c r="H386" s="17"/>
      <c r="I386" s="17"/>
    </row>
    <row r="387" ht="15.75" customHeight="1">
      <c r="E387" s="17"/>
      <c r="F387" s="17"/>
      <c r="G387" s="17"/>
      <c r="H387" s="17"/>
      <c r="I387" s="17"/>
    </row>
    <row r="388" ht="15.75" customHeight="1">
      <c r="E388" s="17"/>
      <c r="F388" s="17"/>
      <c r="G388" s="17"/>
      <c r="H388" s="17"/>
      <c r="I388" s="17"/>
    </row>
    <row r="389" ht="15.75" customHeight="1">
      <c r="E389" s="17"/>
      <c r="F389" s="17"/>
      <c r="G389" s="17"/>
      <c r="H389" s="17"/>
      <c r="I389" s="17"/>
    </row>
    <row r="390" ht="15.75" customHeight="1">
      <c r="E390" s="17"/>
      <c r="F390" s="17"/>
      <c r="G390" s="17"/>
      <c r="H390" s="17"/>
      <c r="I390" s="17"/>
    </row>
    <row r="391" ht="15.75" customHeight="1">
      <c r="E391" s="17"/>
      <c r="F391" s="17"/>
      <c r="G391" s="17"/>
      <c r="H391" s="17"/>
      <c r="I391" s="17"/>
    </row>
    <row r="392" ht="15.75" customHeight="1">
      <c r="E392" s="17"/>
      <c r="F392" s="17"/>
      <c r="G392" s="17"/>
      <c r="H392" s="17"/>
      <c r="I392" s="17"/>
    </row>
    <row r="393" ht="15.75" customHeight="1">
      <c r="E393" s="17"/>
      <c r="F393" s="17"/>
      <c r="G393" s="17"/>
      <c r="H393" s="17"/>
      <c r="I393" s="17"/>
    </row>
    <row r="394" ht="15.75" customHeight="1">
      <c r="E394" s="17"/>
      <c r="F394" s="17"/>
      <c r="G394" s="17"/>
      <c r="H394" s="17"/>
      <c r="I394" s="17"/>
    </row>
    <row r="395" ht="15.75" customHeight="1">
      <c r="E395" s="17"/>
      <c r="F395" s="17"/>
      <c r="G395" s="17"/>
      <c r="H395" s="17"/>
      <c r="I395" s="17"/>
    </row>
    <row r="396" ht="15.75" customHeight="1">
      <c r="E396" s="17"/>
      <c r="F396" s="17"/>
      <c r="G396" s="17"/>
      <c r="H396" s="17"/>
      <c r="I396" s="17"/>
    </row>
    <row r="397" ht="15.75" customHeight="1">
      <c r="E397" s="17"/>
      <c r="F397" s="17"/>
      <c r="G397" s="17"/>
      <c r="H397" s="17"/>
      <c r="I397" s="17"/>
    </row>
    <row r="398" ht="15.75" customHeight="1">
      <c r="E398" s="17"/>
      <c r="F398" s="17"/>
      <c r="G398" s="17"/>
      <c r="H398" s="17"/>
      <c r="I398" s="17"/>
    </row>
    <row r="399" ht="15.75" customHeight="1">
      <c r="E399" s="17"/>
      <c r="F399" s="17"/>
      <c r="G399" s="17"/>
      <c r="H399" s="17"/>
      <c r="I399" s="17"/>
    </row>
    <row r="400" ht="15.75" customHeight="1">
      <c r="E400" s="17"/>
      <c r="F400" s="17"/>
      <c r="G400" s="17"/>
      <c r="H400" s="17"/>
      <c r="I400" s="17"/>
    </row>
    <row r="401" ht="15.75" customHeight="1">
      <c r="E401" s="17"/>
      <c r="F401" s="17"/>
      <c r="G401" s="17"/>
      <c r="H401" s="17"/>
      <c r="I401" s="17"/>
    </row>
    <row r="402" ht="15.75" customHeight="1">
      <c r="E402" s="17"/>
      <c r="F402" s="17"/>
      <c r="G402" s="17"/>
      <c r="H402" s="17"/>
      <c r="I402" s="17"/>
    </row>
    <row r="403" ht="15.75" customHeight="1">
      <c r="E403" s="17"/>
      <c r="F403" s="17"/>
      <c r="G403" s="17"/>
      <c r="H403" s="17"/>
      <c r="I403" s="17"/>
    </row>
    <row r="404" ht="15.75" customHeight="1">
      <c r="E404" s="17"/>
      <c r="F404" s="17"/>
      <c r="G404" s="17"/>
      <c r="H404" s="17"/>
      <c r="I404" s="17"/>
    </row>
    <row r="405" ht="15.75" customHeight="1">
      <c r="E405" s="17"/>
      <c r="F405" s="17"/>
      <c r="G405" s="17"/>
      <c r="H405" s="17"/>
      <c r="I405" s="17"/>
    </row>
    <row r="406" ht="15.75" customHeight="1">
      <c r="E406" s="17"/>
      <c r="F406" s="17"/>
      <c r="G406" s="17"/>
      <c r="H406" s="17"/>
      <c r="I406" s="17"/>
    </row>
    <row r="407" ht="15.75" customHeight="1">
      <c r="E407" s="17"/>
      <c r="F407" s="17"/>
      <c r="G407" s="17"/>
      <c r="H407" s="17"/>
      <c r="I407" s="17"/>
    </row>
    <row r="408" ht="15.75" customHeight="1">
      <c r="E408" s="17"/>
      <c r="F408" s="17"/>
      <c r="G408" s="17"/>
      <c r="H408" s="17"/>
      <c r="I408" s="17"/>
    </row>
    <row r="409" ht="15.75" customHeight="1">
      <c r="E409" s="17"/>
      <c r="F409" s="17"/>
      <c r="G409" s="17"/>
      <c r="H409" s="17"/>
      <c r="I409" s="17"/>
    </row>
    <row r="410" ht="15.75" customHeight="1">
      <c r="E410" s="17"/>
      <c r="F410" s="17"/>
      <c r="G410" s="17"/>
      <c r="H410" s="17"/>
      <c r="I410" s="17"/>
    </row>
    <row r="411" ht="15.75" customHeight="1">
      <c r="E411" s="17"/>
      <c r="F411" s="17"/>
      <c r="G411" s="17"/>
      <c r="H411" s="17"/>
      <c r="I411" s="17"/>
    </row>
    <row r="412" ht="15.75" customHeight="1">
      <c r="E412" s="17"/>
      <c r="F412" s="17"/>
      <c r="G412" s="17"/>
      <c r="H412" s="17"/>
      <c r="I412" s="17"/>
    </row>
    <row r="413" ht="15.75" customHeight="1">
      <c r="E413" s="17"/>
      <c r="F413" s="17"/>
      <c r="G413" s="17"/>
      <c r="H413" s="17"/>
      <c r="I413" s="17"/>
    </row>
    <row r="414" ht="15.75" customHeight="1">
      <c r="E414" s="17"/>
      <c r="F414" s="17"/>
      <c r="G414" s="17"/>
      <c r="H414" s="17"/>
      <c r="I414" s="17"/>
    </row>
    <row r="415" ht="15.75" customHeight="1">
      <c r="E415" s="17"/>
      <c r="F415" s="17"/>
      <c r="G415" s="17"/>
      <c r="H415" s="17"/>
      <c r="I415" s="17"/>
    </row>
    <row r="416" ht="15.75" customHeight="1">
      <c r="E416" s="17"/>
      <c r="F416" s="17"/>
      <c r="G416" s="17"/>
      <c r="H416" s="17"/>
      <c r="I416" s="17"/>
    </row>
    <row r="417" ht="15.75" customHeight="1">
      <c r="E417" s="17"/>
      <c r="F417" s="17"/>
      <c r="G417" s="17"/>
      <c r="H417" s="17"/>
      <c r="I417" s="17"/>
    </row>
    <row r="418" ht="15.75" customHeight="1">
      <c r="E418" s="17"/>
      <c r="F418" s="17"/>
      <c r="G418" s="17"/>
      <c r="H418" s="17"/>
      <c r="I418" s="17"/>
    </row>
    <row r="419" ht="15.75" customHeight="1">
      <c r="E419" s="17"/>
      <c r="F419" s="17"/>
      <c r="G419" s="17"/>
      <c r="H419" s="17"/>
      <c r="I419" s="17"/>
    </row>
    <row r="420" ht="15.75" customHeight="1">
      <c r="E420" s="17"/>
      <c r="F420" s="17"/>
      <c r="G420" s="17"/>
      <c r="H420" s="17"/>
      <c r="I420" s="17"/>
    </row>
    <row r="421" ht="15.75" customHeight="1">
      <c r="E421" s="17"/>
      <c r="F421" s="17"/>
      <c r="G421" s="17"/>
      <c r="H421" s="17"/>
      <c r="I421" s="17"/>
    </row>
    <row r="422" ht="15.75" customHeight="1">
      <c r="E422" s="17"/>
      <c r="F422" s="17"/>
      <c r="G422" s="17"/>
      <c r="H422" s="17"/>
      <c r="I422" s="17"/>
    </row>
    <row r="423" ht="15.75" customHeight="1">
      <c r="E423" s="17"/>
      <c r="F423" s="17"/>
      <c r="G423" s="17"/>
      <c r="H423" s="17"/>
      <c r="I423" s="17"/>
    </row>
    <row r="424" ht="15.75" customHeight="1">
      <c r="E424" s="17"/>
      <c r="F424" s="17"/>
      <c r="G424" s="17"/>
      <c r="H424" s="17"/>
      <c r="I424" s="17"/>
    </row>
    <row r="425" ht="15.75" customHeight="1">
      <c r="E425" s="17"/>
      <c r="F425" s="17"/>
      <c r="G425" s="17"/>
      <c r="H425" s="17"/>
      <c r="I425" s="17"/>
    </row>
    <row r="426" ht="15.75" customHeight="1">
      <c r="E426" s="17"/>
      <c r="F426" s="17"/>
      <c r="G426" s="17"/>
      <c r="H426" s="17"/>
      <c r="I426" s="17"/>
    </row>
    <row r="427" ht="15.75" customHeight="1">
      <c r="E427" s="17"/>
      <c r="F427" s="17"/>
      <c r="G427" s="17"/>
      <c r="H427" s="17"/>
      <c r="I427" s="17"/>
    </row>
    <row r="428" ht="15.75" customHeight="1">
      <c r="E428" s="17"/>
      <c r="F428" s="17"/>
      <c r="G428" s="17"/>
      <c r="H428" s="17"/>
      <c r="I428" s="17"/>
    </row>
    <row r="429" ht="15.75" customHeight="1">
      <c r="E429" s="17"/>
      <c r="F429" s="17"/>
      <c r="G429" s="17"/>
      <c r="H429" s="17"/>
      <c r="I429" s="17"/>
    </row>
    <row r="430" ht="15.75" customHeight="1">
      <c r="E430" s="17"/>
      <c r="F430" s="17"/>
      <c r="G430" s="17"/>
      <c r="H430" s="17"/>
      <c r="I430" s="17"/>
    </row>
    <row r="431" ht="15.75" customHeight="1">
      <c r="E431" s="17"/>
      <c r="F431" s="17"/>
      <c r="G431" s="17"/>
      <c r="H431" s="17"/>
      <c r="I431" s="17"/>
    </row>
    <row r="432" ht="15.75" customHeight="1">
      <c r="E432" s="17"/>
      <c r="F432" s="17"/>
      <c r="G432" s="17"/>
      <c r="H432" s="17"/>
      <c r="I432" s="17"/>
    </row>
    <row r="433" ht="15.75" customHeight="1">
      <c r="E433" s="17"/>
      <c r="F433" s="17"/>
      <c r="G433" s="17"/>
      <c r="H433" s="17"/>
      <c r="I433" s="17"/>
    </row>
    <row r="434" ht="15.75" customHeight="1">
      <c r="E434" s="17"/>
      <c r="F434" s="17"/>
      <c r="G434" s="17"/>
      <c r="H434" s="17"/>
      <c r="I434" s="17"/>
    </row>
    <row r="435" ht="15.75" customHeight="1">
      <c r="E435" s="17"/>
      <c r="F435" s="17"/>
      <c r="G435" s="17"/>
      <c r="H435" s="17"/>
      <c r="I435" s="17"/>
    </row>
    <row r="436" ht="15.75" customHeight="1">
      <c r="E436" s="17"/>
      <c r="F436" s="17"/>
      <c r="G436" s="17"/>
      <c r="H436" s="17"/>
      <c r="I436" s="17"/>
    </row>
    <row r="437" ht="15.75" customHeight="1">
      <c r="E437" s="17"/>
      <c r="F437" s="17"/>
      <c r="G437" s="17"/>
      <c r="H437" s="17"/>
      <c r="I437" s="17"/>
    </row>
    <row r="438" ht="15.75" customHeight="1">
      <c r="E438" s="17"/>
      <c r="F438" s="17"/>
      <c r="G438" s="17"/>
      <c r="H438" s="17"/>
      <c r="I438" s="17"/>
    </row>
    <row r="439" ht="15.75" customHeight="1">
      <c r="E439" s="17"/>
      <c r="F439" s="17"/>
      <c r="G439" s="17"/>
      <c r="H439" s="17"/>
      <c r="I439" s="17"/>
    </row>
    <row r="440" ht="15.75" customHeight="1">
      <c r="E440" s="17"/>
      <c r="F440" s="17"/>
      <c r="G440" s="17"/>
      <c r="H440" s="17"/>
      <c r="I440" s="17"/>
    </row>
    <row r="441" ht="15.75" customHeight="1">
      <c r="E441" s="17"/>
      <c r="F441" s="17"/>
      <c r="G441" s="17"/>
      <c r="H441" s="17"/>
      <c r="I441" s="17"/>
    </row>
    <row r="442" ht="15.75" customHeight="1">
      <c r="E442" s="17"/>
      <c r="F442" s="17"/>
      <c r="G442" s="17"/>
      <c r="H442" s="17"/>
      <c r="I442" s="17"/>
    </row>
    <row r="443" ht="15.75" customHeight="1">
      <c r="E443" s="17"/>
      <c r="F443" s="17"/>
      <c r="G443" s="17"/>
      <c r="H443" s="17"/>
      <c r="I443" s="17"/>
    </row>
    <row r="444" ht="15.75" customHeight="1">
      <c r="E444" s="17"/>
      <c r="F444" s="17"/>
      <c r="G444" s="17"/>
      <c r="H444" s="17"/>
      <c r="I444" s="17"/>
    </row>
    <row r="445" ht="15.75" customHeight="1">
      <c r="E445" s="17"/>
      <c r="F445" s="17"/>
      <c r="G445" s="17"/>
      <c r="H445" s="17"/>
      <c r="I445" s="17"/>
    </row>
    <row r="446" ht="15.75" customHeight="1">
      <c r="E446" s="17"/>
      <c r="F446" s="17"/>
      <c r="G446" s="17"/>
      <c r="H446" s="17"/>
      <c r="I446" s="17"/>
    </row>
    <row r="447" ht="15.75" customHeight="1">
      <c r="E447" s="17"/>
      <c r="F447" s="17"/>
      <c r="G447" s="17"/>
      <c r="H447" s="17"/>
      <c r="I447" s="17"/>
    </row>
    <row r="448" ht="15.75" customHeight="1">
      <c r="E448" s="17"/>
      <c r="F448" s="17"/>
      <c r="G448" s="17"/>
      <c r="H448" s="17"/>
      <c r="I448" s="17"/>
    </row>
    <row r="449" ht="15.75" customHeight="1">
      <c r="E449" s="17"/>
      <c r="F449" s="17"/>
      <c r="G449" s="17"/>
      <c r="H449" s="17"/>
      <c r="I449" s="17"/>
    </row>
    <row r="450" ht="15.75" customHeight="1">
      <c r="E450" s="17"/>
      <c r="F450" s="17"/>
      <c r="G450" s="17"/>
      <c r="H450" s="17"/>
      <c r="I450" s="17"/>
    </row>
    <row r="451" ht="15.75" customHeight="1">
      <c r="E451" s="17"/>
      <c r="F451" s="17"/>
      <c r="G451" s="17"/>
      <c r="H451" s="17"/>
      <c r="I451" s="17"/>
    </row>
    <row r="452" ht="15.75" customHeight="1">
      <c r="E452" s="17"/>
      <c r="F452" s="17"/>
      <c r="G452" s="17"/>
      <c r="H452" s="17"/>
      <c r="I452" s="17"/>
    </row>
    <row r="453" ht="15.75" customHeight="1">
      <c r="E453" s="17"/>
      <c r="F453" s="17"/>
      <c r="G453" s="17"/>
      <c r="H453" s="17"/>
      <c r="I453" s="17"/>
    </row>
    <row r="454" ht="15.75" customHeight="1">
      <c r="E454" s="17"/>
      <c r="F454" s="17"/>
      <c r="G454" s="17"/>
      <c r="H454" s="17"/>
      <c r="I454" s="17"/>
    </row>
    <row r="455" ht="15.75" customHeight="1">
      <c r="E455" s="17"/>
      <c r="F455" s="17"/>
      <c r="G455" s="17"/>
      <c r="H455" s="17"/>
      <c r="I455" s="17"/>
    </row>
    <row r="456" ht="15.75" customHeight="1">
      <c r="E456" s="17"/>
      <c r="F456" s="17"/>
      <c r="G456" s="17"/>
      <c r="H456" s="17"/>
      <c r="I456" s="17"/>
    </row>
    <row r="457" ht="15.75" customHeight="1">
      <c r="E457" s="17"/>
      <c r="F457" s="17"/>
      <c r="G457" s="17"/>
      <c r="H457" s="17"/>
      <c r="I457" s="17"/>
    </row>
    <row r="458" ht="15.75" customHeight="1">
      <c r="E458" s="17"/>
      <c r="F458" s="17"/>
      <c r="G458" s="17"/>
      <c r="H458" s="17"/>
      <c r="I458" s="17"/>
    </row>
    <row r="459" ht="15.75" customHeight="1">
      <c r="E459" s="17"/>
      <c r="F459" s="17"/>
      <c r="G459" s="17"/>
      <c r="H459" s="17"/>
      <c r="I459" s="17"/>
    </row>
    <row r="460" ht="15.75" customHeight="1">
      <c r="E460" s="17"/>
      <c r="F460" s="17"/>
      <c r="G460" s="17"/>
      <c r="H460" s="17"/>
      <c r="I460" s="17"/>
    </row>
    <row r="461" ht="15.75" customHeight="1">
      <c r="E461" s="17"/>
      <c r="F461" s="17"/>
      <c r="G461" s="17"/>
      <c r="H461" s="17"/>
      <c r="I461" s="17"/>
    </row>
    <row r="462" ht="15.75" customHeight="1">
      <c r="E462" s="17"/>
      <c r="F462" s="17"/>
      <c r="G462" s="17"/>
      <c r="H462" s="17"/>
      <c r="I462" s="17"/>
    </row>
    <row r="463" ht="15.75" customHeight="1">
      <c r="E463" s="17"/>
      <c r="F463" s="17"/>
      <c r="G463" s="17"/>
      <c r="H463" s="17"/>
      <c r="I463" s="17"/>
    </row>
    <row r="464" ht="15.75" customHeight="1">
      <c r="E464" s="17"/>
      <c r="F464" s="17"/>
      <c r="G464" s="17"/>
      <c r="H464" s="17"/>
      <c r="I464" s="17"/>
    </row>
    <row r="465" ht="15.75" customHeight="1">
      <c r="E465" s="17"/>
      <c r="F465" s="17"/>
      <c r="G465" s="17"/>
      <c r="H465" s="17"/>
      <c r="I465" s="17"/>
    </row>
    <row r="466" ht="15.75" customHeight="1">
      <c r="E466" s="17"/>
      <c r="F466" s="17"/>
      <c r="G466" s="17"/>
      <c r="H466" s="17"/>
      <c r="I466" s="17"/>
    </row>
    <row r="467" ht="15.75" customHeight="1">
      <c r="E467" s="17"/>
      <c r="F467" s="17"/>
      <c r="G467" s="17"/>
      <c r="H467" s="17"/>
      <c r="I467" s="17"/>
    </row>
    <row r="468" ht="15.75" customHeight="1">
      <c r="E468" s="17"/>
      <c r="F468" s="17"/>
      <c r="G468" s="17"/>
      <c r="H468" s="17"/>
      <c r="I468" s="17"/>
    </row>
    <row r="469" ht="15.75" customHeight="1">
      <c r="E469" s="17"/>
      <c r="F469" s="17"/>
      <c r="G469" s="17"/>
      <c r="H469" s="17"/>
      <c r="I469" s="17"/>
    </row>
    <row r="470" ht="15.75" customHeight="1">
      <c r="E470" s="17"/>
      <c r="F470" s="17"/>
      <c r="G470" s="17"/>
      <c r="H470" s="17"/>
      <c r="I470" s="17"/>
    </row>
    <row r="471" ht="15.75" customHeight="1">
      <c r="E471" s="17"/>
      <c r="F471" s="17"/>
      <c r="G471" s="17"/>
      <c r="H471" s="17"/>
      <c r="I471" s="17"/>
    </row>
    <row r="472" ht="15.75" customHeight="1">
      <c r="E472" s="17"/>
      <c r="F472" s="17"/>
      <c r="G472" s="17"/>
      <c r="H472" s="17"/>
      <c r="I472" s="17"/>
    </row>
    <row r="473" ht="15.75" customHeight="1">
      <c r="E473" s="17"/>
      <c r="F473" s="17"/>
      <c r="G473" s="17"/>
      <c r="H473" s="17"/>
      <c r="I473" s="17"/>
    </row>
    <row r="474" ht="15.75" customHeight="1">
      <c r="E474" s="17"/>
      <c r="F474" s="17"/>
      <c r="G474" s="17"/>
      <c r="H474" s="17"/>
      <c r="I474" s="17"/>
    </row>
    <row r="475" ht="15.75" customHeight="1">
      <c r="E475" s="17"/>
      <c r="F475" s="17"/>
      <c r="G475" s="17"/>
      <c r="H475" s="17"/>
      <c r="I475" s="17"/>
    </row>
    <row r="476" ht="15.75" customHeight="1">
      <c r="E476" s="17"/>
      <c r="F476" s="17"/>
      <c r="G476" s="17"/>
      <c r="H476" s="17"/>
      <c r="I476" s="17"/>
    </row>
    <row r="477" ht="15.75" customHeight="1">
      <c r="E477" s="17"/>
      <c r="F477" s="17"/>
      <c r="G477" s="17"/>
      <c r="H477" s="17"/>
      <c r="I477" s="17"/>
    </row>
    <row r="478" ht="15.75" customHeight="1">
      <c r="E478" s="17"/>
      <c r="F478" s="17"/>
      <c r="G478" s="17"/>
      <c r="H478" s="17"/>
      <c r="I478" s="17"/>
    </row>
    <row r="479" ht="15.75" customHeight="1">
      <c r="E479" s="17"/>
      <c r="F479" s="17"/>
      <c r="G479" s="17"/>
      <c r="H479" s="17"/>
      <c r="I479" s="17"/>
    </row>
    <row r="480" ht="15.75" customHeight="1">
      <c r="E480" s="17"/>
      <c r="F480" s="17"/>
      <c r="G480" s="17"/>
      <c r="H480" s="17"/>
      <c r="I480" s="17"/>
    </row>
    <row r="481" ht="15.75" customHeight="1">
      <c r="E481" s="17"/>
      <c r="F481" s="17"/>
      <c r="G481" s="17"/>
      <c r="H481" s="17"/>
      <c r="I481" s="17"/>
    </row>
    <row r="482" ht="15.75" customHeight="1">
      <c r="E482" s="17"/>
      <c r="F482" s="17"/>
      <c r="G482" s="17"/>
      <c r="H482" s="17"/>
      <c r="I482" s="17"/>
    </row>
    <row r="483" ht="15.75" customHeight="1">
      <c r="E483" s="17"/>
      <c r="F483" s="17"/>
      <c r="G483" s="17"/>
      <c r="H483" s="17"/>
      <c r="I483" s="17"/>
    </row>
    <row r="484" ht="15.75" customHeight="1">
      <c r="E484" s="17"/>
      <c r="F484" s="17"/>
      <c r="G484" s="17"/>
      <c r="H484" s="17"/>
      <c r="I484" s="17"/>
    </row>
    <row r="485" ht="15.75" customHeight="1">
      <c r="E485" s="17"/>
      <c r="F485" s="17"/>
      <c r="G485" s="17"/>
      <c r="H485" s="17"/>
      <c r="I485" s="17"/>
    </row>
    <row r="486" ht="15.75" customHeight="1">
      <c r="E486" s="17"/>
      <c r="F486" s="17"/>
      <c r="G486" s="17"/>
      <c r="H486" s="17"/>
      <c r="I486" s="17"/>
    </row>
    <row r="487" ht="15.75" customHeight="1">
      <c r="E487" s="17"/>
      <c r="F487" s="17"/>
      <c r="G487" s="17"/>
      <c r="H487" s="17"/>
      <c r="I487" s="17"/>
    </row>
    <row r="488" ht="15.75" customHeight="1">
      <c r="E488" s="17"/>
      <c r="F488" s="17"/>
      <c r="G488" s="17"/>
      <c r="H488" s="17"/>
      <c r="I488" s="17"/>
    </row>
    <row r="489" ht="15.75" customHeight="1">
      <c r="E489" s="17"/>
      <c r="F489" s="17"/>
      <c r="G489" s="17"/>
      <c r="H489" s="17"/>
      <c r="I489" s="17"/>
    </row>
    <row r="490" ht="15.75" customHeight="1">
      <c r="E490" s="17"/>
      <c r="F490" s="17"/>
      <c r="G490" s="17"/>
      <c r="H490" s="17"/>
      <c r="I490" s="17"/>
    </row>
    <row r="491" ht="15.75" customHeight="1">
      <c r="E491" s="17"/>
      <c r="F491" s="17"/>
      <c r="G491" s="17"/>
      <c r="H491" s="17"/>
      <c r="I491" s="17"/>
    </row>
    <row r="492" ht="15.75" customHeight="1">
      <c r="E492" s="17"/>
      <c r="F492" s="17"/>
      <c r="G492" s="17"/>
      <c r="H492" s="17"/>
      <c r="I492" s="17"/>
    </row>
    <row r="493" ht="15.75" customHeight="1">
      <c r="E493" s="17"/>
      <c r="F493" s="17"/>
      <c r="G493" s="17"/>
      <c r="H493" s="17"/>
      <c r="I493" s="17"/>
    </row>
    <row r="494" ht="15.75" customHeight="1">
      <c r="E494" s="17"/>
      <c r="F494" s="17"/>
      <c r="G494" s="17"/>
      <c r="H494" s="17"/>
      <c r="I494" s="17"/>
    </row>
    <row r="495" ht="15.75" customHeight="1">
      <c r="E495" s="17"/>
      <c r="F495" s="17"/>
      <c r="G495" s="17"/>
      <c r="H495" s="17"/>
      <c r="I495" s="17"/>
    </row>
    <row r="496" ht="15.75" customHeight="1">
      <c r="E496" s="17"/>
      <c r="F496" s="17"/>
      <c r="G496" s="17"/>
      <c r="H496" s="17"/>
      <c r="I496" s="17"/>
    </row>
    <row r="497" ht="15.75" customHeight="1">
      <c r="E497" s="17"/>
      <c r="F497" s="17"/>
      <c r="G497" s="17"/>
      <c r="H497" s="17"/>
      <c r="I497" s="17"/>
    </row>
    <row r="498" ht="15.75" customHeight="1">
      <c r="E498" s="17"/>
      <c r="F498" s="17"/>
      <c r="G498" s="17"/>
      <c r="H498" s="17"/>
      <c r="I498" s="17"/>
    </row>
    <row r="499" ht="15.75" customHeight="1">
      <c r="E499" s="17"/>
      <c r="F499" s="17"/>
      <c r="G499" s="17"/>
      <c r="H499" s="17"/>
      <c r="I499" s="17"/>
    </row>
    <row r="500" ht="15.75" customHeight="1">
      <c r="E500" s="17"/>
      <c r="F500" s="17"/>
      <c r="G500" s="17"/>
      <c r="H500" s="17"/>
      <c r="I500" s="17"/>
    </row>
    <row r="501" ht="15.75" customHeight="1">
      <c r="E501" s="17"/>
      <c r="F501" s="17"/>
      <c r="G501" s="17"/>
      <c r="H501" s="17"/>
      <c r="I501" s="17"/>
    </row>
    <row r="502" ht="15.75" customHeight="1">
      <c r="E502" s="17"/>
      <c r="F502" s="17"/>
      <c r="G502" s="17"/>
      <c r="H502" s="17"/>
      <c r="I502" s="17"/>
    </row>
    <row r="503" ht="15.75" customHeight="1">
      <c r="E503" s="17"/>
      <c r="F503" s="17"/>
      <c r="G503" s="17"/>
      <c r="H503" s="17"/>
      <c r="I503" s="17"/>
    </row>
    <row r="504" ht="15.75" customHeight="1">
      <c r="E504" s="17"/>
      <c r="F504" s="17"/>
      <c r="G504" s="17"/>
      <c r="H504" s="17"/>
      <c r="I504" s="17"/>
    </row>
    <row r="505" ht="15.75" customHeight="1">
      <c r="E505" s="17"/>
      <c r="F505" s="17"/>
      <c r="G505" s="17"/>
      <c r="H505" s="17"/>
      <c r="I505" s="17"/>
    </row>
    <row r="506" ht="15.75" customHeight="1">
      <c r="E506" s="17"/>
      <c r="F506" s="17"/>
      <c r="G506" s="17"/>
      <c r="H506" s="17"/>
      <c r="I506" s="17"/>
    </row>
    <row r="507" ht="15.75" customHeight="1">
      <c r="E507" s="17"/>
      <c r="F507" s="17"/>
      <c r="G507" s="17"/>
      <c r="H507" s="17"/>
      <c r="I507" s="17"/>
    </row>
    <row r="508" ht="15.75" customHeight="1">
      <c r="E508" s="17"/>
      <c r="F508" s="17"/>
      <c r="G508" s="17"/>
      <c r="H508" s="17"/>
      <c r="I508" s="17"/>
    </row>
    <row r="509" ht="15.75" customHeight="1">
      <c r="E509" s="17"/>
      <c r="F509" s="17"/>
      <c r="G509" s="17"/>
      <c r="H509" s="17"/>
      <c r="I509" s="17"/>
    </row>
    <row r="510" ht="15.75" customHeight="1">
      <c r="E510" s="17"/>
      <c r="F510" s="17"/>
      <c r="G510" s="17"/>
      <c r="H510" s="17"/>
      <c r="I510" s="17"/>
    </row>
    <row r="511" ht="15.75" customHeight="1">
      <c r="E511" s="17"/>
      <c r="F511" s="17"/>
      <c r="G511" s="17"/>
      <c r="H511" s="17"/>
      <c r="I511" s="17"/>
    </row>
    <row r="512" ht="15.75" customHeight="1">
      <c r="E512" s="17"/>
      <c r="F512" s="17"/>
      <c r="G512" s="17"/>
      <c r="H512" s="17"/>
      <c r="I512" s="17"/>
    </row>
    <row r="513" ht="15.75" customHeight="1">
      <c r="E513" s="17"/>
      <c r="F513" s="17"/>
      <c r="G513" s="17"/>
      <c r="H513" s="17"/>
      <c r="I513" s="17"/>
    </row>
    <row r="514" ht="15.75" customHeight="1">
      <c r="E514" s="17"/>
      <c r="F514" s="17"/>
      <c r="G514" s="17"/>
      <c r="H514" s="17"/>
      <c r="I514" s="17"/>
    </row>
    <row r="515" ht="15.75" customHeight="1">
      <c r="E515" s="17"/>
      <c r="F515" s="17"/>
      <c r="G515" s="17"/>
      <c r="H515" s="17"/>
      <c r="I515" s="17"/>
    </row>
    <row r="516" ht="15.75" customHeight="1">
      <c r="E516" s="17"/>
      <c r="F516" s="17"/>
      <c r="G516" s="17"/>
      <c r="H516" s="17"/>
      <c r="I516" s="17"/>
    </row>
    <row r="517" ht="15.75" customHeight="1">
      <c r="E517" s="17"/>
      <c r="F517" s="17"/>
      <c r="G517" s="17"/>
      <c r="H517" s="17"/>
      <c r="I517" s="17"/>
    </row>
    <row r="518" ht="15.75" customHeight="1">
      <c r="E518" s="17"/>
      <c r="F518" s="17"/>
      <c r="G518" s="17"/>
      <c r="H518" s="17"/>
      <c r="I518" s="17"/>
    </row>
    <row r="519" ht="15.75" customHeight="1">
      <c r="E519" s="17"/>
      <c r="F519" s="17"/>
      <c r="G519" s="17"/>
      <c r="H519" s="17"/>
      <c r="I519" s="17"/>
    </row>
    <row r="520" ht="15.75" customHeight="1">
      <c r="E520" s="17"/>
      <c r="F520" s="17"/>
      <c r="G520" s="17"/>
      <c r="H520" s="17"/>
      <c r="I520" s="17"/>
    </row>
    <row r="521" ht="15.75" customHeight="1">
      <c r="E521" s="17"/>
      <c r="F521" s="17"/>
      <c r="G521" s="17"/>
      <c r="H521" s="17"/>
      <c r="I521" s="17"/>
    </row>
    <row r="522" ht="15.75" customHeight="1">
      <c r="E522" s="17"/>
      <c r="F522" s="17"/>
      <c r="G522" s="17"/>
      <c r="H522" s="17"/>
      <c r="I522" s="17"/>
    </row>
    <row r="523" ht="15.75" customHeight="1">
      <c r="E523" s="17"/>
      <c r="F523" s="17"/>
      <c r="G523" s="17"/>
      <c r="H523" s="17"/>
      <c r="I523" s="17"/>
    </row>
    <row r="524" ht="15.75" customHeight="1">
      <c r="E524" s="17"/>
      <c r="F524" s="17"/>
      <c r="G524" s="17"/>
      <c r="H524" s="17"/>
      <c r="I524" s="17"/>
    </row>
    <row r="525" ht="15.75" customHeight="1">
      <c r="E525" s="17"/>
      <c r="F525" s="17"/>
      <c r="G525" s="17"/>
      <c r="H525" s="17"/>
      <c r="I525" s="17"/>
    </row>
    <row r="526" ht="15.75" customHeight="1">
      <c r="E526" s="17"/>
      <c r="F526" s="17"/>
      <c r="G526" s="17"/>
      <c r="H526" s="17"/>
      <c r="I526" s="17"/>
    </row>
    <row r="527" ht="15.75" customHeight="1">
      <c r="E527" s="17"/>
      <c r="F527" s="17"/>
      <c r="G527" s="17"/>
      <c r="H527" s="17"/>
      <c r="I527" s="17"/>
    </row>
    <row r="528" ht="15.75" customHeight="1">
      <c r="E528" s="17"/>
      <c r="F528" s="17"/>
      <c r="G528" s="17"/>
      <c r="H528" s="17"/>
      <c r="I528" s="17"/>
    </row>
    <row r="529" ht="15.75" customHeight="1">
      <c r="E529" s="17"/>
      <c r="F529" s="17"/>
      <c r="G529" s="17"/>
      <c r="H529" s="17"/>
      <c r="I529" s="17"/>
    </row>
    <row r="530" ht="15.75" customHeight="1">
      <c r="E530" s="17"/>
      <c r="F530" s="17"/>
      <c r="G530" s="17"/>
      <c r="H530" s="17"/>
      <c r="I530" s="17"/>
    </row>
    <row r="531" ht="15.75" customHeight="1">
      <c r="E531" s="17"/>
      <c r="F531" s="17"/>
      <c r="G531" s="17"/>
      <c r="H531" s="17"/>
      <c r="I531" s="17"/>
    </row>
    <row r="532" ht="15.75" customHeight="1">
      <c r="E532" s="17"/>
      <c r="F532" s="17"/>
      <c r="G532" s="17"/>
      <c r="H532" s="17"/>
      <c r="I532" s="17"/>
    </row>
    <row r="533" ht="15.75" customHeight="1">
      <c r="E533" s="17"/>
      <c r="F533" s="17"/>
      <c r="G533" s="17"/>
      <c r="H533" s="17"/>
      <c r="I533" s="17"/>
    </row>
    <row r="534" ht="15.75" customHeight="1">
      <c r="E534" s="17"/>
      <c r="F534" s="17"/>
      <c r="G534" s="17"/>
      <c r="H534" s="17"/>
      <c r="I534" s="17"/>
    </row>
    <row r="535" ht="15.75" customHeight="1">
      <c r="E535" s="17"/>
      <c r="F535" s="17"/>
      <c r="G535" s="17"/>
      <c r="H535" s="17"/>
      <c r="I535" s="17"/>
    </row>
    <row r="536" ht="15.75" customHeight="1">
      <c r="E536" s="17"/>
      <c r="F536" s="17"/>
      <c r="G536" s="17"/>
      <c r="H536" s="17"/>
      <c r="I536" s="17"/>
    </row>
    <row r="537" ht="15.75" customHeight="1">
      <c r="E537" s="17"/>
      <c r="F537" s="17"/>
      <c r="G537" s="17"/>
      <c r="H537" s="17"/>
      <c r="I537" s="17"/>
    </row>
    <row r="538" ht="15.75" customHeight="1">
      <c r="E538" s="17"/>
      <c r="F538" s="17"/>
      <c r="G538" s="17"/>
      <c r="H538" s="17"/>
      <c r="I538" s="17"/>
    </row>
    <row r="539" ht="15.75" customHeight="1">
      <c r="E539" s="17"/>
      <c r="F539" s="17"/>
      <c r="G539" s="17"/>
      <c r="H539" s="17"/>
      <c r="I539" s="17"/>
    </row>
    <row r="540" ht="15.75" customHeight="1">
      <c r="E540" s="17"/>
      <c r="F540" s="17"/>
      <c r="G540" s="17"/>
      <c r="H540" s="17"/>
      <c r="I540" s="17"/>
    </row>
    <row r="541" ht="15.75" customHeight="1">
      <c r="E541" s="17"/>
      <c r="F541" s="17"/>
      <c r="G541" s="17"/>
      <c r="H541" s="17"/>
      <c r="I541" s="17"/>
    </row>
    <row r="542" ht="15.75" customHeight="1">
      <c r="E542" s="17"/>
      <c r="F542" s="17"/>
      <c r="G542" s="17"/>
      <c r="H542" s="17"/>
      <c r="I542" s="17"/>
    </row>
    <row r="543" ht="15.75" customHeight="1">
      <c r="E543" s="17"/>
      <c r="F543" s="17"/>
      <c r="G543" s="17"/>
      <c r="H543" s="17"/>
      <c r="I543" s="17"/>
    </row>
    <row r="544" ht="15.75" customHeight="1">
      <c r="E544" s="17"/>
      <c r="F544" s="17"/>
      <c r="G544" s="17"/>
      <c r="H544" s="17"/>
      <c r="I544" s="17"/>
    </row>
    <row r="545" ht="15.75" customHeight="1">
      <c r="E545" s="17"/>
      <c r="F545" s="17"/>
      <c r="G545" s="17"/>
      <c r="H545" s="17"/>
      <c r="I545" s="17"/>
    </row>
    <row r="546" ht="15.75" customHeight="1">
      <c r="E546" s="17"/>
      <c r="F546" s="17"/>
      <c r="G546" s="17"/>
      <c r="H546" s="17"/>
      <c r="I546" s="17"/>
    </row>
    <row r="547" ht="15.75" customHeight="1">
      <c r="E547" s="17"/>
      <c r="F547" s="17"/>
      <c r="G547" s="17"/>
      <c r="H547" s="17"/>
      <c r="I547" s="17"/>
    </row>
    <row r="548" ht="15.75" customHeight="1">
      <c r="E548" s="17"/>
      <c r="F548" s="17"/>
      <c r="G548" s="17"/>
      <c r="H548" s="17"/>
      <c r="I548" s="17"/>
    </row>
    <row r="549" ht="15.75" customHeight="1">
      <c r="E549" s="17"/>
      <c r="F549" s="17"/>
      <c r="G549" s="17"/>
      <c r="H549" s="17"/>
      <c r="I549" s="17"/>
    </row>
    <row r="550" ht="15.75" customHeight="1">
      <c r="E550" s="17"/>
      <c r="F550" s="17"/>
      <c r="G550" s="17"/>
      <c r="H550" s="17"/>
      <c r="I550" s="17"/>
    </row>
    <row r="551" ht="15.75" customHeight="1">
      <c r="E551" s="17"/>
      <c r="F551" s="17"/>
      <c r="G551" s="17"/>
      <c r="H551" s="17"/>
      <c r="I551" s="17"/>
    </row>
    <row r="552" ht="15.75" customHeight="1">
      <c r="E552" s="17"/>
      <c r="F552" s="17"/>
      <c r="G552" s="17"/>
      <c r="H552" s="17"/>
      <c r="I552" s="17"/>
    </row>
    <row r="553" ht="15.75" customHeight="1">
      <c r="E553" s="17"/>
      <c r="F553" s="17"/>
      <c r="G553" s="17"/>
      <c r="H553" s="17"/>
      <c r="I553" s="17"/>
    </row>
    <row r="554" ht="15.75" customHeight="1">
      <c r="E554" s="17"/>
      <c r="F554" s="17"/>
      <c r="G554" s="17"/>
      <c r="H554" s="17"/>
      <c r="I554" s="17"/>
    </row>
    <row r="555" ht="15.75" customHeight="1">
      <c r="E555" s="17"/>
      <c r="F555" s="17"/>
      <c r="G555" s="17"/>
      <c r="H555" s="17"/>
      <c r="I555" s="17"/>
    </row>
    <row r="556" ht="15.75" customHeight="1">
      <c r="E556" s="17"/>
      <c r="F556" s="17"/>
      <c r="G556" s="17"/>
      <c r="H556" s="17"/>
      <c r="I556" s="17"/>
    </row>
    <row r="557" ht="15.75" customHeight="1">
      <c r="E557" s="17"/>
      <c r="F557" s="17"/>
      <c r="G557" s="17"/>
      <c r="H557" s="17"/>
      <c r="I557" s="17"/>
    </row>
    <row r="558" ht="15.75" customHeight="1">
      <c r="E558" s="17"/>
      <c r="F558" s="17"/>
      <c r="G558" s="17"/>
      <c r="H558" s="17"/>
      <c r="I558" s="17"/>
    </row>
    <row r="559" ht="15.75" customHeight="1">
      <c r="E559" s="17"/>
      <c r="F559" s="17"/>
      <c r="G559" s="17"/>
      <c r="H559" s="17"/>
      <c r="I559" s="17"/>
    </row>
    <row r="560" ht="15.75" customHeight="1">
      <c r="E560" s="17"/>
      <c r="F560" s="17"/>
      <c r="G560" s="17"/>
      <c r="H560" s="17"/>
      <c r="I560" s="17"/>
    </row>
    <row r="561" ht="15.75" customHeight="1">
      <c r="E561" s="17"/>
      <c r="F561" s="17"/>
      <c r="G561" s="17"/>
      <c r="H561" s="17"/>
      <c r="I561" s="17"/>
    </row>
    <row r="562" ht="15.75" customHeight="1">
      <c r="E562" s="17"/>
      <c r="F562" s="17"/>
      <c r="G562" s="17"/>
      <c r="H562" s="17"/>
      <c r="I562" s="17"/>
    </row>
    <row r="563" ht="15.75" customHeight="1">
      <c r="E563" s="17"/>
      <c r="F563" s="17"/>
      <c r="G563" s="17"/>
      <c r="H563" s="17"/>
      <c r="I563" s="17"/>
    </row>
    <row r="564" ht="15.75" customHeight="1">
      <c r="E564" s="17"/>
      <c r="F564" s="17"/>
      <c r="G564" s="17"/>
      <c r="H564" s="17"/>
      <c r="I564" s="17"/>
    </row>
    <row r="565" ht="15.75" customHeight="1">
      <c r="E565" s="17"/>
      <c r="F565" s="17"/>
      <c r="G565" s="17"/>
      <c r="H565" s="17"/>
      <c r="I565" s="17"/>
    </row>
    <row r="566" ht="15.75" customHeight="1">
      <c r="E566" s="17"/>
      <c r="F566" s="17"/>
      <c r="G566" s="17"/>
      <c r="H566" s="17"/>
      <c r="I566" s="17"/>
    </row>
    <row r="567" ht="15.75" customHeight="1">
      <c r="E567" s="17"/>
      <c r="F567" s="17"/>
      <c r="G567" s="17"/>
      <c r="H567" s="17"/>
      <c r="I567" s="17"/>
    </row>
    <row r="568" ht="15.75" customHeight="1">
      <c r="E568" s="17"/>
      <c r="F568" s="17"/>
      <c r="G568" s="17"/>
      <c r="H568" s="17"/>
      <c r="I568" s="17"/>
    </row>
    <row r="569" ht="15.75" customHeight="1">
      <c r="E569" s="17"/>
      <c r="F569" s="17"/>
      <c r="G569" s="17"/>
      <c r="H569" s="17"/>
      <c r="I569" s="17"/>
    </row>
    <row r="570" ht="15.75" customHeight="1">
      <c r="E570" s="17"/>
      <c r="F570" s="17"/>
      <c r="G570" s="17"/>
      <c r="H570" s="17"/>
      <c r="I570" s="17"/>
    </row>
    <row r="571" ht="15.75" customHeight="1">
      <c r="E571" s="17"/>
      <c r="F571" s="17"/>
      <c r="G571" s="17"/>
      <c r="H571" s="17"/>
      <c r="I571" s="17"/>
    </row>
    <row r="572" ht="15.75" customHeight="1">
      <c r="E572" s="17"/>
      <c r="F572" s="17"/>
      <c r="G572" s="17"/>
      <c r="H572" s="17"/>
      <c r="I572" s="17"/>
    </row>
    <row r="573" ht="15.75" customHeight="1">
      <c r="E573" s="17"/>
      <c r="F573" s="17"/>
      <c r="G573" s="17"/>
      <c r="H573" s="17"/>
      <c r="I573" s="17"/>
    </row>
    <row r="574" ht="15.75" customHeight="1">
      <c r="E574" s="17"/>
      <c r="F574" s="17"/>
      <c r="G574" s="17"/>
      <c r="H574" s="17"/>
      <c r="I574" s="17"/>
    </row>
    <row r="575" ht="15.75" customHeight="1">
      <c r="E575" s="17"/>
      <c r="F575" s="17"/>
      <c r="G575" s="17"/>
      <c r="H575" s="17"/>
      <c r="I575" s="17"/>
    </row>
    <row r="576" ht="15.75" customHeight="1">
      <c r="E576" s="17"/>
      <c r="F576" s="17"/>
      <c r="G576" s="17"/>
      <c r="H576" s="17"/>
      <c r="I576" s="17"/>
    </row>
    <row r="577" ht="15.75" customHeight="1">
      <c r="E577" s="17"/>
      <c r="F577" s="17"/>
      <c r="G577" s="17"/>
      <c r="H577" s="17"/>
      <c r="I577" s="17"/>
    </row>
    <row r="578" ht="15.75" customHeight="1">
      <c r="E578" s="17"/>
      <c r="F578" s="17"/>
      <c r="G578" s="17"/>
      <c r="H578" s="17"/>
      <c r="I578" s="17"/>
    </row>
    <row r="579" ht="15.75" customHeight="1">
      <c r="E579" s="17"/>
      <c r="F579" s="17"/>
      <c r="G579" s="17"/>
      <c r="H579" s="17"/>
      <c r="I579" s="17"/>
    </row>
    <row r="580" ht="15.75" customHeight="1">
      <c r="E580" s="17"/>
      <c r="F580" s="17"/>
      <c r="G580" s="17"/>
      <c r="H580" s="17"/>
      <c r="I580" s="17"/>
    </row>
    <row r="581" ht="15.75" customHeight="1">
      <c r="E581" s="17"/>
      <c r="F581" s="17"/>
      <c r="G581" s="17"/>
      <c r="H581" s="17"/>
      <c r="I581" s="17"/>
    </row>
    <row r="582" ht="15.75" customHeight="1">
      <c r="E582" s="17"/>
      <c r="F582" s="17"/>
      <c r="G582" s="17"/>
      <c r="H582" s="17"/>
      <c r="I582" s="17"/>
    </row>
    <row r="583" ht="15.75" customHeight="1">
      <c r="E583" s="17"/>
      <c r="F583" s="17"/>
      <c r="G583" s="17"/>
      <c r="H583" s="17"/>
      <c r="I583" s="17"/>
    </row>
    <row r="584" ht="15.75" customHeight="1">
      <c r="E584" s="17"/>
      <c r="F584" s="17"/>
      <c r="G584" s="17"/>
      <c r="H584" s="17"/>
      <c r="I584" s="17"/>
    </row>
    <row r="585" ht="15.75" customHeight="1">
      <c r="E585" s="17"/>
      <c r="F585" s="17"/>
      <c r="G585" s="17"/>
      <c r="H585" s="17"/>
      <c r="I585" s="17"/>
    </row>
    <row r="586" ht="15.75" customHeight="1">
      <c r="E586" s="17"/>
      <c r="F586" s="17"/>
      <c r="G586" s="17"/>
      <c r="H586" s="17"/>
      <c r="I586" s="17"/>
    </row>
    <row r="587" ht="15.75" customHeight="1">
      <c r="E587" s="17"/>
      <c r="F587" s="17"/>
      <c r="G587" s="17"/>
      <c r="H587" s="17"/>
      <c r="I587" s="17"/>
    </row>
    <row r="588" ht="15.75" customHeight="1">
      <c r="E588" s="17"/>
      <c r="F588" s="17"/>
      <c r="G588" s="17"/>
      <c r="H588" s="17"/>
      <c r="I588" s="17"/>
    </row>
    <row r="589" ht="15.75" customHeight="1">
      <c r="E589" s="17"/>
      <c r="F589" s="17"/>
      <c r="G589" s="17"/>
      <c r="H589" s="17"/>
      <c r="I589" s="17"/>
    </row>
    <row r="590" ht="15.75" customHeight="1">
      <c r="E590" s="17"/>
      <c r="F590" s="17"/>
      <c r="G590" s="17"/>
      <c r="H590" s="17"/>
      <c r="I590" s="17"/>
    </row>
    <row r="591" ht="15.75" customHeight="1">
      <c r="E591" s="17"/>
      <c r="F591" s="17"/>
      <c r="G591" s="17"/>
      <c r="H591" s="17"/>
      <c r="I591" s="17"/>
    </row>
    <row r="592" ht="15.75" customHeight="1">
      <c r="E592" s="17"/>
      <c r="F592" s="17"/>
      <c r="G592" s="17"/>
      <c r="H592" s="17"/>
      <c r="I592" s="17"/>
    </row>
    <row r="593" ht="15.75" customHeight="1">
      <c r="E593" s="17"/>
      <c r="F593" s="17"/>
      <c r="G593" s="17"/>
      <c r="H593" s="17"/>
      <c r="I593" s="17"/>
    </row>
    <row r="594" ht="15.75" customHeight="1">
      <c r="E594" s="17"/>
      <c r="F594" s="17"/>
      <c r="G594" s="17"/>
      <c r="H594" s="17"/>
      <c r="I594" s="17"/>
    </row>
    <row r="595" ht="15.75" customHeight="1">
      <c r="E595" s="17"/>
      <c r="F595" s="17"/>
      <c r="G595" s="17"/>
      <c r="H595" s="17"/>
      <c r="I595" s="17"/>
    </row>
    <row r="596" ht="15.75" customHeight="1">
      <c r="E596" s="17"/>
      <c r="F596" s="17"/>
      <c r="G596" s="17"/>
      <c r="H596" s="17"/>
      <c r="I596" s="17"/>
    </row>
    <row r="597" ht="15.75" customHeight="1">
      <c r="E597" s="17"/>
      <c r="F597" s="17"/>
      <c r="G597" s="17"/>
      <c r="H597" s="17"/>
      <c r="I597" s="17"/>
    </row>
    <row r="598" ht="15.75" customHeight="1">
      <c r="E598" s="17"/>
      <c r="F598" s="17"/>
      <c r="G598" s="17"/>
      <c r="H598" s="17"/>
      <c r="I598" s="17"/>
    </row>
    <row r="599" ht="15.75" customHeight="1">
      <c r="E599" s="17"/>
      <c r="F599" s="17"/>
      <c r="G599" s="17"/>
      <c r="H599" s="17"/>
      <c r="I599" s="17"/>
    </row>
    <row r="600" ht="15.75" customHeight="1">
      <c r="E600" s="17"/>
      <c r="F600" s="17"/>
      <c r="G600" s="17"/>
      <c r="H600" s="17"/>
      <c r="I600" s="17"/>
    </row>
    <row r="601" ht="15.75" customHeight="1">
      <c r="E601" s="17"/>
      <c r="F601" s="17"/>
      <c r="G601" s="17"/>
      <c r="H601" s="17"/>
      <c r="I601" s="17"/>
    </row>
    <row r="602" ht="15.75" customHeight="1">
      <c r="E602" s="17"/>
      <c r="F602" s="17"/>
      <c r="G602" s="17"/>
      <c r="H602" s="17"/>
      <c r="I602" s="17"/>
    </row>
    <row r="603" ht="15.75" customHeight="1">
      <c r="E603" s="17"/>
      <c r="F603" s="17"/>
      <c r="G603" s="17"/>
      <c r="H603" s="17"/>
      <c r="I603" s="17"/>
    </row>
    <row r="604" ht="15.75" customHeight="1">
      <c r="E604" s="17"/>
      <c r="F604" s="17"/>
      <c r="G604" s="17"/>
      <c r="H604" s="17"/>
      <c r="I604" s="17"/>
    </row>
    <row r="605" ht="15.75" customHeight="1">
      <c r="E605" s="17"/>
      <c r="F605" s="17"/>
      <c r="G605" s="17"/>
      <c r="H605" s="17"/>
      <c r="I605" s="17"/>
    </row>
    <row r="606" ht="15.75" customHeight="1">
      <c r="E606" s="17"/>
      <c r="F606" s="17"/>
      <c r="G606" s="17"/>
      <c r="H606" s="17"/>
      <c r="I606" s="17"/>
    </row>
    <row r="607" ht="15.75" customHeight="1">
      <c r="E607" s="17"/>
      <c r="F607" s="17"/>
      <c r="G607" s="17"/>
      <c r="H607" s="17"/>
      <c r="I607" s="17"/>
    </row>
    <row r="608" ht="15.75" customHeight="1">
      <c r="E608" s="17"/>
      <c r="F608" s="17"/>
      <c r="G608" s="17"/>
      <c r="H608" s="17"/>
      <c r="I608" s="17"/>
    </row>
    <row r="609" ht="15.75" customHeight="1">
      <c r="E609" s="17"/>
      <c r="F609" s="17"/>
      <c r="G609" s="17"/>
      <c r="H609" s="17"/>
      <c r="I609" s="17"/>
    </row>
    <row r="610" ht="15.75" customHeight="1">
      <c r="E610" s="17"/>
      <c r="F610" s="17"/>
      <c r="G610" s="17"/>
      <c r="H610" s="17"/>
      <c r="I610" s="17"/>
    </row>
    <row r="611" ht="15.75" customHeight="1">
      <c r="E611" s="17"/>
      <c r="F611" s="17"/>
      <c r="G611" s="17"/>
      <c r="H611" s="17"/>
      <c r="I611" s="17"/>
    </row>
    <row r="612" ht="15.75" customHeight="1">
      <c r="E612" s="17"/>
      <c r="F612" s="17"/>
      <c r="G612" s="17"/>
      <c r="H612" s="17"/>
      <c r="I612" s="17"/>
    </row>
    <row r="613" ht="15.75" customHeight="1">
      <c r="E613" s="17"/>
      <c r="F613" s="17"/>
      <c r="G613" s="17"/>
      <c r="H613" s="17"/>
      <c r="I613" s="17"/>
    </row>
    <row r="614" ht="15.75" customHeight="1">
      <c r="E614" s="17"/>
      <c r="F614" s="17"/>
      <c r="G614" s="17"/>
      <c r="H614" s="17"/>
      <c r="I614" s="17"/>
    </row>
    <row r="615" ht="15.75" customHeight="1">
      <c r="E615" s="17"/>
      <c r="F615" s="17"/>
      <c r="G615" s="17"/>
      <c r="H615" s="17"/>
      <c r="I615" s="17"/>
    </row>
    <row r="616" ht="15.75" customHeight="1">
      <c r="E616" s="17"/>
      <c r="F616" s="17"/>
      <c r="G616" s="17"/>
      <c r="H616" s="17"/>
      <c r="I616" s="17"/>
    </row>
    <row r="617" ht="15.75" customHeight="1">
      <c r="E617" s="17"/>
      <c r="F617" s="17"/>
      <c r="G617" s="17"/>
      <c r="H617" s="17"/>
      <c r="I617" s="17"/>
    </row>
    <row r="618" ht="15.75" customHeight="1">
      <c r="E618" s="17"/>
      <c r="F618" s="17"/>
      <c r="G618" s="17"/>
      <c r="H618" s="17"/>
      <c r="I618" s="17"/>
    </row>
    <row r="619" ht="15.75" customHeight="1">
      <c r="E619" s="17"/>
      <c r="F619" s="17"/>
      <c r="G619" s="17"/>
      <c r="H619" s="17"/>
      <c r="I619" s="17"/>
    </row>
    <row r="620" ht="15.75" customHeight="1">
      <c r="E620" s="17"/>
      <c r="F620" s="17"/>
      <c r="G620" s="17"/>
      <c r="H620" s="17"/>
      <c r="I620" s="17"/>
    </row>
    <row r="621" ht="15.75" customHeight="1">
      <c r="E621" s="17"/>
      <c r="F621" s="17"/>
      <c r="G621" s="17"/>
      <c r="H621" s="17"/>
      <c r="I621" s="17"/>
    </row>
    <row r="622" ht="15.75" customHeight="1">
      <c r="E622" s="17"/>
      <c r="F622" s="17"/>
      <c r="G622" s="17"/>
      <c r="H622" s="17"/>
      <c r="I622" s="17"/>
    </row>
    <row r="623" ht="15.75" customHeight="1">
      <c r="E623" s="17"/>
      <c r="F623" s="17"/>
      <c r="G623" s="17"/>
      <c r="H623" s="17"/>
      <c r="I623" s="17"/>
    </row>
    <row r="624" ht="15.75" customHeight="1">
      <c r="E624" s="17"/>
      <c r="F624" s="17"/>
      <c r="G624" s="17"/>
      <c r="H624" s="17"/>
      <c r="I624" s="17"/>
    </row>
    <row r="625" ht="15.75" customHeight="1">
      <c r="E625" s="17"/>
      <c r="F625" s="17"/>
      <c r="G625" s="17"/>
      <c r="H625" s="17"/>
      <c r="I625" s="17"/>
    </row>
    <row r="626" ht="15.75" customHeight="1">
      <c r="E626" s="17"/>
      <c r="F626" s="17"/>
      <c r="G626" s="17"/>
      <c r="H626" s="17"/>
      <c r="I626" s="17"/>
    </row>
    <row r="627" ht="15.75" customHeight="1">
      <c r="E627" s="17"/>
      <c r="F627" s="17"/>
      <c r="G627" s="17"/>
      <c r="H627" s="17"/>
      <c r="I627" s="17"/>
    </row>
    <row r="628" ht="15.75" customHeight="1">
      <c r="E628" s="17"/>
      <c r="F628" s="17"/>
      <c r="G628" s="17"/>
      <c r="H628" s="17"/>
      <c r="I628" s="17"/>
    </row>
    <row r="629" ht="15.75" customHeight="1">
      <c r="E629" s="17"/>
      <c r="F629" s="17"/>
      <c r="G629" s="17"/>
      <c r="H629" s="17"/>
      <c r="I629" s="17"/>
    </row>
    <row r="630" ht="15.75" customHeight="1">
      <c r="E630" s="17"/>
      <c r="F630" s="17"/>
      <c r="G630" s="17"/>
      <c r="H630" s="17"/>
      <c r="I630" s="17"/>
    </row>
    <row r="631" ht="15.75" customHeight="1">
      <c r="E631" s="17"/>
      <c r="F631" s="17"/>
      <c r="G631" s="17"/>
      <c r="H631" s="17"/>
      <c r="I631" s="17"/>
    </row>
    <row r="632" ht="15.75" customHeight="1">
      <c r="E632" s="17"/>
      <c r="F632" s="17"/>
      <c r="G632" s="17"/>
      <c r="H632" s="17"/>
      <c r="I632" s="17"/>
    </row>
    <row r="633" ht="15.75" customHeight="1">
      <c r="E633" s="17"/>
      <c r="F633" s="17"/>
      <c r="G633" s="17"/>
      <c r="H633" s="17"/>
      <c r="I633" s="17"/>
    </row>
    <row r="634" ht="15.75" customHeight="1">
      <c r="E634" s="17"/>
      <c r="F634" s="17"/>
      <c r="G634" s="17"/>
      <c r="H634" s="17"/>
      <c r="I634" s="17"/>
    </row>
    <row r="635" ht="15.75" customHeight="1">
      <c r="E635" s="17"/>
      <c r="F635" s="17"/>
      <c r="G635" s="17"/>
      <c r="H635" s="17"/>
      <c r="I635" s="17"/>
    </row>
    <row r="636" ht="15.75" customHeight="1">
      <c r="E636" s="17"/>
      <c r="F636" s="17"/>
      <c r="G636" s="17"/>
      <c r="H636" s="17"/>
      <c r="I636" s="17"/>
    </row>
    <row r="637" ht="15.75" customHeight="1">
      <c r="E637" s="17"/>
      <c r="F637" s="17"/>
      <c r="G637" s="17"/>
      <c r="H637" s="17"/>
      <c r="I637" s="17"/>
    </row>
    <row r="638" ht="15.75" customHeight="1">
      <c r="E638" s="17"/>
      <c r="F638" s="17"/>
      <c r="G638" s="17"/>
      <c r="H638" s="17"/>
      <c r="I638" s="17"/>
    </row>
    <row r="639" ht="15.75" customHeight="1">
      <c r="E639" s="17"/>
      <c r="F639" s="17"/>
      <c r="G639" s="17"/>
      <c r="H639" s="17"/>
      <c r="I639" s="17"/>
    </row>
    <row r="640" ht="15.75" customHeight="1">
      <c r="E640" s="17"/>
      <c r="F640" s="17"/>
      <c r="G640" s="17"/>
      <c r="H640" s="17"/>
      <c r="I640" s="17"/>
    </row>
    <row r="641" ht="15.75" customHeight="1">
      <c r="E641" s="17"/>
      <c r="F641" s="17"/>
      <c r="G641" s="17"/>
      <c r="H641" s="17"/>
      <c r="I641" s="17"/>
    </row>
    <row r="642" ht="15.75" customHeight="1">
      <c r="E642" s="17"/>
      <c r="F642" s="17"/>
      <c r="G642" s="17"/>
      <c r="H642" s="17"/>
      <c r="I642" s="17"/>
    </row>
    <row r="643" ht="15.75" customHeight="1">
      <c r="E643" s="17"/>
      <c r="F643" s="17"/>
      <c r="G643" s="17"/>
      <c r="H643" s="17"/>
      <c r="I643" s="17"/>
    </row>
    <row r="644" ht="15.75" customHeight="1">
      <c r="E644" s="17"/>
      <c r="F644" s="17"/>
      <c r="G644" s="17"/>
      <c r="H644" s="17"/>
      <c r="I644" s="17"/>
    </row>
    <row r="645" ht="15.75" customHeight="1">
      <c r="E645" s="17"/>
      <c r="F645" s="17"/>
      <c r="G645" s="17"/>
      <c r="H645" s="17"/>
      <c r="I645" s="17"/>
    </row>
    <row r="646" ht="15.75" customHeight="1">
      <c r="E646" s="17"/>
      <c r="F646" s="17"/>
      <c r="G646" s="17"/>
      <c r="H646" s="17"/>
      <c r="I646" s="17"/>
    </row>
    <row r="647" ht="15.75" customHeight="1">
      <c r="E647" s="17"/>
      <c r="F647" s="17"/>
      <c r="G647" s="17"/>
      <c r="H647" s="17"/>
      <c r="I647" s="17"/>
    </row>
    <row r="648" ht="15.75" customHeight="1">
      <c r="E648" s="17"/>
      <c r="F648" s="17"/>
      <c r="G648" s="17"/>
      <c r="H648" s="17"/>
      <c r="I648" s="17"/>
    </row>
    <row r="649" ht="15.75" customHeight="1">
      <c r="E649" s="17"/>
      <c r="F649" s="17"/>
      <c r="G649" s="17"/>
      <c r="H649" s="17"/>
      <c r="I649" s="17"/>
    </row>
    <row r="650" ht="15.75" customHeight="1">
      <c r="E650" s="17"/>
      <c r="F650" s="17"/>
      <c r="G650" s="17"/>
      <c r="H650" s="17"/>
      <c r="I650" s="17"/>
    </row>
    <row r="651" ht="15.75" customHeight="1">
      <c r="E651" s="17"/>
      <c r="F651" s="17"/>
      <c r="G651" s="17"/>
      <c r="H651" s="17"/>
      <c r="I651" s="17"/>
    </row>
    <row r="652" ht="15.75" customHeight="1">
      <c r="E652" s="17"/>
      <c r="F652" s="17"/>
      <c r="G652" s="17"/>
      <c r="H652" s="17"/>
      <c r="I652" s="17"/>
    </row>
    <row r="653" ht="15.75" customHeight="1">
      <c r="E653" s="17"/>
      <c r="F653" s="17"/>
      <c r="G653" s="17"/>
      <c r="H653" s="17"/>
      <c r="I653" s="17"/>
    </row>
    <row r="654" ht="15.75" customHeight="1">
      <c r="E654" s="17"/>
      <c r="F654" s="17"/>
      <c r="G654" s="17"/>
      <c r="H654" s="17"/>
      <c r="I654" s="17"/>
    </row>
    <row r="655" ht="15.75" customHeight="1">
      <c r="E655" s="17"/>
      <c r="F655" s="17"/>
      <c r="G655" s="17"/>
      <c r="H655" s="17"/>
      <c r="I655" s="17"/>
    </row>
    <row r="656" ht="15.75" customHeight="1">
      <c r="E656" s="17"/>
      <c r="F656" s="17"/>
      <c r="G656" s="17"/>
      <c r="H656" s="17"/>
      <c r="I656" s="17"/>
    </row>
    <row r="657" ht="15.75" customHeight="1">
      <c r="E657" s="17"/>
      <c r="F657" s="17"/>
      <c r="G657" s="17"/>
      <c r="H657" s="17"/>
      <c r="I657" s="17"/>
    </row>
    <row r="658" ht="15.75" customHeight="1">
      <c r="E658" s="17"/>
      <c r="F658" s="17"/>
      <c r="G658" s="17"/>
      <c r="H658" s="17"/>
      <c r="I658" s="17"/>
    </row>
    <row r="659" ht="15.75" customHeight="1">
      <c r="E659" s="17"/>
      <c r="F659" s="17"/>
      <c r="G659" s="17"/>
      <c r="H659" s="17"/>
      <c r="I659" s="17"/>
    </row>
    <row r="660" ht="15.75" customHeight="1">
      <c r="E660" s="17"/>
      <c r="F660" s="17"/>
      <c r="G660" s="17"/>
      <c r="H660" s="17"/>
      <c r="I660" s="17"/>
    </row>
    <row r="661" ht="15.75" customHeight="1">
      <c r="E661" s="17"/>
      <c r="F661" s="17"/>
      <c r="G661" s="17"/>
      <c r="H661" s="17"/>
      <c r="I661" s="17"/>
    </row>
    <row r="662" ht="15.75" customHeight="1">
      <c r="E662" s="17"/>
      <c r="F662" s="17"/>
      <c r="G662" s="17"/>
      <c r="H662" s="17"/>
      <c r="I662" s="17"/>
    </row>
    <row r="663" ht="15.75" customHeight="1">
      <c r="E663" s="17"/>
      <c r="F663" s="17"/>
      <c r="G663" s="17"/>
      <c r="H663" s="17"/>
      <c r="I663" s="17"/>
    </row>
    <row r="664" ht="15.75" customHeight="1">
      <c r="E664" s="17"/>
      <c r="F664" s="17"/>
      <c r="G664" s="17"/>
      <c r="H664" s="17"/>
      <c r="I664" s="17"/>
    </row>
    <row r="665" ht="15.75" customHeight="1">
      <c r="E665" s="17"/>
      <c r="F665" s="17"/>
      <c r="G665" s="17"/>
      <c r="H665" s="17"/>
      <c r="I665" s="17"/>
    </row>
    <row r="666" ht="15.75" customHeight="1">
      <c r="E666" s="17"/>
      <c r="F666" s="17"/>
      <c r="G666" s="17"/>
      <c r="H666" s="17"/>
      <c r="I666" s="17"/>
    </row>
    <row r="667" ht="15.75" customHeight="1">
      <c r="E667" s="17"/>
      <c r="F667" s="17"/>
      <c r="G667" s="17"/>
      <c r="H667" s="17"/>
      <c r="I667" s="17"/>
    </row>
    <row r="668" ht="15.75" customHeight="1">
      <c r="E668" s="17"/>
      <c r="F668" s="17"/>
      <c r="G668" s="17"/>
      <c r="H668" s="17"/>
      <c r="I668" s="17"/>
    </row>
    <row r="669" ht="15.75" customHeight="1">
      <c r="E669" s="17"/>
      <c r="F669" s="17"/>
      <c r="G669" s="17"/>
      <c r="H669" s="17"/>
      <c r="I669" s="17"/>
    </row>
    <row r="670" ht="15.75" customHeight="1">
      <c r="E670" s="17"/>
      <c r="F670" s="17"/>
      <c r="G670" s="17"/>
      <c r="H670" s="17"/>
      <c r="I670" s="17"/>
    </row>
    <row r="671" ht="15.75" customHeight="1">
      <c r="E671" s="17"/>
      <c r="F671" s="17"/>
      <c r="G671" s="17"/>
      <c r="H671" s="17"/>
      <c r="I671" s="17"/>
    </row>
    <row r="672" ht="15.75" customHeight="1">
      <c r="E672" s="17"/>
      <c r="F672" s="17"/>
      <c r="G672" s="17"/>
      <c r="H672" s="17"/>
      <c r="I672" s="17"/>
    </row>
    <row r="673" ht="15.75" customHeight="1">
      <c r="E673" s="17"/>
      <c r="F673" s="17"/>
      <c r="G673" s="17"/>
      <c r="H673" s="17"/>
      <c r="I673" s="17"/>
    </row>
    <row r="674" ht="15.75" customHeight="1">
      <c r="E674" s="17"/>
      <c r="F674" s="17"/>
      <c r="G674" s="17"/>
      <c r="H674" s="17"/>
      <c r="I674" s="17"/>
    </row>
    <row r="675" ht="15.75" customHeight="1">
      <c r="E675" s="17"/>
      <c r="F675" s="17"/>
      <c r="G675" s="17"/>
      <c r="H675" s="17"/>
      <c r="I675" s="17"/>
    </row>
    <row r="676" ht="15.75" customHeight="1">
      <c r="E676" s="17"/>
      <c r="F676" s="17"/>
      <c r="G676" s="17"/>
      <c r="H676" s="17"/>
      <c r="I676" s="17"/>
    </row>
    <row r="677" ht="15.75" customHeight="1">
      <c r="E677" s="17"/>
      <c r="F677" s="17"/>
      <c r="G677" s="17"/>
      <c r="H677" s="17"/>
      <c r="I677" s="17"/>
    </row>
    <row r="678" ht="15.75" customHeight="1">
      <c r="E678" s="17"/>
      <c r="F678" s="17"/>
      <c r="G678" s="17"/>
      <c r="H678" s="17"/>
      <c r="I678" s="17"/>
    </row>
    <row r="679" ht="15.75" customHeight="1">
      <c r="E679" s="17"/>
      <c r="F679" s="17"/>
      <c r="G679" s="17"/>
      <c r="H679" s="17"/>
      <c r="I679" s="17"/>
    </row>
    <row r="680" ht="15.75" customHeight="1">
      <c r="E680" s="17"/>
      <c r="F680" s="17"/>
      <c r="G680" s="17"/>
      <c r="H680" s="17"/>
      <c r="I680" s="17"/>
    </row>
    <row r="681" ht="15.75" customHeight="1">
      <c r="E681" s="17"/>
      <c r="F681" s="17"/>
      <c r="G681" s="17"/>
      <c r="H681" s="17"/>
      <c r="I681" s="17"/>
    </row>
    <row r="682" ht="15.75" customHeight="1">
      <c r="E682" s="17"/>
      <c r="F682" s="17"/>
      <c r="G682" s="17"/>
      <c r="H682" s="17"/>
      <c r="I682" s="17"/>
    </row>
    <row r="683" ht="15.75" customHeight="1">
      <c r="E683" s="17"/>
      <c r="F683" s="17"/>
      <c r="G683" s="17"/>
      <c r="H683" s="17"/>
      <c r="I683" s="17"/>
    </row>
    <row r="684" ht="15.75" customHeight="1">
      <c r="E684" s="17"/>
      <c r="F684" s="17"/>
      <c r="G684" s="17"/>
      <c r="H684" s="17"/>
      <c r="I684" s="17"/>
    </row>
    <row r="685" ht="15.75" customHeight="1">
      <c r="E685" s="17"/>
      <c r="F685" s="17"/>
      <c r="G685" s="17"/>
      <c r="H685" s="17"/>
      <c r="I685" s="17"/>
    </row>
    <row r="686" ht="15.75" customHeight="1">
      <c r="E686" s="17"/>
      <c r="F686" s="17"/>
      <c r="G686" s="17"/>
      <c r="H686" s="17"/>
      <c r="I686" s="17"/>
    </row>
    <row r="687" ht="15.75" customHeight="1">
      <c r="E687" s="17"/>
      <c r="F687" s="17"/>
      <c r="G687" s="17"/>
      <c r="H687" s="17"/>
      <c r="I687" s="17"/>
    </row>
    <row r="688" ht="15.75" customHeight="1">
      <c r="E688" s="17"/>
      <c r="F688" s="17"/>
      <c r="G688" s="17"/>
      <c r="H688" s="17"/>
      <c r="I688" s="17"/>
    </row>
    <row r="689" ht="15.75" customHeight="1">
      <c r="E689" s="17"/>
      <c r="F689" s="17"/>
      <c r="G689" s="17"/>
      <c r="H689" s="17"/>
      <c r="I689" s="17"/>
    </row>
    <row r="690" ht="15.75" customHeight="1">
      <c r="E690" s="17"/>
      <c r="F690" s="17"/>
      <c r="G690" s="17"/>
      <c r="H690" s="17"/>
      <c r="I690" s="17"/>
    </row>
    <row r="691" ht="15.75" customHeight="1">
      <c r="E691" s="17"/>
      <c r="F691" s="17"/>
      <c r="G691" s="17"/>
      <c r="H691" s="17"/>
      <c r="I691" s="17"/>
    </row>
    <row r="692" ht="15.75" customHeight="1">
      <c r="E692" s="17"/>
      <c r="F692" s="17"/>
      <c r="G692" s="17"/>
      <c r="H692" s="17"/>
      <c r="I692" s="17"/>
    </row>
    <row r="693" ht="15.75" customHeight="1">
      <c r="E693" s="17"/>
      <c r="F693" s="17"/>
      <c r="G693" s="17"/>
      <c r="H693" s="17"/>
      <c r="I693" s="17"/>
    </row>
    <row r="694" ht="15.75" customHeight="1">
      <c r="E694" s="17"/>
      <c r="F694" s="17"/>
      <c r="G694" s="17"/>
      <c r="H694" s="17"/>
      <c r="I694" s="17"/>
    </row>
    <row r="695" ht="15.75" customHeight="1">
      <c r="E695" s="17"/>
      <c r="F695" s="17"/>
      <c r="G695" s="17"/>
      <c r="H695" s="17"/>
      <c r="I695" s="17"/>
    </row>
    <row r="696" ht="15.75" customHeight="1">
      <c r="E696" s="17"/>
      <c r="F696" s="17"/>
      <c r="G696" s="17"/>
      <c r="H696" s="17"/>
      <c r="I696" s="17"/>
    </row>
    <row r="697" ht="15.75" customHeight="1">
      <c r="E697" s="17"/>
      <c r="F697" s="17"/>
      <c r="G697" s="17"/>
      <c r="H697" s="17"/>
      <c r="I697" s="17"/>
    </row>
    <row r="698" ht="15.75" customHeight="1">
      <c r="E698" s="17"/>
      <c r="F698" s="17"/>
      <c r="G698" s="17"/>
      <c r="H698" s="17"/>
      <c r="I698" s="17"/>
    </row>
    <row r="699" ht="15.75" customHeight="1">
      <c r="E699" s="17"/>
      <c r="F699" s="17"/>
      <c r="G699" s="17"/>
      <c r="H699" s="17"/>
      <c r="I699" s="17"/>
    </row>
    <row r="700" ht="15.75" customHeight="1">
      <c r="E700" s="17"/>
      <c r="F700" s="17"/>
      <c r="G700" s="17"/>
      <c r="H700" s="17"/>
      <c r="I700" s="17"/>
    </row>
    <row r="701" ht="15.75" customHeight="1">
      <c r="E701" s="17"/>
      <c r="F701" s="17"/>
      <c r="G701" s="17"/>
      <c r="H701" s="17"/>
      <c r="I701" s="17"/>
    </row>
    <row r="702" ht="15.75" customHeight="1">
      <c r="E702" s="17"/>
      <c r="F702" s="17"/>
      <c r="G702" s="17"/>
      <c r="H702" s="17"/>
      <c r="I702" s="17"/>
    </row>
    <row r="703" ht="15.75" customHeight="1">
      <c r="E703" s="17"/>
      <c r="F703" s="17"/>
      <c r="G703" s="17"/>
      <c r="H703" s="17"/>
      <c r="I703" s="17"/>
    </row>
    <row r="704" ht="15.75" customHeight="1">
      <c r="E704" s="17"/>
      <c r="F704" s="17"/>
      <c r="G704" s="17"/>
      <c r="H704" s="17"/>
      <c r="I704" s="17"/>
    </row>
    <row r="705" ht="15.75" customHeight="1">
      <c r="E705" s="17"/>
      <c r="F705" s="17"/>
      <c r="G705" s="17"/>
      <c r="H705" s="17"/>
      <c r="I705" s="17"/>
    </row>
    <row r="706" ht="15.75" customHeight="1">
      <c r="E706" s="17"/>
      <c r="F706" s="17"/>
      <c r="G706" s="17"/>
      <c r="H706" s="17"/>
      <c r="I706" s="17"/>
    </row>
    <row r="707" ht="15.75" customHeight="1">
      <c r="E707" s="17"/>
      <c r="F707" s="17"/>
      <c r="G707" s="17"/>
      <c r="H707" s="17"/>
      <c r="I707" s="17"/>
    </row>
    <row r="708" ht="15.75" customHeight="1">
      <c r="E708" s="17"/>
      <c r="F708" s="17"/>
      <c r="G708" s="17"/>
      <c r="H708" s="17"/>
      <c r="I708" s="17"/>
    </row>
    <row r="709" ht="15.75" customHeight="1">
      <c r="E709" s="17"/>
      <c r="F709" s="17"/>
      <c r="G709" s="17"/>
      <c r="H709" s="17"/>
      <c r="I709" s="17"/>
    </row>
    <row r="710" ht="15.75" customHeight="1">
      <c r="E710" s="17"/>
      <c r="F710" s="17"/>
      <c r="G710" s="17"/>
      <c r="H710" s="17"/>
      <c r="I710" s="17"/>
    </row>
    <row r="711" ht="15.75" customHeight="1">
      <c r="E711" s="17"/>
      <c r="F711" s="17"/>
      <c r="G711" s="17"/>
      <c r="H711" s="17"/>
      <c r="I711" s="17"/>
    </row>
    <row r="712" ht="15.75" customHeight="1">
      <c r="E712" s="17"/>
      <c r="F712" s="17"/>
      <c r="G712" s="17"/>
      <c r="H712" s="17"/>
      <c r="I712" s="17"/>
    </row>
    <row r="713" ht="15.75" customHeight="1">
      <c r="E713" s="17"/>
      <c r="F713" s="17"/>
      <c r="G713" s="17"/>
      <c r="H713" s="17"/>
      <c r="I713" s="17"/>
    </row>
    <row r="714" ht="15.75" customHeight="1">
      <c r="E714" s="17"/>
      <c r="F714" s="17"/>
      <c r="G714" s="17"/>
      <c r="H714" s="17"/>
      <c r="I714" s="17"/>
    </row>
    <row r="715" ht="15.75" customHeight="1">
      <c r="E715" s="17"/>
      <c r="F715" s="17"/>
      <c r="G715" s="17"/>
      <c r="H715" s="17"/>
      <c r="I715" s="17"/>
    </row>
    <row r="716" ht="15.75" customHeight="1">
      <c r="E716" s="17"/>
      <c r="F716" s="17"/>
      <c r="G716" s="17"/>
      <c r="H716" s="17"/>
      <c r="I716" s="17"/>
    </row>
    <row r="717" ht="15.75" customHeight="1">
      <c r="E717" s="17"/>
      <c r="F717" s="17"/>
      <c r="G717" s="17"/>
      <c r="H717" s="17"/>
      <c r="I717" s="17"/>
    </row>
    <row r="718" ht="15.75" customHeight="1">
      <c r="E718" s="17"/>
      <c r="F718" s="17"/>
      <c r="G718" s="17"/>
      <c r="H718" s="17"/>
      <c r="I718" s="17"/>
    </row>
    <row r="719" ht="15.75" customHeight="1">
      <c r="E719" s="17"/>
      <c r="F719" s="17"/>
      <c r="G719" s="17"/>
      <c r="H719" s="17"/>
      <c r="I719" s="17"/>
    </row>
    <row r="720" ht="15.75" customHeight="1">
      <c r="E720" s="17"/>
      <c r="F720" s="17"/>
      <c r="G720" s="17"/>
      <c r="H720" s="17"/>
      <c r="I720" s="17"/>
    </row>
    <row r="721" ht="15.75" customHeight="1">
      <c r="E721" s="17"/>
      <c r="F721" s="17"/>
      <c r="G721" s="17"/>
      <c r="H721" s="17"/>
      <c r="I721" s="17"/>
    </row>
    <row r="722" ht="15.75" customHeight="1">
      <c r="E722" s="17"/>
      <c r="F722" s="17"/>
      <c r="G722" s="17"/>
      <c r="H722" s="17"/>
      <c r="I722" s="17"/>
    </row>
    <row r="723" ht="15.75" customHeight="1">
      <c r="E723" s="17"/>
      <c r="F723" s="17"/>
      <c r="G723" s="17"/>
      <c r="H723" s="17"/>
      <c r="I723" s="17"/>
    </row>
    <row r="724" ht="15.75" customHeight="1">
      <c r="E724" s="17"/>
      <c r="F724" s="17"/>
      <c r="G724" s="17"/>
      <c r="H724" s="17"/>
      <c r="I724" s="17"/>
    </row>
    <row r="725" ht="15.75" customHeight="1">
      <c r="E725" s="17"/>
      <c r="F725" s="17"/>
      <c r="G725" s="17"/>
      <c r="H725" s="17"/>
      <c r="I725" s="17"/>
    </row>
    <row r="726" ht="15.75" customHeight="1">
      <c r="E726" s="17"/>
      <c r="F726" s="17"/>
      <c r="G726" s="17"/>
      <c r="H726" s="17"/>
      <c r="I726" s="17"/>
    </row>
    <row r="727" ht="15.75" customHeight="1">
      <c r="E727" s="17"/>
      <c r="F727" s="17"/>
      <c r="G727" s="17"/>
      <c r="H727" s="17"/>
      <c r="I727" s="17"/>
    </row>
    <row r="728" ht="15.75" customHeight="1">
      <c r="E728" s="17"/>
      <c r="F728" s="17"/>
      <c r="G728" s="17"/>
      <c r="H728" s="17"/>
      <c r="I728" s="17"/>
    </row>
    <row r="729" ht="15.75" customHeight="1">
      <c r="E729" s="17"/>
      <c r="F729" s="17"/>
      <c r="G729" s="17"/>
      <c r="H729" s="17"/>
      <c r="I729" s="17"/>
    </row>
    <row r="730" ht="15.75" customHeight="1">
      <c r="E730" s="17"/>
      <c r="F730" s="17"/>
      <c r="G730" s="17"/>
      <c r="H730" s="17"/>
      <c r="I730" s="17"/>
    </row>
    <row r="731" ht="15.75" customHeight="1">
      <c r="E731" s="17"/>
      <c r="F731" s="17"/>
      <c r="G731" s="17"/>
      <c r="H731" s="17"/>
      <c r="I731" s="17"/>
    </row>
    <row r="732" ht="15.75" customHeight="1">
      <c r="E732" s="17"/>
      <c r="F732" s="17"/>
      <c r="G732" s="17"/>
      <c r="H732" s="17"/>
      <c r="I732" s="17"/>
    </row>
    <row r="733" ht="15.75" customHeight="1">
      <c r="E733" s="17"/>
      <c r="F733" s="17"/>
      <c r="G733" s="17"/>
      <c r="H733" s="17"/>
      <c r="I733" s="17"/>
    </row>
    <row r="734" ht="15.75" customHeight="1">
      <c r="E734" s="17"/>
      <c r="F734" s="17"/>
      <c r="G734" s="17"/>
      <c r="H734" s="17"/>
      <c r="I734" s="17"/>
    </row>
    <row r="735" ht="15.75" customHeight="1">
      <c r="E735" s="17"/>
      <c r="F735" s="17"/>
      <c r="G735" s="17"/>
      <c r="H735" s="17"/>
      <c r="I735" s="17"/>
    </row>
    <row r="736" ht="15.75" customHeight="1">
      <c r="E736" s="17"/>
      <c r="F736" s="17"/>
      <c r="G736" s="17"/>
      <c r="H736" s="17"/>
      <c r="I736" s="17"/>
    </row>
    <row r="737" ht="15.75" customHeight="1">
      <c r="E737" s="17"/>
      <c r="F737" s="17"/>
      <c r="G737" s="17"/>
      <c r="H737" s="17"/>
      <c r="I737" s="17"/>
    </row>
    <row r="738" ht="15.75" customHeight="1">
      <c r="E738" s="17"/>
      <c r="F738" s="17"/>
      <c r="G738" s="17"/>
      <c r="H738" s="17"/>
      <c r="I738" s="17"/>
    </row>
    <row r="739" ht="15.75" customHeight="1">
      <c r="E739" s="17"/>
      <c r="F739" s="17"/>
      <c r="G739" s="17"/>
      <c r="H739" s="17"/>
      <c r="I739" s="17"/>
    </row>
    <row r="740" ht="15.75" customHeight="1">
      <c r="E740" s="17"/>
      <c r="F740" s="17"/>
      <c r="G740" s="17"/>
      <c r="H740" s="17"/>
      <c r="I740" s="17"/>
    </row>
    <row r="741" ht="15.75" customHeight="1">
      <c r="E741" s="17"/>
      <c r="F741" s="17"/>
      <c r="G741" s="17"/>
      <c r="H741" s="17"/>
      <c r="I741" s="17"/>
    </row>
    <row r="742" ht="15.75" customHeight="1">
      <c r="E742" s="17"/>
      <c r="F742" s="17"/>
      <c r="G742" s="17"/>
      <c r="H742" s="17"/>
      <c r="I742" s="17"/>
    </row>
    <row r="743" ht="15.75" customHeight="1">
      <c r="E743" s="17"/>
      <c r="F743" s="17"/>
      <c r="G743" s="17"/>
      <c r="H743" s="17"/>
      <c r="I743" s="17"/>
    </row>
    <row r="744" ht="15.75" customHeight="1">
      <c r="E744" s="17"/>
      <c r="F744" s="17"/>
      <c r="G744" s="17"/>
      <c r="H744" s="17"/>
      <c r="I744" s="17"/>
    </row>
    <row r="745" ht="15.75" customHeight="1">
      <c r="E745" s="17"/>
      <c r="F745" s="17"/>
      <c r="G745" s="17"/>
      <c r="H745" s="17"/>
      <c r="I745" s="17"/>
    </row>
    <row r="746" ht="15.75" customHeight="1">
      <c r="E746" s="17"/>
      <c r="F746" s="17"/>
      <c r="G746" s="17"/>
      <c r="H746" s="17"/>
      <c r="I746" s="17"/>
    </row>
    <row r="747" ht="15.75" customHeight="1">
      <c r="E747" s="17"/>
      <c r="F747" s="17"/>
      <c r="G747" s="17"/>
      <c r="H747" s="17"/>
      <c r="I747" s="17"/>
    </row>
    <row r="748" ht="15.75" customHeight="1">
      <c r="E748" s="17"/>
      <c r="F748" s="17"/>
      <c r="G748" s="17"/>
      <c r="H748" s="17"/>
      <c r="I748" s="17"/>
    </row>
    <row r="749" ht="15.75" customHeight="1">
      <c r="E749" s="17"/>
      <c r="F749" s="17"/>
      <c r="G749" s="17"/>
      <c r="H749" s="17"/>
      <c r="I749" s="17"/>
    </row>
    <row r="750" ht="15.75" customHeight="1">
      <c r="E750" s="17"/>
      <c r="F750" s="17"/>
      <c r="G750" s="17"/>
      <c r="H750" s="17"/>
      <c r="I750" s="17"/>
    </row>
    <row r="751" ht="15.75" customHeight="1">
      <c r="E751" s="17"/>
      <c r="F751" s="17"/>
      <c r="G751" s="17"/>
      <c r="H751" s="17"/>
      <c r="I751" s="17"/>
    </row>
    <row r="752" ht="15.75" customHeight="1">
      <c r="E752" s="17"/>
      <c r="F752" s="17"/>
      <c r="G752" s="17"/>
      <c r="H752" s="17"/>
      <c r="I752" s="17"/>
    </row>
    <row r="753" ht="15.75" customHeight="1">
      <c r="E753" s="17"/>
      <c r="F753" s="17"/>
      <c r="G753" s="17"/>
      <c r="H753" s="17"/>
      <c r="I753" s="17"/>
    </row>
    <row r="754" ht="15.75" customHeight="1">
      <c r="E754" s="17"/>
      <c r="F754" s="17"/>
      <c r="G754" s="17"/>
      <c r="H754" s="17"/>
      <c r="I754" s="17"/>
    </row>
    <row r="755" ht="15.75" customHeight="1">
      <c r="E755" s="17"/>
      <c r="F755" s="17"/>
      <c r="G755" s="17"/>
      <c r="H755" s="17"/>
      <c r="I755" s="17"/>
    </row>
    <row r="756" ht="15.75" customHeight="1">
      <c r="E756" s="17"/>
      <c r="F756" s="17"/>
      <c r="G756" s="17"/>
      <c r="H756" s="17"/>
      <c r="I756" s="17"/>
    </row>
    <row r="757" ht="15.75" customHeight="1">
      <c r="E757" s="17"/>
      <c r="F757" s="17"/>
      <c r="G757" s="17"/>
      <c r="H757" s="17"/>
      <c r="I757" s="17"/>
    </row>
    <row r="758" ht="15.75" customHeight="1">
      <c r="E758" s="17"/>
      <c r="F758" s="17"/>
      <c r="G758" s="17"/>
      <c r="H758" s="17"/>
      <c r="I758" s="17"/>
    </row>
    <row r="759" ht="15.75" customHeight="1">
      <c r="E759" s="17"/>
      <c r="F759" s="17"/>
      <c r="G759" s="17"/>
      <c r="H759" s="17"/>
      <c r="I759" s="17"/>
    </row>
    <row r="760" ht="15.75" customHeight="1">
      <c r="E760" s="17"/>
      <c r="F760" s="17"/>
      <c r="G760" s="17"/>
      <c r="H760" s="17"/>
      <c r="I760" s="17"/>
    </row>
    <row r="761" ht="15.75" customHeight="1">
      <c r="E761" s="17"/>
      <c r="F761" s="17"/>
      <c r="G761" s="17"/>
      <c r="H761" s="17"/>
      <c r="I761" s="17"/>
    </row>
    <row r="762" ht="15.75" customHeight="1">
      <c r="E762" s="17"/>
      <c r="F762" s="17"/>
      <c r="G762" s="17"/>
      <c r="H762" s="17"/>
      <c r="I762" s="17"/>
    </row>
    <row r="763" ht="15.75" customHeight="1">
      <c r="E763" s="17"/>
      <c r="F763" s="17"/>
      <c r="G763" s="17"/>
      <c r="H763" s="17"/>
      <c r="I763" s="17"/>
    </row>
    <row r="764" ht="15.75" customHeight="1">
      <c r="E764" s="17"/>
      <c r="F764" s="17"/>
      <c r="G764" s="17"/>
      <c r="H764" s="17"/>
      <c r="I764" s="17"/>
    </row>
    <row r="765" ht="15.75" customHeight="1">
      <c r="E765" s="17"/>
      <c r="F765" s="17"/>
      <c r="G765" s="17"/>
      <c r="H765" s="17"/>
      <c r="I765" s="17"/>
    </row>
    <row r="766" ht="15.75" customHeight="1">
      <c r="E766" s="17"/>
      <c r="F766" s="17"/>
      <c r="G766" s="17"/>
      <c r="H766" s="17"/>
      <c r="I766" s="17"/>
    </row>
    <row r="767" ht="15.75" customHeight="1">
      <c r="E767" s="17"/>
      <c r="F767" s="17"/>
      <c r="G767" s="17"/>
      <c r="H767" s="17"/>
      <c r="I767" s="17"/>
    </row>
    <row r="768" ht="15.75" customHeight="1">
      <c r="E768" s="17"/>
      <c r="F768" s="17"/>
      <c r="G768" s="17"/>
      <c r="H768" s="17"/>
      <c r="I768" s="17"/>
    </row>
    <row r="769" ht="15.75" customHeight="1">
      <c r="E769" s="17"/>
      <c r="F769" s="17"/>
      <c r="G769" s="17"/>
      <c r="H769" s="17"/>
      <c r="I769" s="17"/>
    </row>
    <row r="770" ht="15.75" customHeight="1">
      <c r="E770" s="17"/>
      <c r="F770" s="17"/>
      <c r="G770" s="17"/>
      <c r="H770" s="17"/>
      <c r="I770" s="17"/>
    </row>
    <row r="771" ht="15.75" customHeight="1">
      <c r="E771" s="17"/>
      <c r="F771" s="17"/>
      <c r="G771" s="17"/>
      <c r="H771" s="17"/>
      <c r="I771" s="17"/>
    </row>
    <row r="772" ht="15.75" customHeight="1">
      <c r="E772" s="17"/>
      <c r="F772" s="17"/>
      <c r="G772" s="17"/>
      <c r="H772" s="17"/>
      <c r="I772" s="17"/>
    </row>
    <row r="773" ht="15.75" customHeight="1">
      <c r="E773" s="17"/>
      <c r="F773" s="17"/>
      <c r="G773" s="17"/>
      <c r="H773" s="17"/>
      <c r="I773" s="17"/>
    </row>
    <row r="774" ht="15.75" customHeight="1">
      <c r="E774" s="17"/>
      <c r="F774" s="17"/>
      <c r="G774" s="17"/>
      <c r="H774" s="17"/>
      <c r="I774" s="17"/>
    </row>
    <row r="775" ht="15.75" customHeight="1">
      <c r="E775" s="17"/>
      <c r="F775" s="17"/>
      <c r="G775" s="17"/>
      <c r="H775" s="17"/>
      <c r="I775" s="17"/>
    </row>
    <row r="776" ht="15.75" customHeight="1">
      <c r="E776" s="17"/>
      <c r="F776" s="17"/>
      <c r="G776" s="17"/>
      <c r="H776" s="17"/>
      <c r="I776" s="17"/>
    </row>
    <row r="777" ht="15.75" customHeight="1">
      <c r="E777" s="17"/>
      <c r="F777" s="17"/>
      <c r="G777" s="17"/>
      <c r="H777" s="17"/>
      <c r="I777" s="17"/>
    </row>
    <row r="778" ht="15.75" customHeight="1">
      <c r="E778" s="17"/>
      <c r="F778" s="17"/>
      <c r="G778" s="17"/>
      <c r="H778" s="17"/>
      <c r="I778" s="17"/>
    </row>
    <row r="779" ht="15.75" customHeight="1">
      <c r="E779" s="17"/>
      <c r="F779" s="17"/>
      <c r="G779" s="17"/>
      <c r="H779" s="17"/>
      <c r="I779" s="17"/>
    </row>
    <row r="780" ht="15.75" customHeight="1">
      <c r="E780" s="17"/>
      <c r="F780" s="17"/>
      <c r="G780" s="17"/>
      <c r="H780" s="17"/>
      <c r="I780" s="17"/>
    </row>
    <row r="781" ht="15.75" customHeight="1">
      <c r="E781" s="17"/>
      <c r="F781" s="17"/>
      <c r="G781" s="17"/>
      <c r="H781" s="17"/>
      <c r="I781" s="17"/>
    </row>
    <row r="782" ht="15.75" customHeight="1">
      <c r="E782" s="17"/>
      <c r="F782" s="17"/>
      <c r="G782" s="17"/>
      <c r="H782" s="17"/>
      <c r="I782" s="17"/>
    </row>
    <row r="783" ht="15.75" customHeight="1">
      <c r="E783" s="17"/>
      <c r="F783" s="17"/>
      <c r="G783" s="17"/>
      <c r="H783" s="17"/>
      <c r="I783" s="17"/>
    </row>
    <row r="784" ht="15.75" customHeight="1">
      <c r="E784" s="17"/>
      <c r="F784" s="17"/>
      <c r="G784" s="17"/>
      <c r="H784" s="17"/>
      <c r="I784" s="17"/>
    </row>
    <row r="785" ht="15.75" customHeight="1">
      <c r="E785" s="17"/>
      <c r="F785" s="17"/>
      <c r="G785" s="17"/>
      <c r="H785" s="17"/>
      <c r="I785" s="17"/>
    </row>
    <row r="786" ht="15.75" customHeight="1">
      <c r="E786" s="17"/>
      <c r="F786" s="17"/>
      <c r="G786" s="17"/>
      <c r="H786" s="17"/>
      <c r="I786" s="17"/>
    </row>
    <row r="787" ht="15.75" customHeight="1">
      <c r="E787" s="17"/>
      <c r="F787" s="17"/>
      <c r="G787" s="17"/>
      <c r="H787" s="17"/>
      <c r="I787" s="17"/>
    </row>
    <row r="788" ht="15.75" customHeight="1">
      <c r="E788" s="17"/>
      <c r="F788" s="17"/>
      <c r="G788" s="17"/>
      <c r="H788" s="17"/>
      <c r="I788" s="17"/>
    </row>
    <row r="789" ht="15.75" customHeight="1">
      <c r="E789" s="17"/>
      <c r="F789" s="17"/>
      <c r="G789" s="17"/>
      <c r="H789" s="17"/>
      <c r="I789" s="17"/>
    </row>
    <row r="790" ht="15.75" customHeight="1">
      <c r="E790" s="17"/>
      <c r="F790" s="17"/>
      <c r="G790" s="17"/>
      <c r="H790" s="17"/>
      <c r="I790" s="17"/>
    </row>
    <row r="791" ht="15.75" customHeight="1">
      <c r="E791" s="17"/>
      <c r="F791" s="17"/>
      <c r="G791" s="17"/>
      <c r="H791" s="17"/>
      <c r="I791" s="17"/>
    </row>
    <row r="792" ht="15.75" customHeight="1">
      <c r="E792" s="17"/>
      <c r="F792" s="17"/>
      <c r="G792" s="17"/>
      <c r="H792" s="17"/>
      <c r="I792" s="17"/>
    </row>
    <row r="793" ht="15.75" customHeight="1">
      <c r="E793" s="17"/>
      <c r="F793" s="17"/>
      <c r="G793" s="17"/>
      <c r="H793" s="17"/>
      <c r="I793" s="17"/>
    </row>
    <row r="794" ht="15.75" customHeight="1">
      <c r="E794" s="17"/>
      <c r="F794" s="17"/>
      <c r="G794" s="17"/>
      <c r="H794" s="17"/>
      <c r="I794" s="17"/>
    </row>
    <row r="795" ht="15.75" customHeight="1">
      <c r="E795" s="17"/>
      <c r="F795" s="17"/>
      <c r="G795" s="17"/>
      <c r="H795" s="17"/>
      <c r="I795" s="17"/>
    </row>
    <row r="796" ht="15.75" customHeight="1">
      <c r="E796" s="17"/>
      <c r="F796" s="17"/>
      <c r="G796" s="17"/>
      <c r="H796" s="17"/>
      <c r="I796" s="17"/>
    </row>
    <row r="797" ht="15.75" customHeight="1">
      <c r="E797" s="17"/>
      <c r="F797" s="17"/>
      <c r="G797" s="17"/>
      <c r="H797" s="17"/>
      <c r="I797" s="17"/>
    </row>
    <row r="798" ht="15.75" customHeight="1">
      <c r="E798" s="17"/>
      <c r="F798" s="17"/>
      <c r="G798" s="17"/>
      <c r="H798" s="17"/>
      <c r="I798" s="17"/>
    </row>
    <row r="799" ht="15.75" customHeight="1">
      <c r="E799" s="17"/>
      <c r="F799" s="17"/>
      <c r="G799" s="17"/>
      <c r="H799" s="17"/>
      <c r="I799" s="17"/>
    </row>
    <row r="800" ht="15.75" customHeight="1">
      <c r="E800" s="17"/>
      <c r="F800" s="17"/>
      <c r="G800" s="17"/>
      <c r="H800" s="17"/>
      <c r="I800" s="17"/>
    </row>
    <row r="801" ht="15.75" customHeight="1">
      <c r="E801" s="17"/>
      <c r="F801" s="17"/>
      <c r="G801" s="17"/>
      <c r="H801" s="17"/>
      <c r="I801" s="17"/>
    </row>
    <row r="802" ht="15.75" customHeight="1">
      <c r="E802" s="17"/>
      <c r="F802" s="17"/>
      <c r="G802" s="17"/>
      <c r="H802" s="17"/>
      <c r="I802" s="17"/>
    </row>
    <row r="803" ht="15.75" customHeight="1">
      <c r="E803" s="17"/>
      <c r="F803" s="17"/>
      <c r="G803" s="17"/>
      <c r="H803" s="17"/>
      <c r="I803" s="17"/>
    </row>
    <row r="804" ht="15.75" customHeight="1">
      <c r="E804" s="17"/>
      <c r="F804" s="17"/>
      <c r="G804" s="17"/>
      <c r="H804" s="17"/>
      <c r="I804" s="17"/>
    </row>
    <row r="805" ht="15.75" customHeight="1">
      <c r="E805" s="17"/>
      <c r="F805" s="17"/>
      <c r="G805" s="17"/>
      <c r="H805" s="17"/>
      <c r="I805" s="17"/>
    </row>
    <row r="806" ht="15.75" customHeight="1">
      <c r="E806" s="17"/>
      <c r="F806" s="17"/>
      <c r="G806" s="17"/>
      <c r="H806" s="17"/>
      <c r="I806" s="17"/>
    </row>
    <row r="807" ht="15.75" customHeight="1">
      <c r="E807" s="17"/>
      <c r="F807" s="17"/>
      <c r="G807" s="17"/>
      <c r="H807" s="17"/>
      <c r="I807" s="17"/>
    </row>
    <row r="808" ht="15.75" customHeight="1">
      <c r="E808" s="17"/>
      <c r="F808" s="17"/>
      <c r="G808" s="17"/>
      <c r="H808" s="17"/>
      <c r="I808" s="17"/>
    </row>
    <row r="809" ht="15.75" customHeight="1">
      <c r="E809" s="17"/>
      <c r="F809" s="17"/>
      <c r="G809" s="17"/>
      <c r="H809" s="17"/>
      <c r="I809" s="17"/>
    </row>
    <row r="810" ht="15.75" customHeight="1">
      <c r="E810" s="17"/>
      <c r="F810" s="17"/>
      <c r="G810" s="17"/>
      <c r="H810" s="17"/>
      <c r="I810" s="17"/>
    </row>
    <row r="811" ht="15.75" customHeight="1">
      <c r="E811" s="17"/>
      <c r="F811" s="17"/>
      <c r="G811" s="17"/>
      <c r="H811" s="17"/>
      <c r="I811" s="17"/>
    </row>
    <row r="812" ht="15.75" customHeight="1">
      <c r="E812" s="17"/>
      <c r="F812" s="17"/>
      <c r="G812" s="17"/>
      <c r="H812" s="17"/>
      <c r="I812" s="17"/>
    </row>
    <row r="813" ht="15.75" customHeight="1">
      <c r="E813" s="17"/>
      <c r="F813" s="17"/>
      <c r="G813" s="17"/>
      <c r="H813" s="17"/>
      <c r="I813" s="17"/>
    </row>
    <row r="814" ht="15.75" customHeight="1">
      <c r="E814" s="17"/>
      <c r="F814" s="17"/>
      <c r="G814" s="17"/>
      <c r="H814" s="17"/>
      <c r="I814" s="17"/>
    </row>
    <row r="815" ht="15.75" customHeight="1">
      <c r="E815" s="17"/>
      <c r="F815" s="17"/>
      <c r="G815" s="17"/>
      <c r="H815" s="17"/>
      <c r="I815" s="17"/>
    </row>
    <row r="816" ht="15.75" customHeight="1">
      <c r="E816" s="17"/>
      <c r="F816" s="17"/>
      <c r="G816" s="17"/>
      <c r="H816" s="17"/>
      <c r="I816" s="17"/>
    </row>
    <row r="817" ht="15.75" customHeight="1">
      <c r="E817" s="17"/>
      <c r="F817" s="17"/>
      <c r="G817" s="17"/>
      <c r="H817" s="17"/>
      <c r="I817" s="17"/>
    </row>
    <row r="818" ht="15.75" customHeight="1">
      <c r="E818" s="17"/>
      <c r="F818" s="17"/>
      <c r="G818" s="17"/>
      <c r="H818" s="17"/>
      <c r="I818" s="17"/>
    </row>
    <row r="819" ht="15.75" customHeight="1">
      <c r="E819" s="17"/>
      <c r="F819" s="17"/>
      <c r="G819" s="17"/>
      <c r="H819" s="17"/>
      <c r="I819" s="17"/>
    </row>
    <row r="820" ht="15.75" customHeight="1">
      <c r="E820" s="17"/>
      <c r="F820" s="17"/>
      <c r="G820" s="17"/>
      <c r="H820" s="17"/>
      <c r="I820" s="17"/>
    </row>
    <row r="821" ht="15.75" customHeight="1">
      <c r="E821" s="17"/>
      <c r="F821" s="17"/>
      <c r="G821" s="17"/>
      <c r="H821" s="17"/>
      <c r="I821" s="17"/>
    </row>
    <row r="822" ht="15.75" customHeight="1">
      <c r="E822" s="17"/>
      <c r="F822" s="17"/>
      <c r="G822" s="17"/>
      <c r="H822" s="17"/>
      <c r="I822" s="17"/>
    </row>
    <row r="823" ht="15.75" customHeight="1">
      <c r="E823" s="17"/>
      <c r="F823" s="17"/>
      <c r="G823" s="17"/>
      <c r="H823" s="17"/>
      <c r="I823" s="17"/>
    </row>
    <row r="824" ht="15.75" customHeight="1">
      <c r="E824" s="17"/>
      <c r="F824" s="17"/>
      <c r="G824" s="17"/>
      <c r="H824" s="17"/>
      <c r="I824" s="17"/>
    </row>
    <row r="825" ht="15.75" customHeight="1">
      <c r="E825" s="17"/>
      <c r="F825" s="17"/>
      <c r="G825" s="17"/>
      <c r="H825" s="17"/>
      <c r="I825" s="17"/>
    </row>
    <row r="826" ht="15.75" customHeight="1">
      <c r="E826" s="17"/>
      <c r="F826" s="17"/>
      <c r="G826" s="17"/>
      <c r="H826" s="17"/>
      <c r="I826" s="17"/>
    </row>
    <row r="827" ht="15.75" customHeight="1">
      <c r="E827" s="17"/>
      <c r="F827" s="17"/>
      <c r="G827" s="17"/>
      <c r="H827" s="17"/>
      <c r="I827" s="17"/>
    </row>
    <row r="828" ht="15.75" customHeight="1">
      <c r="E828" s="17"/>
      <c r="F828" s="17"/>
      <c r="G828" s="17"/>
      <c r="H828" s="17"/>
      <c r="I828" s="17"/>
    </row>
    <row r="829" ht="15.75" customHeight="1">
      <c r="E829" s="17"/>
      <c r="F829" s="17"/>
      <c r="G829" s="17"/>
      <c r="H829" s="17"/>
      <c r="I829" s="17"/>
    </row>
    <row r="830" ht="15.75" customHeight="1">
      <c r="E830" s="17"/>
      <c r="F830" s="17"/>
      <c r="G830" s="17"/>
      <c r="H830" s="17"/>
      <c r="I830" s="17"/>
    </row>
    <row r="831" ht="15.75" customHeight="1">
      <c r="E831" s="17"/>
      <c r="F831" s="17"/>
      <c r="G831" s="17"/>
      <c r="H831" s="17"/>
      <c r="I831" s="17"/>
    </row>
    <row r="832" ht="15.75" customHeight="1">
      <c r="E832" s="17"/>
      <c r="F832" s="17"/>
      <c r="G832" s="17"/>
      <c r="H832" s="17"/>
      <c r="I832" s="17"/>
    </row>
    <row r="833" ht="15.75" customHeight="1">
      <c r="E833" s="17"/>
      <c r="F833" s="17"/>
      <c r="G833" s="17"/>
      <c r="H833" s="17"/>
      <c r="I833" s="17"/>
    </row>
    <row r="834" ht="15.75" customHeight="1">
      <c r="E834" s="17"/>
      <c r="F834" s="17"/>
      <c r="G834" s="17"/>
      <c r="H834" s="17"/>
      <c r="I834" s="17"/>
    </row>
    <row r="835" ht="15.75" customHeight="1">
      <c r="E835" s="17"/>
      <c r="F835" s="17"/>
      <c r="G835" s="17"/>
      <c r="H835" s="17"/>
      <c r="I835" s="17"/>
    </row>
    <row r="836" ht="15.75" customHeight="1">
      <c r="E836" s="17"/>
      <c r="F836" s="17"/>
      <c r="G836" s="17"/>
      <c r="H836" s="17"/>
      <c r="I836" s="17"/>
    </row>
    <row r="837" ht="15.75" customHeight="1">
      <c r="E837" s="17"/>
      <c r="F837" s="17"/>
      <c r="G837" s="17"/>
      <c r="H837" s="17"/>
      <c r="I837" s="17"/>
    </row>
    <row r="838" ht="15.75" customHeight="1">
      <c r="E838" s="17"/>
      <c r="F838" s="17"/>
      <c r="G838" s="17"/>
      <c r="H838" s="17"/>
      <c r="I838" s="17"/>
    </row>
    <row r="839" ht="15.75" customHeight="1">
      <c r="E839" s="17"/>
      <c r="F839" s="17"/>
      <c r="G839" s="17"/>
      <c r="H839" s="17"/>
      <c r="I839" s="17"/>
    </row>
    <row r="840" ht="15.75" customHeight="1">
      <c r="E840" s="17"/>
      <c r="F840" s="17"/>
      <c r="G840" s="17"/>
      <c r="H840" s="17"/>
      <c r="I840" s="17"/>
    </row>
    <row r="841" ht="15.75" customHeight="1">
      <c r="E841" s="17"/>
      <c r="F841" s="17"/>
      <c r="G841" s="17"/>
      <c r="H841" s="17"/>
      <c r="I841" s="17"/>
    </row>
    <row r="842" ht="15.75" customHeight="1">
      <c r="E842" s="17"/>
      <c r="F842" s="17"/>
      <c r="G842" s="17"/>
      <c r="H842" s="17"/>
      <c r="I842" s="17"/>
    </row>
    <row r="843" ht="15.75" customHeight="1">
      <c r="E843" s="17"/>
      <c r="F843" s="17"/>
      <c r="G843" s="17"/>
      <c r="H843" s="17"/>
      <c r="I843" s="17"/>
    </row>
    <row r="844" ht="15.75" customHeight="1">
      <c r="E844" s="17"/>
      <c r="F844" s="17"/>
      <c r="G844" s="17"/>
      <c r="H844" s="17"/>
      <c r="I844" s="17"/>
    </row>
    <row r="845" ht="15.75" customHeight="1">
      <c r="E845" s="17"/>
      <c r="F845" s="17"/>
      <c r="G845" s="17"/>
      <c r="H845" s="17"/>
      <c r="I845" s="17"/>
    </row>
    <row r="846" ht="15.75" customHeight="1">
      <c r="E846" s="17"/>
      <c r="F846" s="17"/>
      <c r="G846" s="17"/>
      <c r="H846" s="17"/>
      <c r="I846" s="17"/>
    </row>
    <row r="847" ht="15.75" customHeight="1">
      <c r="E847" s="17"/>
      <c r="F847" s="17"/>
      <c r="G847" s="17"/>
      <c r="H847" s="17"/>
      <c r="I847" s="17"/>
    </row>
    <row r="848" ht="15.75" customHeight="1">
      <c r="E848" s="17"/>
      <c r="F848" s="17"/>
      <c r="G848" s="17"/>
      <c r="H848" s="17"/>
      <c r="I848" s="17"/>
    </row>
    <row r="849" ht="15.75" customHeight="1">
      <c r="E849" s="17"/>
      <c r="F849" s="17"/>
      <c r="G849" s="17"/>
      <c r="H849" s="17"/>
      <c r="I849" s="17"/>
    </row>
    <row r="850" ht="15.75" customHeight="1">
      <c r="E850" s="17"/>
      <c r="F850" s="17"/>
      <c r="G850" s="17"/>
      <c r="H850" s="17"/>
      <c r="I850" s="17"/>
    </row>
    <row r="851" ht="15.75" customHeight="1">
      <c r="E851" s="17"/>
      <c r="F851" s="17"/>
      <c r="G851" s="17"/>
      <c r="H851" s="17"/>
      <c r="I851" s="17"/>
    </row>
    <row r="852" ht="15.75" customHeight="1">
      <c r="E852" s="17"/>
      <c r="F852" s="17"/>
      <c r="G852" s="17"/>
      <c r="H852" s="17"/>
      <c r="I852" s="17"/>
    </row>
    <row r="853" ht="15.75" customHeight="1">
      <c r="E853" s="17"/>
      <c r="F853" s="17"/>
      <c r="G853" s="17"/>
      <c r="H853" s="17"/>
      <c r="I853" s="17"/>
    </row>
    <row r="854" ht="15.75" customHeight="1">
      <c r="E854" s="17"/>
      <c r="F854" s="17"/>
      <c r="G854" s="17"/>
      <c r="H854" s="17"/>
      <c r="I854" s="17"/>
    </row>
    <row r="855" ht="15.75" customHeight="1">
      <c r="E855" s="17"/>
      <c r="F855" s="17"/>
      <c r="G855" s="17"/>
      <c r="H855" s="17"/>
      <c r="I855" s="17"/>
    </row>
    <row r="856" ht="15.75" customHeight="1">
      <c r="E856" s="17"/>
      <c r="F856" s="17"/>
      <c r="G856" s="17"/>
      <c r="H856" s="17"/>
      <c r="I856" s="17"/>
    </row>
    <row r="857" ht="15.75" customHeight="1">
      <c r="E857" s="17"/>
      <c r="F857" s="17"/>
      <c r="G857" s="17"/>
      <c r="H857" s="17"/>
      <c r="I857" s="17"/>
    </row>
    <row r="858" ht="15.75" customHeight="1">
      <c r="E858" s="17"/>
      <c r="F858" s="17"/>
      <c r="G858" s="17"/>
      <c r="H858" s="17"/>
      <c r="I858" s="17"/>
    </row>
    <row r="859" ht="15.75" customHeight="1">
      <c r="E859" s="17"/>
      <c r="F859" s="17"/>
      <c r="G859" s="17"/>
      <c r="H859" s="17"/>
      <c r="I859" s="17"/>
    </row>
    <row r="860" ht="15.75" customHeight="1">
      <c r="E860" s="17"/>
      <c r="F860" s="17"/>
      <c r="G860" s="17"/>
      <c r="H860" s="17"/>
      <c r="I860" s="17"/>
    </row>
    <row r="861" ht="15.75" customHeight="1">
      <c r="E861" s="17"/>
      <c r="F861" s="17"/>
      <c r="G861" s="17"/>
      <c r="H861" s="17"/>
      <c r="I861" s="17"/>
    </row>
    <row r="862" ht="15.75" customHeight="1">
      <c r="E862" s="17"/>
      <c r="F862" s="17"/>
      <c r="G862" s="17"/>
      <c r="H862" s="17"/>
      <c r="I862" s="17"/>
    </row>
    <row r="863" ht="15.75" customHeight="1">
      <c r="E863" s="17"/>
      <c r="F863" s="17"/>
      <c r="G863" s="17"/>
      <c r="H863" s="17"/>
      <c r="I863" s="17"/>
    </row>
    <row r="864" ht="15.75" customHeight="1">
      <c r="E864" s="17"/>
      <c r="F864" s="17"/>
      <c r="G864" s="17"/>
      <c r="H864" s="17"/>
      <c r="I864" s="17"/>
    </row>
    <row r="865" ht="15.75" customHeight="1">
      <c r="E865" s="17"/>
      <c r="F865" s="17"/>
      <c r="G865" s="17"/>
      <c r="H865" s="17"/>
      <c r="I865" s="17"/>
    </row>
    <row r="866" ht="15.75" customHeight="1">
      <c r="E866" s="17"/>
      <c r="F866" s="17"/>
      <c r="G866" s="17"/>
      <c r="H866" s="17"/>
      <c r="I866" s="17"/>
    </row>
    <row r="867" ht="15.75" customHeight="1">
      <c r="E867" s="17"/>
      <c r="F867" s="17"/>
      <c r="G867" s="17"/>
      <c r="H867" s="17"/>
      <c r="I867" s="17"/>
    </row>
    <row r="868" ht="15.75" customHeight="1">
      <c r="E868" s="17"/>
      <c r="F868" s="17"/>
      <c r="G868" s="17"/>
      <c r="H868" s="17"/>
      <c r="I868" s="17"/>
    </row>
    <row r="869" ht="15.75" customHeight="1">
      <c r="E869" s="17"/>
      <c r="F869" s="17"/>
      <c r="G869" s="17"/>
      <c r="H869" s="17"/>
      <c r="I869" s="17"/>
    </row>
    <row r="870" ht="15.75" customHeight="1">
      <c r="E870" s="17"/>
      <c r="F870" s="17"/>
      <c r="G870" s="17"/>
      <c r="H870" s="17"/>
      <c r="I870" s="17"/>
    </row>
    <row r="871" ht="15.75" customHeight="1">
      <c r="E871" s="17"/>
      <c r="F871" s="17"/>
      <c r="G871" s="17"/>
      <c r="H871" s="17"/>
      <c r="I871" s="17"/>
    </row>
    <row r="872" ht="15.75" customHeight="1">
      <c r="E872" s="17"/>
      <c r="F872" s="17"/>
      <c r="G872" s="17"/>
      <c r="H872" s="17"/>
      <c r="I872" s="17"/>
    </row>
    <row r="873" ht="15.75" customHeight="1">
      <c r="E873" s="17"/>
      <c r="F873" s="17"/>
      <c r="G873" s="17"/>
      <c r="H873" s="17"/>
      <c r="I873" s="17"/>
    </row>
    <row r="874" ht="15.75" customHeight="1">
      <c r="E874" s="17"/>
      <c r="F874" s="17"/>
      <c r="G874" s="17"/>
      <c r="H874" s="17"/>
      <c r="I874" s="17"/>
    </row>
    <row r="875" ht="15.75" customHeight="1">
      <c r="E875" s="17"/>
      <c r="F875" s="17"/>
      <c r="G875" s="17"/>
      <c r="H875" s="17"/>
      <c r="I875" s="17"/>
    </row>
    <row r="876" ht="15.75" customHeight="1">
      <c r="E876" s="17"/>
      <c r="F876" s="17"/>
      <c r="G876" s="17"/>
      <c r="H876" s="17"/>
      <c r="I876" s="17"/>
    </row>
    <row r="877" ht="15.75" customHeight="1">
      <c r="E877" s="17"/>
      <c r="F877" s="17"/>
      <c r="G877" s="17"/>
      <c r="H877" s="17"/>
      <c r="I877" s="17"/>
    </row>
    <row r="878" ht="15.75" customHeight="1">
      <c r="E878" s="17"/>
      <c r="F878" s="17"/>
      <c r="G878" s="17"/>
      <c r="H878" s="17"/>
      <c r="I878" s="17"/>
    </row>
    <row r="879" ht="15.75" customHeight="1">
      <c r="E879" s="17"/>
      <c r="F879" s="17"/>
      <c r="G879" s="17"/>
      <c r="H879" s="17"/>
      <c r="I879" s="17"/>
    </row>
    <row r="880" ht="15.75" customHeight="1">
      <c r="E880" s="17"/>
      <c r="F880" s="17"/>
      <c r="G880" s="17"/>
      <c r="H880" s="17"/>
      <c r="I880" s="17"/>
    </row>
    <row r="881" ht="15.75" customHeight="1">
      <c r="E881" s="17"/>
      <c r="F881" s="17"/>
      <c r="G881" s="17"/>
      <c r="H881" s="17"/>
      <c r="I881" s="17"/>
    </row>
    <row r="882" ht="15.75" customHeight="1">
      <c r="E882" s="17"/>
      <c r="F882" s="17"/>
      <c r="G882" s="17"/>
      <c r="H882" s="17"/>
      <c r="I882" s="17"/>
    </row>
    <row r="883" ht="15.75" customHeight="1">
      <c r="E883" s="17"/>
      <c r="F883" s="17"/>
      <c r="G883" s="17"/>
      <c r="H883" s="17"/>
      <c r="I883" s="17"/>
    </row>
    <row r="884" ht="15.75" customHeight="1">
      <c r="E884" s="17"/>
      <c r="F884" s="17"/>
      <c r="G884" s="17"/>
      <c r="H884" s="17"/>
      <c r="I884" s="17"/>
    </row>
    <row r="885" ht="15.75" customHeight="1">
      <c r="E885" s="17"/>
      <c r="F885" s="17"/>
      <c r="G885" s="17"/>
      <c r="H885" s="17"/>
      <c r="I885" s="17"/>
    </row>
    <row r="886" ht="15.75" customHeight="1">
      <c r="E886" s="17"/>
      <c r="F886" s="17"/>
      <c r="G886" s="17"/>
      <c r="H886" s="17"/>
      <c r="I886" s="17"/>
    </row>
    <row r="887" ht="15.75" customHeight="1">
      <c r="E887" s="17"/>
      <c r="F887" s="17"/>
      <c r="G887" s="17"/>
      <c r="H887" s="17"/>
      <c r="I887" s="17"/>
    </row>
    <row r="888" ht="15.75" customHeight="1">
      <c r="E888" s="17"/>
      <c r="F888" s="17"/>
      <c r="G888" s="17"/>
      <c r="H888" s="17"/>
      <c r="I888" s="17"/>
    </row>
    <row r="889" ht="15.75" customHeight="1">
      <c r="E889" s="17"/>
      <c r="F889" s="17"/>
      <c r="G889" s="17"/>
      <c r="H889" s="17"/>
      <c r="I889" s="17"/>
    </row>
    <row r="890" ht="15.75" customHeight="1">
      <c r="E890" s="17"/>
      <c r="F890" s="17"/>
      <c r="G890" s="17"/>
      <c r="H890" s="17"/>
      <c r="I890" s="17"/>
    </row>
    <row r="891" ht="15.75" customHeight="1">
      <c r="E891" s="17"/>
      <c r="F891" s="17"/>
      <c r="G891" s="17"/>
      <c r="H891" s="17"/>
      <c r="I891" s="17"/>
    </row>
    <row r="892" ht="15.75" customHeight="1">
      <c r="E892" s="17"/>
      <c r="F892" s="17"/>
      <c r="G892" s="17"/>
      <c r="H892" s="17"/>
      <c r="I892" s="17"/>
    </row>
    <row r="893" ht="15.75" customHeight="1">
      <c r="E893" s="17"/>
      <c r="F893" s="17"/>
      <c r="G893" s="17"/>
      <c r="H893" s="17"/>
      <c r="I893" s="17"/>
    </row>
    <row r="894" ht="15.75" customHeight="1">
      <c r="E894" s="17"/>
      <c r="F894" s="17"/>
      <c r="G894" s="17"/>
      <c r="H894" s="17"/>
      <c r="I894" s="17"/>
    </row>
    <row r="895" ht="15.75" customHeight="1">
      <c r="E895" s="17"/>
      <c r="F895" s="17"/>
      <c r="G895" s="17"/>
      <c r="H895" s="17"/>
      <c r="I895" s="17"/>
    </row>
    <row r="896" ht="15.75" customHeight="1">
      <c r="E896" s="17"/>
      <c r="F896" s="17"/>
      <c r="G896" s="17"/>
      <c r="H896" s="17"/>
      <c r="I896" s="17"/>
    </row>
    <row r="897" ht="15.75" customHeight="1">
      <c r="E897" s="17"/>
      <c r="F897" s="17"/>
      <c r="G897" s="17"/>
      <c r="H897" s="17"/>
      <c r="I897" s="17"/>
    </row>
    <row r="898" ht="15.75" customHeight="1">
      <c r="E898" s="17"/>
      <c r="F898" s="17"/>
      <c r="G898" s="17"/>
      <c r="H898" s="17"/>
      <c r="I898" s="17"/>
    </row>
    <row r="899" ht="15.75" customHeight="1">
      <c r="E899" s="17"/>
      <c r="F899" s="17"/>
      <c r="G899" s="17"/>
      <c r="H899" s="17"/>
      <c r="I899" s="17"/>
    </row>
    <row r="900" ht="15.75" customHeight="1">
      <c r="E900" s="17"/>
      <c r="F900" s="17"/>
      <c r="G900" s="17"/>
      <c r="H900" s="17"/>
      <c r="I900" s="17"/>
    </row>
    <row r="901" ht="15.75" customHeight="1">
      <c r="E901" s="17"/>
      <c r="F901" s="17"/>
      <c r="G901" s="17"/>
      <c r="H901" s="17"/>
      <c r="I901" s="17"/>
    </row>
    <row r="902" ht="15.75" customHeight="1">
      <c r="E902" s="17"/>
      <c r="F902" s="17"/>
      <c r="G902" s="17"/>
      <c r="H902" s="17"/>
      <c r="I902" s="17"/>
    </row>
    <row r="903" ht="15.75" customHeight="1">
      <c r="E903" s="17"/>
      <c r="F903" s="17"/>
      <c r="G903" s="17"/>
      <c r="H903" s="17"/>
      <c r="I903" s="17"/>
    </row>
    <row r="904" ht="15.75" customHeight="1">
      <c r="E904" s="17"/>
      <c r="F904" s="17"/>
      <c r="G904" s="17"/>
      <c r="H904" s="17"/>
      <c r="I904" s="17"/>
    </row>
    <row r="905" ht="15.75" customHeight="1">
      <c r="E905" s="17"/>
      <c r="F905" s="17"/>
      <c r="G905" s="17"/>
      <c r="H905" s="17"/>
      <c r="I905" s="17"/>
    </row>
    <row r="906" ht="15.75" customHeight="1">
      <c r="E906" s="17"/>
      <c r="F906" s="17"/>
      <c r="G906" s="17"/>
      <c r="H906" s="17"/>
      <c r="I906" s="17"/>
    </row>
    <row r="907" ht="15.75" customHeight="1">
      <c r="E907" s="17"/>
      <c r="F907" s="17"/>
      <c r="G907" s="17"/>
      <c r="H907" s="17"/>
      <c r="I907" s="17"/>
    </row>
    <row r="908" ht="15.75" customHeight="1">
      <c r="E908" s="17"/>
      <c r="F908" s="17"/>
      <c r="G908" s="17"/>
      <c r="H908" s="17"/>
      <c r="I908" s="17"/>
    </row>
    <row r="909" ht="15.75" customHeight="1">
      <c r="E909" s="17"/>
      <c r="F909" s="17"/>
      <c r="G909" s="17"/>
      <c r="H909" s="17"/>
      <c r="I909" s="17"/>
    </row>
    <row r="910" ht="15.75" customHeight="1">
      <c r="E910" s="17"/>
      <c r="F910" s="17"/>
      <c r="G910" s="17"/>
      <c r="H910" s="17"/>
      <c r="I910" s="17"/>
    </row>
    <row r="911" ht="15.75" customHeight="1">
      <c r="E911" s="17"/>
      <c r="F911" s="17"/>
      <c r="G911" s="17"/>
      <c r="H911" s="17"/>
      <c r="I911" s="17"/>
    </row>
    <row r="912" ht="15.75" customHeight="1">
      <c r="E912" s="17"/>
      <c r="F912" s="17"/>
      <c r="G912" s="17"/>
      <c r="H912" s="17"/>
      <c r="I912" s="17"/>
    </row>
    <row r="913" ht="15.75" customHeight="1">
      <c r="E913" s="17"/>
      <c r="F913" s="17"/>
      <c r="G913" s="17"/>
      <c r="H913" s="17"/>
      <c r="I913" s="17"/>
    </row>
    <row r="914" ht="15.75" customHeight="1">
      <c r="E914" s="17"/>
      <c r="F914" s="17"/>
      <c r="G914" s="17"/>
      <c r="H914" s="17"/>
      <c r="I914" s="17"/>
    </row>
    <row r="915" ht="15.75" customHeight="1">
      <c r="E915" s="17"/>
      <c r="F915" s="17"/>
      <c r="G915" s="17"/>
      <c r="H915" s="17"/>
      <c r="I915" s="17"/>
    </row>
    <row r="916" ht="15.75" customHeight="1">
      <c r="E916" s="17"/>
      <c r="F916" s="17"/>
      <c r="G916" s="17"/>
      <c r="H916" s="17"/>
      <c r="I916" s="17"/>
    </row>
    <row r="917" ht="15.75" customHeight="1">
      <c r="E917" s="17"/>
      <c r="F917" s="17"/>
      <c r="G917" s="17"/>
      <c r="H917" s="17"/>
      <c r="I917" s="17"/>
    </row>
    <row r="918" ht="15.75" customHeight="1">
      <c r="E918" s="17"/>
      <c r="F918" s="17"/>
      <c r="G918" s="17"/>
      <c r="H918" s="17"/>
      <c r="I918" s="17"/>
    </row>
    <row r="919" ht="15.75" customHeight="1">
      <c r="E919" s="17"/>
      <c r="F919" s="17"/>
      <c r="G919" s="17"/>
      <c r="H919" s="17"/>
      <c r="I919" s="17"/>
    </row>
    <row r="920" ht="15.75" customHeight="1">
      <c r="E920" s="17"/>
      <c r="F920" s="17"/>
      <c r="G920" s="17"/>
      <c r="H920" s="17"/>
      <c r="I920" s="17"/>
    </row>
    <row r="921" ht="15.75" customHeight="1">
      <c r="E921" s="17"/>
      <c r="F921" s="17"/>
      <c r="G921" s="17"/>
      <c r="H921" s="17"/>
      <c r="I921" s="17"/>
    </row>
    <row r="922" ht="15.75" customHeight="1">
      <c r="E922" s="17"/>
      <c r="F922" s="17"/>
      <c r="G922" s="17"/>
      <c r="H922" s="17"/>
      <c r="I922" s="17"/>
    </row>
    <row r="923" ht="15.75" customHeight="1">
      <c r="E923" s="17"/>
      <c r="F923" s="17"/>
      <c r="G923" s="17"/>
      <c r="H923" s="17"/>
      <c r="I923" s="17"/>
    </row>
    <row r="924" ht="15.75" customHeight="1">
      <c r="E924" s="17"/>
      <c r="F924" s="17"/>
      <c r="G924" s="17"/>
      <c r="H924" s="17"/>
      <c r="I924" s="17"/>
    </row>
    <row r="925" ht="15.75" customHeight="1">
      <c r="E925" s="17"/>
      <c r="F925" s="17"/>
      <c r="G925" s="17"/>
      <c r="H925" s="17"/>
      <c r="I925" s="17"/>
    </row>
    <row r="926" ht="15.75" customHeight="1">
      <c r="E926" s="17"/>
      <c r="F926" s="17"/>
      <c r="G926" s="17"/>
      <c r="H926" s="17"/>
      <c r="I926" s="17"/>
    </row>
    <row r="927" ht="15.75" customHeight="1">
      <c r="E927" s="17"/>
      <c r="F927" s="17"/>
      <c r="G927" s="17"/>
      <c r="H927" s="17"/>
      <c r="I927" s="17"/>
    </row>
    <row r="928" ht="15.75" customHeight="1">
      <c r="E928" s="17"/>
      <c r="F928" s="17"/>
      <c r="G928" s="17"/>
      <c r="H928" s="17"/>
      <c r="I928" s="17"/>
    </row>
    <row r="929" ht="15.75" customHeight="1">
      <c r="E929" s="17"/>
      <c r="F929" s="17"/>
      <c r="G929" s="17"/>
      <c r="H929" s="17"/>
      <c r="I929" s="17"/>
    </row>
    <row r="930" ht="15.75" customHeight="1">
      <c r="E930" s="17"/>
      <c r="F930" s="17"/>
      <c r="G930" s="17"/>
      <c r="H930" s="17"/>
      <c r="I930" s="17"/>
    </row>
    <row r="931" ht="15.75" customHeight="1">
      <c r="E931" s="17"/>
      <c r="F931" s="17"/>
      <c r="G931" s="17"/>
      <c r="H931" s="17"/>
      <c r="I931" s="17"/>
    </row>
    <row r="932" ht="15.75" customHeight="1">
      <c r="E932" s="17"/>
      <c r="F932" s="17"/>
      <c r="G932" s="17"/>
      <c r="H932" s="17"/>
      <c r="I932" s="17"/>
    </row>
    <row r="933" ht="15.75" customHeight="1">
      <c r="E933" s="17"/>
      <c r="F933" s="17"/>
      <c r="G933" s="17"/>
      <c r="H933" s="17"/>
      <c r="I933" s="17"/>
    </row>
    <row r="934" ht="15.75" customHeight="1">
      <c r="E934" s="17"/>
      <c r="F934" s="17"/>
      <c r="G934" s="17"/>
      <c r="H934" s="17"/>
      <c r="I934" s="17"/>
    </row>
    <row r="935" ht="15.75" customHeight="1">
      <c r="E935" s="17"/>
      <c r="F935" s="17"/>
      <c r="G935" s="17"/>
      <c r="H935" s="17"/>
      <c r="I935" s="17"/>
    </row>
    <row r="936" ht="15.75" customHeight="1">
      <c r="E936" s="17"/>
      <c r="F936" s="17"/>
      <c r="G936" s="17"/>
      <c r="H936" s="17"/>
      <c r="I936" s="17"/>
    </row>
    <row r="937" ht="15.75" customHeight="1">
      <c r="E937" s="17"/>
      <c r="F937" s="17"/>
      <c r="G937" s="17"/>
      <c r="H937" s="17"/>
      <c r="I937" s="17"/>
    </row>
    <row r="938" ht="15.75" customHeight="1">
      <c r="E938" s="17"/>
      <c r="F938" s="17"/>
      <c r="G938" s="17"/>
      <c r="H938" s="17"/>
      <c r="I938" s="17"/>
    </row>
    <row r="939" ht="15.75" customHeight="1">
      <c r="E939" s="17"/>
      <c r="F939" s="17"/>
      <c r="G939" s="17"/>
      <c r="H939" s="17"/>
      <c r="I939" s="17"/>
    </row>
    <row r="940" ht="15.75" customHeight="1">
      <c r="E940" s="17"/>
      <c r="F940" s="17"/>
      <c r="G940" s="17"/>
      <c r="H940" s="17"/>
      <c r="I940" s="17"/>
    </row>
    <row r="941" ht="15.75" customHeight="1">
      <c r="E941" s="17"/>
      <c r="F941" s="17"/>
      <c r="G941" s="17"/>
      <c r="H941" s="17"/>
      <c r="I941" s="17"/>
    </row>
    <row r="942" ht="15.75" customHeight="1">
      <c r="E942" s="17"/>
      <c r="F942" s="17"/>
      <c r="G942" s="17"/>
      <c r="H942" s="17"/>
      <c r="I942" s="17"/>
    </row>
    <row r="943" ht="15.75" customHeight="1">
      <c r="E943" s="17"/>
      <c r="F943" s="17"/>
      <c r="G943" s="17"/>
      <c r="H943" s="17"/>
      <c r="I943" s="17"/>
    </row>
    <row r="944" ht="15.75" customHeight="1">
      <c r="E944" s="17"/>
      <c r="F944" s="17"/>
      <c r="G944" s="17"/>
      <c r="H944" s="17"/>
      <c r="I944" s="17"/>
    </row>
    <row r="945" ht="15.75" customHeight="1">
      <c r="E945" s="17"/>
      <c r="F945" s="17"/>
      <c r="G945" s="17"/>
      <c r="H945" s="17"/>
      <c r="I945" s="17"/>
    </row>
    <row r="946" ht="15.75" customHeight="1">
      <c r="E946" s="17"/>
      <c r="F946" s="17"/>
      <c r="G946" s="17"/>
      <c r="H946" s="17"/>
      <c r="I946" s="17"/>
    </row>
    <row r="947" ht="15.75" customHeight="1">
      <c r="E947" s="17"/>
      <c r="F947" s="17"/>
      <c r="G947" s="17"/>
      <c r="H947" s="17"/>
      <c r="I947" s="17"/>
    </row>
    <row r="948" ht="15.75" customHeight="1">
      <c r="E948" s="17"/>
      <c r="F948" s="17"/>
      <c r="G948" s="17"/>
      <c r="H948" s="17"/>
      <c r="I948" s="17"/>
    </row>
    <row r="949" ht="15.75" customHeight="1">
      <c r="E949" s="17"/>
      <c r="F949" s="17"/>
      <c r="G949" s="17"/>
      <c r="H949" s="17"/>
      <c r="I949" s="17"/>
    </row>
    <row r="950" ht="15.75" customHeight="1">
      <c r="E950" s="17"/>
      <c r="F950" s="17"/>
      <c r="G950" s="17"/>
      <c r="H950" s="17"/>
      <c r="I950" s="17"/>
    </row>
    <row r="951" ht="15.75" customHeight="1">
      <c r="E951" s="17"/>
      <c r="F951" s="17"/>
      <c r="G951" s="17"/>
      <c r="H951" s="17"/>
      <c r="I951" s="17"/>
    </row>
    <row r="952" ht="15.75" customHeight="1">
      <c r="E952" s="17"/>
      <c r="F952" s="17"/>
      <c r="G952" s="17"/>
      <c r="H952" s="17"/>
      <c r="I952" s="17"/>
    </row>
    <row r="953" ht="15.75" customHeight="1">
      <c r="E953" s="17"/>
      <c r="F953" s="17"/>
      <c r="G953" s="17"/>
      <c r="H953" s="17"/>
      <c r="I953" s="17"/>
    </row>
    <row r="954" ht="15.75" customHeight="1">
      <c r="E954" s="17"/>
      <c r="F954" s="17"/>
      <c r="G954" s="17"/>
      <c r="H954" s="17"/>
      <c r="I954" s="17"/>
    </row>
    <row r="955" ht="15.75" customHeight="1">
      <c r="E955" s="17"/>
      <c r="F955" s="17"/>
      <c r="G955" s="17"/>
      <c r="H955" s="17"/>
      <c r="I955" s="17"/>
    </row>
    <row r="956" ht="15.75" customHeight="1">
      <c r="E956" s="17"/>
      <c r="F956" s="17"/>
      <c r="G956" s="17"/>
      <c r="H956" s="17"/>
      <c r="I956" s="17"/>
    </row>
    <row r="957" ht="15.75" customHeight="1">
      <c r="E957" s="17"/>
      <c r="F957" s="17"/>
      <c r="G957" s="17"/>
      <c r="H957" s="17"/>
      <c r="I957" s="17"/>
    </row>
    <row r="958" ht="15.75" customHeight="1">
      <c r="E958" s="17"/>
      <c r="F958" s="17"/>
      <c r="G958" s="17"/>
      <c r="H958" s="17"/>
      <c r="I958" s="17"/>
    </row>
    <row r="959" ht="15.75" customHeight="1">
      <c r="E959" s="17"/>
      <c r="F959" s="17"/>
      <c r="G959" s="17"/>
      <c r="H959" s="17"/>
      <c r="I959" s="17"/>
    </row>
    <row r="960" ht="15.75" customHeight="1">
      <c r="E960" s="17"/>
      <c r="F960" s="17"/>
      <c r="G960" s="17"/>
      <c r="H960" s="17"/>
      <c r="I960" s="17"/>
    </row>
    <row r="961" ht="15.75" customHeight="1">
      <c r="E961" s="17"/>
      <c r="F961" s="17"/>
      <c r="G961" s="17"/>
      <c r="H961" s="17"/>
      <c r="I961" s="17"/>
    </row>
    <row r="962" ht="15.75" customHeight="1">
      <c r="E962" s="17"/>
      <c r="F962" s="17"/>
      <c r="G962" s="17"/>
      <c r="H962" s="17"/>
      <c r="I962" s="17"/>
    </row>
    <row r="963" ht="15.75" customHeight="1">
      <c r="E963" s="17"/>
      <c r="F963" s="17"/>
      <c r="G963" s="17"/>
      <c r="H963" s="17"/>
      <c r="I963" s="17"/>
    </row>
    <row r="964" ht="15.75" customHeight="1">
      <c r="E964" s="17"/>
      <c r="F964" s="17"/>
      <c r="G964" s="17"/>
      <c r="H964" s="17"/>
      <c r="I964" s="17"/>
    </row>
    <row r="965" ht="15.75" customHeight="1">
      <c r="E965" s="17"/>
      <c r="F965" s="17"/>
      <c r="G965" s="17"/>
      <c r="H965" s="17"/>
      <c r="I965" s="17"/>
    </row>
    <row r="966" ht="15.75" customHeight="1">
      <c r="E966" s="17"/>
      <c r="F966" s="17"/>
      <c r="G966" s="17"/>
      <c r="H966" s="17"/>
      <c r="I966" s="17"/>
    </row>
    <row r="967" ht="15.75" customHeight="1">
      <c r="E967" s="17"/>
      <c r="F967" s="17"/>
      <c r="G967" s="17"/>
      <c r="H967" s="17"/>
      <c r="I967" s="17"/>
    </row>
    <row r="968" ht="15.75" customHeight="1">
      <c r="E968" s="17"/>
      <c r="F968" s="17"/>
      <c r="G968" s="17"/>
      <c r="H968" s="17"/>
      <c r="I968" s="17"/>
    </row>
    <row r="969" ht="15.75" customHeight="1">
      <c r="E969" s="17"/>
      <c r="F969" s="17"/>
      <c r="G969" s="17"/>
      <c r="H969" s="17"/>
      <c r="I969" s="17"/>
    </row>
    <row r="970" ht="15.75" customHeight="1">
      <c r="E970" s="17"/>
      <c r="F970" s="17"/>
      <c r="G970" s="17"/>
      <c r="H970" s="17"/>
      <c r="I970" s="17"/>
    </row>
    <row r="971" ht="15.75" customHeight="1">
      <c r="E971" s="17"/>
      <c r="F971" s="17"/>
      <c r="G971" s="17"/>
      <c r="H971" s="17"/>
      <c r="I971" s="17"/>
    </row>
    <row r="972" ht="15.75" customHeight="1">
      <c r="E972" s="17"/>
      <c r="F972" s="17"/>
      <c r="G972" s="17"/>
      <c r="H972" s="17"/>
      <c r="I972" s="17"/>
    </row>
    <row r="973" ht="15.75" customHeight="1">
      <c r="E973" s="17"/>
      <c r="F973" s="17"/>
      <c r="G973" s="17"/>
      <c r="H973" s="17"/>
      <c r="I973" s="17"/>
    </row>
    <row r="974" ht="15.75" customHeight="1">
      <c r="E974" s="17"/>
      <c r="F974" s="17"/>
      <c r="G974" s="17"/>
      <c r="H974" s="17"/>
      <c r="I974" s="17"/>
    </row>
    <row r="975" ht="15.75" customHeight="1">
      <c r="E975" s="17"/>
      <c r="F975" s="17"/>
      <c r="G975" s="17"/>
      <c r="H975" s="17"/>
      <c r="I975" s="17"/>
    </row>
    <row r="976" ht="15.75" customHeight="1">
      <c r="E976" s="17"/>
      <c r="F976" s="17"/>
      <c r="G976" s="17"/>
      <c r="H976" s="17"/>
      <c r="I976" s="17"/>
    </row>
    <row r="977" ht="15.75" customHeight="1">
      <c r="E977" s="17"/>
      <c r="F977" s="17"/>
      <c r="G977" s="17"/>
      <c r="H977" s="17"/>
      <c r="I977" s="17"/>
    </row>
    <row r="978" ht="15.75" customHeight="1">
      <c r="E978" s="17"/>
      <c r="F978" s="17"/>
      <c r="G978" s="17"/>
      <c r="H978" s="17"/>
      <c r="I978" s="17"/>
    </row>
    <row r="979" ht="15.75" customHeight="1">
      <c r="E979" s="17"/>
      <c r="F979" s="17"/>
      <c r="G979" s="17"/>
      <c r="H979" s="17"/>
      <c r="I979" s="17"/>
    </row>
    <row r="980" ht="15.75" customHeight="1">
      <c r="E980" s="17"/>
      <c r="F980" s="17"/>
      <c r="G980" s="17"/>
      <c r="H980" s="17"/>
      <c r="I980" s="17"/>
    </row>
    <row r="981" ht="15.75" customHeight="1">
      <c r="E981" s="17"/>
      <c r="F981" s="17"/>
      <c r="G981" s="17"/>
      <c r="H981" s="17"/>
      <c r="I981" s="17"/>
    </row>
    <row r="982" ht="15.75" customHeight="1">
      <c r="E982" s="17"/>
      <c r="F982" s="17"/>
      <c r="G982" s="17"/>
      <c r="H982" s="17"/>
      <c r="I982" s="17"/>
    </row>
    <row r="983" ht="15.75" customHeight="1">
      <c r="E983" s="17"/>
      <c r="F983" s="17"/>
      <c r="G983" s="17"/>
      <c r="H983" s="17"/>
      <c r="I983" s="17"/>
    </row>
    <row r="984" ht="15.75" customHeight="1">
      <c r="E984" s="17"/>
      <c r="F984" s="17"/>
      <c r="G984" s="17"/>
      <c r="H984" s="17"/>
      <c r="I984" s="17"/>
    </row>
    <row r="985" ht="15.75" customHeight="1">
      <c r="E985" s="17"/>
      <c r="F985" s="17"/>
      <c r="G985" s="17"/>
      <c r="H985" s="17"/>
      <c r="I985" s="17"/>
    </row>
    <row r="986" ht="15.75" customHeight="1">
      <c r="E986" s="17"/>
      <c r="F986" s="17"/>
      <c r="G986" s="17"/>
      <c r="H986" s="17"/>
      <c r="I986" s="17"/>
    </row>
    <row r="987" ht="15.75" customHeight="1">
      <c r="E987" s="17"/>
      <c r="F987" s="17"/>
      <c r="G987" s="17"/>
      <c r="H987" s="17"/>
      <c r="I987" s="17"/>
    </row>
    <row r="988" ht="15.75" customHeight="1">
      <c r="E988" s="17"/>
      <c r="F988" s="17"/>
      <c r="G988" s="17"/>
      <c r="H988" s="17"/>
      <c r="I988" s="17"/>
    </row>
    <row r="989" ht="15.75" customHeight="1">
      <c r="E989" s="17"/>
      <c r="F989" s="17"/>
      <c r="G989" s="17"/>
      <c r="H989" s="17"/>
      <c r="I989" s="17"/>
    </row>
    <row r="990" ht="15.75" customHeight="1">
      <c r="E990" s="17"/>
      <c r="F990" s="17"/>
      <c r="G990" s="17"/>
      <c r="H990" s="17"/>
      <c r="I990" s="17"/>
    </row>
    <row r="991" ht="15.75" customHeight="1">
      <c r="E991" s="17"/>
      <c r="F991" s="17"/>
      <c r="G991" s="17"/>
      <c r="H991" s="17"/>
      <c r="I991" s="17"/>
    </row>
    <row r="992" ht="15.75" customHeight="1">
      <c r="E992" s="17"/>
      <c r="F992" s="17"/>
      <c r="G992" s="17"/>
      <c r="H992" s="17"/>
      <c r="I992" s="17"/>
    </row>
    <row r="993" ht="15.75" customHeight="1">
      <c r="E993" s="17"/>
      <c r="F993" s="17"/>
      <c r="G993" s="17"/>
      <c r="H993" s="17"/>
      <c r="I993" s="17"/>
    </row>
    <row r="994" ht="15.75" customHeight="1">
      <c r="E994" s="17"/>
      <c r="F994" s="17"/>
      <c r="G994" s="17"/>
      <c r="H994" s="17"/>
      <c r="I994" s="17"/>
    </row>
    <row r="995" ht="15.75" customHeight="1">
      <c r="E995" s="17"/>
      <c r="F995" s="17"/>
      <c r="G995" s="17"/>
      <c r="H995" s="17"/>
      <c r="I995" s="17"/>
    </row>
    <row r="996" ht="15.75" customHeight="1">
      <c r="E996" s="17"/>
      <c r="F996" s="17"/>
      <c r="G996" s="17"/>
      <c r="H996" s="17"/>
      <c r="I996" s="17"/>
    </row>
    <row r="997" ht="15.75" customHeight="1">
      <c r="E997" s="17"/>
      <c r="F997" s="17"/>
      <c r="G997" s="17"/>
      <c r="H997" s="17"/>
      <c r="I997" s="17"/>
    </row>
    <row r="998" ht="15.75" customHeight="1">
      <c r="E998" s="17"/>
      <c r="F998" s="17"/>
      <c r="G998" s="17"/>
      <c r="H998" s="17"/>
      <c r="I998" s="17"/>
    </row>
    <row r="999" ht="15.75" customHeight="1">
      <c r="E999" s="17"/>
      <c r="F999" s="17"/>
      <c r="G999" s="17"/>
      <c r="H999" s="17"/>
      <c r="I999" s="17"/>
    </row>
    <row r="1000" ht="15.75" customHeight="1">
      <c r="E1000" s="17"/>
      <c r="F1000" s="17"/>
      <c r="G1000" s="17"/>
      <c r="H1000" s="17"/>
      <c r="I1000" s="17"/>
    </row>
    <row r="1001" ht="15.75" customHeight="1">
      <c r="E1001" s="17"/>
      <c r="F1001" s="17"/>
      <c r="G1001" s="17"/>
      <c r="H1001" s="17"/>
      <c r="I1001" s="17"/>
    </row>
  </sheetData>
  <mergeCells count="30">
    <mergeCell ref="B1:J1"/>
    <mergeCell ref="L1:R1"/>
    <mergeCell ref="T1:Y1"/>
    <mergeCell ref="B2:B3"/>
    <mergeCell ref="C2:C3"/>
    <mergeCell ref="D2:D3"/>
    <mergeCell ref="E2:F2"/>
    <mergeCell ref="G16:H16"/>
    <mergeCell ref="I16:J16"/>
    <mergeCell ref="B16:B17"/>
    <mergeCell ref="B28:B29"/>
    <mergeCell ref="C28:C29"/>
    <mergeCell ref="D28:D29"/>
    <mergeCell ref="G2:H2"/>
    <mergeCell ref="I2:J2"/>
    <mergeCell ref="B15:J15"/>
    <mergeCell ref="C16:C17"/>
    <mergeCell ref="D16:D17"/>
    <mergeCell ref="E16:F16"/>
    <mergeCell ref="B27:J27"/>
    <mergeCell ref="E40:F40"/>
    <mergeCell ref="G40:H40"/>
    <mergeCell ref="E28:F28"/>
    <mergeCell ref="G28:H28"/>
    <mergeCell ref="I28:J28"/>
    <mergeCell ref="B39:J39"/>
    <mergeCell ref="B40:B41"/>
    <mergeCell ref="C40:C41"/>
    <mergeCell ref="D40:D41"/>
    <mergeCell ref="I40:J40"/>
  </mergeCells>
  <printOptions/>
  <pageMargins bottom="0.7874015750000001" footer="0.0" header="0.0" left="0.511811024" right="0.511811024" top="0.7874015750000001"/>
  <pageSetup paperSize="9"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14"/>
    <col customWidth="1" min="2" max="3" width="22.86"/>
    <col customWidth="1" min="4" max="4" width="42.57"/>
    <col customWidth="1" min="5" max="5" width="33.43"/>
    <col customWidth="1" min="6" max="6" width="18.0"/>
    <col customWidth="1" min="7" max="7" width="14.86"/>
    <col customWidth="1" min="8" max="8" width="5.0"/>
    <col customWidth="1" min="9" max="9" width="14.0"/>
    <col customWidth="1" min="10" max="10" width="14.29"/>
    <col customWidth="1" min="11" max="12" width="12.14"/>
    <col customWidth="1" min="13" max="13" width="15.0"/>
    <col customWidth="1" min="14" max="14" width="11.0"/>
    <col customWidth="1" min="15" max="15" width="14.57"/>
    <col customWidth="1" min="16" max="16" width="14.86"/>
    <col customWidth="1" min="17" max="17" width="14.57"/>
    <col customWidth="1" min="18" max="18" width="12.14"/>
    <col customWidth="1" min="19" max="19" width="9.43"/>
    <col customWidth="1" min="20" max="20" width="15.29"/>
    <col customWidth="1" min="21" max="21" width="32.86"/>
    <col customWidth="1" min="22" max="22" width="11.57"/>
    <col customWidth="1" min="23" max="23" width="14.43"/>
    <col customWidth="1" min="24" max="24" width="9.86"/>
    <col customWidth="1" min="25" max="41" width="14.43"/>
  </cols>
  <sheetData>
    <row r="1" ht="15.75" customHeight="1">
      <c r="A1" s="165"/>
      <c r="B1" s="255"/>
      <c r="C1" s="255"/>
      <c r="D1" s="255"/>
      <c r="E1" s="255"/>
      <c r="F1" s="165"/>
      <c r="G1" s="255"/>
      <c r="H1" s="255"/>
      <c r="I1" s="255"/>
      <c r="J1" s="255"/>
      <c r="K1" s="255"/>
      <c r="L1" s="255"/>
      <c r="M1" s="255"/>
      <c r="N1" s="255"/>
      <c r="O1" s="25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row>
    <row r="2" ht="27.0" customHeight="1">
      <c r="A2" s="256"/>
      <c r="B2" s="257"/>
      <c r="C2" s="258"/>
      <c r="D2" s="259"/>
      <c r="E2" s="259"/>
      <c r="F2" s="259"/>
      <c r="G2" s="259"/>
      <c r="H2" s="259"/>
      <c r="I2" s="259"/>
      <c r="J2" s="259"/>
      <c r="K2" s="259"/>
      <c r="L2" s="259"/>
      <c r="M2" s="259"/>
      <c r="N2" s="259"/>
      <c r="O2" s="259"/>
      <c r="P2" s="259"/>
      <c r="Q2" s="259"/>
      <c r="R2" s="259"/>
      <c r="S2" s="259"/>
      <c r="T2" s="259"/>
      <c r="U2" s="259"/>
      <c r="V2" s="259"/>
      <c r="W2" s="259"/>
      <c r="X2" s="259"/>
      <c r="Y2" s="112"/>
      <c r="Z2" s="260"/>
      <c r="AA2" s="260"/>
      <c r="AB2" s="260"/>
      <c r="AC2" s="260"/>
      <c r="AD2" s="260"/>
      <c r="AE2" s="260"/>
      <c r="AF2" s="260"/>
      <c r="AG2" s="260"/>
      <c r="AH2" s="260"/>
      <c r="AI2" s="260"/>
      <c r="AJ2" s="260"/>
      <c r="AK2" s="260"/>
      <c r="AL2" s="260"/>
      <c r="AM2" s="260"/>
      <c r="AN2" s="260"/>
      <c r="AO2" s="260"/>
    </row>
    <row r="3">
      <c r="A3" s="256"/>
      <c r="B3" s="261" t="s">
        <v>345</v>
      </c>
      <c r="C3" s="262"/>
      <c r="D3" s="262"/>
      <c r="E3" s="262"/>
      <c r="F3" s="262"/>
      <c r="G3" s="262"/>
      <c r="H3" s="262"/>
      <c r="I3" s="263"/>
      <c r="J3" s="264" t="s">
        <v>346</v>
      </c>
      <c r="K3" s="262"/>
      <c r="L3" s="262"/>
      <c r="M3" s="262"/>
      <c r="N3" s="262"/>
      <c r="O3" s="263"/>
      <c r="P3" s="265" t="s">
        <v>347</v>
      </c>
      <c r="Q3" s="262"/>
      <c r="R3" s="262"/>
      <c r="S3" s="262"/>
      <c r="T3" s="263"/>
      <c r="U3" s="266" t="s">
        <v>348</v>
      </c>
      <c r="V3" s="262"/>
      <c r="W3" s="262"/>
      <c r="X3" s="263"/>
      <c r="Y3" s="267" t="s">
        <v>349</v>
      </c>
      <c r="Z3" s="260"/>
      <c r="AA3" s="260"/>
      <c r="AB3" s="260"/>
      <c r="AC3" s="268"/>
      <c r="AD3" s="260"/>
      <c r="AE3" s="260"/>
      <c r="AF3" s="260"/>
      <c r="AG3" s="260"/>
      <c r="AH3" s="260"/>
      <c r="AI3" s="260"/>
      <c r="AJ3" s="260"/>
      <c r="AK3" s="260"/>
      <c r="AL3" s="260"/>
      <c r="AM3" s="260"/>
      <c r="AN3" s="260"/>
      <c r="AO3" s="260"/>
    </row>
    <row r="4">
      <c r="A4" s="256"/>
      <c r="B4" s="269"/>
      <c r="C4" s="270"/>
      <c r="D4" s="270"/>
      <c r="E4" s="270"/>
      <c r="F4" s="270"/>
      <c r="G4" s="270"/>
      <c r="H4" s="270"/>
      <c r="I4" s="271"/>
      <c r="J4" s="269"/>
      <c r="K4" s="270"/>
      <c r="L4" s="270"/>
      <c r="M4" s="270"/>
      <c r="N4" s="270"/>
      <c r="O4" s="271"/>
      <c r="P4" s="269"/>
      <c r="Q4" s="270"/>
      <c r="R4" s="270"/>
      <c r="S4" s="270"/>
      <c r="T4" s="271"/>
      <c r="U4" s="269"/>
      <c r="V4" s="270"/>
      <c r="W4" s="270"/>
      <c r="X4" s="271"/>
      <c r="Y4" s="272"/>
      <c r="Z4" s="260"/>
      <c r="AA4" s="260"/>
      <c r="AB4" s="260"/>
      <c r="AC4" s="268"/>
      <c r="AD4" s="260"/>
      <c r="AE4" s="260"/>
      <c r="AF4" s="260"/>
      <c r="AG4" s="260"/>
      <c r="AH4" s="260"/>
      <c r="AI4" s="260"/>
      <c r="AJ4" s="260"/>
      <c r="AK4" s="260"/>
      <c r="AL4" s="260"/>
      <c r="AM4" s="260"/>
      <c r="AN4" s="260"/>
      <c r="AO4" s="260"/>
    </row>
    <row r="5">
      <c r="A5" s="256"/>
      <c r="B5" s="273" t="s">
        <v>350</v>
      </c>
      <c r="C5" s="273" t="s">
        <v>184</v>
      </c>
      <c r="D5" s="274" t="s">
        <v>351</v>
      </c>
      <c r="E5" s="274" t="s">
        <v>352</v>
      </c>
      <c r="F5" s="274" t="s">
        <v>353</v>
      </c>
      <c r="G5" s="275" t="s">
        <v>202</v>
      </c>
      <c r="H5" s="274" t="s">
        <v>354</v>
      </c>
      <c r="I5" s="275" t="s">
        <v>355</v>
      </c>
      <c r="J5" s="276" t="s">
        <v>356</v>
      </c>
      <c r="K5" s="276" t="s">
        <v>357</v>
      </c>
      <c r="L5" s="277" t="s">
        <v>358</v>
      </c>
      <c r="M5" s="276" t="s">
        <v>359</v>
      </c>
      <c r="N5" s="276" t="s">
        <v>360</v>
      </c>
      <c r="O5" s="278" t="s">
        <v>361</v>
      </c>
      <c r="P5" s="279" t="s">
        <v>362</v>
      </c>
      <c r="Q5" s="279" t="s">
        <v>363</v>
      </c>
      <c r="R5" s="280" t="s">
        <v>364</v>
      </c>
      <c r="S5" s="279" t="s">
        <v>360</v>
      </c>
      <c r="T5" s="279" t="s">
        <v>365</v>
      </c>
      <c r="U5" s="281" t="s">
        <v>366</v>
      </c>
      <c r="V5" s="281" t="s">
        <v>367</v>
      </c>
      <c r="W5" s="281" t="s">
        <v>368</v>
      </c>
      <c r="X5" s="282" t="s">
        <v>360</v>
      </c>
      <c r="Y5" s="283" t="s">
        <v>369</v>
      </c>
      <c r="Z5" s="260"/>
      <c r="AA5" s="260"/>
      <c r="AB5" s="260"/>
      <c r="AC5" s="260"/>
      <c r="AD5" s="260"/>
      <c r="AE5" s="260"/>
      <c r="AF5" s="260"/>
      <c r="AG5" s="260"/>
      <c r="AH5" s="260"/>
      <c r="AI5" s="260"/>
      <c r="AJ5" s="260"/>
      <c r="AK5" s="260"/>
      <c r="AL5" s="260"/>
      <c r="AM5" s="260"/>
      <c r="AN5" s="260"/>
      <c r="AO5" s="260"/>
    </row>
    <row r="6">
      <c r="A6" s="260"/>
      <c r="B6" s="284" t="s">
        <v>370</v>
      </c>
      <c r="C6" s="285" t="s">
        <v>371</v>
      </c>
      <c r="D6" s="286" t="s">
        <v>372</v>
      </c>
      <c r="E6" s="287" t="s">
        <v>373</v>
      </c>
      <c r="F6" s="287" t="s">
        <v>374</v>
      </c>
      <c r="G6" s="288">
        <v>16660.21</v>
      </c>
      <c r="H6" s="289">
        <v>1.0</v>
      </c>
      <c r="I6" s="290">
        <f t="shared" ref="I6:I7" si="1">IF(G6=0," ",G6*H6)</f>
        <v>16660.21</v>
      </c>
      <c r="J6" s="289">
        <v>0.5</v>
      </c>
      <c r="K6" s="247">
        <v>3.0</v>
      </c>
      <c r="L6" s="220">
        <f t="shared" ref="L6:L11" si="2">J6*K6</f>
        <v>1.5</v>
      </c>
      <c r="M6" s="291">
        <f>VLOOKUP($M$5,'Energia CEMIG'!$A$2:$C$5,3,0)</f>
        <v>0.8573579</v>
      </c>
      <c r="N6" s="219">
        <f t="shared" ref="N6:N12" si="3">L6*M6*H6</f>
        <v>1.28603685</v>
      </c>
      <c r="O6" s="292">
        <f t="shared" ref="O6:O12" si="4">IFERROR(N6/H6," ")</f>
        <v>1.28603685</v>
      </c>
      <c r="P6" s="247">
        <v>10.0</v>
      </c>
      <c r="Q6" s="289">
        <v>2018.0</v>
      </c>
      <c r="R6" s="293">
        <f t="shared" ref="R6:R12" si="5">(I6-(0.1*I6))/P6</f>
        <v>1499.4189</v>
      </c>
      <c r="S6" s="293">
        <f t="shared" ref="S6:S12" si="6">IF(R6/365=0,0,R6/(365*8)*K6)</f>
        <v>1.54049887</v>
      </c>
      <c r="T6" s="293">
        <f t="shared" ref="T6:T12" si="7">IFERROR(S6/H6," ")</f>
        <v>1.54049887</v>
      </c>
      <c r="U6" s="220" t="s">
        <v>375</v>
      </c>
      <c r="V6" s="247">
        <v>548.0</v>
      </c>
      <c r="W6" s="247">
        <v>7718.91</v>
      </c>
      <c r="X6" s="219">
        <f>IFERROR((W6/V6)," ")</f>
        <v>14.08560219</v>
      </c>
      <c r="Y6" s="219">
        <f t="shared" ref="Y6:Y12" si="8">SUM(O6,T6,X6)</f>
        <v>16.91213791</v>
      </c>
      <c r="Z6" s="260"/>
      <c r="AA6" s="260"/>
      <c r="AB6" s="260"/>
      <c r="AC6" s="260"/>
      <c r="AD6" s="260"/>
      <c r="AE6" s="260"/>
      <c r="AF6" s="260"/>
      <c r="AG6" s="260"/>
      <c r="AH6" s="260"/>
      <c r="AI6" s="260"/>
      <c r="AJ6" s="260"/>
      <c r="AK6" s="260"/>
      <c r="AL6" s="260"/>
      <c r="AM6" s="260"/>
      <c r="AN6" s="260"/>
      <c r="AO6" s="260"/>
    </row>
    <row r="7">
      <c r="A7" s="260"/>
      <c r="B7" s="284" t="s">
        <v>376</v>
      </c>
      <c r="C7" s="285" t="s">
        <v>1</v>
      </c>
      <c r="D7" s="220" t="s">
        <v>377</v>
      </c>
      <c r="E7" s="220" t="s">
        <v>378</v>
      </c>
      <c r="F7" s="220" t="s">
        <v>379</v>
      </c>
      <c r="G7" s="292">
        <v>6900.0</v>
      </c>
      <c r="H7" s="247">
        <v>1.0</v>
      </c>
      <c r="I7" s="219">
        <f t="shared" si="1"/>
        <v>6900</v>
      </c>
      <c r="J7" s="247">
        <v>0.0</v>
      </c>
      <c r="K7" s="247">
        <v>0.5</v>
      </c>
      <c r="L7" s="220">
        <f t="shared" si="2"/>
        <v>0</v>
      </c>
      <c r="M7" s="291">
        <f>VLOOKUP($M$5,'Energia CEMIG'!$A$2:$C$5,3,0)</f>
        <v>0.8573579</v>
      </c>
      <c r="N7" s="219">
        <f t="shared" si="3"/>
        <v>0</v>
      </c>
      <c r="O7" s="292">
        <f t="shared" si="4"/>
        <v>0</v>
      </c>
      <c r="P7" s="247">
        <v>10.0</v>
      </c>
      <c r="Q7" s="247">
        <v>2017.0</v>
      </c>
      <c r="R7" s="293">
        <f t="shared" si="5"/>
        <v>621</v>
      </c>
      <c r="S7" s="293">
        <f t="shared" si="6"/>
        <v>0.1063356164</v>
      </c>
      <c r="T7" s="293">
        <f t="shared" si="7"/>
        <v>0.1063356164</v>
      </c>
      <c r="U7" s="247" t="s">
        <v>380</v>
      </c>
      <c r="V7" s="247">
        <v>183.0</v>
      </c>
      <c r="W7" s="247">
        <v>110.0</v>
      </c>
      <c r="X7" s="219">
        <f>IFERROR(W7/(V7*8)*K7," ")</f>
        <v>0.03756830601</v>
      </c>
      <c r="Y7" s="219">
        <f t="shared" si="8"/>
        <v>0.1439039224</v>
      </c>
      <c r="Z7" s="260"/>
      <c r="AA7" s="260"/>
      <c r="AB7" s="294"/>
      <c r="AC7" s="260"/>
      <c r="AD7" s="260"/>
      <c r="AE7" s="260"/>
      <c r="AF7" s="260"/>
      <c r="AG7" s="260"/>
      <c r="AH7" s="260"/>
      <c r="AI7" s="260"/>
      <c r="AJ7" s="260"/>
      <c r="AK7" s="260"/>
      <c r="AL7" s="260"/>
      <c r="AM7" s="260"/>
      <c r="AN7" s="260"/>
      <c r="AO7" s="260"/>
    </row>
    <row r="8">
      <c r="A8" s="260"/>
      <c r="B8" s="284" t="s">
        <v>370</v>
      </c>
      <c r="C8" s="285" t="s">
        <v>1</v>
      </c>
      <c r="D8" s="295" t="s">
        <v>381</v>
      </c>
      <c r="E8" s="295" t="s">
        <v>382</v>
      </c>
      <c r="F8" s="296" t="s">
        <v>383</v>
      </c>
      <c r="G8" s="292">
        <f>'Parâmetros'!H13*3450.83</f>
        <v>18461.9405</v>
      </c>
      <c r="H8" s="289">
        <v>2.0</v>
      </c>
      <c r="I8" s="219">
        <f>G8*H8</f>
        <v>36923.881</v>
      </c>
      <c r="J8" s="289">
        <v>3.2</v>
      </c>
      <c r="K8" s="289">
        <v>5.0</v>
      </c>
      <c r="L8" s="220">
        <f t="shared" si="2"/>
        <v>16</v>
      </c>
      <c r="M8" s="291">
        <f>VLOOKUP($M$5,'Energia CEMIG'!$A$2:$C$5,3,0)</f>
        <v>0.8573579</v>
      </c>
      <c r="N8" s="219">
        <f t="shared" si="3"/>
        <v>27.4354528</v>
      </c>
      <c r="O8" s="292">
        <f t="shared" si="4"/>
        <v>13.7177264</v>
      </c>
      <c r="P8" s="247">
        <v>10.0</v>
      </c>
      <c r="Q8" s="289">
        <v>2018.0</v>
      </c>
      <c r="R8" s="293">
        <f t="shared" si="5"/>
        <v>3323.14929</v>
      </c>
      <c r="S8" s="293">
        <f t="shared" si="6"/>
        <v>5.690324127</v>
      </c>
      <c r="T8" s="293">
        <f t="shared" si="7"/>
        <v>2.845162063</v>
      </c>
      <c r="U8" s="297" t="s">
        <v>384</v>
      </c>
      <c r="V8" s="247">
        <v>365.0</v>
      </c>
      <c r="W8" s="247">
        <v>805.0</v>
      </c>
      <c r="X8" s="219">
        <f>(IFERROR(W8/(V8*8)*K8," "))*'Parâmetros'!H13</f>
        <v>7.374571918</v>
      </c>
      <c r="Y8" s="219">
        <f t="shared" si="8"/>
        <v>23.93746038</v>
      </c>
      <c r="Z8" s="260"/>
      <c r="AA8" s="260"/>
      <c r="AB8" s="260"/>
      <c r="AC8" s="260"/>
      <c r="AD8" s="260"/>
      <c r="AE8" s="298"/>
      <c r="AF8" s="260"/>
      <c r="AG8" s="260"/>
      <c r="AH8" s="260"/>
      <c r="AI8" s="260"/>
      <c r="AJ8" s="260"/>
      <c r="AK8" s="260"/>
      <c r="AL8" s="260"/>
      <c r="AM8" s="260"/>
      <c r="AN8" s="260"/>
      <c r="AO8" s="260"/>
    </row>
    <row r="9">
      <c r="A9" s="260"/>
      <c r="B9" s="284" t="s">
        <v>385</v>
      </c>
      <c r="C9" s="285" t="s">
        <v>1</v>
      </c>
      <c r="D9" s="220" t="s">
        <v>386</v>
      </c>
      <c r="E9" s="286" t="s">
        <v>387</v>
      </c>
      <c r="F9" s="220" t="s">
        <v>388</v>
      </c>
      <c r="G9" s="299">
        <v>1119.3</v>
      </c>
      <c r="H9" s="289">
        <v>2.0</v>
      </c>
      <c r="I9" s="219">
        <f t="shared" ref="I9:I12" si="9">IF(G9=0," ",G9*H9)</f>
        <v>2238.6</v>
      </c>
      <c r="J9" s="300">
        <v>0.0</v>
      </c>
      <c r="K9" s="301">
        <v>5.0</v>
      </c>
      <c r="L9" s="302">
        <f t="shared" si="2"/>
        <v>0</v>
      </c>
      <c r="M9" s="291">
        <f>VLOOKUP($M$5,'Energia CEMIG'!$A$2:$C$5,3,0)</f>
        <v>0.8573579</v>
      </c>
      <c r="N9" s="219">
        <f t="shared" si="3"/>
        <v>0</v>
      </c>
      <c r="O9" s="292">
        <f t="shared" si="4"/>
        <v>0</v>
      </c>
      <c r="P9" s="247">
        <v>10.0</v>
      </c>
      <c r="Q9" s="247">
        <v>2018.0</v>
      </c>
      <c r="R9" s="293">
        <f t="shared" si="5"/>
        <v>201.474</v>
      </c>
      <c r="S9" s="293">
        <f t="shared" si="6"/>
        <v>0.344989726</v>
      </c>
      <c r="T9" s="293">
        <f t="shared" si="7"/>
        <v>0.172494863</v>
      </c>
      <c r="U9" s="247" t="s">
        <v>389</v>
      </c>
      <c r="V9" s="247">
        <v>365.0</v>
      </c>
      <c r="W9" s="247">
        <v>0.0</v>
      </c>
      <c r="X9" s="219" t="str">
        <f t="shared" ref="X9:X12" si="10">IFERROR((W9*#REF!)/(V9*8)*K9," ")</f>
        <v> </v>
      </c>
      <c r="Y9" s="219">
        <f t="shared" si="8"/>
        <v>0.172494863</v>
      </c>
      <c r="Z9" s="260"/>
      <c r="AA9" s="260"/>
      <c r="AB9" s="260"/>
      <c r="AC9" s="260"/>
      <c r="AD9" s="260"/>
      <c r="AE9" s="298"/>
      <c r="AF9" s="260"/>
      <c r="AG9" s="260"/>
      <c r="AH9" s="260"/>
      <c r="AI9" s="260"/>
      <c r="AJ9" s="260"/>
      <c r="AK9" s="260"/>
      <c r="AL9" s="260"/>
      <c r="AM9" s="260"/>
      <c r="AN9" s="260"/>
      <c r="AO9" s="260"/>
    </row>
    <row r="10">
      <c r="A10" s="260"/>
      <c r="B10" s="284" t="s">
        <v>385</v>
      </c>
      <c r="C10" s="285" t="s">
        <v>1</v>
      </c>
      <c r="D10" s="220" t="s">
        <v>390</v>
      </c>
      <c r="E10" s="220" t="s">
        <v>391</v>
      </c>
      <c r="F10" s="220" t="s">
        <v>392</v>
      </c>
      <c r="G10" s="292">
        <v>342.0</v>
      </c>
      <c r="H10" s="247">
        <v>2.0</v>
      </c>
      <c r="I10" s="219">
        <f t="shared" si="9"/>
        <v>684</v>
      </c>
      <c r="J10" s="247">
        <v>0.0</v>
      </c>
      <c r="K10" s="289">
        <v>5.0</v>
      </c>
      <c r="L10" s="220">
        <f t="shared" si="2"/>
        <v>0</v>
      </c>
      <c r="M10" s="291">
        <f>VLOOKUP($M$5,'Energia CEMIG'!$A$2:$C$5,3,0)</f>
        <v>0.8573579</v>
      </c>
      <c r="N10" s="219">
        <f t="shared" si="3"/>
        <v>0</v>
      </c>
      <c r="O10" s="292">
        <f t="shared" si="4"/>
        <v>0</v>
      </c>
      <c r="P10" s="247">
        <v>10.0</v>
      </c>
      <c r="Q10" s="247" t="s">
        <v>393</v>
      </c>
      <c r="R10" s="293">
        <f t="shared" si="5"/>
        <v>61.56</v>
      </c>
      <c r="S10" s="293">
        <f t="shared" si="6"/>
        <v>0.1054109589</v>
      </c>
      <c r="T10" s="293">
        <f t="shared" si="7"/>
        <v>0.05270547945</v>
      </c>
      <c r="U10" s="247" t="s">
        <v>380</v>
      </c>
      <c r="V10" s="247">
        <v>365.0</v>
      </c>
      <c r="W10" s="247">
        <v>0.0</v>
      </c>
      <c r="X10" s="219" t="str">
        <f t="shared" si="10"/>
        <v> </v>
      </c>
      <c r="Y10" s="219">
        <f t="shared" si="8"/>
        <v>0.05270547945</v>
      </c>
      <c r="Z10" s="260"/>
      <c r="AA10" s="260"/>
      <c r="AB10" s="260"/>
      <c r="AC10" s="260"/>
      <c r="AD10" s="260"/>
      <c r="AE10" s="298"/>
      <c r="AF10" s="260"/>
      <c r="AG10" s="260"/>
      <c r="AH10" s="260"/>
      <c r="AI10" s="260"/>
      <c r="AJ10" s="260"/>
      <c r="AK10" s="260"/>
      <c r="AL10" s="260"/>
      <c r="AM10" s="260"/>
      <c r="AN10" s="260"/>
      <c r="AO10" s="260"/>
    </row>
    <row r="11">
      <c r="A11" s="260"/>
      <c r="B11" s="284" t="s">
        <v>385</v>
      </c>
      <c r="C11" s="285" t="s">
        <v>1</v>
      </c>
      <c r="D11" s="220" t="s">
        <v>394</v>
      </c>
      <c r="E11" s="220" t="s">
        <v>395</v>
      </c>
      <c r="F11" s="220" t="s">
        <v>396</v>
      </c>
      <c r="G11" s="292">
        <v>1831.4</v>
      </c>
      <c r="H11" s="247">
        <v>2.0</v>
      </c>
      <c r="I11" s="219">
        <f t="shared" si="9"/>
        <v>3662.8</v>
      </c>
      <c r="J11" s="247">
        <v>0.0</v>
      </c>
      <c r="K11" s="289">
        <v>5.0</v>
      </c>
      <c r="L11" s="220">
        <f t="shared" si="2"/>
        <v>0</v>
      </c>
      <c r="M11" s="291">
        <f>VLOOKUP($M$5,'Energia CEMIG'!$A$2:$C$5,3,0)</f>
        <v>0.8573579</v>
      </c>
      <c r="N11" s="219">
        <f t="shared" si="3"/>
        <v>0</v>
      </c>
      <c r="O11" s="292">
        <f t="shared" si="4"/>
        <v>0</v>
      </c>
      <c r="P11" s="247">
        <v>10.0</v>
      </c>
      <c r="Q11" s="247">
        <v>2018.0</v>
      </c>
      <c r="R11" s="293">
        <f t="shared" si="5"/>
        <v>329.652</v>
      </c>
      <c r="S11" s="293">
        <f t="shared" si="6"/>
        <v>0.5644726027</v>
      </c>
      <c r="T11" s="293">
        <f t="shared" si="7"/>
        <v>0.2822363014</v>
      </c>
      <c r="U11" s="247" t="s">
        <v>380</v>
      </c>
      <c r="V11" s="247">
        <v>365.0</v>
      </c>
      <c r="W11" s="247">
        <v>0.0</v>
      </c>
      <c r="X11" s="219" t="str">
        <f t="shared" si="10"/>
        <v> </v>
      </c>
      <c r="Y11" s="219">
        <f t="shared" si="8"/>
        <v>0.2822363014</v>
      </c>
      <c r="Z11" s="260"/>
      <c r="AA11" s="260"/>
      <c r="AB11" s="260"/>
      <c r="AC11" s="260"/>
      <c r="AD11" s="260"/>
      <c r="AE11" s="298"/>
      <c r="AF11" s="260"/>
      <c r="AG11" s="260"/>
      <c r="AH11" s="260"/>
      <c r="AI11" s="260"/>
      <c r="AJ11" s="260"/>
      <c r="AK11" s="260"/>
      <c r="AL11" s="260"/>
      <c r="AM11" s="260"/>
      <c r="AN11" s="260"/>
      <c r="AO11" s="260"/>
    </row>
    <row r="12">
      <c r="A12" s="260"/>
      <c r="B12" s="284" t="s">
        <v>385</v>
      </c>
      <c r="C12" s="285" t="s">
        <v>1</v>
      </c>
      <c r="D12" s="220" t="s">
        <v>397</v>
      </c>
      <c r="E12" s="220" t="s">
        <v>398</v>
      </c>
      <c r="F12" s="220" t="s">
        <v>399</v>
      </c>
      <c r="G12" s="292">
        <v>2900.0</v>
      </c>
      <c r="H12" s="247">
        <v>1.0</v>
      </c>
      <c r="I12" s="219">
        <f t="shared" si="9"/>
        <v>2900</v>
      </c>
      <c r="J12" s="247">
        <v>0.0</v>
      </c>
      <c r="K12" s="289">
        <v>5.0</v>
      </c>
      <c r="L12" s="220">
        <v>0.008</v>
      </c>
      <c r="M12" s="291">
        <f>VLOOKUP($M$5,'Energia CEMIG'!$A$2:$C$5,3,0)</f>
        <v>0.8573579</v>
      </c>
      <c r="N12" s="219">
        <f t="shared" si="3"/>
        <v>0.0068588632</v>
      </c>
      <c r="O12" s="292">
        <f t="shared" si="4"/>
        <v>0.0068588632</v>
      </c>
      <c r="P12" s="247">
        <v>10.0</v>
      </c>
      <c r="Q12" s="247">
        <v>2018.0</v>
      </c>
      <c r="R12" s="293">
        <f t="shared" si="5"/>
        <v>261</v>
      </c>
      <c r="S12" s="293">
        <f t="shared" si="6"/>
        <v>0.4469178082</v>
      </c>
      <c r="T12" s="293">
        <f t="shared" si="7"/>
        <v>0.4469178082</v>
      </c>
      <c r="U12" s="247" t="s">
        <v>400</v>
      </c>
      <c r="V12" s="247">
        <v>365.0</v>
      </c>
      <c r="W12" s="247">
        <v>0.0</v>
      </c>
      <c r="X12" s="219" t="str">
        <f t="shared" si="10"/>
        <v> </v>
      </c>
      <c r="Y12" s="219">
        <f t="shared" si="8"/>
        <v>0.4537766714</v>
      </c>
      <c r="Z12" s="260"/>
      <c r="AA12" s="260"/>
      <c r="AB12" s="260"/>
      <c r="AC12" s="260"/>
      <c r="AD12" s="260"/>
      <c r="AE12" s="298"/>
      <c r="AF12" s="260"/>
      <c r="AG12" s="260"/>
      <c r="AH12" s="260"/>
      <c r="AI12" s="260"/>
      <c r="AJ12" s="260"/>
      <c r="AK12" s="260"/>
      <c r="AL12" s="260"/>
      <c r="AM12" s="260"/>
      <c r="AN12" s="260"/>
      <c r="AO12" s="260"/>
    </row>
    <row r="13">
      <c r="A13" s="260"/>
      <c r="B13" s="303" t="s">
        <v>370</v>
      </c>
      <c r="C13" s="286" t="s">
        <v>1</v>
      </c>
      <c r="D13" s="295" t="s">
        <v>401</v>
      </c>
      <c r="E13" s="304" t="s">
        <v>402</v>
      </c>
      <c r="F13" s="304" t="s">
        <v>403</v>
      </c>
      <c r="G13" s="305" t="s">
        <v>404</v>
      </c>
      <c r="H13" s="304">
        <v>2.0</v>
      </c>
      <c r="I13" s="306" t="s">
        <v>405</v>
      </c>
      <c r="J13" s="304">
        <v>0.75</v>
      </c>
      <c r="K13" s="304">
        <v>24.0</v>
      </c>
      <c r="L13" s="304">
        <v>18.0</v>
      </c>
      <c r="M13" s="307">
        <v>0.86</v>
      </c>
      <c r="N13" s="306" t="s">
        <v>406</v>
      </c>
      <c r="O13" s="305" t="s">
        <v>407</v>
      </c>
      <c r="P13" s="304">
        <v>10.0</v>
      </c>
      <c r="Q13" s="304">
        <v>2018.0</v>
      </c>
      <c r="R13" s="308" t="s">
        <v>408</v>
      </c>
      <c r="S13" s="308" t="s">
        <v>409</v>
      </c>
      <c r="T13" s="308" t="s">
        <v>410</v>
      </c>
      <c r="U13" s="309" t="s">
        <v>400</v>
      </c>
      <c r="V13" s="309">
        <v>365.0</v>
      </c>
      <c r="W13" s="309">
        <v>0.0</v>
      </c>
      <c r="X13" s="306" t="s">
        <v>411</v>
      </c>
      <c r="Y13" s="306" t="s">
        <v>412</v>
      </c>
      <c r="Z13" s="260"/>
      <c r="AA13" s="260"/>
      <c r="AB13" s="260"/>
      <c r="AC13" s="260"/>
      <c r="AD13" s="260"/>
      <c r="AE13" s="260"/>
      <c r="AF13" s="260"/>
      <c r="AG13" s="260"/>
      <c r="AH13" s="260"/>
      <c r="AI13" s="260"/>
      <c r="AJ13" s="260"/>
      <c r="AK13" s="260"/>
      <c r="AL13" s="260"/>
      <c r="AM13" s="260"/>
      <c r="AN13" s="260"/>
      <c r="AO13" s="260"/>
    </row>
    <row r="14">
      <c r="A14" s="260"/>
      <c r="B14" s="284" t="s">
        <v>385</v>
      </c>
      <c r="C14" s="285" t="s">
        <v>1</v>
      </c>
      <c r="D14" s="220" t="s">
        <v>413</v>
      </c>
      <c r="E14" s="220" t="s">
        <v>414</v>
      </c>
      <c r="F14" s="220" t="s">
        <v>415</v>
      </c>
      <c r="G14" s="292">
        <v>40100.0</v>
      </c>
      <c r="H14" s="247">
        <v>1.0</v>
      </c>
      <c r="I14" s="219">
        <f t="shared" ref="I14:I21" si="11">IF(G14=0," ",G14*H14)</f>
        <v>40100</v>
      </c>
      <c r="J14" s="247">
        <v>3.8</v>
      </c>
      <c r="K14" s="289">
        <v>2.5</v>
      </c>
      <c r="L14" s="220">
        <f t="shared" ref="L14:L21" si="12">J14*K14</f>
        <v>9.5</v>
      </c>
      <c r="M14" s="291">
        <f>VLOOKUP($M$5,'Energia CEMIG'!$A$2:$C$5,3,0)</f>
        <v>0.8573579</v>
      </c>
      <c r="N14" s="219">
        <f t="shared" ref="N14:N21" si="13">L14*M14*H14</f>
        <v>8.14490005</v>
      </c>
      <c r="O14" s="292">
        <f t="shared" ref="O14:O21" si="14">IFERROR(N14/H14," ")</f>
        <v>8.14490005</v>
      </c>
      <c r="P14" s="247">
        <v>5.0</v>
      </c>
      <c r="Q14" s="247">
        <v>2019.0</v>
      </c>
      <c r="R14" s="293">
        <f t="shared" ref="R14:R21" si="15">(I14-(0.1*I14))/P14</f>
        <v>7218</v>
      </c>
      <c r="S14" s="293">
        <f t="shared" ref="S14:S21" si="16">IF(R14/365=0,0,R14/(365*8)*K14)</f>
        <v>6.179794521</v>
      </c>
      <c r="T14" s="293">
        <f t="shared" ref="T14:T21" si="17">IFERROR(S14/H14," ")</f>
        <v>6.179794521</v>
      </c>
      <c r="U14" s="286" t="s">
        <v>416</v>
      </c>
      <c r="V14" s="247">
        <v>60.0</v>
      </c>
      <c r="W14" s="247">
        <v>0.0</v>
      </c>
      <c r="X14" s="219" t="str">
        <f>IFERROR((W14*#REF!)/(V14*8)*K14," ")</f>
        <v> </v>
      </c>
      <c r="Y14" s="219">
        <f t="shared" ref="Y14:Y21" si="18">SUM(O14,T14,X14)</f>
        <v>14.32469457</v>
      </c>
      <c r="Z14" s="260"/>
      <c r="AA14" s="260"/>
      <c r="AB14" s="260"/>
      <c r="AC14" s="260"/>
      <c r="AD14" s="260"/>
      <c r="AE14" s="260"/>
      <c r="AF14" s="260"/>
      <c r="AG14" s="260"/>
      <c r="AH14" s="260"/>
      <c r="AI14" s="260"/>
      <c r="AJ14" s="260"/>
      <c r="AK14" s="260"/>
      <c r="AL14" s="260"/>
      <c r="AM14" s="260"/>
      <c r="AN14" s="260"/>
      <c r="AO14" s="260"/>
    </row>
    <row r="15">
      <c r="A15" s="260"/>
      <c r="B15" s="284" t="s">
        <v>385</v>
      </c>
      <c r="C15" s="285" t="s">
        <v>1</v>
      </c>
      <c r="D15" s="220" t="s">
        <v>417</v>
      </c>
      <c r="E15" s="220" t="s">
        <v>418</v>
      </c>
      <c r="F15" s="220" t="s">
        <v>419</v>
      </c>
      <c r="G15" s="292">
        <v>6800.0</v>
      </c>
      <c r="H15" s="247">
        <v>4.0</v>
      </c>
      <c r="I15" s="219">
        <f t="shared" si="11"/>
        <v>27200</v>
      </c>
      <c r="J15" s="247">
        <v>0.152</v>
      </c>
      <c r="K15" s="247">
        <v>24.0</v>
      </c>
      <c r="L15" s="220">
        <f t="shared" si="12"/>
        <v>3.648</v>
      </c>
      <c r="M15" s="291">
        <f>VLOOKUP($M$5,'Energia CEMIG'!$A$2:$C$5,3,0)</f>
        <v>0.8573579</v>
      </c>
      <c r="N15" s="219">
        <f t="shared" si="13"/>
        <v>12.51056648</v>
      </c>
      <c r="O15" s="292">
        <f t="shared" si="14"/>
        <v>3.127641619</v>
      </c>
      <c r="P15" s="247">
        <v>10.0</v>
      </c>
      <c r="Q15" s="247">
        <v>2018.0</v>
      </c>
      <c r="R15" s="293">
        <f t="shared" si="15"/>
        <v>2448</v>
      </c>
      <c r="S15" s="293">
        <f t="shared" si="16"/>
        <v>20.12054795</v>
      </c>
      <c r="T15" s="293">
        <f t="shared" si="17"/>
        <v>5.030136986</v>
      </c>
      <c r="U15" s="247" t="s">
        <v>420</v>
      </c>
      <c r="V15" s="247">
        <v>365.0</v>
      </c>
      <c r="W15" s="247">
        <v>200.0</v>
      </c>
      <c r="X15" s="219">
        <f>IFERROR(W15/(365*8)*K15," ")</f>
        <v>1.643835616</v>
      </c>
      <c r="Y15" s="219">
        <f t="shared" si="18"/>
        <v>9.801614222</v>
      </c>
      <c r="Z15" s="260"/>
      <c r="AA15" s="260"/>
      <c r="AB15" s="260"/>
      <c r="AC15" s="260"/>
      <c r="AD15" s="260"/>
      <c r="AE15" s="260"/>
      <c r="AF15" s="260"/>
      <c r="AG15" s="260"/>
      <c r="AH15" s="260"/>
      <c r="AI15" s="260"/>
      <c r="AJ15" s="260"/>
      <c r="AK15" s="260"/>
      <c r="AL15" s="260"/>
      <c r="AM15" s="260"/>
      <c r="AN15" s="260"/>
      <c r="AO15" s="260"/>
    </row>
    <row r="16">
      <c r="A16" s="260"/>
      <c r="B16" s="284" t="s">
        <v>385</v>
      </c>
      <c r="C16" s="285" t="s">
        <v>1</v>
      </c>
      <c r="D16" s="220" t="s">
        <v>421</v>
      </c>
      <c r="E16" s="220" t="s">
        <v>422</v>
      </c>
      <c r="F16" s="220" t="s">
        <v>379</v>
      </c>
      <c r="G16" s="292">
        <v>1970.0</v>
      </c>
      <c r="H16" s="247">
        <v>1.0</v>
      </c>
      <c r="I16" s="219">
        <f t="shared" si="11"/>
        <v>1970</v>
      </c>
      <c r="J16" s="247">
        <v>0.0</v>
      </c>
      <c r="K16" s="247">
        <v>24.0</v>
      </c>
      <c r="L16" s="220">
        <f t="shared" si="12"/>
        <v>0</v>
      </c>
      <c r="M16" s="291">
        <f>VLOOKUP($M$5,'Energia CEMIG'!$A$2:$C$5,3,0)</f>
        <v>0.8573579</v>
      </c>
      <c r="N16" s="219">
        <f t="shared" si="13"/>
        <v>0</v>
      </c>
      <c r="O16" s="292">
        <f t="shared" si="14"/>
        <v>0</v>
      </c>
      <c r="P16" s="247">
        <v>2.0</v>
      </c>
      <c r="Q16" s="247">
        <v>2018.0</v>
      </c>
      <c r="R16" s="293">
        <f t="shared" si="15"/>
        <v>886.5</v>
      </c>
      <c r="S16" s="293">
        <f t="shared" si="16"/>
        <v>7.28630137</v>
      </c>
      <c r="T16" s="293">
        <f t="shared" si="17"/>
        <v>7.28630137</v>
      </c>
      <c r="U16" s="247" t="s">
        <v>380</v>
      </c>
      <c r="V16" s="247">
        <v>1.0</v>
      </c>
      <c r="W16" s="247">
        <v>0.0</v>
      </c>
      <c r="X16" s="219" t="str">
        <f>IFERROR((#REF!*#REF!)/(#REF!*8)*#REF!," ")</f>
        <v> </v>
      </c>
      <c r="Y16" s="219">
        <f t="shared" si="18"/>
        <v>7.28630137</v>
      </c>
      <c r="Z16" s="260"/>
      <c r="AA16" s="260"/>
      <c r="AB16" s="260"/>
      <c r="AC16" s="260"/>
      <c r="AD16" s="260"/>
      <c r="AE16" s="260"/>
      <c r="AF16" s="260"/>
      <c r="AG16" s="260"/>
      <c r="AH16" s="260"/>
      <c r="AI16" s="260"/>
      <c r="AJ16" s="260"/>
      <c r="AK16" s="260"/>
      <c r="AL16" s="260"/>
      <c r="AM16" s="260"/>
      <c r="AN16" s="260"/>
      <c r="AO16" s="260"/>
    </row>
    <row r="17">
      <c r="A17" s="260"/>
      <c r="B17" s="284" t="s">
        <v>385</v>
      </c>
      <c r="C17" s="285" t="s">
        <v>1</v>
      </c>
      <c r="D17" s="220" t="s">
        <v>423</v>
      </c>
      <c r="E17" s="220" t="s">
        <v>424</v>
      </c>
      <c r="F17" s="220" t="s">
        <v>379</v>
      </c>
      <c r="G17" s="292">
        <v>4840.0</v>
      </c>
      <c r="H17" s="247">
        <v>1.0</v>
      </c>
      <c r="I17" s="219">
        <f t="shared" si="11"/>
        <v>4840</v>
      </c>
      <c r="J17" s="247">
        <v>0.0</v>
      </c>
      <c r="K17" s="247">
        <v>24.0</v>
      </c>
      <c r="L17" s="220">
        <f t="shared" si="12"/>
        <v>0</v>
      </c>
      <c r="M17" s="291">
        <f>VLOOKUP($M$5,'Energia CEMIG'!$A$2:$C$5,3,0)</f>
        <v>0.8573579</v>
      </c>
      <c r="N17" s="219">
        <f t="shared" si="13"/>
        <v>0</v>
      </c>
      <c r="O17" s="292">
        <f t="shared" si="14"/>
        <v>0</v>
      </c>
      <c r="P17" s="247">
        <v>10.0</v>
      </c>
      <c r="Q17" s="247">
        <v>2018.0</v>
      </c>
      <c r="R17" s="293">
        <f t="shared" si="15"/>
        <v>435.6</v>
      </c>
      <c r="S17" s="293">
        <f t="shared" si="16"/>
        <v>3.580273973</v>
      </c>
      <c r="T17" s="293">
        <f t="shared" si="17"/>
        <v>3.580273973</v>
      </c>
      <c r="U17" s="247" t="s">
        <v>380</v>
      </c>
      <c r="V17" s="247">
        <v>365.0</v>
      </c>
      <c r="W17" s="247">
        <v>0.0</v>
      </c>
      <c r="X17" s="219" t="str">
        <f>IFERROR((W14*#REF!)/(V14*8)*K14," ")</f>
        <v> </v>
      </c>
      <c r="Y17" s="219">
        <f t="shared" si="18"/>
        <v>3.580273973</v>
      </c>
      <c r="Z17" s="260"/>
      <c r="AA17" s="260"/>
      <c r="AB17" s="260"/>
      <c r="AC17" s="260"/>
      <c r="AD17" s="260"/>
      <c r="AE17" s="260"/>
      <c r="AF17" s="260"/>
      <c r="AG17" s="260"/>
      <c r="AH17" s="260"/>
      <c r="AI17" s="260"/>
      <c r="AJ17" s="260"/>
      <c r="AK17" s="260"/>
      <c r="AL17" s="260"/>
      <c r="AM17" s="260"/>
      <c r="AN17" s="260"/>
      <c r="AO17" s="260"/>
    </row>
    <row r="18">
      <c r="A18" s="260"/>
      <c r="B18" s="284" t="s">
        <v>385</v>
      </c>
      <c r="C18" s="285" t="s">
        <v>1</v>
      </c>
      <c r="D18" s="220" t="s">
        <v>425</v>
      </c>
      <c r="E18" s="220" t="s">
        <v>426</v>
      </c>
      <c r="F18" s="220" t="s">
        <v>427</v>
      </c>
      <c r="G18" s="292">
        <v>1924.71</v>
      </c>
      <c r="H18" s="247">
        <v>1.0</v>
      </c>
      <c r="I18" s="219">
        <f t="shared" si="11"/>
        <v>1924.71</v>
      </c>
      <c r="J18" s="247">
        <v>0.0</v>
      </c>
      <c r="K18" s="247">
        <v>24.0</v>
      </c>
      <c r="L18" s="220">
        <f t="shared" si="12"/>
        <v>0</v>
      </c>
      <c r="M18" s="291">
        <f>VLOOKUP($M$5,'Energia CEMIG'!$A$2:$C$5,3,0)</f>
        <v>0.8573579</v>
      </c>
      <c r="N18" s="219">
        <f t="shared" si="13"/>
        <v>0</v>
      </c>
      <c r="O18" s="292">
        <f t="shared" si="14"/>
        <v>0</v>
      </c>
      <c r="P18" s="247">
        <v>10.0</v>
      </c>
      <c r="Q18" s="247">
        <v>2018.0</v>
      </c>
      <c r="R18" s="293">
        <f t="shared" si="15"/>
        <v>173.2239</v>
      </c>
      <c r="S18" s="293">
        <f t="shared" si="16"/>
        <v>1.423758082</v>
      </c>
      <c r="T18" s="293">
        <f t="shared" si="17"/>
        <v>1.423758082</v>
      </c>
      <c r="U18" s="247" t="s">
        <v>380</v>
      </c>
      <c r="V18" s="247">
        <v>365.0</v>
      </c>
      <c r="W18" s="247">
        <v>0.0</v>
      </c>
      <c r="X18" s="219" t="str">
        <f>IFERROR((W18*#REF!)/(V18*8)*K15," ")</f>
        <v> </v>
      </c>
      <c r="Y18" s="219">
        <f t="shared" si="18"/>
        <v>1.423758082</v>
      </c>
      <c r="Z18" s="260"/>
      <c r="AA18" s="260"/>
      <c r="AB18" s="260"/>
      <c r="AC18" s="260"/>
      <c r="AD18" s="260"/>
      <c r="AE18" s="260"/>
      <c r="AF18" s="260"/>
      <c r="AG18" s="260"/>
      <c r="AH18" s="260"/>
      <c r="AI18" s="260"/>
      <c r="AJ18" s="260"/>
      <c r="AK18" s="260"/>
      <c r="AL18" s="260"/>
      <c r="AM18" s="260"/>
      <c r="AN18" s="260"/>
      <c r="AO18" s="260"/>
    </row>
    <row r="19" ht="28.5" customHeight="1">
      <c r="A19" s="260"/>
      <c r="B19" s="284" t="s">
        <v>385</v>
      </c>
      <c r="C19" s="285" t="s">
        <v>1</v>
      </c>
      <c r="D19" s="220" t="s">
        <v>428</v>
      </c>
      <c r="E19" s="220" t="s">
        <v>429</v>
      </c>
      <c r="F19" s="220" t="s">
        <v>379</v>
      </c>
      <c r="G19" s="292">
        <v>8208.3</v>
      </c>
      <c r="H19" s="247">
        <v>1.0</v>
      </c>
      <c r="I19" s="219">
        <f t="shared" si="11"/>
        <v>8208.3</v>
      </c>
      <c r="J19" s="247">
        <v>0.0</v>
      </c>
      <c r="K19" s="247">
        <v>24.0</v>
      </c>
      <c r="L19" s="220">
        <f t="shared" si="12"/>
        <v>0</v>
      </c>
      <c r="M19" s="291">
        <f>VLOOKUP($M$5,'Energia CEMIG'!$A$2:$C$5,3,0)</f>
        <v>0.8573579</v>
      </c>
      <c r="N19" s="219">
        <f t="shared" si="13"/>
        <v>0</v>
      </c>
      <c r="O19" s="292">
        <f t="shared" si="14"/>
        <v>0</v>
      </c>
      <c r="P19" s="247">
        <v>10.0</v>
      </c>
      <c r="Q19" s="247">
        <v>2018.0</v>
      </c>
      <c r="R19" s="293">
        <f t="shared" si="15"/>
        <v>738.747</v>
      </c>
      <c r="S19" s="293">
        <f t="shared" si="16"/>
        <v>6.071893151</v>
      </c>
      <c r="T19" s="293">
        <f t="shared" si="17"/>
        <v>6.071893151</v>
      </c>
      <c r="U19" s="247" t="s">
        <v>400</v>
      </c>
      <c r="V19" s="247">
        <v>365.0</v>
      </c>
      <c r="W19" s="247">
        <v>0.0</v>
      </c>
      <c r="X19" s="219" t="str">
        <f>IFERROR((W16*#REF!)/(V16*8)*K16," ")</f>
        <v> </v>
      </c>
      <c r="Y19" s="219">
        <f t="shared" si="18"/>
        <v>6.071893151</v>
      </c>
      <c r="Z19" s="260"/>
      <c r="AA19" s="260"/>
      <c r="AB19" s="260"/>
      <c r="AC19" s="260"/>
      <c r="AD19" s="260"/>
      <c r="AE19" s="260"/>
      <c r="AF19" s="260"/>
      <c r="AG19" s="260"/>
      <c r="AH19" s="260"/>
      <c r="AI19" s="260"/>
      <c r="AJ19" s="260"/>
      <c r="AK19" s="260"/>
      <c r="AL19" s="260"/>
      <c r="AM19" s="260"/>
      <c r="AN19" s="260"/>
      <c r="AO19" s="260"/>
    </row>
    <row r="20" ht="36.0" customHeight="1">
      <c r="A20" s="260"/>
      <c r="B20" s="284" t="s">
        <v>376</v>
      </c>
      <c r="C20" s="285" t="s">
        <v>83</v>
      </c>
      <c r="D20" s="220" t="s">
        <v>430</v>
      </c>
      <c r="E20" s="220" t="s">
        <v>431</v>
      </c>
      <c r="F20" s="220" t="s">
        <v>379</v>
      </c>
      <c r="G20" s="292">
        <v>3247.0</v>
      </c>
      <c r="H20" s="247">
        <v>1.0</v>
      </c>
      <c r="I20" s="219">
        <f t="shared" si="11"/>
        <v>3247</v>
      </c>
      <c r="J20" s="247">
        <v>7.5E-4</v>
      </c>
      <c r="K20" s="247">
        <v>0.5</v>
      </c>
      <c r="L20" s="220">
        <f t="shared" si="12"/>
        <v>0.000375</v>
      </c>
      <c r="M20" s="291">
        <f>VLOOKUP($M$5,'Energia CEMIG'!$A$2:$C$5,3,0)</f>
        <v>0.8573579</v>
      </c>
      <c r="N20" s="219">
        <f t="shared" si="13"/>
        <v>0.0003215092125</v>
      </c>
      <c r="O20" s="292">
        <f t="shared" si="14"/>
        <v>0.0003215092125</v>
      </c>
      <c r="P20" s="247">
        <v>10.0</v>
      </c>
      <c r="Q20" s="247">
        <v>2018.0</v>
      </c>
      <c r="R20" s="293">
        <f t="shared" si="15"/>
        <v>292.23</v>
      </c>
      <c r="S20" s="293">
        <f t="shared" si="16"/>
        <v>0.05003938356</v>
      </c>
      <c r="T20" s="293">
        <f t="shared" si="17"/>
        <v>0.05003938356</v>
      </c>
      <c r="U20" s="247" t="s">
        <v>380</v>
      </c>
      <c r="V20" s="247">
        <v>183.0</v>
      </c>
      <c r="W20" s="247">
        <v>110.0</v>
      </c>
      <c r="X20" s="219">
        <f>IFERROR(W20/(V20*8)*K20," ")</f>
        <v>0.03756830601</v>
      </c>
      <c r="Y20" s="219">
        <f t="shared" si="18"/>
        <v>0.08792919879</v>
      </c>
      <c r="Z20" s="260"/>
      <c r="AA20" s="260"/>
      <c r="AB20" s="260"/>
      <c r="AC20" s="260"/>
      <c r="AD20" s="260"/>
      <c r="AE20" s="260"/>
      <c r="AF20" s="260"/>
      <c r="AG20" s="260"/>
      <c r="AH20" s="260"/>
      <c r="AI20" s="260"/>
      <c r="AJ20" s="260"/>
      <c r="AK20" s="260"/>
      <c r="AL20" s="260"/>
      <c r="AM20" s="260"/>
      <c r="AN20" s="260"/>
      <c r="AO20" s="260"/>
    </row>
    <row r="21" ht="15.75" customHeight="1">
      <c r="A21" s="260"/>
      <c r="B21" s="284" t="s">
        <v>385</v>
      </c>
      <c r="C21" s="285" t="s">
        <v>83</v>
      </c>
      <c r="D21" s="220" t="s">
        <v>432</v>
      </c>
      <c r="E21" s="220" t="s">
        <v>433</v>
      </c>
      <c r="F21" s="220" t="s">
        <v>419</v>
      </c>
      <c r="G21" s="292">
        <v>10300.0</v>
      </c>
      <c r="H21" s="247">
        <v>2.0</v>
      </c>
      <c r="I21" s="219">
        <f t="shared" si="11"/>
        <v>20600</v>
      </c>
      <c r="J21" s="247">
        <f>0.37*0.8</f>
        <v>0.296</v>
      </c>
      <c r="K21" s="247">
        <v>1.0</v>
      </c>
      <c r="L21" s="220">
        <f t="shared" si="12"/>
        <v>0.296</v>
      </c>
      <c r="M21" s="291">
        <f>VLOOKUP($M$5,'Energia CEMIG'!$A$2:$C$5,3,0)</f>
        <v>0.8573579</v>
      </c>
      <c r="N21" s="219">
        <f t="shared" si="13"/>
        <v>0.5075558768</v>
      </c>
      <c r="O21" s="292">
        <f t="shared" si="14"/>
        <v>0.2537779384</v>
      </c>
      <c r="P21" s="247">
        <v>10.0</v>
      </c>
      <c r="Q21" s="247">
        <v>2018.0</v>
      </c>
      <c r="R21" s="293">
        <f t="shared" si="15"/>
        <v>1854</v>
      </c>
      <c r="S21" s="293">
        <f t="shared" si="16"/>
        <v>0.6349315068</v>
      </c>
      <c r="T21" s="293">
        <f t="shared" si="17"/>
        <v>0.3174657534</v>
      </c>
      <c r="U21" s="247" t="s">
        <v>434</v>
      </c>
      <c r="V21" s="247">
        <f>365*5</f>
        <v>1825</v>
      </c>
      <c r="W21" s="247">
        <v>700.0</v>
      </c>
      <c r="X21" s="219">
        <f>IFERROR(W21/(365*8)*K21," ")</f>
        <v>0.2397260274</v>
      </c>
      <c r="Y21" s="219">
        <f t="shared" si="18"/>
        <v>0.8109697192</v>
      </c>
      <c r="Z21" s="260"/>
      <c r="AA21" s="260"/>
      <c r="AB21" s="260"/>
      <c r="AC21" s="260"/>
      <c r="AD21" s="260"/>
      <c r="AE21" s="260"/>
      <c r="AF21" s="260"/>
      <c r="AG21" s="260"/>
      <c r="AH21" s="260"/>
      <c r="AI21" s="260"/>
      <c r="AJ21" s="260"/>
      <c r="AK21" s="260"/>
      <c r="AL21" s="260"/>
      <c r="AM21" s="260"/>
      <c r="AN21" s="260"/>
      <c r="AO21" s="260"/>
    </row>
    <row r="22" ht="15.75" customHeight="1">
      <c r="A22" s="260"/>
      <c r="B22" s="303" t="s">
        <v>370</v>
      </c>
      <c r="C22" s="285" t="s">
        <v>83</v>
      </c>
      <c r="D22" s="296" t="s">
        <v>435</v>
      </c>
      <c r="E22" s="304" t="s">
        <v>436</v>
      </c>
      <c r="F22" s="304" t="s">
        <v>403</v>
      </c>
      <c r="G22" s="305" t="s">
        <v>437</v>
      </c>
      <c r="H22" s="309">
        <v>2.0</v>
      </c>
      <c r="I22" s="306" t="s">
        <v>438</v>
      </c>
      <c r="J22" s="309">
        <v>0.6</v>
      </c>
      <c r="K22" s="309">
        <v>96.0</v>
      </c>
      <c r="L22" s="304">
        <v>57.6</v>
      </c>
      <c r="M22" s="307">
        <v>0.86</v>
      </c>
      <c r="N22" s="306" t="s">
        <v>439</v>
      </c>
      <c r="O22" s="305" t="s">
        <v>440</v>
      </c>
      <c r="P22" s="309">
        <v>10.0</v>
      </c>
      <c r="Q22" s="309">
        <v>2018.0</v>
      </c>
      <c r="R22" s="308" t="s">
        <v>441</v>
      </c>
      <c r="S22" s="308" t="s">
        <v>442</v>
      </c>
      <c r="T22" s="308" t="s">
        <v>442</v>
      </c>
      <c r="U22" s="309" t="s">
        <v>400</v>
      </c>
      <c r="V22" s="309">
        <v>365.0</v>
      </c>
      <c r="W22" s="309">
        <v>0.0</v>
      </c>
      <c r="X22" s="306" t="s">
        <v>411</v>
      </c>
      <c r="Y22" s="306" t="s">
        <v>443</v>
      </c>
      <c r="Z22" s="260"/>
      <c r="AA22" s="260"/>
      <c r="AB22" s="260"/>
      <c r="AC22" s="260"/>
      <c r="AD22" s="260"/>
      <c r="AE22" s="260"/>
      <c r="AF22" s="260"/>
      <c r="AG22" s="260"/>
      <c r="AH22" s="260"/>
      <c r="AI22" s="260"/>
      <c r="AJ22" s="260"/>
      <c r="AK22" s="260"/>
      <c r="AL22" s="260"/>
      <c r="AM22" s="260"/>
      <c r="AN22" s="260"/>
      <c r="AO22" s="260"/>
    </row>
    <row r="23" ht="15.75" customHeight="1">
      <c r="A23" s="260"/>
      <c r="B23" s="284" t="s">
        <v>370</v>
      </c>
      <c r="C23" s="285" t="s">
        <v>83</v>
      </c>
      <c r="D23" s="295" t="s">
        <v>24</v>
      </c>
      <c r="E23" s="310" t="s">
        <v>444</v>
      </c>
      <c r="F23" s="311" t="s">
        <v>445</v>
      </c>
      <c r="G23" s="312">
        <v>211058.7</v>
      </c>
      <c r="H23" s="313">
        <v>1.0</v>
      </c>
      <c r="I23" s="290">
        <f t="shared" ref="I23:I24" si="19">IF(G23=0," ",G23*H23)</f>
        <v>211058.7</v>
      </c>
      <c r="J23" s="289">
        <v>5.6</v>
      </c>
      <c r="K23" s="289">
        <v>2.0</v>
      </c>
      <c r="L23" s="220">
        <f t="shared" ref="L23:L35" si="20">J23*K23</f>
        <v>11.2</v>
      </c>
      <c r="M23" s="291">
        <f>VLOOKUP($M$5,'Energia CEMIG'!$A$2:$C$5,3,0)</f>
        <v>0.8573579</v>
      </c>
      <c r="N23" s="219">
        <f t="shared" ref="N23:N35" si="21">L23*M23*H23</f>
        <v>9.60240848</v>
      </c>
      <c r="O23" s="292">
        <f t="shared" ref="O23:O35" si="22">IFERROR(N23/H23," ")</f>
        <v>9.60240848</v>
      </c>
      <c r="P23" s="289">
        <v>10.0</v>
      </c>
      <c r="Q23" s="289">
        <v>2018.0</v>
      </c>
      <c r="R23" s="293">
        <f t="shared" ref="R23:R35" si="23">(I23-(0.1*I23))/P23</f>
        <v>18995.283</v>
      </c>
      <c r="S23" s="293">
        <f t="shared" ref="S23:S35" si="24">IF(R23/365=0,0,R23/(365*8)*K23)</f>
        <v>13.01046781</v>
      </c>
      <c r="T23" s="293">
        <f t="shared" ref="T23:T35" si="25">IFERROR(S23/H23," ")</f>
        <v>13.01046781</v>
      </c>
      <c r="U23" s="286" t="s">
        <v>446</v>
      </c>
      <c r="V23" s="289">
        <v>178.0</v>
      </c>
      <c r="W23" s="289">
        <v>160.0</v>
      </c>
      <c r="X23" s="219">
        <f t="shared" ref="X23:X35" si="26">IFERROR(W23/(365*8)*K23," ")</f>
        <v>0.1095890411</v>
      </c>
      <c r="Y23" s="219">
        <f t="shared" ref="Y23:Y35" si="27">SUM(O23,T23,X23)</f>
        <v>22.72246533</v>
      </c>
      <c r="Z23" s="260"/>
      <c r="AA23" s="260"/>
      <c r="AB23" s="260"/>
      <c r="AC23" s="260"/>
      <c r="AD23" s="260"/>
      <c r="AE23" s="260"/>
      <c r="AF23" s="260"/>
      <c r="AG23" s="260"/>
      <c r="AH23" s="260"/>
      <c r="AI23" s="260"/>
      <c r="AJ23" s="260"/>
      <c r="AK23" s="260"/>
      <c r="AL23" s="260"/>
      <c r="AM23" s="260"/>
      <c r="AN23" s="260"/>
      <c r="AO23" s="260"/>
    </row>
    <row r="24" ht="15.75" customHeight="1">
      <c r="A24" s="260"/>
      <c r="B24" s="284" t="s">
        <v>370</v>
      </c>
      <c r="C24" s="285" t="s">
        <v>83</v>
      </c>
      <c r="D24" s="295" t="s">
        <v>447</v>
      </c>
      <c r="E24" s="310" t="s">
        <v>448</v>
      </c>
      <c r="F24" s="311" t="s">
        <v>449</v>
      </c>
      <c r="G24" s="312">
        <v>2950.0</v>
      </c>
      <c r="H24" s="313">
        <v>1.0</v>
      </c>
      <c r="I24" s="290">
        <f t="shared" si="19"/>
        <v>2950</v>
      </c>
      <c r="J24" s="289">
        <v>0.67</v>
      </c>
      <c r="K24" s="289">
        <v>2.0</v>
      </c>
      <c r="L24" s="220">
        <f t="shared" si="20"/>
        <v>1.34</v>
      </c>
      <c r="M24" s="291">
        <f>VLOOKUP($M$5,'Energia CEMIG'!$A$2:$C$5,3,0)</f>
        <v>0.8573579</v>
      </c>
      <c r="N24" s="219">
        <f t="shared" si="21"/>
        <v>1.148859586</v>
      </c>
      <c r="O24" s="292">
        <f t="shared" si="22"/>
        <v>1.148859586</v>
      </c>
      <c r="P24" s="289">
        <v>10.0</v>
      </c>
      <c r="Q24" s="289">
        <v>2018.0</v>
      </c>
      <c r="R24" s="293">
        <f t="shared" si="23"/>
        <v>265.5</v>
      </c>
      <c r="S24" s="293">
        <f t="shared" si="24"/>
        <v>0.1818493151</v>
      </c>
      <c r="T24" s="293">
        <f t="shared" si="25"/>
        <v>0.1818493151</v>
      </c>
      <c r="U24" s="286" t="s">
        <v>450</v>
      </c>
      <c r="V24" s="289">
        <v>365.0</v>
      </c>
      <c r="W24" s="289">
        <v>0.0</v>
      </c>
      <c r="X24" s="219">
        <f t="shared" si="26"/>
        <v>0</v>
      </c>
      <c r="Y24" s="219">
        <f t="shared" si="27"/>
        <v>1.330708901</v>
      </c>
      <c r="Z24" s="260"/>
      <c r="AA24" s="260"/>
      <c r="AB24" s="260"/>
      <c r="AC24" s="260"/>
      <c r="AD24" s="260"/>
      <c r="AE24" s="260"/>
      <c r="AF24" s="260"/>
      <c r="AG24" s="260"/>
      <c r="AH24" s="260"/>
      <c r="AI24" s="260"/>
      <c r="AJ24" s="260"/>
      <c r="AK24" s="260"/>
      <c r="AL24" s="260"/>
      <c r="AM24" s="260"/>
      <c r="AN24" s="260"/>
      <c r="AO24" s="260"/>
    </row>
    <row r="25" ht="15.75" customHeight="1">
      <c r="A25" s="260"/>
      <c r="B25" s="284" t="s">
        <v>370</v>
      </c>
      <c r="C25" s="285" t="s">
        <v>84</v>
      </c>
      <c r="D25" s="220" t="s">
        <v>451</v>
      </c>
      <c r="E25" s="220" t="s">
        <v>452</v>
      </c>
      <c r="F25" s="220" t="s">
        <v>453</v>
      </c>
      <c r="G25" s="292">
        <f>(37500+18300)*'Parâmetros'!H14</f>
        <v>347076</v>
      </c>
      <c r="H25" s="247">
        <v>1.0</v>
      </c>
      <c r="I25" s="219">
        <f t="shared" ref="I25:I26" si="28">G25*H25</f>
        <v>347076</v>
      </c>
      <c r="J25" s="247">
        <v>1.1</v>
      </c>
      <c r="K25" s="247">
        <v>8.0</v>
      </c>
      <c r="L25" s="220">
        <f t="shared" si="20"/>
        <v>8.8</v>
      </c>
      <c r="M25" s="291">
        <f>VLOOKUP($M$5,'Energia CEMIG'!$A$2:$C$5,3,0)</f>
        <v>0.8573579</v>
      </c>
      <c r="N25" s="219">
        <f t="shared" si="21"/>
        <v>7.54474952</v>
      </c>
      <c r="O25" s="292">
        <f t="shared" si="22"/>
        <v>7.54474952</v>
      </c>
      <c r="P25" s="247">
        <v>10.0</v>
      </c>
      <c r="Q25" s="247">
        <v>2017.0</v>
      </c>
      <c r="R25" s="293">
        <f t="shared" si="23"/>
        <v>31236.84</v>
      </c>
      <c r="S25" s="293">
        <f t="shared" si="24"/>
        <v>85.58038356</v>
      </c>
      <c r="T25" s="293">
        <f t="shared" si="25"/>
        <v>85.58038356</v>
      </c>
      <c r="U25" s="247" t="s">
        <v>454</v>
      </c>
      <c r="V25" s="247">
        <v>365.0</v>
      </c>
      <c r="W25" s="247">
        <v>200.0</v>
      </c>
      <c r="X25" s="219">
        <f t="shared" si="26"/>
        <v>0.5479452055</v>
      </c>
      <c r="Y25" s="219">
        <f t="shared" si="27"/>
        <v>93.67307829</v>
      </c>
      <c r="Z25" s="260"/>
      <c r="AA25" s="260"/>
      <c r="AB25" s="260"/>
      <c r="AC25" s="260"/>
      <c r="AD25" s="260"/>
      <c r="AE25" s="260"/>
      <c r="AF25" s="260"/>
      <c r="AG25" s="260"/>
      <c r="AH25" s="260"/>
      <c r="AI25" s="260"/>
      <c r="AJ25" s="260"/>
      <c r="AK25" s="260"/>
      <c r="AL25" s="260"/>
      <c r="AM25" s="260"/>
      <c r="AN25" s="260"/>
      <c r="AO25" s="260"/>
    </row>
    <row r="26" ht="15.75" customHeight="1">
      <c r="A26" s="260"/>
      <c r="B26" s="284" t="s">
        <v>370</v>
      </c>
      <c r="C26" s="285" t="s">
        <v>84</v>
      </c>
      <c r="D26" s="286" t="s">
        <v>455</v>
      </c>
      <c r="E26" s="286" t="s">
        <v>456</v>
      </c>
      <c r="F26" s="286" t="s">
        <v>457</v>
      </c>
      <c r="G26" s="299">
        <v>6500.0</v>
      </c>
      <c r="H26" s="289">
        <v>1.0</v>
      </c>
      <c r="I26" s="219">
        <f t="shared" si="28"/>
        <v>6500</v>
      </c>
      <c r="J26" s="289">
        <v>0.55</v>
      </c>
      <c r="K26" s="289">
        <v>1.5</v>
      </c>
      <c r="L26" s="220">
        <f t="shared" si="20"/>
        <v>0.825</v>
      </c>
      <c r="M26" s="291">
        <f>VLOOKUP($M$5,'Energia CEMIG'!$A$2:$C$5,3,0)</f>
        <v>0.8573579</v>
      </c>
      <c r="N26" s="219">
        <f t="shared" si="21"/>
        <v>0.7073202675</v>
      </c>
      <c r="O26" s="292">
        <f t="shared" si="22"/>
        <v>0.7073202675</v>
      </c>
      <c r="P26" s="289">
        <v>10.0</v>
      </c>
      <c r="Q26" s="289">
        <v>2018.0</v>
      </c>
      <c r="R26" s="293">
        <f t="shared" si="23"/>
        <v>585</v>
      </c>
      <c r="S26" s="293">
        <f t="shared" si="24"/>
        <v>0.3005136986</v>
      </c>
      <c r="T26" s="293">
        <f t="shared" si="25"/>
        <v>0.3005136986</v>
      </c>
      <c r="U26" s="289" t="s">
        <v>458</v>
      </c>
      <c r="V26" s="247">
        <v>365.0</v>
      </c>
      <c r="W26" s="289">
        <v>0.0</v>
      </c>
      <c r="X26" s="219">
        <f t="shared" si="26"/>
        <v>0</v>
      </c>
      <c r="Y26" s="219">
        <f t="shared" si="27"/>
        <v>1.007833966</v>
      </c>
      <c r="Z26" s="260"/>
      <c r="AA26" s="260"/>
      <c r="AB26" s="260"/>
      <c r="AC26" s="260"/>
      <c r="AD26" s="260"/>
      <c r="AE26" s="260"/>
      <c r="AF26" s="260"/>
      <c r="AG26" s="260"/>
      <c r="AH26" s="260"/>
      <c r="AI26" s="260"/>
      <c r="AJ26" s="260"/>
      <c r="AK26" s="260"/>
      <c r="AL26" s="260"/>
      <c r="AM26" s="260"/>
      <c r="AN26" s="260"/>
      <c r="AO26" s="260"/>
    </row>
    <row r="27" ht="15.75" customHeight="1">
      <c r="A27" s="260"/>
      <c r="B27" s="284" t="s">
        <v>3</v>
      </c>
      <c r="C27" s="285" t="s">
        <v>459</v>
      </c>
      <c r="D27" s="220" t="s">
        <v>460</v>
      </c>
      <c r="E27" s="220" t="s">
        <v>461</v>
      </c>
      <c r="F27" s="220" t="s">
        <v>462</v>
      </c>
      <c r="G27" s="292">
        <v>1100000.0</v>
      </c>
      <c r="H27" s="247">
        <v>1.0</v>
      </c>
      <c r="I27" s="219">
        <f>IF(G27=0," ",G27*H27)</f>
        <v>1100000</v>
      </c>
      <c r="J27" s="247">
        <v>57.3</v>
      </c>
      <c r="K27" s="247">
        <v>24.0</v>
      </c>
      <c r="L27" s="220">
        <f t="shared" si="20"/>
        <v>1375.2</v>
      </c>
      <c r="M27" s="291">
        <f>VLOOKUP($M$5,'Energia CEMIG'!$A$2:$C$5,3,0)</f>
        <v>0.8573579</v>
      </c>
      <c r="N27" s="219">
        <f t="shared" si="21"/>
        <v>1179.038584</v>
      </c>
      <c r="O27" s="292">
        <f t="shared" si="22"/>
        <v>1179.038584</v>
      </c>
      <c r="P27" s="247">
        <v>10.0</v>
      </c>
      <c r="Q27" s="247" t="s">
        <v>463</v>
      </c>
      <c r="R27" s="293">
        <f t="shared" si="23"/>
        <v>99000</v>
      </c>
      <c r="S27" s="293">
        <f t="shared" si="24"/>
        <v>813.6986301</v>
      </c>
      <c r="T27" s="293">
        <f t="shared" si="25"/>
        <v>813.6986301</v>
      </c>
      <c r="U27" s="247" t="s">
        <v>464</v>
      </c>
      <c r="V27" s="247">
        <v>365.0</v>
      </c>
      <c r="W27" s="247">
        <v>0.0</v>
      </c>
      <c r="X27" s="219">
        <f t="shared" si="26"/>
        <v>0</v>
      </c>
      <c r="Y27" s="219">
        <f t="shared" si="27"/>
        <v>1992.737214</v>
      </c>
      <c r="Z27" s="260"/>
      <c r="AA27" s="260"/>
      <c r="AB27" s="260"/>
      <c r="AC27" s="260"/>
      <c r="AD27" s="260"/>
      <c r="AE27" s="260"/>
      <c r="AF27" s="260"/>
      <c r="AG27" s="260"/>
      <c r="AH27" s="260"/>
      <c r="AI27" s="260"/>
      <c r="AJ27" s="260"/>
      <c r="AK27" s="260"/>
      <c r="AL27" s="260"/>
      <c r="AM27" s="260"/>
      <c r="AN27" s="260"/>
      <c r="AO27" s="260"/>
    </row>
    <row r="28" ht="15.75" customHeight="1">
      <c r="A28" s="260"/>
      <c r="B28" s="284" t="s">
        <v>3</v>
      </c>
      <c r="C28" s="285" t="s">
        <v>459</v>
      </c>
      <c r="D28" s="220" t="s">
        <v>465</v>
      </c>
      <c r="E28" s="220" t="s">
        <v>18</v>
      </c>
      <c r="F28" s="220" t="s">
        <v>462</v>
      </c>
      <c r="G28" s="314" t="s">
        <v>466</v>
      </c>
      <c r="H28" s="247">
        <v>1.0</v>
      </c>
      <c r="I28" s="219"/>
      <c r="J28" s="247"/>
      <c r="K28" s="247">
        <v>24.0</v>
      </c>
      <c r="L28" s="220">
        <f t="shared" si="20"/>
        <v>0</v>
      </c>
      <c r="M28" s="291">
        <f>VLOOKUP($M$5,'Energia CEMIG'!$A$2:$C$5,3,0)</f>
        <v>0.8573579</v>
      </c>
      <c r="N28" s="219">
        <f t="shared" si="21"/>
        <v>0</v>
      </c>
      <c r="O28" s="292">
        <f t="shared" si="22"/>
        <v>0</v>
      </c>
      <c r="P28" s="247">
        <v>10.0</v>
      </c>
      <c r="Q28" s="247" t="s">
        <v>467</v>
      </c>
      <c r="R28" s="293">
        <f t="shared" si="23"/>
        <v>0</v>
      </c>
      <c r="S28" s="293">
        <f t="shared" si="24"/>
        <v>0</v>
      </c>
      <c r="T28" s="293">
        <f t="shared" si="25"/>
        <v>0</v>
      </c>
      <c r="U28" s="247" t="s">
        <v>468</v>
      </c>
      <c r="V28" s="247">
        <v>365.0</v>
      </c>
      <c r="W28" s="247">
        <v>0.0</v>
      </c>
      <c r="X28" s="219">
        <f t="shared" si="26"/>
        <v>0</v>
      </c>
      <c r="Y28" s="219">
        <f t="shared" si="27"/>
        <v>0</v>
      </c>
      <c r="Z28" s="260"/>
      <c r="AA28" s="260"/>
      <c r="AB28" s="260"/>
      <c r="AC28" s="260"/>
      <c r="AD28" s="260"/>
      <c r="AE28" s="260"/>
      <c r="AF28" s="260"/>
      <c r="AG28" s="260"/>
      <c r="AH28" s="260"/>
      <c r="AI28" s="260"/>
      <c r="AJ28" s="260"/>
      <c r="AK28" s="260"/>
      <c r="AL28" s="260"/>
      <c r="AM28" s="260"/>
      <c r="AN28" s="260"/>
      <c r="AO28" s="260"/>
    </row>
    <row r="29" ht="15.75" customHeight="1">
      <c r="A29" s="260"/>
      <c r="B29" s="284" t="s">
        <v>3</v>
      </c>
      <c r="C29" s="285" t="s">
        <v>459</v>
      </c>
      <c r="D29" s="220" t="s">
        <v>469</v>
      </c>
      <c r="E29" s="220" t="s">
        <v>470</v>
      </c>
      <c r="F29" s="220" t="s">
        <v>471</v>
      </c>
      <c r="G29" s="292">
        <v>42800.0</v>
      </c>
      <c r="H29" s="247">
        <v>1.0</v>
      </c>
      <c r="I29" s="219">
        <f t="shared" ref="I29:I32" si="29">IF(G29=0," ",G29*H29)</f>
        <v>42800</v>
      </c>
      <c r="J29" s="247">
        <v>25.0</v>
      </c>
      <c r="K29" s="247">
        <v>12.0</v>
      </c>
      <c r="L29" s="220">
        <f t="shared" si="20"/>
        <v>300</v>
      </c>
      <c r="M29" s="291">
        <f>VLOOKUP($M$5,'Energia CEMIG'!$A$2:$C$5,3,0)</f>
        <v>0.8573579</v>
      </c>
      <c r="N29" s="219">
        <f t="shared" si="21"/>
        <v>257.20737</v>
      </c>
      <c r="O29" s="292">
        <f t="shared" si="22"/>
        <v>257.20737</v>
      </c>
      <c r="P29" s="247">
        <v>10.0</v>
      </c>
      <c r="Q29" s="247" t="s">
        <v>472</v>
      </c>
      <c r="R29" s="293">
        <f t="shared" si="23"/>
        <v>3852</v>
      </c>
      <c r="S29" s="293">
        <f t="shared" si="24"/>
        <v>15.83013699</v>
      </c>
      <c r="T29" s="293">
        <f t="shared" si="25"/>
        <v>15.83013699</v>
      </c>
      <c r="U29" s="247" t="s">
        <v>450</v>
      </c>
      <c r="V29" s="247">
        <v>365.0</v>
      </c>
      <c r="W29" s="247">
        <v>0.0</v>
      </c>
      <c r="X29" s="219">
        <f t="shared" si="26"/>
        <v>0</v>
      </c>
      <c r="Y29" s="219">
        <f t="shared" si="27"/>
        <v>273.037507</v>
      </c>
      <c r="Z29" s="260"/>
      <c r="AA29" s="260"/>
      <c r="AB29" s="260"/>
      <c r="AC29" s="260"/>
      <c r="AD29" s="260"/>
      <c r="AE29" s="260"/>
      <c r="AF29" s="260"/>
      <c r="AG29" s="260"/>
      <c r="AH29" s="260"/>
      <c r="AI29" s="260"/>
      <c r="AJ29" s="260"/>
      <c r="AK29" s="260"/>
      <c r="AL29" s="260"/>
      <c r="AM29" s="260"/>
      <c r="AN29" s="260"/>
      <c r="AO29" s="260"/>
    </row>
    <row r="30" ht="15.75" customHeight="1">
      <c r="A30" s="260"/>
      <c r="B30" s="284" t="s">
        <v>3</v>
      </c>
      <c r="C30" s="285" t="s">
        <v>85</v>
      </c>
      <c r="D30" s="220" t="s">
        <v>473</v>
      </c>
      <c r="E30" s="220" t="s">
        <v>474</v>
      </c>
      <c r="F30" s="220" t="s">
        <v>475</v>
      </c>
      <c r="G30" s="292">
        <v>8373.0</v>
      </c>
      <c r="H30" s="247">
        <v>1.0</v>
      </c>
      <c r="I30" s="219">
        <f t="shared" si="29"/>
        <v>8373</v>
      </c>
      <c r="J30" s="247">
        <v>5.0</v>
      </c>
      <c r="K30" s="247">
        <v>24.0</v>
      </c>
      <c r="L30" s="220">
        <f t="shared" si="20"/>
        <v>120</v>
      </c>
      <c r="M30" s="291">
        <f>VLOOKUP($M$5,'Energia CEMIG'!$A$2:$C$5,3,0)</f>
        <v>0.8573579</v>
      </c>
      <c r="N30" s="219">
        <f t="shared" si="21"/>
        <v>102.882948</v>
      </c>
      <c r="O30" s="292">
        <f t="shared" si="22"/>
        <v>102.882948</v>
      </c>
      <c r="P30" s="247">
        <v>10.0</v>
      </c>
      <c r="Q30" s="247" t="s">
        <v>472</v>
      </c>
      <c r="R30" s="293">
        <f t="shared" si="23"/>
        <v>753.57</v>
      </c>
      <c r="S30" s="293">
        <f t="shared" si="24"/>
        <v>6.193726027</v>
      </c>
      <c r="T30" s="293">
        <f t="shared" si="25"/>
        <v>6.193726027</v>
      </c>
      <c r="U30" s="247" t="s">
        <v>450</v>
      </c>
      <c r="V30" s="247">
        <v>365.0</v>
      </c>
      <c r="W30" s="247">
        <v>0.0</v>
      </c>
      <c r="X30" s="219">
        <f t="shared" si="26"/>
        <v>0</v>
      </c>
      <c r="Y30" s="219">
        <f t="shared" si="27"/>
        <v>109.076674</v>
      </c>
      <c r="Z30" s="260"/>
      <c r="AA30" s="260"/>
      <c r="AB30" s="260"/>
      <c r="AC30" s="260"/>
      <c r="AD30" s="260"/>
      <c r="AE30" s="260"/>
      <c r="AF30" s="260"/>
      <c r="AG30" s="260"/>
      <c r="AH30" s="260"/>
      <c r="AI30" s="260"/>
      <c r="AJ30" s="260"/>
      <c r="AK30" s="260"/>
      <c r="AL30" s="260"/>
      <c r="AM30" s="260"/>
      <c r="AN30" s="260"/>
      <c r="AO30" s="260"/>
    </row>
    <row r="31" ht="15.75" customHeight="1">
      <c r="A31" s="165"/>
      <c r="B31" s="284" t="s">
        <v>3</v>
      </c>
      <c r="C31" s="285" t="s">
        <v>476</v>
      </c>
      <c r="D31" s="220" t="s">
        <v>477</v>
      </c>
      <c r="E31" s="220" t="s">
        <v>478</v>
      </c>
      <c r="F31" s="220" t="s">
        <v>479</v>
      </c>
      <c r="G31" s="292">
        <v>307800.0</v>
      </c>
      <c r="H31" s="247">
        <v>1.0</v>
      </c>
      <c r="I31" s="219">
        <f t="shared" si="29"/>
        <v>307800</v>
      </c>
      <c r="J31" s="247">
        <v>8.0</v>
      </c>
      <c r="K31" s="247">
        <v>6.0</v>
      </c>
      <c r="L31" s="220">
        <f t="shared" si="20"/>
        <v>48</v>
      </c>
      <c r="M31" s="291">
        <f>VLOOKUP($M$5,'Energia CEMIG'!$A$2:$C$5,3,0)</f>
        <v>0.8573579</v>
      </c>
      <c r="N31" s="219">
        <f t="shared" si="21"/>
        <v>41.1531792</v>
      </c>
      <c r="O31" s="292">
        <f t="shared" si="22"/>
        <v>41.1531792</v>
      </c>
      <c r="P31" s="247">
        <v>10.0</v>
      </c>
      <c r="Q31" s="247">
        <v>2019.0</v>
      </c>
      <c r="R31" s="293">
        <f t="shared" si="23"/>
        <v>27702</v>
      </c>
      <c r="S31" s="293">
        <f t="shared" si="24"/>
        <v>56.92191781</v>
      </c>
      <c r="T31" s="293">
        <f t="shared" si="25"/>
        <v>56.92191781</v>
      </c>
      <c r="U31" s="247" t="s">
        <v>480</v>
      </c>
      <c r="V31" s="247">
        <f>5*365</f>
        <v>1825</v>
      </c>
      <c r="W31" s="247"/>
      <c r="X31" s="219">
        <f t="shared" si="26"/>
        <v>0</v>
      </c>
      <c r="Y31" s="219">
        <f t="shared" si="27"/>
        <v>98.07509701</v>
      </c>
      <c r="Z31" s="165"/>
      <c r="AA31" s="165"/>
      <c r="AB31" s="165"/>
      <c r="AC31" s="165"/>
      <c r="AD31" s="165"/>
      <c r="AE31" s="165"/>
      <c r="AF31" s="165"/>
      <c r="AG31" s="165"/>
      <c r="AH31" s="165"/>
      <c r="AI31" s="165"/>
      <c r="AJ31" s="165"/>
      <c r="AK31" s="165"/>
      <c r="AL31" s="165"/>
      <c r="AM31" s="165"/>
      <c r="AN31" s="165"/>
      <c r="AO31" s="165"/>
    </row>
    <row r="32" ht="27.75" customHeight="1">
      <c r="A32" s="165"/>
      <c r="B32" s="284" t="s">
        <v>3</v>
      </c>
      <c r="C32" s="285" t="s">
        <v>481</v>
      </c>
      <c r="D32" s="220" t="s">
        <v>482</v>
      </c>
      <c r="E32" s="220" t="s">
        <v>483</v>
      </c>
      <c r="F32" s="220" t="s">
        <v>484</v>
      </c>
      <c r="G32" s="292">
        <v>840000.0</v>
      </c>
      <c r="H32" s="289">
        <v>1.0</v>
      </c>
      <c r="I32" s="219">
        <f t="shared" si="29"/>
        <v>840000</v>
      </c>
      <c r="J32" s="247">
        <v>15.0</v>
      </c>
      <c r="K32" s="247">
        <v>24.0</v>
      </c>
      <c r="L32" s="220">
        <f t="shared" si="20"/>
        <v>360</v>
      </c>
      <c r="M32" s="291">
        <f>VLOOKUP($M$5,'Energia CEMIG'!$A$2:$C$5,3,0)</f>
        <v>0.8573579</v>
      </c>
      <c r="N32" s="219">
        <f t="shared" si="21"/>
        <v>308.648844</v>
      </c>
      <c r="O32" s="292">
        <f t="shared" si="22"/>
        <v>308.648844</v>
      </c>
      <c r="P32" s="247">
        <v>10.0</v>
      </c>
      <c r="Q32" s="247" t="s">
        <v>467</v>
      </c>
      <c r="R32" s="293">
        <f t="shared" si="23"/>
        <v>75600</v>
      </c>
      <c r="S32" s="293">
        <f t="shared" si="24"/>
        <v>621.369863</v>
      </c>
      <c r="T32" s="293">
        <f t="shared" si="25"/>
        <v>621.369863</v>
      </c>
      <c r="U32" s="247" t="s">
        <v>464</v>
      </c>
      <c r="V32" s="247">
        <v>365.0</v>
      </c>
      <c r="W32" s="247">
        <v>0.0</v>
      </c>
      <c r="X32" s="219">
        <f t="shared" si="26"/>
        <v>0</v>
      </c>
      <c r="Y32" s="219">
        <f t="shared" si="27"/>
        <v>930.018707</v>
      </c>
      <c r="Z32" s="165"/>
      <c r="AA32" s="165"/>
      <c r="AB32" s="165"/>
      <c r="AC32" s="165"/>
      <c r="AD32" s="165"/>
      <c r="AE32" s="165"/>
      <c r="AF32" s="165"/>
      <c r="AG32" s="165"/>
      <c r="AH32" s="165"/>
      <c r="AI32" s="165"/>
      <c r="AJ32" s="165"/>
      <c r="AK32" s="165"/>
      <c r="AL32" s="165"/>
      <c r="AM32" s="165"/>
      <c r="AN32" s="165"/>
      <c r="AO32" s="165"/>
    </row>
    <row r="33" ht="32.25" customHeight="1">
      <c r="A33" s="165"/>
      <c r="B33" s="284" t="s">
        <v>3</v>
      </c>
      <c r="C33" s="285" t="s">
        <v>481</v>
      </c>
      <c r="D33" s="220" t="s">
        <v>465</v>
      </c>
      <c r="E33" s="220" t="s">
        <v>18</v>
      </c>
      <c r="F33" s="220" t="s">
        <v>484</v>
      </c>
      <c r="G33" s="292">
        <v>0.0</v>
      </c>
      <c r="H33" s="247">
        <v>1.0</v>
      </c>
      <c r="I33" s="219"/>
      <c r="J33" s="247"/>
      <c r="K33" s="247">
        <v>24.0</v>
      </c>
      <c r="L33" s="220">
        <f t="shared" si="20"/>
        <v>0</v>
      </c>
      <c r="M33" s="291">
        <f>VLOOKUP($M$5,'Energia CEMIG'!$A$2:$C$5,3,0)</f>
        <v>0.8573579</v>
      </c>
      <c r="N33" s="219">
        <f t="shared" si="21"/>
        <v>0</v>
      </c>
      <c r="O33" s="292">
        <f t="shared" si="22"/>
        <v>0</v>
      </c>
      <c r="P33" s="247">
        <v>10.0</v>
      </c>
      <c r="Q33" s="247" t="s">
        <v>467</v>
      </c>
      <c r="R33" s="293">
        <f t="shared" si="23"/>
        <v>0</v>
      </c>
      <c r="S33" s="293">
        <f t="shared" si="24"/>
        <v>0</v>
      </c>
      <c r="T33" s="293">
        <f t="shared" si="25"/>
        <v>0</v>
      </c>
      <c r="U33" s="247" t="s">
        <v>468</v>
      </c>
      <c r="V33" s="247">
        <v>365.0</v>
      </c>
      <c r="W33" s="247">
        <v>0.0</v>
      </c>
      <c r="X33" s="219">
        <f t="shared" si="26"/>
        <v>0</v>
      </c>
      <c r="Y33" s="219">
        <f t="shared" si="27"/>
        <v>0</v>
      </c>
      <c r="Z33" s="165"/>
      <c r="AA33" s="165"/>
      <c r="AB33" s="165"/>
      <c r="AC33" s="165"/>
      <c r="AD33" s="165"/>
      <c r="AE33" s="165"/>
      <c r="AF33" s="165"/>
      <c r="AG33" s="165"/>
      <c r="AH33" s="165"/>
      <c r="AI33" s="165"/>
      <c r="AJ33" s="165"/>
      <c r="AK33" s="165"/>
      <c r="AL33" s="165"/>
      <c r="AM33" s="165"/>
      <c r="AN33" s="165"/>
      <c r="AO33" s="165"/>
    </row>
    <row r="34" ht="32.25" customHeight="1">
      <c r="A34" s="165"/>
      <c r="B34" s="284" t="s">
        <v>3</v>
      </c>
      <c r="C34" s="285" t="s">
        <v>481</v>
      </c>
      <c r="D34" s="220" t="s">
        <v>485</v>
      </c>
      <c r="E34" s="220" t="s">
        <v>18</v>
      </c>
      <c r="F34" s="220" t="s">
        <v>484</v>
      </c>
      <c r="G34" s="292">
        <v>0.0</v>
      </c>
      <c r="H34" s="247">
        <v>1.0</v>
      </c>
      <c r="I34" s="219"/>
      <c r="J34" s="247">
        <v>2.0</v>
      </c>
      <c r="K34" s="247">
        <v>12.0</v>
      </c>
      <c r="L34" s="220">
        <f t="shared" si="20"/>
        <v>24</v>
      </c>
      <c r="M34" s="291">
        <f>VLOOKUP($M$5,'Energia CEMIG'!$A$2:$C$5,3,0)</f>
        <v>0.8573579</v>
      </c>
      <c r="N34" s="219">
        <f t="shared" si="21"/>
        <v>20.5765896</v>
      </c>
      <c r="O34" s="292">
        <f t="shared" si="22"/>
        <v>20.5765896</v>
      </c>
      <c r="P34" s="247">
        <v>10.0</v>
      </c>
      <c r="Q34" s="247" t="s">
        <v>467</v>
      </c>
      <c r="R34" s="293">
        <f t="shared" si="23"/>
        <v>0</v>
      </c>
      <c r="S34" s="293">
        <f t="shared" si="24"/>
        <v>0</v>
      </c>
      <c r="T34" s="293">
        <f t="shared" si="25"/>
        <v>0</v>
      </c>
      <c r="U34" s="247" t="s">
        <v>450</v>
      </c>
      <c r="V34" s="247">
        <v>365.0</v>
      </c>
      <c r="W34" s="247">
        <v>0.0</v>
      </c>
      <c r="X34" s="219">
        <f t="shared" si="26"/>
        <v>0</v>
      </c>
      <c r="Y34" s="219">
        <f t="shared" si="27"/>
        <v>20.5765896</v>
      </c>
      <c r="Z34" s="165"/>
      <c r="AA34" s="165"/>
      <c r="AB34" s="165"/>
      <c r="AC34" s="165"/>
      <c r="AD34" s="165"/>
      <c r="AE34" s="165"/>
      <c r="AF34" s="165"/>
      <c r="AG34" s="165"/>
      <c r="AH34" s="165"/>
      <c r="AI34" s="165"/>
      <c r="AJ34" s="165"/>
      <c r="AK34" s="165"/>
      <c r="AL34" s="165"/>
      <c r="AM34" s="165"/>
      <c r="AN34" s="165"/>
      <c r="AO34" s="165"/>
    </row>
    <row r="35" ht="15.75" customHeight="1">
      <c r="A35" s="165"/>
      <c r="B35" s="284" t="s">
        <v>3</v>
      </c>
      <c r="C35" s="285" t="s">
        <v>481</v>
      </c>
      <c r="D35" s="220" t="s">
        <v>486</v>
      </c>
      <c r="E35" s="220" t="s">
        <v>487</v>
      </c>
      <c r="F35" s="220" t="s">
        <v>403</v>
      </c>
      <c r="G35" s="292">
        <v>16170.0</v>
      </c>
      <c r="H35" s="247">
        <v>1.0</v>
      </c>
      <c r="I35" s="219">
        <f>IF(G35=0," ",G35*H35)</f>
        <v>16170</v>
      </c>
      <c r="J35" s="247">
        <v>0.75</v>
      </c>
      <c r="K35" s="247">
        <v>5.0</v>
      </c>
      <c r="L35" s="220">
        <f t="shared" si="20"/>
        <v>3.75</v>
      </c>
      <c r="M35" s="291">
        <f>VLOOKUP($M$5,'Energia CEMIG'!$A$2:$C$5,3,0)</f>
        <v>0.8573579</v>
      </c>
      <c r="N35" s="219">
        <f t="shared" si="21"/>
        <v>3.215092125</v>
      </c>
      <c r="O35" s="292">
        <f t="shared" si="22"/>
        <v>3.215092125</v>
      </c>
      <c r="P35" s="247">
        <v>10.0</v>
      </c>
      <c r="Q35" s="247">
        <v>44487.0</v>
      </c>
      <c r="R35" s="293">
        <f t="shared" si="23"/>
        <v>1455.3</v>
      </c>
      <c r="S35" s="293">
        <f t="shared" si="24"/>
        <v>2.491952055</v>
      </c>
      <c r="T35" s="293">
        <f t="shared" si="25"/>
        <v>2.491952055</v>
      </c>
      <c r="U35" s="247" t="s">
        <v>400</v>
      </c>
      <c r="V35" s="247">
        <v>365.0</v>
      </c>
      <c r="W35" s="247">
        <v>0.0</v>
      </c>
      <c r="X35" s="219">
        <f t="shared" si="26"/>
        <v>0</v>
      </c>
      <c r="Y35" s="219">
        <f t="shared" si="27"/>
        <v>5.70704418</v>
      </c>
      <c r="Z35" s="165"/>
      <c r="AA35" s="165"/>
      <c r="AB35" s="165"/>
      <c r="AC35" s="165"/>
      <c r="AD35" s="165"/>
      <c r="AE35" s="165"/>
      <c r="AF35" s="165"/>
      <c r="AG35" s="165"/>
      <c r="AH35" s="165"/>
      <c r="AI35" s="165"/>
      <c r="AJ35" s="165"/>
      <c r="AK35" s="165"/>
      <c r="AL35" s="165"/>
      <c r="AM35" s="165"/>
      <c r="AN35" s="165"/>
      <c r="AO35" s="165"/>
    </row>
    <row r="36" ht="15.75" customHeight="1">
      <c r="A36" s="165"/>
      <c r="B36" s="255"/>
      <c r="C36" s="255"/>
      <c r="D36" s="255"/>
      <c r="E36" s="255"/>
      <c r="F36" s="165"/>
      <c r="G36" s="255"/>
      <c r="H36" s="255"/>
      <c r="I36" s="255"/>
      <c r="J36" s="255"/>
      <c r="K36" s="255"/>
      <c r="L36" s="255"/>
      <c r="M36" s="255"/>
      <c r="N36" s="255"/>
      <c r="O36" s="25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row>
    <row r="37" ht="15.75" customHeight="1">
      <c r="A37" s="165"/>
      <c r="B37" s="255"/>
      <c r="C37" s="255"/>
      <c r="D37" s="255"/>
      <c r="E37" s="255"/>
      <c r="F37" s="165"/>
      <c r="G37" s="255"/>
      <c r="H37" s="255"/>
      <c r="I37" s="255"/>
      <c r="J37" s="255"/>
      <c r="K37" s="255"/>
      <c r="L37" s="255"/>
      <c r="M37" s="255"/>
      <c r="N37" s="255"/>
      <c r="O37" s="25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65"/>
      <c r="AO37" s="165"/>
    </row>
    <row r="38" ht="15.75" customHeight="1">
      <c r="A38" s="165"/>
      <c r="B38" s="255"/>
      <c r="C38" s="255"/>
      <c r="D38" s="255"/>
      <c r="E38" s="255"/>
      <c r="F38" s="165"/>
      <c r="G38" s="255"/>
      <c r="H38" s="255"/>
      <c r="I38" s="255"/>
      <c r="J38" s="255"/>
      <c r="K38" s="255"/>
      <c r="L38" s="255"/>
      <c r="M38" s="255"/>
      <c r="N38" s="255"/>
      <c r="O38" s="255"/>
      <c r="P38" s="165"/>
      <c r="Q38" s="165"/>
      <c r="R38" s="165"/>
      <c r="S38" s="165"/>
      <c r="T38" s="165"/>
      <c r="U38" s="165"/>
      <c r="V38" s="165"/>
      <c r="W38" s="165"/>
      <c r="X38" s="165"/>
      <c r="Y38" s="165"/>
      <c r="Z38" s="165"/>
      <c r="AA38" s="165"/>
      <c r="AB38" s="165"/>
      <c r="AC38" s="165"/>
      <c r="AD38" s="165"/>
      <c r="AE38" s="165"/>
      <c r="AF38" s="165"/>
      <c r="AG38" s="165"/>
      <c r="AH38" s="165"/>
      <c r="AI38" s="165"/>
      <c r="AJ38" s="165"/>
      <c r="AK38" s="165"/>
      <c r="AL38" s="165"/>
      <c r="AM38" s="165"/>
      <c r="AN38" s="165"/>
      <c r="AO38" s="165"/>
    </row>
    <row r="39" ht="15.75" customHeight="1">
      <c r="A39" s="165"/>
      <c r="B39" s="255"/>
      <c r="C39" s="255"/>
      <c r="D39" s="255"/>
      <c r="E39" s="255"/>
      <c r="F39" s="165"/>
      <c r="G39" s="255"/>
      <c r="H39" s="255"/>
      <c r="I39" s="255"/>
      <c r="J39" s="255"/>
      <c r="K39" s="255"/>
      <c r="L39" s="255"/>
      <c r="M39" s="255"/>
      <c r="N39" s="255"/>
      <c r="O39" s="25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c r="AO39" s="165"/>
    </row>
    <row r="40" ht="15.75" customHeight="1">
      <c r="A40" s="165"/>
      <c r="B40" s="255"/>
      <c r="C40" s="255"/>
      <c r="D40" s="255"/>
      <c r="E40" s="255"/>
      <c r="F40" s="165"/>
      <c r="G40" s="255"/>
      <c r="H40" s="255"/>
      <c r="I40" s="255"/>
      <c r="J40" s="255"/>
      <c r="K40" s="255"/>
      <c r="L40" s="255"/>
      <c r="M40" s="255"/>
      <c r="N40" s="255"/>
      <c r="O40" s="255"/>
      <c r="P40" s="165"/>
      <c r="Q40" s="165"/>
      <c r="R40" s="165"/>
      <c r="S40" s="165"/>
      <c r="T40" s="165"/>
      <c r="U40" s="165"/>
      <c r="V40" s="165"/>
      <c r="W40" s="165"/>
      <c r="X40" s="165"/>
      <c r="Y40" s="165"/>
      <c r="Z40" s="165"/>
      <c r="AA40" s="165"/>
      <c r="AB40" s="165"/>
      <c r="AC40" s="165"/>
      <c r="AD40" s="165"/>
      <c r="AE40" s="165"/>
      <c r="AF40" s="165"/>
      <c r="AG40" s="165"/>
      <c r="AH40" s="165"/>
      <c r="AI40" s="165"/>
      <c r="AJ40" s="165"/>
      <c r="AK40" s="165"/>
      <c r="AL40" s="165"/>
      <c r="AM40" s="165"/>
      <c r="AN40" s="165"/>
      <c r="AO40" s="165"/>
    </row>
    <row r="41" ht="15.75" customHeight="1">
      <c r="A41" s="165"/>
      <c r="B41" s="255"/>
      <c r="C41" s="255"/>
      <c r="D41" s="255"/>
      <c r="E41" s="255"/>
      <c r="F41" s="165"/>
      <c r="G41" s="255"/>
      <c r="H41" s="255"/>
      <c r="I41" s="255"/>
      <c r="J41" s="255"/>
      <c r="K41" s="255"/>
      <c r="L41" s="255"/>
      <c r="M41" s="255"/>
      <c r="N41" s="255"/>
      <c r="O41" s="255"/>
      <c r="P41" s="165"/>
      <c r="Q41" s="165"/>
      <c r="R41" s="165"/>
      <c r="S41" s="165"/>
      <c r="T41" s="165"/>
      <c r="U41" s="165"/>
      <c r="V41" s="165"/>
      <c r="W41" s="165"/>
      <c r="X41" s="165"/>
      <c r="Y41" s="165"/>
      <c r="Z41" s="165"/>
      <c r="AA41" s="165"/>
      <c r="AB41" s="165"/>
      <c r="AC41" s="165"/>
      <c r="AD41" s="165"/>
      <c r="AE41" s="165"/>
      <c r="AF41" s="165"/>
      <c r="AG41" s="165"/>
      <c r="AH41" s="165"/>
      <c r="AI41" s="165"/>
      <c r="AJ41" s="165"/>
      <c r="AK41" s="165"/>
      <c r="AL41" s="165"/>
      <c r="AM41" s="165"/>
      <c r="AN41" s="165"/>
      <c r="AO41" s="165"/>
    </row>
    <row r="42" ht="15.75" customHeight="1">
      <c r="A42" s="165"/>
      <c r="B42" s="255"/>
      <c r="C42" s="255"/>
      <c r="D42" s="255"/>
      <c r="E42" s="255"/>
      <c r="F42" s="165"/>
      <c r="G42" s="255"/>
      <c r="H42" s="255"/>
      <c r="I42" s="255"/>
      <c r="J42" s="255"/>
      <c r="K42" s="255"/>
      <c r="L42" s="255"/>
      <c r="M42" s="255"/>
      <c r="N42" s="255"/>
      <c r="O42" s="255"/>
      <c r="P42" s="165"/>
      <c r="Q42" s="165"/>
      <c r="R42" s="165"/>
      <c r="S42" s="165"/>
      <c r="T42" s="165"/>
      <c r="U42" s="165"/>
      <c r="V42" s="165"/>
      <c r="W42" s="165"/>
      <c r="X42" s="165"/>
      <c r="Y42" s="165"/>
      <c r="Z42" s="165"/>
      <c r="AA42" s="165"/>
      <c r="AB42" s="165"/>
      <c r="AC42" s="165"/>
      <c r="AD42" s="165"/>
      <c r="AE42" s="165"/>
      <c r="AF42" s="165"/>
      <c r="AG42" s="165"/>
      <c r="AH42" s="165"/>
      <c r="AI42" s="165"/>
      <c r="AJ42" s="165"/>
      <c r="AK42" s="165"/>
      <c r="AL42" s="165"/>
      <c r="AM42" s="165"/>
      <c r="AN42" s="165"/>
      <c r="AO42" s="165"/>
    </row>
    <row r="43" ht="15.75" customHeight="1">
      <c r="A43" s="165"/>
      <c r="B43" s="255"/>
      <c r="C43" s="255"/>
      <c r="D43" s="255"/>
      <c r="E43" s="255"/>
      <c r="F43" s="165"/>
      <c r="G43" s="255"/>
      <c r="H43" s="255"/>
      <c r="I43" s="255"/>
      <c r="J43" s="255"/>
      <c r="K43" s="255"/>
      <c r="L43" s="255"/>
      <c r="M43" s="255"/>
      <c r="N43" s="255"/>
      <c r="O43" s="25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row>
    <row r="44" ht="15.75" customHeight="1">
      <c r="A44" s="165"/>
      <c r="B44" s="255"/>
      <c r="C44" s="255"/>
      <c r="D44" s="255"/>
      <c r="E44" s="255"/>
      <c r="F44" s="165"/>
      <c r="G44" s="255"/>
      <c r="H44" s="255"/>
      <c r="I44" s="255"/>
      <c r="J44" s="255"/>
      <c r="K44" s="255"/>
      <c r="L44" s="255"/>
      <c r="M44" s="255"/>
      <c r="N44" s="255"/>
      <c r="O44" s="25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row>
    <row r="45" ht="15.75" customHeight="1">
      <c r="A45" s="165"/>
      <c r="B45" s="255"/>
      <c r="C45" s="255"/>
      <c r="D45" s="255"/>
      <c r="E45" s="255"/>
      <c r="F45" s="165"/>
      <c r="G45" s="255"/>
      <c r="H45" s="255"/>
      <c r="I45" s="255"/>
      <c r="J45" s="255"/>
      <c r="K45" s="255"/>
      <c r="L45" s="255"/>
      <c r="M45" s="255"/>
      <c r="N45" s="255"/>
      <c r="O45" s="25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row>
    <row r="46" ht="15.75" customHeight="1">
      <c r="A46" s="165"/>
      <c r="B46" s="255"/>
      <c r="C46" s="255"/>
      <c r="D46" s="255"/>
      <c r="E46" s="255"/>
      <c r="F46" s="165"/>
      <c r="G46" s="255"/>
      <c r="H46" s="255"/>
      <c r="I46" s="255"/>
      <c r="J46" s="255"/>
      <c r="K46" s="255"/>
      <c r="L46" s="255"/>
      <c r="M46" s="255"/>
      <c r="N46" s="255"/>
      <c r="O46" s="255"/>
      <c r="P46" s="165"/>
      <c r="Q46" s="165"/>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row>
    <row r="47" ht="15.75" customHeight="1">
      <c r="A47" s="165"/>
      <c r="B47" s="255"/>
      <c r="C47" s="255"/>
      <c r="D47" s="255"/>
      <c r="E47" s="255"/>
      <c r="F47" s="165"/>
      <c r="G47" s="255"/>
      <c r="H47" s="255"/>
      <c r="I47" s="255"/>
      <c r="J47" s="255"/>
      <c r="K47" s="255"/>
      <c r="L47" s="255"/>
      <c r="M47" s="255"/>
      <c r="N47" s="255"/>
      <c r="O47" s="255"/>
      <c r="P47" s="165"/>
      <c r="Q47" s="165"/>
      <c r="R47" s="165"/>
      <c r="S47" s="165"/>
      <c r="T47" s="165"/>
      <c r="U47" s="165"/>
      <c r="V47" s="165"/>
      <c r="W47" s="165"/>
      <c r="X47" s="165"/>
      <c r="Y47" s="165"/>
      <c r="Z47" s="165"/>
      <c r="AA47" s="165"/>
      <c r="AB47" s="165"/>
      <c r="AC47" s="165"/>
      <c r="AD47" s="165"/>
      <c r="AE47" s="165"/>
      <c r="AF47" s="165"/>
      <c r="AG47" s="165"/>
      <c r="AH47" s="165"/>
      <c r="AI47" s="165"/>
      <c r="AJ47" s="165"/>
      <c r="AK47" s="165"/>
      <c r="AL47" s="165"/>
      <c r="AM47" s="165"/>
      <c r="AN47" s="165"/>
      <c r="AO47" s="165"/>
    </row>
    <row r="48" ht="15.75" customHeight="1">
      <c r="A48" s="165"/>
      <c r="B48" s="255"/>
      <c r="C48" s="255"/>
      <c r="D48" s="255"/>
      <c r="E48" s="255"/>
      <c r="F48" s="165"/>
      <c r="G48" s="255"/>
      <c r="H48" s="255"/>
      <c r="I48" s="255"/>
      <c r="J48" s="255"/>
      <c r="K48" s="255"/>
      <c r="L48" s="255"/>
      <c r="M48" s="255"/>
      <c r="N48" s="255"/>
      <c r="O48" s="25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row>
    <row r="49" ht="15.75" customHeight="1">
      <c r="A49" s="165"/>
      <c r="B49" s="255"/>
      <c r="C49" s="255"/>
      <c r="D49" s="255"/>
      <c r="E49" s="255"/>
      <c r="F49" s="165"/>
      <c r="G49" s="255"/>
      <c r="H49" s="255"/>
      <c r="I49" s="255"/>
      <c r="J49" s="255"/>
      <c r="K49" s="255"/>
      <c r="L49" s="255"/>
      <c r="M49" s="255"/>
      <c r="N49" s="255"/>
      <c r="O49" s="25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row>
    <row r="50" ht="15.75" customHeight="1">
      <c r="A50" s="165"/>
      <c r="B50" s="255"/>
      <c r="C50" s="255"/>
      <c r="D50" s="255"/>
      <c r="E50" s="255"/>
      <c r="F50" s="165"/>
      <c r="G50" s="255"/>
      <c r="H50" s="255"/>
      <c r="I50" s="255"/>
      <c r="J50" s="255"/>
      <c r="K50" s="255"/>
      <c r="L50" s="255"/>
      <c r="M50" s="255"/>
      <c r="N50" s="255"/>
      <c r="O50" s="255"/>
      <c r="P50" s="165"/>
      <c r="Q50" s="165"/>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row>
    <row r="51" ht="15.75" customHeight="1">
      <c r="A51" s="165"/>
      <c r="B51" s="255"/>
      <c r="C51" s="255"/>
      <c r="D51" s="255"/>
      <c r="E51" s="255"/>
      <c r="F51" s="165"/>
      <c r="G51" s="255"/>
      <c r="H51" s="255"/>
      <c r="I51" s="255"/>
      <c r="J51" s="255"/>
      <c r="K51" s="255"/>
      <c r="L51" s="255"/>
      <c r="M51" s="255"/>
      <c r="N51" s="255"/>
      <c r="O51" s="255"/>
      <c r="P51" s="165"/>
      <c r="Q51" s="165"/>
      <c r="R51" s="165"/>
      <c r="S51" s="165"/>
      <c r="T51" s="165"/>
      <c r="U51" s="165"/>
      <c r="V51" s="165"/>
      <c r="W51" s="165"/>
      <c r="X51" s="165"/>
      <c r="Y51" s="165"/>
      <c r="Z51" s="165"/>
      <c r="AA51" s="165"/>
      <c r="AB51" s="165"/>
      <c r="AC51" s="165"/>
      <c r="AD51" s="165"/>
      <c r="AE51" s="165"/>
      <c r="AF51" s="165"/>
      <c r="AG51" s="165"/>
      <c r="AH51" s="165"/>
      <c r="AI51" s="165"/>
      <c r="AJ51" s="165"/>
      <c r="AK51" s="165"/>
      <c r="AL51" s="165"/>
      <c r="AM51" s="165"/>
      <c r="AN51" s="165"/>
      <c r="AO51" s="165"/>
    </row>
    <row r="52" ht="15.75" customHeight="1">
      <c r="A52" s="165"/>
      <c r="B52" s="255"/>
      <c r="C52" s="255"/>
      <c r="D52" s="255"/>
      <c r="E52" s="255"/>
      <c r="F52" s="165"/>
      <c r="G52" s="255"/>
      <c r="H52" s="255"/>
      <c r="I52" s="255"/>
      <c r="J52" s="255"/>
      <c r="K52" s="255"/>
      <c r="L52" s="255"/>
      <c r="M52" s="255"/>
      <c r="N52" s="255"/>
      <c r="O52" s="255"/>
      <c r="P52" s="165"/>
      <c r="Q52" s="165"/>
      <c r="R52" s="165"/>
      <c r="S52" s="165"/>
      <c r="T52" s="165"/>
      <c r="U52" s="165"/>
      <c r="V52" s="165"/>
      <c r="W52" s="165"/>
      <c r="X52" s="165"/>
      <c r="Y52" s="165"/>
      <c r="Z52" s="165"/>
      <c r="AA52" s="165"/>
      <c r="AB52" s="165"/>
      <c r="AC52" s="165"/>
      <c r="AD52" s="165"/>
      <c r="AE52" s="165"/>
      <c r="AF52" s="165"/>
      <c r="AG52" s="165"/>
      <c r="AH52" s="165"/>
      <c r="AI52" s="165"/>
      <c r="AJ52" s="165"/>
      <c r="AK52" s="165"/>
      <c r="AL52" s="165"/>
      <c r="AM52" s="165"/>
      <c r="AN52" s="165"/>
      <c r="AO52" s="165"/>
    </row>
    <row r="53" ht="15.75" customHeight="1">
      <c r="A53" s="165"/>
      <c r="B53" s="255"/>
      <c r="C53" s="255"/>
      <c r="D53" s="255"/>
      <c r="E53" s="255"/>
      <c r="F53" s="165"/>
      <c r="G53" s="255"/>
      <c r="H53" s="255"/>
      <c r="I53" s="255"/>
      <c r="J53" s="255"/>
      <c r="K53" s="255"/>
      <c r="L53" s="255"/>
      <c r="M53" s="255"/>
      <c r="N53" s="255"/>
      <c r="O53" s="255"/>
      <c r="P53" s="165"/>
      <c r="Q53" s="165"/>
      <c r="R53" s="165"/>
      <c r="S53" s="165"/>
      <c r="T53" s="165"/>
      <c r="U53" s="165"/>
      <c r="V53" s="165"/>
      <c r="W53" s="165"/>
      <c r="X53" s="165"/>
      <c r="Y53" s="165"/>
      <c r="Z53" s="165"/>
      <c r="AA53" s="165"/>
      <c r="AB53" s="165"/>
      <c r="AC53" s="165"/>
      <c r="AD53" s="165"/>
      <c r="AE53" s="165"/>
      <c r="AF53" s="165"/>
      <c r="AG53" s="165"/>
      <c r="AH53" s="165"/>
      <c r="AI53" s="165"/>
      <c r="AJ53" s="165"/>
      <c r="AK53" s="165"/>
      <c r="AL53" s="165"/>
      <c r="AM53" s="165"/>
      <c r="AN53" s="165"/>
      <c r="AO53" s="165"/>
    </row>
    <row r="54" ht="15.75" customHeight="1">
      <c r="A54" s="165"/>
      <c r="B54" s="255"/>
      <c r="C54" s="255"/>
      <c r="D54" s="255"/>
      <c r="E54" s="255"/>
      <c r="F54" s="165"/>
      <c r="G54" s="255"/>
      <c r="H54" s="255"/>
      <c r="I54" s="255"/>
      <c r="J54" s="255"/>
      <c r="K54" s="255"/>
      <c r="L54" s="255"/>
      <c r="M54" s="255"/>
      <c r="N54" s="255"/>
      <c r="O54" s="255"/>
      <c r="P54" s="165"/>
      <c r="Q54" s="165"/>
      <c r="R54" s="165"/>
      <c r="S54" s="165"/>
      <c r="T54" s="165"/>
      <c r="U54" s="165"/>
      <c r="V54" s="165"/>
      <c r="W54" s="165"/>
      <c r="X54" s="165"/>
      <c r="Y54" s="165"/>
      <c r="Z54" s="165"/>
      <c r="AA54" s="165"/>
      <c r="AB54" s="165"/>
      <c r="AC54" s="165"/>
      <c r="AD54" s="165"/>
      <c r="AE54" s="165"/>
      <c r="AF54" s="165"/>
      <c r="AG54" s="165"/>
      <c r="AH54" s="165"/>
      <c r="AI54" s="165"/>
      <c r="AJ54" s="165"/>
      <c r="AK54" s="165"/>
      <c r="AL54" s="165"/>
      <c r="AM54" s="165"/>
      <c r="AN54" s="165"/>
      <c r="AO54" s="165"/>
    </row>
    <row r="55" ht="15.75" customHeight="1">
      <c r="A55" s="165"/>
      <c r="B55" s="255"/>
      <c r="C55" s="255"/>
      <c r="D55" s="255"/>
      <c r="E55" s="255"/>
      <c r="F55" s="165"/>
      <c r="G55" s="255"/>
      <c r="H55" s="255"/>
      <c r="I55" s="255"/>
      <c r="J55" s="255"/>
      <c r="K55" s="255"/>
      <c r="L55" s="255"/>
      <c r="M55" s="255"/>
      <c r="N55" s="255"/>
      <c r="O55" s="255"/>
      <c r="P55" s="165"/>
      <c r="Q55" s="165"/>
      <c r="R55" s="165"/>
      <c r="S55" s="165"/>
      <c r="T55" s="165"/>
      <c r="U55" s="165"/>
      <c r="V55" s="165"/>
      <c r="W55" s="165"/>
      <c r="X55" s="165"/>
      <c r="Y55" s="165"/>
      <c r="Z55" s="165"/>
      <c r="AA55" s="165"/>
      <c r="AB55" s="165"/>
      <c r="AC55" s="165"/>
      <c r="AD55" s="165"/>
      <c r="AE55" s="165"/>
      <c r="AF55" s="165"/>
      <c r="AG55" s="165"/>
      <c r="AH55" s="165"/>
      <c r="AI55" s="165"/>
      <c r="AJ55" s="165"/>
      <c r="AK55" s="165"/>
      <c r="AL55" s="165"/>
      <c r="AM55" s="165"/>
      <c r="AN55" s="165"/>
      <c r="AO55" s="165"/>
    </row>
    <row r="56" ht="15.75" customHeight="1">
      <c r="A56" s="165"/>
      <c r="B56" s="255"/>
      <c r="C56" s="255"/>
      <c r="D56" s="255"/>
      <c r="E56" s="255"/>
      <c r="F56" s="165"/>
      <c r="G56" s="255"/>
      <c r="H56" s="255"/>
      <c r="I56" s="255"/>
      <c r="J56" s="255"/>
      <c r="K56" s="255"/>
      <c r="L56" s="255"/>
      <c r="M56" s="255"/>
      <c r="N56" s="255"/>
      <c r="O56" s="255"/>
      <c r="P56" s="165"/>
      <c r="Q56" s="165"/>
      <c r="R56" s="165"/>
      <c r="S56" s="165"/>
      <c r="T56" s="165"/>
      <c r="U56" s="165"/>
      <c r="V56" s="165"/>
      <c r="W56" s="165"/>
      <c r="X56" s="165"/>
      <c r="Y56" s="165"/>
      <c r="Z56" s="165"/>
      <c r="AA56" s="165"/>
      <c r="AB56" s="165"/>
      <c r="AC56" s="165"/>
      <c r="AD56" s="165"/>
      <c r="AE56" s="165"/>
      <c r="AF56" s="165"/>
      <c r="AG56" s="165"/>
      <c r="AH56" s="165"/>
      <c r="AI56" s="165"/>
      <c r="AJ56" s="165"/>
      <c r="AK56" s="165"/>
      <c r="AL56" s="165"/>
      <c r="AM56" s="165"/>
      <c r="AN56" s="165"/>
      <c r="AO56" s="165"/>
    </row>
    <row r="57" ht="15.75" customHeight="1">
      <c r="A57" s="165"/>
      <c r="B57" s="255"/>
      <c r="C57" s="255"/>
      <c r="D57" s="255"/>
      <c r="E57" s="255"/>
      <c r="F57" s="165"/>
      <c r="G57" s="255"/>
      <c r="H57" s="255"/>
      <c r="I57" s="255"/>
      <c r="J57" s="255"/>
      <c r="K57" s="255"/>
      <c r="L57" s="255"/>
      <c r="M57" s="255"/>
      <c r="N57" s="255"/>
      <c r="O57" s="255"/>
      <c r="P57" s="165"/>
      <c r="Q57" s="165"/>
      <c r="R57" s="165"/>
      <c r="S57" s="165"/>
      <c r="T57" s="165"/>
      <c r="U57" s="165"/>
      <c r="V57" s="165"/>
      <c r="W57" s="165"/>
      <c r="X57" s="165"/>
      <c r="Y57" s="165"/>
      <c r="Z57" s="165"/>
      <c r="AA57" s="165"/>
      <c r="AB57" s="165"/>
      <c r="AC57" s="165"/>
      <c r="AD57" s="165"/>
      <c r="AE57" s="165"/>
      <c r="AF57" s="165"/>
      <c r="AG57" s="165"/>
      <c r="AH57" s="165"/>
      <c r="AI57" s="165"/>
      <c r="AJ57" s="165"/>
      <c r="AK57" s="165"/>
      <c r="AL57" s="165"/>
      <c r="AM57" s="165"/>
      <c r="AN57" s="165"/>
      <c r="AO57" s="165"/>
    </row>
    <row r="58" ht="15.75" customHeight="1">
      <c r="A58" s="165"/>
      <c r="B58" s="255"/>
      <c r="C58" s="255"/>
      <c r="D58" s="255"/>
      <c r="E58" s="255"/>
      <c r="F58" s="165"/>
      <c r="G58" s="255"/>
      <c r="H58" s="255"/>
      <c r="I58" s="255"/>
      <c r="J58" s="255"/>
      <c r="K58" s="255"/>
      <c r="L58" s="255"/>
      <c r="M58" s="255"/>
      <c r="N58" s="255"/>
      <c r="O58" s="255"/>
      <c r="P58" s="165"/>
      <c r="Q58" s="165"/>
      <c r="R58" s="165"/>
      <c r="S58" s="165"/>
      <c r="T58" s="165"/>
      <c r="U58" s="165"/>
      <c r="V58" s="165"/>
      <c r="W58" s="165"/>
      <c r="X58" s="165"/>
      <c r="Y58" s="165"/>
      <c r="Z58" s="165"/>
      <c r="AA58" s="165"/>
      <c r="AB58" s="165"/>
      <c r="AC58" s="165"/>
      <c r="AD58" s="165"/>
      <c r="AE58" s="165"/>
      <c r="AF58" s="165"/>
      <c r="AG58" s="165"/>
      <c r="AH58" s="165"/>
      <c r="AI58" s="165"/>
      <c r="AJ58" s="165"/>
      <c r="AK58" s="165"/>
      <c r="AL58" s="165"/>
      <c r="AM58" s="165"/>
      <c r="AN58" s="165"/>
      <c r="AO58" s="165"/>
    </row>
    <row r="59" ht="15.75" customHeight="1">
      <c r="A59" s="165"/>
      <c r="B59" s="255"/>
      <c r="C59" s="255"/>
      <c r="D59" s="255"/>
      <c r="E59" s="255"/>
      <c r="F59" s="165"/>
      <c r="G59" s="255"/>
      <c r="H59" s="255"/>
      <c r="I59" s="255"/>
      <c r="J59" s="255"/>
      <c r="K59" s="255"/>
      <c r="L59" s="255"/>
      <c r="M59" s="255"/>
      <c r="N59" s="255"/>
      <c r="O59" s="255"/>
      <c r="P59" s="165"/>
      <c r="Q59" s="165"/>
      <c r="R59" s="165"/>
      <c r="S59" s="165"/>
      <c r="T59" s="165"/>
      <c r="U59" s="165"/>
      <c r="V59" s="165"/>
      <c r="W59" s="165"/>
      <c r="X59" s="165"/>
      <c r="Y59" s="165"/>
      <c r="Z59" s="165"/>
      <c r="AA59" s="165"/>
      <c r="AB59" s="165"/>
      <c r="AC59" s="165"/>
      <c r="AD59" s="165"/>
      <c r="AE59" s="165"/>
      <c r="AF59" s="165"/>
      <c r="AG59" s="165"/>
      <c r="AH59" s="165"/>
      <c r="AI59" s="165"/>
      <c r="AJ59" s="165"/>
      <c r="AK59" s="165"/>
      <c r="AL59" s="165"/>
      <c r="AM59" s="165"/>
      <c r="AN59" s="165"/>
      <c r="AO59" s="165"/>
    </row>
    <row r="60" ht="15.75" customHeight="1">
      <c r="A60" s="165"/>
      <c r="B60" s="255"/>
      <c r="C60" s="255"/>
      <c r="D60" s="255"/>
      <c r="E60" s="255"/>
      <c r="F60" s="165"/>
      <c r="G60" s="255"/>
      <c r="H60" s="255"/>
      <c r="I60" s="255"/>
      <c r="J60" s="255"/>
      <c r="K60" s="255"/>
      <c r="L60" s="255"/>
      <c r="M60" s="255"/>
      <c r="N60" s="255"/>
      <c r="O60" s="255"/>
      <c r="P60" s="165"/>
      <c r="Q60" s="165"/>
      <c r="R60" s="165"/>
      <c r="S60" s="165"/>
      <c r="T60" s="165"/>
      <c r="U60" s="165"/>
      <c r="V60" s="165"/>
      <c r="W60" s="165"/>
      <c r="X60" s="165"/>
      <c r="Y60" s="165"/>
      <c r="Z60" s="165"/>
      <c r="AA60" s="165"/>
      <c r="AB60" s="165"/>
      <c r="AC60" s="165"/>
      <c r="AD60" s="165"/>
      <c r="AE60" s="165"/>
      <c r="AF60" s="165"/>
      <c r="AG60" s="165"/>
      <c r="AH60" s="165"/>
      <c r="AI60" s="165"/>
      <c r="AJ60" s="165"/>
      <c r="AK60" s="165"/>
      <c r="AL60" s="165"/>
      <c r="AM60" s="165"/>
      <c r="AN60" s="165"/>
      <c r="AO60" s="165"/>
    </row>
    <row r="61" ht="15.75" customHeight="1">
      <c r="A61" s="165"/>
      <c r="B61" s="255"/>
      <c r="C61" s="255"/>
      <c r="D61" s="255"/>
      <c r="E61" s="255"/>
      <c r="F61" s="165"/>
      <c r="G61" s="255"/>
      <c r="H61" s="255"/>
      <c r="I61" s="255"/>
      <c r="J61" s="255"/>
      <c r="K61" s="255"/>
      <c r="L61" s="255"/>
      <c r="M61" s="255"/>
      <c r="N61" s="255"/>
      <c r="O61" s="255"/>
      <c r="P61" s="165"/>
      <c r="Q61" s="165"/>
      <c r="R61" s="165"/>
      <c r="S61" s="165"/>
      <c r="T61" s="165"/>
      <c r="U61" s="165"/>
      <c r="V61" s="165"/>
      <c r="W61" s="165"/>
      <c r="X61" s="165"/>
      <c r="Y61" s="165"/>
      <c r="Z61" s="165"/>
      <c r="AA61" s="165"/>
      <c r="AB61" s="165"/>
      <c r="AC61" s="165"/>
      <c r="AD61" s="165"/>
      <c r="AE61" s="165"/>
      <c r="AF61" s="165"/>
      <c r="AG61" s="165"/>
      <c r="AH61" s="165"/>
      <c r="AI61" s="165"/>
      <c r="AJ61" s="165"/>
      <c r="AK61" s="165"/>
      <c r="AL61" s="165"/>
      <c r="AM61" s="165"/>
      <c r="AN61" s="165"/>
      <c r="AO61" s="165"/>
    </row>
    <row r="62" ht="15.75" customHeight="1">
      <c r="A62" s="165"/>
      <c r="B62" s="255"/>
      <c r="C62" s="255"/>
      <c r="D62" s="255"/>
      <c r="E62" s="255"/>
      <c r="F62" s="165"/>
      <c r="G62" s="255"/>
      <c r="H62" s="255"/>
      <c r="I62" s="255"/>
      <c r="J62" s="255"/>
      <c r="K62" s="255"/>
      <c r="L62" s="255"/>
      <c r="M62" s="255"/>
      <c r="N62" s="255"/>
      <c r="O62" s="25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row>
    <row r="63" ht="15.75" customHeight="1">
      <c r="A63" s="165"/>
      <c r="B63" s="255"/>
      <c r="C63" s="255"/>
      <c r="D63" s="255"/>
      <c r="E63" s="255"/>
      <c r="F63" s="165"/>
      <c r="G63" s="255"/>
      <c r="H63" s="255"/>
      <c r="I63" s="255"/>
      <c r="J63" s="255"/>
      <c r="K63" s="255"/>
      <c r="L63" s="255"/>
      <c r="M63" s="255"/>
      <c r="N63" s="255"/>
      <c r="O63" s="255"/>
      <c r="P63" s="165"/>
      <c r="Q63" s="165"/>
      <c r="R63" s="165"/>
      <c r="S63" s="165"/>
      <c r="T63" s="165"/>
      <c r="U63" s="165"/>
      <c r="V63" s="165"/>
      <c r="W63" s="165"/>
      <c r="X63" s="165"/>
      <c r="Y63" s="165"/>
      <c r="Z63" s="165"/>
      <c r="AA63" s="165"/>
      <c r="AB63" s="165"/>
      <c r="AC63" s="165"/>
      <c r="AD63" s="165"/>
      <c r="AE63" s="165"/>
      <c r="AF63" s="165"/>
      <c r="AG63" s="165"/>
      <c r="AH63" s="165"/>
      <c r="AI63" s="165"/>
      <c r="AJ63" s="165"/>
      <c r="AK63" s="165"/>
      <c r="AL63" s="165"/>
      <c r="AM63" s="165"/>
      <c r="AN63" s="165"/>
      <c r="AO63" s="165"/>
    </row>
    <row r="64" ht="15.75" customHeight="1">
      <c r="A64" s="165"/>
      <c r="B64" s="255"/>
      <c r="C64" s="255"/>
      <c r="D64" s="255"/>
      <c r="E64" s="255"/>
      <c r="F64" s="165"/>
      <c r="G64" s="255"/>
      <c r="H64" s="255"/>
      <c r="I64" s="255"/>
      <c r="J64" s="255"/>
      <c r="K64" s="255"/>
      <c r="L64" s="255"/>
      <c r="M64" s="255"/>
      <c r="N64" s="255"/>
      <c r="O64" s="255"/>
      <c r="P64" s="165"/>
      <c r="Q64" s="165"/>
      <c r="R64" s="165"/>
      <c r="S64" s="165"/>
      <c r="T64" s="165"/>
      <c r="U64" s="165"/>
      <c r="V64" s="165"/>
      <c r="W64" s="165"/>
      <c r="X64" s="165"/>
      <c r="Y64" s="165"/>
      <c r="Z64" s="165"/>
      <c r="AA64" s="165"/>
      <c r="AB64" s="165"/>
      <c r="AC64" s="165"/>
      <c r="AD64" s="165"/>
      <c r="AE64" s="165"/>
      <c r="AF64" s="165"/>
      <c r="AG64" s="165"/>
      <c r="AH64" s="165"/>
      <c r="AI64" s="165"/>
      <c r="AJ64" s="165"/>
      <c r="AK64" s="165"/>
      <c r="AL64" s="165"/>
      <c r="AM64" s="165"/>
      <c r="AN64" s="165"/>
      <c r="AO64" s="165"/>
    </row>
    <row r="65" ht="15.75" customHeight="1">
      <c r="A65" s="165"/>
      <c r="B65" s="255"/>
      <c r="C65" s="255"/>
      <c r="D65" s="255"/>
      <c r="E65" s="255"/>
      <c r="F65" s="165"/>
      <c r="G65" s="255"/>
      <c r="H65" s="255"/>
      <c r="I65" s="255"/>
      <c r="J65" s="255"/>
      <c r="K65" s="255"/>
      <c r="L65" s="255"/>
      <c r="M65" s="255"/>
      <c r="N65" s="255"/>
      <c r="O65" s="255"/>
      <c r="P65" s="165"/>
      <c r="Q65" s="165"/>
      <c r="R65" s="165"/>
      <c r="S65" s="165"/>
      <c r="T65" s="165"/>
      <c r="U65" s="165"/>
      <c r="V65" s="165"/>
      <c r="W65" s="165"/>
      <c r="X65" s="165"/>
      <c r="Y65" s="165"/>
      <c r="Z65" s="165"/>
      <c r="AA65" s="165"/>
      <c r="AB65" s="165"/>
      <c r="AC65" s="165"/>
      <c r="AD65" s="165"/>
      <c r="AE65" s="165"/>
      <c r="AF65" s="165"/>
      <c r="AG65" s="165"/>
      <c r="AH65" s="165"/>
      <c r="AI65" s="165"/>
      <c r="AJ65" s="165"/>
      <c r="AK65" s="165"/>
      <c r="AL65" s="165"/>
      <c r="AM65" s="165"/>
      <c r="AN65" s="165"/>
      <c r="AO65" s="165"/>
    </row>
    <row r="66" ht="15.75" customHeight="1">
      <c r="A66" s="165"/>
      <c r="B66" s="255"/>
      <c r="C66" s="255"/>
      <c r="D66" s="255"/>
      <c r="E66" s="255"/>
      <c r="F66" s="165"/>
      <c r="G66" s="255"/>
      <c r="H66" s="255"/>
      <c r="I66" s="255"/>
      <c r="J66" s="255"/>
      <c r="K66" s="255"/>
      <c r="L66" s="255"/>
      <c r="M66" s="255"/>
      <c r="N66" s="255"/>
      <c r="O66" s="255"/>
      <c r="P66" s="165"/>
      <c r="Q66" s="165"/>
      <c r="R66" s="165"/>
      <c r="S66" s="165"/>
      <c r="T66" s="165"/>
      <c r="U66" s="165"/>
      <c r="V66" s="165"/>
      <c r="W66" s="165"/>
      <c r="X66" s="165"/>
      <c r="Y66" s="165"/>
      <c r="Z66" s="165"/>
      <c r="AA66" s="165"/>
      <c r="AB66" s="165"/>
      <c r="AC66" s="165"/>
      <c r="AD66" s="165"/>
      <c r="AE66" s="165"/>
      <c r="AF66" s="165"/>
      <c r="AG66" s="165"/>
      <c r="AH66" s="165"/>
      <c r="AI66" s="165"/>
      <c r="AJ66" s="165"/>
      <c r="AK66" s="165"/>
      <c r="AL66" s="165"/>
      <c r="AM66" s="165"/>
      <c r="AN66" s="165"/>
      <c r="AO66" s="165"/>
    </row>
    <row r="67" ht="15.75" customHeight="1">
      <c r="A67" s="165"/>
      <c r="B67" s="255"/>
      <c r="C67" s="255"/>
      <c r="D67" s="255"/>
      <c r="E67" s="255"/>
      <c r="F67" s="165"/>
      <c r="G67" s="255"/>
      <c r="H67" s="255"/>
      <c r="I67" s="255"/>
      <c r="J67" s="255"/>
      <c r="K67" s="255"/>
      <c r="L67" s="255"/>
      <c r="M67" s="255"/>
      <c r="N67" s="255"/>
      <c r="O67" s="255"/>
      <c r="P67" s="165"/>
      <c r="Q67" s="165"/>
      <c r="R67" s="165"/>
      <c r="S67" s="165"/>
      <c r="T67" s="165"/>
      <c r="U67" s="165"/>
      <c r="V67" s="165"/>
      <c r="W67" s="165"/>
      <c r="X67" s="165"/>
      <c r="Y67" s="165"/>
      <c r="Z67" s="165"/>
      <c r="AA67" s="165"/>
      <c r="AB67" s="165"/>
      <c r="AC67" s="165"/>
      <c r="AD67" s="165"/>
      <c r="AE67" s="165"/>
      <c r="AF67" s="165"/>
      <c r="AG67" s="165"/>
      <c r="AH67" s="165"/>
      <c r="AI67" s="165"/>
      <c r="AJ67" s="165"/>
      <c r="AK67" s="165"/>
      <c r="AL67" s="165"/>
      <c r="AM67" s="165"/>
      <c r="AN67" s="165"/>
      <c r="AO67" s="165"/>
    </row>
    <row r="68" ht="15.75" customHeight="1">
      <c r="A68" s="165"/>
      <c r="B68" s="255"/>
      <c r="C68" s="255"/>
      <c r="D68" s="255"/>
      <c r="E68" s="255"/>
      <c r="F68" s="165"/>
      <c r="G68" s="255"/>
      <c r="H68" s="255"/>
      <c r="I68" s="255"/>
      <c r="J68" s="255"/>
      <c r="K68" s="255"/>
      <c r="L68" s="255"/>
      <c r="M68" s="255"/>
      <c r="N68" s="255"/>
      <c r="O68" s="255"/>
      <c r="P68" s="165"/>
      <c r="Q68" s="165"/>
      <c r="R68" s="165"/>
      <c r="S68" s="165"/>
      <c r="T68" s="165"/>
      <c r="U68" s="165"/>
      <c r="V68" s="165"/>
      <c r="W68" s="165"/>
      <c r="X68" s="165"/>
      <c r="Y68" s="165"/>
      <c r="Z68" s="165"/>
      <c r="AA68" s="165"/>
      <c r="AB68" s="165"/>
      <c r="AC68" s="165"/>
      <c r="AD68" s="165"/>
      <c r="AE68" s="165"/>
      <c r="AF68" s="165"/>
      <c r="AG68" s="165"/>
      <c r="AH68" s="165"/>
      <c r="AI68" s="165"/>
      <c r="AJ68" s="165"/>
      <c r="AK68" s="165"/>
      <c r="AL68" s="165"/>
      <c r="AM68" s="165"/>
      <c r="AN68" s="165"/>
      <c r="AO68" s="165"/>
    </row>
    <row r="69" ht="15.75" customHeight="1">
      <c r="A69" s="165"/>
      <c r="B69" s="255"/>
      <c r="C69" s="255"/>
      <c r="D69" s="255"/>
      <c r="E69" s="255"/>
      <c r="F69" s="165"/>
      <c r="G69" s="255"/>
      <c r="H69" s="255"/>
      <c r="I69" s="255"/>
      <c r="J69" s="255"/>
      <c r="K69" s="255"/>
      <c r="L69" s="255"/>
      <c r="M69" s="255"/>
      <c r="N69" s="255"/>
      <c r="O69" s="255"/>
      <c r="P69" s="165"/>
      <c r="Q69" s="165"/>
      <c r="R69" s="165"/>
      <c r="S69" s="165"/>
      <c r="T69" s="165"/>
      <c r="U69" s="165"/>
      <c r="V69" s="165"/>
      <c r="W69" s="165"/>
      <c r="X69" s="165"/>
      <c r="Y69" s="165"/>
      <c r="Z69" s="165"/>
      <c r="AA69" s="165"/>
      <c r="AB69" s="165"/>
      <c r="AC69" s="165"/>
      <c r="AD69" s="165"/>
      <c r="AE69" s="165"/>
      <c r="AF69" s="165"/>
      <c r="AG69" s="165"/>
      <c r="AH69" s="165"/>
      <c r="AI69" s="165"/>
      <c r="AJ69" s="165"/>
      <c r="AK69" s="165"/>
      <c r="AL69" s="165"/>
      <c r="AM69" s="165"/>
      <c r="AN69" s="165"/>
      <c r="AO69" s="165"/>
    </row>
    <row r="70" ht="15.75" customHeight="1">
      <c r="A70" s="165"/>
      <c r="B70" s="255"/>
      <c r="C70" s="255"/>
      <c r="D70" s="255"/>
      <c r="E70" s="255"/>
      <c r="F70" s="165"/>
      <c r="G70" s="255"/>
      <c r="H70" s="255"/>
      <c r="I70" s="255"/>
      <c r="J70" s="255"/>
      <c r="K70" s="255"/>
      <c r="L70" s="255"/>
      <c r="M70" s="255"/>
      <c r="N70" s="255"/>
      <c r="O70" s="255"/>
      <c r="P70" s="165"/>
      <c r="Q70" s="165"/>
      <c r="R70" s="165"/>
      <c r="S70" s="165"/>
      <c r="T70" s="165"/>
      <c r="U70" s="165"/>
      <c r="V70" s="165"/>
      <c r="W70" s="165"/>
      <c r="X70" s="165"/>
      <c r="Y70" s="165"/>
      <c r="Z70" s="165"/>
      <c r="AA70" s="165"/>
      <c r="AB70" s="165"/>
      <c r="AC70" s="165"/>
      <c r="AD70" s="165"/>
      <c r="AE70" s="165"/>
      <c r="AF70" s="165"/>
      <c r="AG70" s="165"/>
      <c r="AH70" s="165"/>
      <c r="AI70" s="165"/>
      <c r="AJ70" s="165"/>
      <c r="AK70" s="165"/>
      <c r="AL70" s="165"/>
      <c r="AM70" s="165"/>
      <c r="AN70" s="165"/>
      <c r="AO70" s="165"/>
    </row>
    <row r="71" ht="15.75" customHeight="1">
      <c r="A71" s="165"/>
      <c r="B71" s="255"/>
      <c r="C71" s="255"/>
      <c r="D71" s="255"/>
      <c r="E71" s="255"/>
      <c r="F71" s="165"/>
      <c r="G71" s="255"/>
      <c r="H71" s="255"/>
      <c r="I71" s="255"/>
      <c r="J71" s="255"/>
      <c r="K71" s="255"/>
      <c r="L71" s="255"/>
      <c r="M71" s="255"/>
      <c r="N71" s="255"/>
      <c r="O71" s="255"/>
      <c r="P71" s="165"/>
      <c r="Q71" s="165"/>
      <c r="R71" s="165"/>
      <c r="S71" s="165"/>
      <c r="T71" s="165"/>
      <c r="U71" s="165"/>
      <c r="V71" s="165"/>
      <c r="W71" s="165"/>
      <c r="X71" s="165"/>
      <c r="Y71" s="165"/>
      <c r="Z71" s="165"/>
      <c r="AA71" s="165"/>
      <c r="AB71" s="165"/>
      <c r="AC71" s="165"/>
      <c r="AD71" s="165"/>
      <c r="AE71" s="165"/>
      <c r="AF71" s="165"/>
      <c r="AG71" s="165"/>
      <c r="AH71" s="165"/>
      <c r="AI71" s="165"/>
      <c r="AJ71" s="165"/>
      <c r="AK71" s="165"/>
      <c r="AL71" s="165"/>
      <c r="AM71" s="165"/>
      <c r="AN71" s="165"/>
      <c r="AO71" s="165"/>
    </row>
    <row r="72" ht="15.75" customHeight="1">
      <c r="A72" s="165"/>
      <c r="B72" s="255"/>
      <c r="C72" s="255"/>
      <c r="D72" s="255"/>
      <c r="E72" s="255"/>
      <c r="F72" s="165"/>
      <c r="G72" s="255"/>
      <c r="H72" s="255"/>
      <c r="I72" s="255"/>
      <c r="J72" s="255"/>
      <c r="K72" s="255"/>
      <c r="L72" s="255"/>
      <c r="M72" s="255"/>
      <c r="N72" s="255"/>
      <c r="O72" s="255"/>
      <c r="P72" s="165"/>
      <c r="Q72" s="165"/>
      <c r="R72" s="165"/>
      <c r="S72" s="165"/>
      <c r="T72" s="165"/>
      <c r="U72" s="165"/>
      <c r="V72" s="165"/>
      <c r="W72" s="165"/>
      <c r="X72" s="165"/>
      <c r="Y72" s="165"/>
      <c r="Z72" s="165"/>
      <c r="AA72" s="165"/>
      <c r="AB72" s="165"/>
      <c r="AC72" s="165"/>
      <c r="AD72" s="165"/>
      <c r="AE72" s="165"/>
      <c r="AF72" s="165"/>
      <c r="AG72" s="165"/>
      <c r="AH72" s="165"/>
      <c r="AI72" s="165"/>
      <c r="AJ72" s="165"/>
      <c r="AK72" s="165"/>
      <c r="AL72" s="165"/>
      <c r="AM72" s="165"/>
      <c r="AN72" s="165"/>
      <c r="AO72" s="165"/>
    </row>
    <row r="73" ht="15.75" customHeight="1">
      <c r="A73" s="165"/>
      <c r="B73" s="255"/>
      <c r="C73" s="255"/>
      <c r="D73" s="255"/>
      <c r="E73" s="255"/>
      <c r="F73" s="165"/>
      <c r="G73" s="255"/>
      <c r="H73" s="255"/>
      <c r="I73" s="255"/>
      <c r="J73" s="255"/>
      <c r="K73" s="255"/>
      <c r="L73" s="255"/>
      <c r="M73" s="255"/>
      <c r="N73" s="255"/>
      <c r="O73" s="255"/>
      <c r="P73" s="165"/>
      <c r="Q73" s="165"/>
      <c r="R73" s="165"/>
      <c r="S73" s="165"/>
      <c r="T73" s="165"/>
      <c r="U73" s="165"/>
      <c r="V73" s="165"/>
      <c r="W73" s="165"/>
      <c r="X73" s="165"/>
      <c r="Y73" s="165"/>
      <c r="Z73" s="165"/>
      <c r="AA73" s="165"/>
      <c r="AB73" s="165"/>
      <c r="AC73" s="165"/>
      <c r="AD73" s="165"/>
      <c r="AE73" s="165"/>
      <c r="AF73" s="165"/>
      <c r="AG73" s="165"/>
      <c r="AH73" s="165"/>
      <c r="AI73" s="165"/>
      <c r="AJ73" s="165"/>
      <c r="AK73" s="165"/>
      <c r="AL73" s="165"/>
      <c r="AM73" s="165"/>
      <c r="AN73" s="165"/>
      <c r="AO73" s="165"/>
    </row>
    <row r="74" ht="15.75" customHeight="1">
      <c r="A74" s="165"/>
      <c r="B74" s="255"/>
      <c r="C74" s="255"/>
      <c r="D74" s="255"/>
      <c r="E74" s="255"/>
      <c r="F74" s="165"/>
      <c r="G74" s="255"/>
      <c r="H74" s="255"/>
      <c r="I74" s="255"/>
      <c r="J74" s="255"/>
      <c r="K74" s="255"/>
      <c r="L74" s="255"/>
      <c r="M74" s="255"/>
      <c r="N74" s="255"/>
      <c r="O74" s="255"/>
      <c r="P74" s="165"/>
      <c r="Q74" s="165"/>
      <c r="R74" s="165"/>
      <c r="S74" s="165"/>
      <c r="T74" s="165"/>
      <c r="U74" s="165"/>
      <c r="V74" s="165"/>
      <c r="W74" s="165"/>
      <c r="X74" s="165"/>
      <c r="Y74" s="165"/>
      <c r="Z74" s="165"/>
      <c r="AA74" s="165"/>
      <c r="AB74" s="165"/>
      <c r="AC74" s="165"/>
      <c r="AD74" s="165"/>
      <c r="AE74" s="165"/>
      <c r="AF74" s="165"/>
      <c r="AG74" s="165"/>
      <c r="AH74" s="165"/>
      <c r="AI74" s="165"/>
      <c r="AJ74" s="165"/>
      <c r="AK74" s="165"/>
      <c r="AL74" s="165"/>
      <c r="AM74" s="165"/>
      <c r="AN74" s="165"/>
      <c r="AO74" s="165"/>
    </row>
    <row r="75" ht="15.75" customHeight="1">
      <c r="A75" s="165"/>
      <c r="B75" s="255"/>
      <c r="C75" s="255"/>
      <c r="D75" s="255"/>
      <c r="E75" s="255"/>
      <c r="F75" s="165"/>
      <c r="G75" s="255"/>
      <c r="H75" s="255"/>
      <c r="I75" s="255"/>
      <c r="J75" s="255"/>
      <c r="K75" s="255"/>
      <c r="L75" s="255"/>
      <c r="M75" s="255"/>
      <c r="N75" s="255"/>
      <c r="O75" s="255"/>
      <c r="P75" s="165"/>
      <c r="Q75" s="165"/>
      <c r="R75" s="165"/>
      <c r="S75" s="165"/>
      <c r="T75" s="165"/>
      <c r="U75" s="165"/>
      <c r="V75" s="165"/>
      <c r="W75" s="165"/>
      <c r="X75" s="165"/>
      <c r="Y75" s="165"/>
      <c r="Z75" s="165"/>
      <c r="AA75" s="165"/>
      <c r="AB75" s="165"/>
      <c r="AC75" s="165"/>
      <c r="AD75" s="165"/>
      <c r="AE75" s="165"/>
      <c r="AF75" s="165"/>
      <c r="AG75" s="165"/>
      <c r="AH75" s="165"/>
      <c r="AI75" s="165"/>
      <c r="AJ75" s="165"/>
      <c r="AK75" s="165"/>
      <c r="AL75" s="165"/>
      <c r="AM75" s="165"/>
      <c r="AN75" s="165"/>
      <c r="AO75" s="165"/>
    </row>
    <row r="76" ht="15.75" customHeight="1">
      <c r="A76" s="165"/>
      <c r="B76" s="255"/>
      <c r="C76" s="255"/>
      <c r="D76" s="255"/>
      <c r="E76" s="255"/>
      <c r="F76" s="165"/>
      <c r="G76" s="255"/>
      <c r="H76" s="255"/>
      <c r="I76" s="255"/>
      <c r="J76" s="255"/>
      <c r="K76" s="255"/>
      <c r="L76" s="255"/>
      <c r="M76" s="255"/>
      <c r="N76" s="255"/>
      <c r="O76" s="255"/>
      <c r="P76" s="165"/>
      <c r="Q76" s="165"/>
      <c r="R76" s="165"/>
      <c r="S76" s="165"/>
      <c r="T76" s="165"/>
      <c r="U76" s="165"/>
      <c r="V76" s="165"/>
      <c r="W76" s="165"/>
      <c r="X76" s="165"/>
      <c r="Y76" s="165"/>
      <c r="Z76" s="165"/>
      <c r="AA76" s="165"/>
      <c r="AB76" s="165"/>
      <c r="AC76" s="165"/>
      <c r="AD76" s="165"/>
      <c r="AE76" s="165"/>
      <c r="AF76" s="165"/>
      <c r="AG76" s="165"/>
      <c r="AH76" s="165"/>
      <c r="AI76" s="165"/>
      <c r="AJ76" s="165"/>
      <c r="AK76" s="165"/>
      <c r="AL76" s="165"/>
      <c r="AM76" s="165"/>
      <c r="AN76" s="165"/>
      <c r="AO76" s="165"/>
    </row>
    <row r="77" ht="15.75" customHeight="1">
      <c r="A77" s="165"/>
      <c r="B77" s="255"/>
      <c r="C77" s="255"/>
      <c r="D77" s="255"/>
      <c r="E77" s="255"/>
      <c r="F77" s="165"/>
      <c r="G77" s="255"/>
      <c r="H77" s="255"/>
      <c r="I77" s="255"/>
      <c r="J77" s="255"/>
      <c r="K77" s="255"/>
      <c r="L77" s="255"/>
      <c r="M77" s="255"/>
      <c r="N77" s="255"/>
      <c r="O77" s="255"/>
      <c r="P77" s="165"/>
      <c r="Q77" s="165"/>
      <c r="R77" s="165"/>
      <c r="S77" s="165"/>
      <c r="T77" s="165"/>
      <c r="U77" s="165"/>
      <c r="V77" s="165"/>
      <c r="W77" s="165"/>
      <c r="X77" s="165"/>
      <c r="Y77" s="165"/>
      <c r="Z77" s="165"/>
      <c r="AA77" s="165"/>
      <c r="AB77" s="165"/>
      <c r="AC77" s="165"/>
      <c r="AD77" s="165"/>
      <c r="AE77" s="165"/>
      <c r="AF77" s="165"/>
      <c r="AG77" s="165"/>
      <c r="AH77" s="165"/>
      <c r="AI77" s="165"/>
      <c r="AJ77" s="165"/>
      <c r="AK77" s="165"/>
      <c r="AL77" s="165"/>
      <c r="AM77" s="165"/>
      <c r="AN77" s="165"/>
      <c r="AO77" s="165"/>
    </row>
    <row r="78" ht="15.75" customHeight="1">
      <c r="A78" s="165"/>
      <c r="B78" s="255"/>
      <c r="C78" s="255"/>
      <c r="D78" s="255"/>
      <c r="E78" s="255"/>
      <c r="F78" s="165"/>
      <c r="G78" s="255"/>
      <c r="H78" s="255"/>
      <c r="I78" s="255"/>
      <c r="J78" s="255"/>
      <c r="K78" s="255"/>
      <c r="L78" s="255"/>
      <c r="M78" s="255"/>
      <c r="N78" s="255"/>
      <c r="O78" s="255"/>
      <c r="P78" s="165"/>
      <c r="Q78" s="165"/>
      <c r="R78" s="165"/>
      <c r="S78" s="165"/>
      <c r="T78" s="165"/>
      <c r="U78" s="165"/>
      <c r="V78" s="165"/>
      <c r="W78" s="165"/>
      <c r="X78" s="165"/>
      <c r="Y78" s="165"/>
      <c r="Z78" s="165"/>
      <c r="AA78" s="165"/>
      <c r="AB78" s="165"/>
      <c r="AC78" s="165"/>
      <c r="AD78" s="165"/>
      <c r="AE78" s="165"/>
      <c r="AF78" s="165"/>
      <c r="AG78" s="165"/>
      <c r="AH78" s="165"/>
      <c r="AI78" s="165"/>
      <c r="AJ78" s="165"/>
      <c r="AK78" s="165"/>
      <c r="AL78" s="165"/>
      <c r="AM78" s="165"/>
      <c r="AN78" s="165"/>
      <c r="AO78" s="165"/>
    </row>
    <row r="79" ht="15.75" customHeight="1">
      <c r="A79" s="165"/>
      <c r="B79" s="255"/>
      <c r="C79" s="255"/>
      <c r="D79" s="255"/>
      <c r="E79" s="255"/>
      <c r="F79" s="165"/>
      <c r="G79" s="255"/>
      <c r="H79" s="255"/>
      <c r="I79" s="255"/>
      <c r="J79" s="255"/>
      <c r="K79" s="255"/>
      <c r="L79" s="255"/>
      <c r="M79" s="255"/>
      <c r="N79" s="255"/>
      <c r="O79" s="25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row>
    <row r="80" ht="15.75" customHeight="1">
      <c r="A80" s="165"/>
      <c r="B80" s="255"/>
      <c r="C80" s="255"/>
      <c r="D80" s="255"/>
      <c r="E80" s="255"/>
      <c r="F80" s="165"/>
      <c r="G80" s="255"/>
      <c r="H80" s="255"/>
      <c r="I80" s="255"/>
      <c r="J80" s="255"/>
      <c r="K80" s="255"/>
      <c r="L80" s="255"/>
      <c r="M80" s="255"/>
      <c r="N80" s="255"/>
      <c r="O80" s="25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row>
    <row r="81" ht="15.75" customHeight="1">
      <c r="A81" s="165"/>
      <c r="B81" s="255"/>
      <c r="C81" s="255"/>
      <c r="D81" s="255"/>
      <c r="E81" s="255"/>
      <c r="F81" s="165"/>
      <c r="G81" s="255"/>
      <c r="H81" s="255"/>
      <c r="I81" s="255"/>
      <c r="J81" s="255"/>
      <c r="K81" s="255"/>
      <c r="L81" s="255"/>
      <c r="M81" s="255"/>
      <c r="N81" s="255"/>
      <c r="O81" s="255"/>
      <c r="P81" s="165"/>
      <c r="Q81" s="165"/>
      <c r="R81" s="165"/>
      <c r="S81" s="165"/>
      <c r="T81" s="165"/>
      <c r="U81" s="165"/>
      <c r="V81" s="165"/>
      <c r="W81" s="165"/>
      <c r="X81" s="165"/>
      <c r="Y81" s="165"/>
      <c r="Z81" s="165"/>
      <c r="AA81" s="165"/>
      <c r="AB81" s="165"/>
      <c r="AC81" s="165"/>
      <c r="AD81" s="165"/>
      <c r="AE81" s="165"/>
      <c r="AF81" s="165"/>
      <c r="AG81" s="165"/>
      <c r="AH81" s="165"/>
      <c r="AI81" s="165"/>
      <c r="AJ81" s="165"/>
      <c r="AK81" s="165"/>
      <c r="AL81" s="165"/>
      <c r="AM81" s="165"/>
      <c r="AN81" s="165"/>
      <c r="AO81" s="165"/>
    </row>
    <row r="82" ht="15.75" customHeight="1">
      <c r="A82" s="165"/>
      <c r="B82" s="255"/>
      <c r="C82" s="255"/>
      <c r="D82" s="255"/>
      <c r="E82" s="255"/>
      <c r="F82" s="165"/>
      <c r="G82" s="255"/>
      <c r="H82" s="255"/>
      <c r="I82" s="255"/>
      <c r="J82" s="255"/>
      <c r="K82" s="255"/>
      <c r="L82" s="255"/>
      <c r="M82" s="255"/>
      <c r="N82" s="255"/>
      <c r="O82" s="255"/>
      <c r="P82" s="165"/>
      <c r="Q82" s="165"/>
      <c r="R82" s="165"/>
      <c r="S82" s="165"/>
      <c r="T82" s="165"/>
      <c r="U82" s="165"/>
      <c r="V82" s="165"/>
      <c r="W82" s="165"/>
      <c r="X82" s="165"/>
      <c r="Y82" s="165"/>
      <c r="Z82" s="165"/>
      <c r="AA82" s="165"/>
      <c r="AB82" s="165"/>
      <c r="AC82" s="165"/>
      <c r="AD82" s="165"/>
      <c r="AE82" s="165"/>
      <c r="AF82" s="165"/>
      <c r="AG82" s="165"/>
      <c r="AH82" s="165"/>
      <c r="AI82" s="165"/>
      <c r="AJ82" s="165"/>
      <c r="AK82" s="165"/>
      <c r="AL82" s="165"/>
      <c r="AM82" s="165"/>
      <c r="AN82" s="165"/>
      <c r="AO82" s="165"/>
    </row>
    <row r="83" ht="15.75" customHeight="1">
      <c r="A83" s="165"/>
      <c r="B83" s="255"/>
      <c r="C83" s="255"/>
      <c r="D83" s="255"/>
      <c r="E83" s="255"/>
      <c r="F83" s="165"/>
      <c r="G83" s="255"/>
      <c r="H83" s="255"/>
      <c r="I83" s="255"/>
      <c r="J83" s="255"/>
      <c r="K83" s="255"/>
      <c r="L83" s="255"/>
      <c r="M83" s="255"/>
      <c r="N83" s="255"/>
      <c r="O83" s="255"/>
      <c r="P83" s="165"/>
      <c r="Q83" s="165"/>
      <c r="R83" s="165"/>
      <c r="S83" s="165"/>
      <c r="T83" s="165"/>
      <c r="U83" s="165"/>
      <c r="V83" s="165"/>
      <c r="W83" s="165"/>
      <c r="X83" s="165"/>
      <c r="Y83" s="165"/>
      <c r="Z83" s="165"/>
      <c r="AA83" s="165"/>
      <c r="AB83" s="165"/>
      <c r="AC83" s="165"/>
      <c r="AD83" s="165"/>
      <c r="AE83" s="165"/>
      <c r="AF83" s="165"/>
      <c r="AG83" s="165"/>
      <c r="AH83" s="165"/>
      <c r="AI83" s="165"/>
      <c r="AJ83" s="165"/>
      <c r="AK83" s="165"/>
      <c r="AL83" s="165"/>
      <c r="AM83" s="165"/>
      <c r="AN83" s="165"/>
      <c r="AO83" s="165"/>
    </row>
    <row r="84" ht="15.75" customHeight="1">
      <c r="A84" s="165"/>
      <c r="B84" s="255"/>
      <c r="C84" s="255"/>
      <c r="D84" s="255"/>
      <c r="E84" s="255"/>
      <c r="F84" s="165"/>
      <c r="G84" s="255"/>
      <c r="H84" s="255"/>
      <c r="I84" s="255"/>
      <c r="J84" s="255"/>
      <c r="K84" s="255"/>
      <c r="L84" s="255"/>
      <c r="M84" s="255"/>
      <c r="N84" s="255"/>
      <c r="O84" s="255"/>
      <c r="P84" s="165"/>
      <c r="Q84" s="165"/>
      <c r="R84" s="165"/>
      <c r="S84" s="165"/>
      <c r="T84" s="165"/>
      <c r="U84" s="165"/>
      <c r="V84" s="165"/>
      <c r="W84" s="165"/>
      <c r="X84" s="165"/>
      <c r="Y84" s="165"/>
      <c r="Z84" s="165"/>
      <c r="AA84" s="165"/>
      <c r="AB84" s="165"/>
      <c r="AC84" s="165"/>
      <c r="AD84" s="165"/>
      <c r="AE84" s="165"/>
      <c r="AF84" s="165"/>
      <c r="AG84" s="165"/>
      <c r="AH84" s="165"/>
      <c r="AI84" s="165"/>
      <c r="AJ84" s="165"/>
      <c r="AK84" s="165"/>
      <c r="AL84" s="165"/>
      <c r="AM84" s="165"/>
      <c r="AN84" s="165"/>
      <c r="AO84" s="165"/>
    </row>
    <row r="85" ht="15.75" customHeight="1">
      <c r="A85" s="165"/>
      <c r="B85" s="255"/>
      <c r="C85" s="255"/>
      <c r="D85" s="255"/>
      <c r="E85" s="255"/>
      <c r="F85" s="165"/>
      <c r="G85" s="255"/>
      <c r="H85" s="255"/>
      <c r="I85" s="255"/>
      <c r="J85" s="255"/>
      <c r="K85" s="255"/>
      <c r="L85" s="255"/>
      <c r="M85" s="255"/>
      <c r="N85" s="255"/>
      <c r="O85" s="255"/>
      <c r="P85" s="165"/>
      <c r="Q85" s="165"/>
      <c r="R85" s="165"/>
      <c r="S85" s="165"/>
      <c r="T85" s="165"/>
      <c r="U85" s="165"/>
      <c r="V85" s="165"/>
      <c r="W85" s="165"/>
      <c r="X85" s="165"/>
      <c r="Y85" s="165"/>
      <c r="Z85" s="165"/>
      <c r="AA85" s="165"/>
      <c r="AB85" s="165"/>
      <c r="AC85" s="165"/>
      <c r="AD85" s="165"/>
      <c r="AE85" s="165"/>
      <c r="AF85" s="165"/>
      <c r="AG85" s="165"/>
      <c r="AH85" s="165"/>
      <c r="AI85" s="165"/>
      <c r="AJ85" s="165"/>
      <c r="AK85" s="165"/>
      <c r="AL85" s="165"/>
      <c r="AM85" s="165"/>
      <c r="AN85" s="165"/>
      <c r="AO85" s="165"/>
    </row>
    <row r="86" ht="15.75" customHeight="1">
      <c r="A86" s="165"/>
      <c r="B86" s="255"/>
      <c r="C86" s="255"/>
      <c r="D86" s="255"/>
      <c r="E86" s="255"/>
      <c r="F86" s="165"/>
      <c r="G86" s="255"/>
      <c r="H86" s="255"/>
      <c r="I86" s="255"/>
      <c r="J86" s="255"/>
      <c r="K86" s="255"/>
      <c r="L86" s="255"/>
      <c r="M86" s="255"/>
      <c r="N86" s="255"/>
      <c r="O86" s="255"/>
      <c r="P86" s="165"/>
      <c r="Q86" s="165"/>
      <c r="R86" s="165"/>
      <c r="S86" s="165"/>
      <c r="T86" s="165"/>
      <c r="U86" s="165"/>
      <c r="V86" s="165"/>
      <c r="W86" s="165"/>
      <c r="X86" s="165"/>
      <c r="Y86" s="165"/>
      <c r="Z86" s="165"/>
      <c r="AA86" s="165"/>
      <c r="AB86" s="165"/>
      <c r="AC86" s="165"/>
      <c r="AD86" s="165"/>
      <c r="AE86" s="165"/>
      <c r="AF86" s="165"/>
      <c r="AG86" s="165"/>
      <c r="AH86" s="165"/>
      <c r="AI86" s="165"/>
      <c r="AJ86" s="165"/>
      <c r="AK86" s="165"/>
      <c r="AL86" s="165"/>
      <c r="AM86" s="165"/>
      <c r="AN86" s="165"/>
      <c r="AO86" s="165"/>
    </row>
    <row r="87" ht="15.75" customHeight="1">
      <c r="A87" s="165"/>
      <c r="B87" s="255"/>
      <c r="C87" s="255"/>
      <c r="D87" s="255"/>
      <c r="E87" s="255"/>
      <c r="F87" s="165"/>
      <c r="G87" s="255"/>
      <c r="H87" s="255"/>
      <c r="I87" s="255"/>
      <c r="J87" s="255"/>
      <c r="K87" s="255"/>
      <c r="L87" s="255"/>
      <c r="M87" s="255"/>
      <c r="N87" s="255"/>
      <c r="O87" s="255"/>
      <c r="P87" s="165"/>
      <c r="Q87" s="165"/>
      <c r="R87" s="165"/>
      <c r="S87" s="165"/>
      <c r="T87" s="165"/>
      <c r="U87" s="165"/>
      <c r="V87" s="165"/>
      <c r="W87" s="165"/>
      <c r="X87" s="165"/>
      <c r="Y87" s="165"/>
      <c r="Z87" s="165"/>
      <c r="AA87" s="165"/>
      <c r="AB87" s="165"/>
      <c r="AC87" s="165"/>
      <c r="AD87" s="165"/>
      <c r="AE87" s="165"/>
      <c r="AF87" s="165"/>
      <c r="AG87" s="165"/>
      <c r="AH87" s="165"/>
      <c r="AI87" s="165"/>
      <c r="AJ87" s="165"/>
      <c r="AK87" s="165"/>
      <c r="AL87" s="165"/>
      <c r="AM87" s="165"/>
      <c r="AN87" s="165"/>
      <c r="AO87" s="165"/>
    </row>
    <row r="88" ht="15.75" customHeight="1">
      <c r="A88" s="165"/>
      <c r="B88" s="255"/>
      <c r="C88" s="255"/>
      <c r="D88" s="255"/>
      <c r="E88" s="255"/>
      <c r="F88" s="165"/>
      <c r="G88" s="255"/>
      <c r="H88" s="255"/>
      <c r="I88" s="255"/>
      <c r="J88" s="255"/>
      <c r="K88" s="255"/>
      <c r="L88" s="255"/>
      <c r="M88" s="255"/>
      <c r="N88" s="255"/>
      <c r="O88" s="255"/>
      <c r="P88" s="165"/>
      <c r="Q88" s="165"/>
      <c r="R88" s="165"/>
      <c r="S88" s="165"/>
      <c r="T88" s="165"/>
      <c r="U88" s="165"/>
      <c r="V88" s="165"/>
      <c r="W88" s="165"/>
      <c r="X88" s="165"/>
      <c r="Y88" s="165"/>
      <c r="Z88" s="165"/>
      <c r="AA88" s="165"/>
      <c r="AB88" s="165"/>
      <c r="AC88" s="165"/>
      <c r="AD88" s="165"/>
      <c r="AE88" s="165"/>
      <c r="AF88" s="165"/>
      <c r="AG88" s="165"/>
      <c r="AH88" s="165"/>
      <c r="AI88" s="165"/>
      <c r="AJ88" s="165"/>
      <c r="AK88" s="165"/>
      <c r="AL88" s="165"/>
      <c r="AM88" s="165"/>
      <c r="AN88" s="165"/>
      <c r="AO88" s="165"/>
    </row>
    <row r="89" ht="15.75" customHeight="1">
      <c r="A89" s="165"/>
      <c r="B89" s="255"/>
      <c r="C89" s="255"/>
      <c r="D89" s="255"/>
      <c r="E89" s="255"/>
      <c r="F89" s="165"/>
      <c r="G89" s="255"/>
      <c r="H89" s="255"/>
      <c r="I89" s="255"/>
      <c r="J89" s="255"/>
      <c r="K89" s="255"/>
      <c r="L89" s="255"/>
      <c r="M89" s="255"/>
      <c r="N89" s="255"/>
      <c r="O89" s="255"/>
      <c r="P89" s="165"/>
      <c r="Q89" s="165"/>
      <c r="R89" s="165"/>
      <c r="S89" s="165"/>
      <c r="T89" s="165"/>
      <c r="U89" s="165"/>
      <c r="V89" s="165"/>
      <c r="W89" s="165"/>
      <c r="X89" s="165"/>
      <c r="Y89" s="165"/>
      <c r="Z89" s="165"/>
      <c r="AA89" s="165"/>
      <c r="AB89" s="165"/>
      <c r="AC89" s="165"/>
      <c r="AD89" s="165"/>
      <c r="AE89" s="165"/>
      <c r="AF89" s="165"/>
      <c r="AG89" s="165"/>
      <c r="AH89" s="165"/>
      <c r="AI89" s="165"/>
      <c r="AJ89" s="165"/>
      <c r="AK89" s="165"/>
      <c r="AL89" s="165"/>
      <c r="AM89" s="165"/>
      <c r="AN89" s="165"/>
      <c r="AO89" s="165"/>
    </row>
    <row r="90" ht="15.75" customHeight="1">
      <c r="A90" s="165"/>
      <c r="B90" s="255"/>
      <c r="C90" s="255"/>
      <c r="D90" s="255"/>
      <c r="E90" s="255"/>
      <c r="F90" s="165"/>
      <c r="G90" s="255"/>
      <c r="H90" s="255"/>
      <c r="I90" s="255"/>
      <c r="J90" s="255"/>
      <c r="K90" s="255"/>
      <c r="L90" s="255"/>
      <c r="M90" s="255"/>
      <c r="N90" s="255"/>
      <c r="O90" s="255"/>
      <c r="P90" s="165"/>
      <c r="Q90" s="165"/>
      <c r="R90" s="165"/>
      <c r="S90" s="165"/>
      <c r="T90" s="165"/>
      <c r="U90" s="165"/>
      <c r="V90" s="165"/>
      <c r="W90" s="165"/>
      <c r="X90" s="165"/>
      <c r="Y90" s="165"/>
      <c r="Z90" s="165"/>
      <c r="AA90" s="165"/>
      <c r="AB90" s="165"/>
      <c r="AC90" s="165"/>
      <c r="AD90" s="165"/>
      <c r="AE90" s="165"/>
      <c r="AF90" s="165"/>
      <c r="AG90" s="165"/>
      <c r="AH90" s="165"/>
      <c r="AI90" s="165"/>
      <c r="AJ90" s="165"/>
      <c r="AK90" s="165"/>
      <c r="AL90" s="165"/>
      <c r="AM90" s="165"/>
      <c r="AN90" s="165"/>
      <c r="AO90" s="165"/>
    </row>
    <row r="91" ht="15.75" customHeight="1">
      <c r="A91" s="165"/>
      <c r="B91" s="255"/>
      <c r="C91" s="255"/>
      <c r="D91" s="255"/>
      <c r="E91" s="255"/>
      <c r="F91" s="165"/>
      <c r="G91" s="255"/>
      <c r="H91" s="255"/>
      <c r="I91" s="255"/>
      <c r="J91" s="255"/>
      <c r="K91" s="255"/>
      <c r="L91" s="255"/>
      <c r="M91" s="255"/>
      <c r="N91" s="255"/>
      <c r="O91" s="255"/>
      <c r="P91" s="165"/>
      <c r="Q91" s="165"/>
      <c r="R91" s="165"/>
      <c r="S91" s="165"/>
      <c r="T91" s="165"/>
      <c r="U91" s="165"/>
      <c r="V91" s="165"/>
      <c r="W91" s="165"/>
      <c r="X91" s="165"/>
      <c r="Y91" s="165"/>
      <c r="Z91" s="165"/>
      <c r="AA91" s="165"/>
      <c r="AB91" s="165"/>
      <c r="AC91" s="165"/>
      <c r="AD91" s="165"/>
      <c r="AE91" s="165"/>
      <c r="AF91" s="165"/>
      <c r="AG91" s="165"/>
      <c r="AH91" s="165"/>
      <c r="AI91" s="165"/>
      <c r="AJ91" s="165"/>
      <c r="AK91" s="165"/>
      <c r="AL91" s="165"/>
      <c r="AM91" s="165"/>
      <c r="AN91" s="165"/>
      <c r="AO91" s="165"/>
    </row>
    <row r="92" ht="15.75" customHeight="1">
      <c r="A92" s="165"/>
      <c r="B92" s="255"/>
      <c r="C92" s="255"/>
      <c r="D92" s="255"/>
      <c r="E92" s="255"/>
      <c r="F92" s="165"/>
      <c r="G92" s="255"/>
      <c r="H92" s="255"/>
      <c r="I92" s="255"/>
      <c r="J92" s="255"/>
      <c r="K92" s="255"/>
      <c r="L92" s="255"/>
      <c r="M92" s="255"/>
      <c r="N92" s="255"/>
      <c r="O92" s="255"/>
      <c r="P92" s="165"/>
      <c r="Q92" s="165"/>
      <c r="R92" s="165"/>
      <c r="S92" s="165"/>
      <c r="T92" s="165"/>
      <c r="U92" s="165"/>
      <c r="V92" s="165"/>
      <c r="W92" s="165"/>
      <c r="X92" s="165"/>
      <c r="Y92" s="165"/>
      <c r="Z92" s="165"/>
      <c r="AA92" s="165"/>
      <c r="AB92" s="165"/>
      <c r="AC92" s="165"/>
      <c r="AD92" s="165"/>
      <c r="AE92" s="165"/>
      <c r="AF92" s="165"/>
      <c r="AG92" s="165"/>
      <c r="AH92" s="165"/>
      <c r="AI92" s="165"/>
      <c r="AJ92" s="165"/>
      <c r="AK92" s="165"/>
      <c r="AL92" s="165"/>
      <c r="AM92" s="165"/>
      <c r="AN92" s="165"/>
      <c r="AO92" s="165"/>
    </row>
    <row r="93" ht="15.75" customHeight="1">
      <c r="A93" s="165"/>
      <c r="B93" s="255"/>
      <c r="C93" s="255"/>
      <c r="D93" s="255"/>
      <c r="E93" s="255"/>
      <c r="F93" s="165"/>
      <c r="G93" s="255"/>
      <c r="H93" s="255"/>
      <c r="I93" s="255"/>
      <c r="J93" s="255"/>
      <c r="K93" s="255"/>
      <c r="L93" s="255"/>
      <c r="M93" s="255"/>
      <c r="N93" s="255"/>
      <c r="O93" s="255"/>
      <c r="P93" s="165"/>
      <c r="Q93" s="165"/>
      <c r="R93" s="165"/>
      <c r="S93" s="165"/>
      <c r="T93" s="165"/>
      <c r="U93" s="165"/>
      <c r="V93" s="165"/>
      <c r="W93" s="165"/>
      <c r="X93" s="165"/>
      <c r="Y93" s="165"/>
      <c r="Z93" s="165"/>
      <c r="AA93" s="165"/>
      <c r="AB93" s="165"/>
      <c r="AC93" s="165"/>
      <c r="AD93" s="165"/>
      <c r="AE93" s="165"/>
      <c r="AF93" s="165"/>
      <c r="AG93" s="165"/>
      <c r="AH93" s="165"/>
      <c r="AI93" s="165"/>
      <c r="AJ93" s="165"/>
      <c r="AK93" s="165"/>
      <c r="AL93" s="165"/>
      <c r="AM93" s="165"/>
      <c r="AN93" s="165"/>
      <c r="AO93" s="165"/>
    </row>
    <row r="94" ht="15.75" customHeight="1">
      <c r="A94" s="165"/>
      <c r="B94" s="255"/>
      <c r="C94" s="255"/>
      <c r="D94" s="255"/>
      <c r="E94" s="255"/>
      <c r="F94" s="165"/>
      <c r="G94" s="255"/>
      <c r="H94" s="255"/>
      <c r="I94" s="255"/>
      <c r="J94" s="255"/>
      <c r="K94" s="255"/>
      <c r="L94" s="255"/>
      <c r="M94" s="255"/>
      <c r="N94" s="255"/>
      <c r="O94" s="255"/>
      <c r="P94" s="165"/>
      <c r="Q94" s="165"/>
      <c r="R94" s="165"/>
      <c r="S94" s="165"/>
      <c r="T94" s="165"/>
      <c r="U94" s="165"/>
      <c r="V94" s="165"/>
      <c r="W94" s="165"/>
      <c r="X94" s="165"/>
      <c r="Y94" s="165"/>
      <c r="Z94" s="165"/>
      <c r="AA94" s="165"/>
      <c r="AB94" s="165"/>
      <c r="AC94" s="165"/>
      <c r="AD94" s="165"/>
      <c r="AE94" s="165"/>
      <c r="AF94" s="165"/>
      <c r="AG94" s="165"/>
      <c r="AH94" s="165"/>
      <c r="AI94" s="165"/>
      <c r="AJ94" s="165"/>
      <c r="AK94" s="165"/>
      <c r="AL94" s="165"/>
      <c r="AM94" s="165"/>
      <c r="AN94" s="165"/>
      <c r="AO94" s="165"/>
    </row>
    <row r="95" ht="15.75" customHeight="1">
      <c r="A95" s="165"/>
      <c r="B95" s="255"/>
      <c r="C95" s="255"/>
      <c r="D95" s="255"/>
      <c r="E95" s="255"/>
      <c r="F95" s="165"/>
      <c r="G95" s="255"/>
      <c r="H95" s="255"/>
      <c r="I95" s="255"/>
      <c r="J95" s="255"/>
      <c r="K95" s="255"/>
      <c r="L95" s="255"/>
      <c r="M95" s="255"/>
      <c r="N95" s="255"/>
      <c r="O95" s="255"/>
      <c r="P95" s="165"/>
      <c r="Q95" s="165"/>
      <c r="R95" s="165"/>
      <c r="S95" s="165"/>
      <c r="T95" s="165"/>
      <c r="U95" s="165"/>
      <c r="V95" s="165"/>
      <c r="W95" s="165"/>
      <c r="X95" s="165"/>
      <c r="Y95" s="165"/>
      <c r="Z95" s="165"/>
      <c r="AA95" s="165"/>
      <c r="AB95" s="165"/>
      <c r="AC95" s="165"/>
      <c r="AD95" s="165"/>
      <c r="AE95" s="165"/>
      <c r="AF95" s="165"/>
      <c r="AG95" s="165"/>
      <c r="AH95" s="165"/>
      <c r="AI95" s="165"/>
      <c r="AJ95" s="165"/>
      <c r="AK95" s="165"/>
      <c r="AL95" s="165"/>
      <c r="AM95" s="165"/>
      <c r="AN95" s="165"/>
      <c r="AO95" s="165"/>
    </row>
    <row r="96" ht="15.75" customHeight="1">
      <c r="A96" s="165"/>
      <c r="B96" s="255"/>
      <c r="C96" s="255"/>
      <c r="D96" s="255"/>
      <c r="E96" s="255"/>
      <c r="F96" s="165"/>
      <c r="G96" s="255"/>
      <c r="H96" s="255"/>
      <c r="I96" s="255"/>
      <c r="J96" s="255"/>
      <c r="K96" s="255"/>
      <c r="L96" s="255"/>
      <c r="M96" s="255"/>
      <c r="N96" s="255"/>
      <c r="O96" s="255"/>
      <c r="P96" s="165"/>
      <c r="Q96" s="165"/>
      <c r="R96" s="165"/>
      <c r="S96" s="165"/>
      <c r="T96" s="165"/>
      <c r="U96" s="165"/>
      <c r="V96" s="165"/>
      <c r="W96" s="165"/>
      <c r="X96" s="165"/>
      <c r="Y96" s="165"/>
      <c r="Z96" s="165"/>
      <c r="AA96" s="165"/>
      <c r="AB96" s="165"/>
      <c r="AC96" s="165"/>
      <c r="AD96" s="165"/>
      <c r="AE96" s="165"/>
      <c r="AF96" s="165"/>
      <c r="AG96" s="165"/>
      <c r="AH96" s="165"/>
      <c r="AI96" s="165"/>
      <c r="AJ96" s="165"/>
      <c r="AK96" s="165"/>
      <c r="AL96" s="165"/>
      <c r="AM96" s="165"/>
      <c r="AN96" s="165"/>
      <c r="AO96" s="165"/>
    </row>
    <row r="97" ht="15.75" customHeight="1">
      <c r="A97" s="165"/>
      <c r="B97" s="255"/>
      <c r="C97" s="255"/>
      <c r="D97" s="255"/>
      <c r="E97" s="255"/>
      <c r="F97" s="165"/>
      <c r="G97" s="255"/>
      <c r="H97" s="255"/>
      <c r="I97" s="255"/>
      <c r="J97" s="255"/>
      <c r="K97" s="255"/>
      <c r="L97" s="255"/>
      <c r="M97" s="255"/>
      <c r="N97" s="255"/>
      <c r="O97" s="255"/>
      <c r="P97" s="165"/>
      <c r="Q97" s="165"/>
      <c r="R97" s="165"/>
      <c r="S97" s="165"/>
      <c r="T97" s="165"/>
      <c r="U97" s="165"/>
      <c r="V97" s="165"/>
      <c r="W97" s="165"/>
      <c r="X97" s="165"/>
      <c r="Y97" s="165"/>
      <c r="Z97" s="165"/>
      <c r="AA97" s="165"/>
      <c r="AB97" s="165"/>
      <c r="AC97" s="165"/>
      <c r="AD97" s="165"/>
      <c r="AE97" s="165"/>
      <c r="AF97" s="165"/>
      <c r="AG97" s="165"/>
      <c r="AH97" s="165"/>
      <c r="AI97" s="165"/>
      <c r="AJ97" s="165"/>
      <c r="AK97" s="165"/>
      <c r="AL97" s="165"/>
      <c r="AM97" s="165"/>
      <c r="AN97" s="165"/>
      <c r="AO97" s="165"/>
    </row>
    <row r="98" ht="15.75" customHeight="1">
      <c r="A98" s="165"/>
      <c r="B98" s="255"/>
      <c r="C98" s="255"/>
      <c r="D98" s="255"/>
      <c r="E98" s="255"/>
      <c r="F98" s="165"/>
      <c r="G98" s="255"/>
      <c r="H98" s="255"/>
      <c r="I98" s="255"/>
      <c r="J98" s="255"/>
      <c r="K98" s="255"/>
      <c r="L98" s="255"/>
      <c r="M98" s="255"/>
      <c r="N98" s="255"/>
      <c r="O98" s="255"/>
      <c r="P98" s="165"/>
      <c r="Q98" s="165"/>
      <c r="R98" s="165"/>
      <c r="S98" s="165"/>
      <c r="T98" s="165"/>
      <c r="U98" s="165"/>
      <c r="V98" s="165"/>
      <c r="W98" s="165"/>
      <c r="X98" s="165"/>
      <c r="Y98" s="165"/>
      <c r="Z98" s="165"/>
      <c r="AA98" s="165"/>
      <c r="AB98" s="165"/>
      <c r="AC98" s="165"/>
      <c r="AD98" s="165"/>
      <c r="AE98" s="165"/>
      <c r="AF98" s="165"/>
      <c r="AG98" s="165"/>
      <c r="AH98" s="165"/>
      <c r="AI98" s="165"/>
      <c r="AJ98" s="165"/>
      <c r="AK98" s="165"/>
      <c r="AL98" s="165"/>
      <c r="AM98" s="165"/>
      <c r="AN98" s="165"/>
      <c r="AO98" s="165"/>
    </row>
    <row r="99" ht="15.75" customHeight="1">
      <c r="A99" s="165"/>
      <c r="B99" s="255"/>
      <c r="C99" s="255"/>
      <c r="D99" s="255"/>
      <c r="E99" s="255"/>
      <c r="F99" s="165"/>
      <c r="G99" s="255"/>
      <c r="H99" s="255"/>
      <c r="I99" s="255"/>
      <c r="J99" s="255"/>
      <c r="K99" s="255"/>
      <c r="L99" s="255"/>
      <c r="M99" s="255"/>
      <c r="N99" s="255"/>
      <c r="O99" s="255"/>
      <c r="P99" s="165"/>
      <c r="Q99" s="165"/>
      <c r="R99" s="165"/>
      <c r="S99" s="165"/>
      <c r="T99" s="165"/>
      <c r="U99" s="165"/>
      <c r="V99" s="165"/>
      <c r="W99" s="165"/>
      <c r="X99" s="165"/>
      <c r="Y99" s="165"/>
      <c r="Z99" s="165"/>
      <c r="AA99" s="165"/>
      <c r="AB99" s="165"/>
      <c r="AC99" s="165"/>
      <c r="AD99" s="165"/>
      <c r="AE99" s="165"/>
      <c r="AF99" s="165"/>
      <c r="AG99" s="165"/>
      <c r="AH99" s="165"/>
      <c r="AI99" s="165"/>
      <c r="AJ99" s="165"/>
      <c r="AK99" s="165"/>
      <c r="AL99" s="165"/>
      <c r="AM99" s="165"/>
      <c r="AN99" s="165"/>
      <c r="AO99" s="165"/>
    </row>
    <row r="100" ht="15.75" customHeight="1">
      <c r="A100" s="165"/>
      <c r="B100" s="255"/>
      <c r="C100" s="255"/>
      <c r="D100" s="255"/>
      <c r="E100" s="255"/>
      <c r="F100" s="165"/>
      <c r="G100" s="255"/>
      <c r="H100" s="255"/>
      <c r="I100" s="255"/>
      <c r="J100" s="255"/>
      <c r="K100" s="255"/>
      <c r="L100" s="255"/>
      <c r="M100" s="255"/>
      <c r="N100" s="255"/>
      <c r="O100" s="255"/>
      <c r="P100" s="165"/>
      <c r="Q100" s="165"/>
      <c r="R100" s="165"/>
      <c r="S100" s="165"/>
      <c r="T100" s="165"/>
      <c r="U100" s="165"/>
      <c r="V100" s="165"/>
      <c r="W100" s="165"/>
      <c r="X100" s="165"/>
      <c r="Y100" s="165"/>
      <c r="Z100" s="165"/>
      <c r="AA100" s="165"/>
      <c r="AB100" s="165"/>
      <c r="AC100" s="165"/>
      <c r="AD100" s="165"/>
      <c r="AE100" s="165"/>
      <c r="AF100" s="165"/>
      <c r="AG100" s="165"/>
      <c r="AH100" s="165"/>
      <c r="AI100" s="165"/>
      <c r="AJ100" s="165"/>
      <c r="AK100" s="165"/>
      <c r="AL100" s="165"/>
      <c r="AM100" s="165"/>
      <c r="AN100" s="165"/>
      <c r="AO100" s="165"/>
    </row>
    <row r="101" ht="15.75" customHeight="1">
      <c r="A101" s="165"/>
      <c r="B101" s="255"/>
      <c r="C101" s="255"/>
      <c r="D101" s="255"/>
      <c r="E101" s="255"/>
      <c r="F101" s="165"/>
      <c r="G101" s="255"/>
      <c r="H101" s="255"/>
      <c r="I101" s="255"/>
      <c r="J101" s="255"/>
      <c r="K101" s="255"/>
      <c r="L101" s="255"/>
      <c r="M101" s="255"/>
      <c r="N101" s="255"/>
      <c r="O101" s="255"/>
      <c r="P101" s="165"/>
      <c r="Q101" s="165"/>
      <c r="R101" s="165"/>
      <c r="S101" s="165"/>
      <c r="T101" s="165"/>
      <c r="U101" s="165"/>
      <c r="V101" s="165"/>
      <c r="W101" s="165"/>
      <c r="X101" s="165"/>
      <c r="Y101" s="165"/>
      <c r="Z101" s="165"/>
      <c r="AA101" s="165"/>
      <c r="AB101" s="165"/>
      <c r="AC101" s="165"/>
      <c r="AD101" s="165"/>
      <c r="AE101" s="165"/>
      <c r="AF101" s="165"/>
      <c r="AG101" s="165"/>
      <c r="AH101" s="165"/>
      <c r="AI101" s="165"/>
      <c r="AJ101" s="165"/>
      <c r="AK101" s="165"/>
      <c r="AL101" s="165"/>
      <c r="AM101" s="165"/>
      <c r="AN101" s="165"/>
      <c r="AO101" s="165"/>
    </row>
    <row r="102" ht="15.75" customHeight="1">
      <c r="A102" s="165"/>
      <c r="B102" s="255"/>
      <c r="C102" s="255"/>
      <c r="D102" s="255"/>
      <c r="E102" s="255"/>
      <c r="F102" s="165"/>
      <c r="G102" s="255"/>
      <c r="H102" s="255"/>
      <c r="I102" s="255"/>
      <c r="J102" s="255"/>
      <c r="K102" s="255"/>
      <c r="L102" s="255"/>
      <c r="M102" s="255"/>
      <c r="N102" s="255"/>
      <c r="O102" s="255"/>
      <c r="P102" s="165"/>
      <c r="Q102" s="165"/>
      <c r="R102" s="165"/>
      <c r="S102" s="165"/>
      <c r="T102" s="165"/>
      <c r="U102" s="165"/>
      <c r="V102" s="165"/>
      <c r="W102" s="165"/>
      <c r="X102" s="165"/>
      <c r="Y102" s="165"/>
      <c r="Z102" s="165"/>
      <c r="AA102" s="165"/>
      <c r="AB102" s="165"/>
      <c r="AC102" s="165"/>
      <c r="AD102" s="165"/>
      <c r="AE102" s="165"/>
      <c r="AF102" s="165"/>
      <c r="AG102" s="165"/>
      <c r="AH102" s="165"/>
      <c r="AI102" s="165"/>
      <c r="AJ102" s="165"/>
      <c r="AK102" s="165"/>
      <c r="AL102" s="165"/>
      <c r="AM102" s="165"/>
      <c r="AN102" s="165"/>
      <c r="AO102" s="165"/>
    </row>
    <row r="103" ht="15.75" customHeight="1">
      <c r="A103" s="165"/>
      <c r="B103" s="255"/>
      <c r="C103" s="255"/>
      <c r="D103" s="255"/>
      <c r="E103" s="255"/>
      <c r="F103" s="165"/>
      <c r="G103" s="255"/>
      <c r="H103" s="255"/>
      <c r="I103" s="255"/>
      <c r="J103" s="255"/>
      <c r="K103" s="255"/>
      <c r="L103" s="255"/>
      <c r="M103" s="255"/>
      <c r="N103" s="255"/>
      <c r="O103" s="25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row>
    <row r="104" ht="15.75" customHeight="1">
      <c r="A104" s="165"/>
      <c r="B104" s="255"/>
      <c r="C104" s="255"/>
      <c r="D104" s="255"/>
      <c r="E104" s="255"/>
      <c r="F104" s="165"/>
      <c r="G104" s="255"/>
      <c r="H104" s="255"/>
      <c r="I104" s="255"/>
      <c r="J104" s="255"/>
      <c r="K104" s="255"/>
      <c r="L104" s="255"/>
      <c r="M104" s="255"/>
      <c r="N104" s="255"/>
      <c r="O104" s="255"/>
      <c r="P104" s="165"/>
      <c r="Q104" s="165"/>
      <c r="R104" s="165"/>
      <c r="S104" s="165"/>
      <c r="T104" s="165"/>
      <c r="U104" s="165"/>
      <c r="V104" s="165"/>
      <c r="W104" s="165"/>
      <c r="X104" s="165"/>
      <c r="Y104" s="165"/>
      <c r="Z104" s="165"/>
      <c r="AA104" s="165"/>
      <c r="AB104" s="165"/>
      <c r="AC104" s="165"/>
      <c r="AD104" s="165"/>
      <c r="AE104" s="165"/>
      <c r="AF104" s="165"/>
      <c r="AG104" s="165"/>
      <c r="AH104" s="165"/>
      <c r="AI104" s="165"/>
      <c r="AJ104" s="165"/>
      <c r="AK104" s="165"/>
      <c r="AL104" s="165"/>
      <c r="AM104" s="165"/>
      <c r="AN104" s="165"/>
      <c r="AO104" s="165"/>
    </row>
    <row r="105" ht="15.75" customHeight="1">
      <c r="A105" s="165"/>
      <c r="B105" s="255"/>
      <c r="C105" s="255"/>
      <c r="D105" s="255"/>
      <c r="E105" s="255"/>
      <c r="F105" s="165"/>
      <c r="G105" s="255"/>
      <c r="H105" s="255"/>
      <c r="I105" s="255"/>
      <c r="J105" s="255"/>
      <c r="K105" s="255"/>
      <c r="L105" s="255"/>
      <c r="M105" s="255"/>
      <c r="N105" s="255"/>
      <c r="O105" s="255"/>
      <c r="P105" s="165"/>
      <c r="Q105" s="165"/>
      <c r="R105" s="165"/>
      <c r="S105" s="165"/>
      <c r="T105" s="165"/>
      <c r="U105" s="165"/>
      <c r="V105" s="165"/>
      <c r="W105" s="165"/>
      <c r="X105" s="165"/>
      <c r="Y105" s="165"/>
      <c r="Z105" s="165"/>
      <c r="AA105" s="165"/>
      <c r="AB105" s="165"/>
      <c r="AC105" s="165"/>
      <c r="AD105" s="165"/>
      <c r="AE105" s="165"/>
      <c r="AF105" s="165"/>
      <c r="AG105" s="165"/>
      <c r="AH105" s="165"/>
      <c r="AI105" s="165"/>
      <c r="AJ105" s="165"/>
      <c r="AK105" s="165"/>
      <c r="AL105" s="165"/>
      <c r="AM105" s="165"/>
      <c r="AN105" s="165"/>
      <c r="AO105" s="165"/>
    </row>
    <row r="106" ht="15.75" customHeight="1">
      <c r="A106" s="165"/>
      <c r="B106" s="255"/>
      <c r="C106" s="255"/>
      <c r="D106" s="255"/>
      <c r="E106" s="255"/>
      <c r="F106" s="165"/>
      <c r="G106" s="255"/>
      <c r="H106" s="255"/>
      <c r="I106" s="255"/>
      <c r="J106" s="255"/>
      <c r="K106" s="255"/>
      <c r="L106" s="255"/>
      <c r="M106" s="255"/>
      <c r="N106" s="255"/>
      <c r="O106" s="255"/>
      <c r="P106" s="165"/>
      <c r="Q106" s="165"/>
      <c r="R106" s="165"/>
      <c r="S106" s="165"/>
      <c r="T106" s="165"/>
      <c r="U106" s="165"/>
      <c r="V106" s="165"/>
      <c r="W106" s="165"/>
      <c r="X106" s="165"/>
      <c r="Y106" s="165"/>
      <c r="Z106" s="165"/>
      <c r="AA106" s="165"/>
      <c r="AB106" s="165"/>
      <c r="AC106" s="165"/>
      <c r="AD106" s="165"/>
      <c r="AE106" s="165"/>
      <c r="AF106" s="165"/>
      <c r="AG106" s="165"/>
      <c r="AH106" s="165"/>
      <c r="AI106" s="165"/>
      <c r="AJ106" s="165"/>
      <c r="AK106" s="165"/>
      <c r="AL106" s="165"/>
      <c r="AM106" s="165"/>
      <c r="AN106" s="165"/>
      <c r="AO106" s="165"/>
    </row>
    <row r="107" ht="15.75" customHeight="1">
      <c r="A107" s="165"/>
      <c r="B107" s="255"/>
      <c r="C107" s="255"/>
      <c r="D107" s="255"/>
      <c r="E107" s="255"/>
      <c r="F107" s="165"/>
      <c r="G107" s="255"/>
      <c r="H107" s="255"/>
      <c r="I107" s="255"/>
      <c r="J107" s="255"/>
      <c r="K107" s="255"/>
      <c r="L107" s="255"/>
      <c r="M107" s="255"/>
      <c r="N107" s="255"/>
      <c r="O107" s="255"/>
      <c r="P107" s="165"/>
      <c r="Q107" s="165"/>
      <c r="R107" s="165"/>
      <c r="S107" s="165"/>
      <c r="T107" s="165"/>
      <c r="U107" s="165"/>
      <c r="V107" s="165"/>
      <c r="W107" s="165"/>
      <c r="X107" s="165"/>
      <c r="Y107" s="165"/>
      <c r="Z107" s="165"/>
      <c r="AA107" s="165"/>
      <c r="AB107" s="165"/>
      <c r="AC107" s="165"/>
      <c r="AD107" s="165"/>
      <c r="AE107" s="165"/>
      <c r="AF107" s="165"/>
      <c r="AG107" s="165"/>
      <c r="AH107" s="165"/>
      <c r="AI107" s="165"/>
      <c r="AJ107" s="165"/>
      <c r="AK107" s="165"/>
      <c r="AL107" s="165"/>
      <c r="AM107" s="165"/>
      <c r="AN107" s="165"/>
      <c r="AO107" s="165"/>
    </row>
    <row r="108" ht="15.75" customHeight="1">
      <c r="A108" s="165"/>
      <c r="B108" s="255"/>
      <c r="C108" s="255"/>
      <c r="D108" s="255"/>
      <c r="E108" s="255"/>
      <c r="F108" s="165"/>
      <c r="G108" s="255"/>
      <c r="H108" s="255"/>
      <c r="I108" s="255"/>
      <c r="J108" s="255"/>
      <c r="K108" s="255"/>
      <c r="L108" s="255"/>
      <c r="M108" s="255"/>
      <c r="N108" s="255"/>
      <c r="O108" s="255"/>
      <c r="P108" s="165"/>
      <c r="Q108" s="165"/>
      <c r="R108" s="165"/>
      <c r="S108" s="165"/>
      <c r="T108" s="165"/>
      <c r="U108" s="165"/>
      <c r="V108" s="165"/>
      <c r="W108" s="165"/>
      <c r="X108" s="165"/>
      <c r="Y108" s="165"/>
      <c r="Z108" s="165"/>
      <c r="AA108" s="165"/>
      <c r="AB108" s="165"/>
      <c r="AC108" s="165"/>
      <c r="AD108" s="165"/>
      <c r="AE108" s="165"/>
      <c r="AF108" s="165"/>
      <c r="AG108" s="165"/>
      <c r="AH108" s="165"/>
      <c r="AI108" s="165"/>
      <c r="AJ108" s="165"/>
      <c r="AK108" s="165"/>
      <c r="AL108" s="165"/>
      <c r="AM108" s="165"/>
      <c r="AN108" s="165"/>
      <c r="AO108" s="165"/>
    </row>
    <row r="109" ht="15.75" customHeight="1">
      <c r="A109" s="165"/>
      <c r="B109" s="255"/>
      <c r="C109" s="255"/>
      <c r="D109" s="255"/>
      <c r="E109" s="255"/>
      <c r="F109" s="165"/>
      <c r="G109" s="255"/>
      <c r="H109" s="255"/>
      <c r="I109" s="255"/>
      <c r="J109" s="255"/>
      <c r="K109" s="255"/>
      <c r="L109" s="255"/>
      <c r="M109" s="255"/>
      <c r="N109" s="255"/>
      <c r="O109" s="255"/>
      <c r="P109" s="165"/>
      <c r="Q109" s="165"/>
      <c r="R109" s="165"/>
      <c r="S109" s="165"/>
      <c r="T109" s="165"/>
      <c r="U109" s="165"/>
      <c r="V109" s="165"/>
      <c r="W109" s="165"/>
      <c r="X109" s="165"/>
      <c r="Y109" s="165"/>
      <c r="Z109" s="165"/>
      <c r="AA109" s="165"/>
      <c r="AB109" s="165"/>
      <c r="AC109" s="165"/>
      <c r="AD109" s="165"/>
      <c r="AE109" s="165"/>
      <c r="AF109" s="165"/>
      <c r="AG109" s="165"/>
      <c r="AH109" s="165"/>
      <c r="AI109" s="165"/>
      <c r="AJ109" s="165"/>
      <c r="AK109" s="165"/>
      <c r="AL109" s="165"/>
      <c r="AM109" s="165"/>
      <c r="AN109" s="165"/>
      <c r="AO109" s="165"/>
    </row>
    <row r="110" ht="15.75" customHeight="1">
      <c r="A110" s="165"/>
      <c r="B110" s="255"/>
      <c r="C110" s="255"/>
      <c r="D110" s="255"/>
      <c r="E110" s="255"/>
      <c r="F110" s="165"/>
      <c r="G110" s="255"/>
      <c r="H110" s="255"/>
      <c r="I110" s="255"/>
      <c r="J110" s="255"/>
      <c r="K110" s="255"/>
      <c r="L110" s="255"/>
      <c r="M110" s="255"/>
      <c r="N110" s="255"/>
      <c r="O110" s="255"/>
      <c r="P110" s="165"/>
      <c r="Q110" s="165"/>
      <c r="R110" s="165"/>
      <c r="S110" s="165"/>
      <c r="T110" s="165"/>
      <c r="U110" s="165"/>
      <c r="V110" s="165"/>
      <c r="W110" s="165"/>
      <c r="X110" s="165"/>
      <c r="Y110" s="165"/>
      <c r="Z110" s="165"/>
      <c r="AA110" s="165"/>
      <c r="AB110" s="165"/>
      <c r="AC110" s="165"/>
      <c r="AD110" s="165"/>
      <c r="AE110" s="165"/>
      <c r="AF110" s="165"/>
      <c r="AG110" s="165"/>
      <c r="AH110" s="165"/>
      <c r="AI110" s="165"/>
      <c r="AJ110" s="165"/>
      <c r="AK110" s="165"/>
      <c r="AL110" s="165"/>
      <c r="AM110" s="165"/>
      <c r="AN110" s="165"/>
      <c r="AO110" s="165"/>
    </row>
    <row r="111" ht="15.75" customHeight="1">
      <c r="A111" s="165"/>
      <c r="B111" s="255"/>
      <c r="C111" s="255"/>
      <c r="D111" s="255"/>
      <c r="E111" s="255"/>
      <c r="F111" s="165"/>
      <c r="G111" s="255"/>
      <c r="H111" s="255"/>
      <c r="I111" s="255"/>
      <c r="J111" s="255"/>
      <c r="K111" s="255"/>
      <c r="L111" s="255"/>
      <c r="M111" s="255"/>
      <c r="N111" s="255"/>
      <c r="O111" s="255"/>
      <c r="P111" s="165"/>
      <c r="Q111" s="165"/>
      <c r="R111" s="165"/>
      <c r="S111" s="165"/>
      <c r="T111" s="165"/>
      <c r="U111" s="165"/>
      <c r="V111" s="165"/>
      <c r="W111" s="165"/>
      <c r="X111" s="165"/>
      <c r="Y111" s="165"/>
      <c r="Z111" s="165"/>
      <c r="AA111" s="165"/>
      <c r="AB111" s="165"/>
      <c r="AC111" s="165"/>
      <c r="AD111" s="165"/>
      <c r="AE111" s="165"/>
      <c r="AF111" s="165"/>
      <c r="AG111" s="165"/>
      <c r="AH111" s="165"/>
      <c r="AI111" s="165"/>
      <c r="AJ111" s="165"/>
      <c r="AK111" s="165"/>
      <c r="AL111" s="165"/>
      <c r="AM111" s="165"/>
      <c r="AN111" s="165"/>
      <c r="AO111" s="165"/>
    </row>
    <row r="112" ht="15.75" customHeight="1">
      <c r="A112" s="165"/>
      <c r="B112" s="255"/>
      <c r="C112" s="255"/>
      <c r="D112" s="255"/>
      <c r="E112" s="255"/>
      <c r="F112" s="165"/>
      <c r="G112" s="255"/>
      <c r="H112" s="255"/>
      <c r="I112" s="255"/>
      <c r="J112" s="255"/>
      <c r="K112" s="255"/>
      <c r="L112" s="255"/>
      <c r="M112" s="255"/>
      <c r="N112" s="255"/>
      <c r="O112" s="255"/>
      <c r="P112" s="165"/>
      <c r="Q112" s="165"/>
      <c r="R112" s="165"/>
      <c r="S112" s="165"/>
      <c r="T112" s="165"/>
      <c r="U112" s="165"/>
      <c r="V112" s="165"/>
      <c r="W112" s="165"/>
      <c r="X112" s="165"/>
      <c r="Y112" s="165"/>
      <c r="Z112" s="165"/>
      <c r="AA112" s="165"/>
      <c r="AB112" s="165"/>
      <c r="AC112" s="165"/>
      <c r="AD112" s="165"/>
      <c r="AE112" s="165"/>
      <c r="AF112" s="165"/>
      <c r="AG112" s="165"/>
      <c r="AH112" s="165"/>
      <c r="AI112" s="165"/>
      <c r="AJ112" s="165"/>
      <c r="AK112" s="165"/>
      <c r="AL112" s="165"/>
      <c r="AM112" s="165"/>
      <c r="AN112" s="165"/>
      <c r="AO112" s="165"/>
    </row>
    <row r="113" ht="15.75" customHeight="1">
      <c r="A113" s="165"/>
      <c r="B113" s="255"/>
      <c r="C113" s="255"/>
      <c r="D113" s="255"/>
      <c r="E113" s="255"/>
      <c r="F113" s="165"/>
      <c r="G113" s="255"/>
      <c r="H113" s="255"/>
      <c r="I113" s="255"/>
      <c r="J113" s="255"/>
      <c r="K113" s="255"/>
      <c r="L113" s="255"/>
      <c r="M113" s="255"/>
      <c r="N113" s="255"/>
      <c r="O113" s="255"/>
      <c r="P113" s="165"/>
      <c r="Q113" s="165"/>
      <c r="R113" s="165"/>
      <c r="S113" s="165"/>
      <c r="T113" s="165"/>
      <c r="U113" s="165"/>
      <c r="V113" s="165"/>
      <c r="W113" s="165"/>
      <c r="X113" s="165"/>
      <c r="Y113" s="165"/>
      <c r="Z113" s="165"/>
      <c r="AA113" s="165"/>
      <c r="AB113" s="165"/>
      <c r="AC113" s="165"/>
      <c r="AD113" s="165"/>
      <c r="AE113" s="165"/>
      <c r="AF113" s="165"/>
      <c r="AG113" s="165"/>
      <c r="AH113" s="165"/>
      <c r="AI113" s="165"/>
      <c r="AJ113" s="165"/>
      <c r="AK113" s="165"/>
      <c r="AL113" s="165"/>
      <c r="AM113" s="165"/>
      <c r="AN113" s="165"/>
      <c r="AO113" s="165"/>
    </row>
    <row r="114" ht="15.75" customHeight="1">
      <c r="A114" s="165"/>
      <c r="B114" s="255"/>
      <c r="C114" s="255"/>
      <c r="D114" s="255"/>
      <c r="E114" s="255"/>
      <c r="F114" s="165"/>
      <c r="G114" s="255"/>
      <c r="H114" s="255"/>
      <c r="I114" s="255"/>
      <c r="J114" s="255"/>
      <c r="K114" s="255"/>
      <c r="L114" s="255"/>
      <c r="M114" s="255"/>
      <c r="N114" s="255"/>
      <c r="O114" s="255"/>
      <c r="P114" s="165"/>
      <c r="Q114" s="165"/>
      <c r="R114" s="165"/>
      <c r="S114" s="165"/>
      <c r="T114" s="165"/>
      <c r="U114" s="165"/>
      <c r="V114" s="165"/>
      <c r="W114" s="165"/>
      <c r="X114" s="165"/>
      <c r="Y114" s="165"/>
      <c r="Z114" s="165"/>
      <c r="AA114" s="165"/>
      <c r="AB114" s="165"/>
      <c r="AC114" s="165"/>
      <c r="AD114" s="165"/>
      <c r="AE114" s="165"/>
      <c r="AF114" s="165"/>
      <c r="AG114" s="165"/>
      <c r="AH114" s="165"/>
      <c r="AI114" s="165"/>
      <c r="AJ114" s="165"/>
      <c r="AK114" s="165"/>
      <c r="AL114" s="165"/>
      <c r="AM114" s="165"/>
      <c r="AN114" s="165"/>
      <c r="AO114" s="165"/>
    </row>
    <row r="115" ht="15.75" customHeight="1">
      <c r="A115" s="165"/>
      <c r="B115" s="255"/>
      <c r="C115" s="255"/>
      <c r="D115" s="255"/>
      <c r="E115" s="255"/>
      <c r="F115" s="165"/>
      <c r="G115" s="255"/>
      <c r="H115" s="255"/>
      <c r="I115" s="255"/>
      <c r="J115" s="255"/>
      <c r="K115" s="255"/>
      <c r="L115" s="255"/>
      <c r="M115" s="255"/>
      <c r="N115" s="255"/>
      <c r="O115" s="255"/>
      <c r="P115" s="165"/>
      <c r="Q115" s="165"/>
      <c r="R115" s="165"/>
      <c r="S115" s="165"/>
      <c r="T115" s="165"/>
      <c r="U115" s="165"/>
      <c r="V115" s="165"/>
      <c r="W115" s="165"/>
      <c r="X115" s="165"/>
      <c r="Y115" s="165"/>
      <c r="Z115" s="165"/>
      <c r="AA115" s="165"/>
      <c r="AB115" s="165"/>
      <c r="AC115" s="165"/>
      <c r="AD115" s="165"/>
      <c r="AE115" s="165"/>
      <c r="AF115" s="165"/>
      <c r="AG115" s="165"/>
      <c r="AH115" s="165"/>
      <c r="AI115" s="165"/>
      <c r="AJ115" s="165"/>
      <c r="AK115" s="165"/>
      <c r="AL115" s="165"/>
      <c r="AM115" s="165"/>
      <c r="AN115" s="165"/>
      <c r="AO115" s="165"/>
    </row>
    <row r="116" ht="15.75" customHeight="1">
      <c r="A116" s="165"/>
      <c r="B116" s="255"/>
      <c r="C116" s="255"/>
      <c r="D116" s="255"/>
      <c r="E116" s="255"/>
      <c r="F116" s="165"/>
      <c r="G116" s="255"/>
      <c r="H116" s="255"/>
      <c r="I116" s="255"/>
      <c r="J116" s="255"/>
      <c r="K116" s="255"/>
      <c r="L116" s="255"/>
      <c r="M116" s="255"/>
      <c r="N116" s="255"/>
      <c r="O116" s="255"/>
      <c r="P116" s="165"/>
      <c r="Q116" s="165"/>
      <c r="R116" s="165"/>
      <c r="S116" s="165"/>
      <c r="T116" s="165"/>
      <c r="U116" s="165"/>
      <c r="V116" s="165"/>
      <c r="W116" s="165"/>
      <c r="X116" s="165"/>
      <c r="Y116" s="165"/>
      <c r="Z116" s="165"/>
      <c r="AA116" s="165"/>
      <c r="AB116" s="165"/>
      <c r="AC116" s="165"/>
      <c r="AD116" s="165"/>
      <c r="AE116" s="165"/>
      <c r="AF116" s="165"/>
      <c r="AG116" s="165"/>
      <c r="AH116" s="165"/>
      <c r="AI116" s="165"/>
      <c r="AJ116" s="165"/>
      <c r="AK116" s="165"/>
      <c r="AL116" s="165"/>
      <c r="AM116" s="165"/>
      <c r="AN116" s="165"/>
      <c r="AO116" s="165"/>
    </row>
    <row r="117" ht="15.75" customHeight="1">
      <c r="A117" s="165"/>
      <c r="B117" s="255"/>
      <c r="C117" s="255"/>
      <c r="D117" s="255"/>
      <c r="E117" s="255"/>
      <c r="F117" s="165"/>
      <c r="G117" s="255"/>
      <c r="H117" s="255"/>
      <c r="I117" s="255"/>
      <c r="J117" s="255"/>
      <c r="K117" s="255"/>
      <c r="L117" s="255"/>
      <c r="M117" s="255"/>
      <c r="N117" s="255"/>
      <c r="O117" s="255"/>
      <c r="P117" s="165"/>
      <c r="Q117" s="165"/>
      <c r="R117" s="165"/>
      <c r="S117" s="165"/>
      <c r="T117" s="165"/>
      <c r="U117" s="165"/>
      <c r="V117" s="165"/>
      <c r="W117" s="165"/>
      <c r="X117" s="165"/>
      <c r="Y117" s="165"/>
      <c r="Z117" s="165"/>
      <c r="AA117" s="165"/>
      <c r="AB117" s="165"/>
      <c r="AC117" s="165"/>
      <c r="AD117" s="165"/>
      <c r="AE117" s="165"/>
      <c r="AF117" s="165"/>
      <c r="AG117" s="165"/>
      <c r="AH117" s="165"/>
      <c r="AI117" s="165"/>
      <c r="AJ117" s="165"/>
      <c r="AK117" s="165"/>
      <c r="AL117" s="165"/>
      <c r="AM117" s="165"/>
      <c r="AN117" s="165"/>
      <c r="AO117" s="165"/>
    </row>
    <row r="118" ht="15.75" customHeight="1">
      <c r="A118" s="165"/>
      <c r="B118" s="255"/>
      <c r="C118" s="255"/>
      <c r="D118" s="255"/>
      <c r="E118" s="255"/>
      <c r="F118" s="165"/>
      <c r="G118" s="255"/>
      <c r="H118" s="255"/>
      <c r="I118" s="255"/>
      <c r="J118" s="255"/>
      <c r="K118" s="255"/>
      <c r="L118" s="255"/>
      <c r="M118" s="255"/>
      <c r="N118" s="255"/>
      <c r="O118" s="255"/>
      <c r="P118" s="165"/>
      <c r="Q118" s="165"/>
      <c r="R118" s="165"/>
      <c r="S118" s="165"/>
      <c r="T118" s="165"/>
      <c r="U118" s="165"/>
      <c r="V118" s="165"/>
      <c r="W118" s="165"/>
      <c r="X118" s="165"/>
      <c r="Y118" s="165"/>
      <c r="Z118" s="165"/>
      <c r="AA118" s="165"/>
      <c r="AB118" s="165"/>
      <c r="AC118" s="165"/>
      <c r="AD118" s="165"/>
      <c r="AE118" s="165"/>
      <c r="AF118" s="165"/>
      <c r="AG118" s="165"/>
      <c r="AH118" s="165"/>
      <c r="AI118" s="165"/>
      <c r="AJ118" s="165"/>
      <c r="AK118" s="165"/>
      <c r="AL118" s="165"/>
      <c r="AM118" s="165"/>
      <c r="AN118" s="165"/>
      <c r="AO118" s="165"/>
    </row>
    <row r="119" ht="15.75" customHeight="1">
      <c r="A119" s="165"/>
      <c r="B119" s="255"/>
      <c r="C119" s="255"/>
      <c r="D119" s="255"/>
      <c r="E119" s="255"/>
      <c r="F119" s="165"/>
      <c r="G119" s="255"/>
      <c r="H119" s="255"/>
      <c r="I119" s="255"/>
      <c r="J119" s="255"/>
      <c r="K119" s="255"/>
      <c r="L119" s="255"/>
      <c r="M119" s="255"/>
      <c r="N119" s="255"/>
      <c r="O119" s="255"/>
      <c r="P119" s="165"/>
      <c r="Q119" s="165"/>
      <c r="R119" s="165"/>
      <c r="S119" s="165"/>
      <c r="T119" s="165"/>
      <c r="U119" s="165"/>
      <c r="V119" s="165"/>
      <c r="W119" s="165"/>
      <c r="X119" s="165"/>
      <c r="Y119" s="165"/>
      <c r="Z119" s="165"/>
      <c r="AA119" s="165"/>
      <c r="AB119" s="165"/>
      <c r="AC119" s="165"/>
      <c r="AD119" s="165"/>
      <c r="AE119" s="165"/>
      <c r="AF119" s="165"/>
      <c r="AG119" s="165"/>
      <c r="AH119" s="165"/>
      <c r="AI119" s="165"/>
      <c r="AJ119" s="165"/>
      <c r="AK119" s="165"/>
      <c r="AL119" s="165"/>
      <c r="AM119" s="165"/>
      <c r="AN119" s="165"/>
      <c r="AO119" s="165"/>
    </row>
    <row r="120" ht="15.75" customHeight="1">
      <c r="A120" s="165"/>
      <c r="B120" s="255"/>
      <c r="C120" s="255"/>
      <c r="D120" s="255"/>
      <c r="E120" s="255"/>
      <c r="F120" s="165"/>
      <c r="G120" s="255"/>
      <c r="H120" s="255"/>
      <c r="I120" s="255"/>
      <c r="J120" s="255"/>
      <c r="K120" s="255"/>
      <c r="L120" s="255"/>
      <c r="M120" s="255"/>
      <c r="N120" s="255"/>
      <c r="O120" s="255"/>
      <c r="P120" s="165"/>
      <c r="Q120" s="165"/>
      <c r="R120" s="165"/>
      <c r="S120" s="165"/>
      <c r="T120" s="165"/>
      <c r="U120" s="165"/>
      <c r="V120" s="165"/>
      <c r="W120" s="165"/>
      <c r="X120" s="165"/>
      <c r="Y120" s="165"/>
      <c r="Z120" s="165"/>
      <c r="AA120" s="165"/>
      <c r="AB120" s="165"/>
      <c r="AC120" s="165"/>
      <c r="AD120" s="165"/>
      <c r="AE120" s="165"/>
      <c r="AF120" s="165"/>
      <c r="AG120" s="165"/>
      <c r="AH120" s="165"/>
      <c r="AI120" s="165"/>
      <c r="AJ120" s="165"/>
      <c r="AK120" s="165"/>
      <c r="AL120" s="165"/>
      <c r="AM120" s="165"/>
      <c r="AN120" s="165"/>
      <c r="AO120" s="165"/>
    </row>
    <row r="121" ht="15.75" customHeight="1">
      <c r="A121" s="165"/>
      <c r="B121" s="255"/>
      <c r="C121" s="255"/>
      <c r="D121" s="255"/>
      <c r="E121" s="255"/>
      <c r="F121" s="165"/>
      <c r="G121" s="255"/>
      <c r="H121" s="255"/>
      <c r="I121" s="255"/>
      <c r="J121" s="255"/>
      <c r="K121" s="255"/>
      <c r="L121" s="255"/>
      <c r="M121" s="255"/>
      <c r="N121" s="255"/>
      <c r="O121" s="255"/>
      <c r="P121" s="165"/>
      <c r="Q121" s="165"/>
      <c r="R121" s="165"/>
      <c r="S121" s="165"/>
      <c r="T121" s="165"/>
      <c r="U121" s="165"/>
      <c r="V121" s="165"/>
      <c r="W121" s="165"/>
      <c r="X121" s="165"/>
      <c r="Y121" s="165"/>
      <c r="Z121" s="165"/>
      <c r="AA121" s="165"/>
      <c r="AB121" s="165"/>
      <c r="AC121" s="165"/>
      <c r="AD121" s="165"/>
      <c r="AE121" s="165"/>
      <c r="AF121" s="165"/>
      <c r="AG121" s="165"/>
      <c r="AH121" s="165"/>
      <c r="AI121" s="165"/>
      <c r="AJ121" s="165"/>
      <c r="AK121" s="165"/>
      <c r="AL121" s="165"/>
      <c r="AM121" s="165"/>
      <c r="AN121" s="165"/>
      <c r="AO121" s="165"/>
    </row>
    <row r="122" ht="15.75" customHeight="1">
      <c r="A122" s="165"/>
      <c r="B122" s="255"/>
      <c r="C122" s="255"/>
      <c r="D122" s="255"/>
      <c r="E122" s="255"/>
      <c r="F122" s="165"/>
      <c r="G122" s="255"/>
      <c r="H122" s="255"/>
      <c r="I122" s="255"/>
      <c r="J122" s="255"/>
      <c r="K122" s="255"/>
      <c r="L122" s="255"/>
      <c r="M122" s="255"/>
      <c r="N122" s="255"/>
      <c r="O122" s="255"/>
      <c r="P122" s="165"/>
      <c r="Q122" s="165"/>
      <c r="R122" s="165"/>
      <c r="S122" s="165"/>
      <c r="T122" s="165"/>
      <c r="U122" s="165"/>
      <c r="V122" s="165"/>
      <c r="W122" s="165"/>
      <c r="X122" s="165"/>
      <c r="Y122" s="165"/>
      <c r="Z122" s="165"/>
      <c r="AA122" s="165"/>
      <c r="AB122" s="165"/>
      <c r="AC122" s="165"/>
      <c r="AD122" s="165"/>
      <c r="AE122" s="165"/>
      <c r="AF122" s="165"/>
      <c r="AG122" s="165"/>
      <c r="AH122" s="165"/>
      <c r="AI122" s="165"/>
      <c r="AJ122" s="165"/>
      <c r="AK122" s="165"/>
      <c r="AL122" s="165"/>
      <c r="AM122" s="165"/>
      <c r="AN122" s="165"/>
      <c r="AO122" s="165"/>
    </row>
    <row r="123" ht="15.75" customHeight="1">
      <c r="A123" s="165"/>
      <c r="B123" s="255"/>
      <c r="C123" s="255"/>
      <c r="D123" s="255"/>
      <c r="E123" s="255"/>
      <c r="F123" s="165"/>
      <c r="G123" s="255"/>
      <c r="H123" s="255"/>
      <c r="I123" s="255"/>
      <c r="J123" s="255"/>
      <c r="K123" s="255"/>
      <c r="L123" s="255"/>
      <c r="M123" s="255"/>
      <c r="N123" s="255"/>
      <c r="O123" s="255"/>
      <c r="P123" s="165"/>
      <c r="Q123" s="165"/>
      <c r="R123" s="165"/>
      <c r="S123" s="165"/>
      <c r="T123" s="165"/>
      <c r="U123" s="165"/>
      <c r="V123" s="165"/>
      <c r="W123" s="165"/>
      <c r="X123" s="165"/>
      <c r="Y123" s="165"/>
      <c r="Z123" s="165"/>
      <c r="AA123" s="165"/>
      <c r="AB123" s="165"/>
      <c r="AC123" s="165"/>
      <c r="AD123" s="165"/>
      <c r="AE123" s="165"/>
      <c r="AF123" s="165"/>
      <c r="AG123" s="165"/>
      <c r="AH123" s="165"/>
      <c r="AI123" s="165"/>
      <c r="AJ123" s="165"/>
      <c r="AK123" s="165"/>
      <c r="AL123" s="165"/>
      <c r="AM123" s="165"/>
      <c r="AN123" s="165"/>
      <c r="AO123" s="165"/>
    </row>
    <row r="124" ht="15.75" customHeight="1">
      <c r="A124" s="165"/>
      <c r="B124" s="255"/>
      <c r="C124" s="255"/>
      <c r="D124" s="255"/>
      <c r="E124" s="255"/>
      <c r="F124" s="165"/>
      <c r="G124" s="255"/>
      <c r="H124" s="255"/>
      <c r="I124" s="255"/>
      <c r="J124" s="255"/>
      <c r="K124" s="255"/>
      <c r="L124" s="255"/>
      <c r="M124" s="255"/>
      <c r="N124" s="255"/>
      <c r="O124" s="255"/>
      <c r="P124" s="165"/>
      <c r="Q124" s="165"/>
      <c r="R124" s="165"/>
      <c r="S124" s="165"/>
      <c r="T124" s="165"/>
      <c r="U124" s="165"/>
      <c r="V124" s="165"/>
      <c r="W124" s="165"/>
      <c r="X124" s="165"/>
      <c r="Y124" s="165"/>
      <c r="Z124" s="165"/>
      <c r="AA124" s="165"/>
      <c r="AB124" s="165"/>
      <c r="AC124" s="165"/>
      <c r="AD124" s="165"/>
      <c r="AE124" s="165"/>
      <c r="AF124" s="165"/>
      <c r="AG124" s="165"/>
      <c r="AH124" s="165"/>
      <c r="AI124" s="165"/>
      <c r="AJ124" s="165"/>
      <c r="AK124" s="165"/>
      <c r="AL124" s="165"/>
      <c r="AM124" s="165"/>
      <c r="AN124" s="165"/>
      <c r="AO124" s="165"/>
    </row>
    <row r="125" ht="15.75" customHeight="1">
      <c r="A125" s="165"/>
      <c r="B125" s="255"/>
      <c r="C125" s="255"/>
      <c r="D125" s="255"/>
      <c r="E125" s="255"/>
      <c r="F125" s="165"/>
      <c r="G125" s="255"/>
      <c r="H125" s="255"/>
      <c r="I125" s="255"/>
      <c r="J125" s="255"/>
      <c r="K125" s="255"/>
      <c r="L125" s="255"/>
      <c r="M125" s="255"/>
      <c r="N125" s="255"/>
      <c r="O125" s="255"/>
      <c r="P125" s="165"/>
      <c r="Q125" s="165"/>
      <c r="R125" s="165"/>
      <c r="S125" s="165"/>
      <c r="T125" s="165"/>
      <c r="U125" s="165"/>
      <c r="V125" s="165"/>
      <c r="W125" s="165"/>
      <c r="X125" s="165"/>
      <c r="Y125" s="165"/>
      <c r="Z125" s="165"/>
      <c r="AA125" s="165"/>
      <c r="AB125" s="165"/>
      <c r="AC125" s="165"/>
      <c r="AD125" s="165"/>
      <c r="AE125" s="165"/>
      <c r="AF125" s="165"/>
      <c r="AG125" s="165"/>
      <c r="AH125" s="165"/>
      <c r="AI125" s="165"/>
      <c r="AJ125" s="165"/>
      <c r="AK125" s="165"/>
      <c r="AL125" s="165"/>
      <c r="AM125" s="165"/>
      <c r="AN125" s="165"/>
      <c r="AO125" s="165"/>
    </row>
    <row r="126" ht="15.75" customHeight="1">
      <c r="A126" s="165"/>
      <c r="B126" s="255"/>
      <c r="C126" s="255"/>
      <c r="D126" s="255"/>
      <c r="E126" s="255"/>
      <c r="F126" s="165"/>
      <c r="G126" s="255"/>
      <c r="H126" s="255"/>
      <c r="I126" s="255"/>
      <c r="J126" s="255"/>
      <c r="K126" s="255"/>
      <c r="L126" s="255"/>
      <c r="M126" s="255"/>
      <c r="N126" s="255"/>
      <c r="O126" s="255"/>
      <c r="P126" s="165"/>
      <c r="Q126" s="165"/>
      <c r="R126" s="165"/>
      <c r="S126" s="165"/>
      <c r="T126" s="165"/>
      <c r="U126" s="165"/>
      <c r="V126" s="165"/>
      <c r="W126" s="165"/>
      <c r="X126" s="165"/>
      <c r="Y126" s="165"/>
      <c r="Z126" s="165"/>
      <c r="AA126" s="165"/>
      <c r="AB126" s="165"/>
      <c r="AC126" s="165"/>
      <c r="AD126" s="165"/>
      <c r="AE126" s="165"/>
      <c r="AF126" s="165"/>
      <c r="AG126" s="165"/>
      <c r="AH126" s="165"/>
      <c r="AI126" s="165"/>
      <c r="AJ126" s="165"/>
      <c r="AK126" s="165"/>
      <c r="AL126" s="165"/>
      <c r="AM126" s="165"/>
      <c r="AN126" s="165"/>
      <c r="AO126" s="165"/>
    </row>
    <row r="127" ht="15.75" customHeight="1">
      <c r="A127" s="165"/>
      <c r="B127" s="255"/>
      <c r="C127" s="255"/>
      <c r="D127" s="255"/>
      <c r="E127" s="255"/>
      <c r="F127" s="165"/>
      <c r="G127" s="255"/>
      <c r="H127" s="255"/>
      <c r="I127" s="255"/>
      <c r="J127" s="255"/>
      <c r="K127" s="255"/>
      <c r="L127" s="255"/>
      <c r="M127" s="255"/>
      <c r="N127" s="255"/>
      <c r="O127" s="255"/>
      <c r="P127" s="165"/>
      <c r="Q127" s="165"/>
      <c r="R127" s="165"/>
      <c r="S127" s="165"/>
      <c r="T127" s="165"/>
      <c r="U127" s="165"/>
      <c r="V127" s="165"/>
      <c r="W127" s="165"/>
      <c r="X127" s="165"/>
      <c r="Y127" s="165"/>
      <c r="Z127" s="165"/>
      <c r="AA127" s="165"/>
      <c r="AB127" s="165"/>
      <c r="AC127" s="165"/>
      <c r="AD127" s="165"/>
      <c r="AE127" s="165"/>
      <c r="AF127" s="165"/>
      <c r="AG127" s="165"/>
      <c r="AH127" s="165"/>
      <c r="AI127" s="165"/>
      <c r="AJ127" s="165"/>
      <c r="AK127" s="165"/>
      <c r="AL127" s="165"/>
      <c r="AM127" s="165"/>
      <c r="AN127" s="165"/>
      <c r="AO127" s="165"/>
    </row>
    <row r="128" ht="15.75" customHeight="1">
      <c r="A128" s="165"/>
      <c r="B128" s="255"/>
      <c r="C128" s="255"/>
      <c r="D128" s="255"/>
      <c r="E128" s="255"/>
      <c r="F128" s="165"/>
      <c r="G128" s="255"/>
      <c r="H128" s="255"/>
      <c r="I128" s="255"/>
      <c r="J128" s="255"/>
      <c r="K128" s="255"/>
      <c r="L128" s="255"/>
      <c r="M128" s="255"/>
      <c r="N128" s="255"/>
      <c r="O128" s="255"/>
      <c r="P128" s="165"/>
      <c r="Q128" s="165"/>
      <c r="R128" s="165"/>
      <c r="S128" s="165"/>
      <c r="T128" s="165"/>
      <c r="U128" s="165"/>
      <c r="V128" s="165"/>
      <c r="W128" s="165"/>
      <c r="X128" s="165"/>
      <c r="Y128" s="165"/>
      <c r="Z128" s="165"/>
      <c r="AA128" s="165"/>
      <c r="AB128" s="165"/>
      <c r="AC128" s="165"/>
      <c r="AD128" s="165"/>
      <c r="AE128" s="165"/>
      <c r="AF128" s="165"/>
      <c r="AG128" s="165"/>
      <c r="AH128" s="165"/>
      <c r="AI128" s="165"/>
      <c r="AJ128" s="165"/>
      <c r="AK128" s="165"/>
      <c r="AL128" s="165"/>
      <c r="AM128" s="165"/>
      <c r="AN128" s="165"/>
      <c r="AO128" s="165"/>
    </row>
    <row r="129" ht="15.75" customHeight="1">
      <c r="A129" s="165"/>
      <c r="B129" s="255"/>
      <c r="C129" s="255"/>
      <c r="D129" s="255"/>
      <c r="E129" s="255"/>
      <c r="F129" s="165"/>
      <c r="G129" s="255"/>
      <c r="H129" s="255"/>
      <c r="I129" s="255"/>
      <c r="J129" s="255"/>
      <c r="K129" s="255"/>
      <c r="L129" s="255"/>
      <c r="M129" s="255"/>
      <c r="N129" s="255"/>
      <c r="O129" s="255"/>
      <c r="P129" s="165"/>
      <c r="Q129" s="165"/>
      <c r="R129" s="165"/>
      <c r="S129" s="165"/>
      <c r="T129" s="165"/>
      <c r="U129" s="165"/>
      <c r="V129" s="165"/>
      <c r="W129" s="165"/>
      <c r="X129" s="165"/>
      <c r="Y129" s="165"/>
      <c r="Z129" s="165"/>
      <c r="AA129" s="165"/>
      <c r="AB129" s="165"/>
      <c r="AC129" s="165"/>
      <c r="AD129" s="165"/>
      <c r="AE129" s="165"/>
      <c r="AF129" s="165"/>
      <c r="AG129" s="165"/>
      <c r="AH129" s="165"/>
      <c r="AI129" s="165"/>
      <c r="AJ129" s="165"/>
      <c r="AK129" s="165"/>
      <c r="AL129" s="165"/>
      <c r="AM129" s="165"/>
      <c r="AN129" s="165"/>
      <c r="AO129" s="165"/>
    </row>
    <row r="130" ht="15.75" customHeight="1">
      <c r="A130" s="165"/>
      <c r="B130" s="255"/>
      <c r="C130" s="255"/>
      <c r="D130" s="255"/>
      <c r="E130" s="255"/>
      <c r="F130" s="165"/>
      <c r="G130" s="255"/>
      <c r="H130" s="255"/>
      <c r="I130" s="255"/>
      <c r="J130" s="255"/>
      <c r="K130" s="255"/>
      <c r="L130" s="255"/>
      <c r="M130" s="255"/>
      <c r="N130" s="255"/>
      <c r="O130" s="255"/>
      <c r="P130" s="165"/>
      <c r="Q130" s="165"/>
      <c r="R130" s="165"/>
      <c r="S130" s="165"/>
      <c r="T130" s="165"/>
      <c r="U130" s="165"/>
      <c r="V130" s="165"/>
      <c r="W130" s="165"/>
      <c r="X130" s="165"/>
      <c r="Y130" s="165"/>
      <c r="Z130" s="165"/>
      <c r="AA130" s="165"/>
      <c r="AB130" s="165"/>
      <c r="AC130" s="165"/>
      <c r="AD130" s="165"/>
      <c r="AE130" s="165"/>
      <c r="AF130" s="165"/>
      <c r="AG130" s="165"/>
      <c r="AH130" s="165"/>
      <c r="AI130" s="165"/>
      <c r="AJ130" s="165"/>
      <c r="AK130" s="165"/>
      <c r="AL130" s="165"/>
      <c r="AM130" s="165"/>
      <c r="AN130" s="165"/>
      <c r="AO130" s="165"/>
    </row>
    <row r="131" ht="15.75" customHeight="1">
      <c r="A131" s="165"/>
      <c r="B131" s="255"/>
      <c r="C131" s="255"/>
      <c r="D131" s="255"/>
      <c r="E131" s="255"/>
      <c r="F131" s="165"/>
      <c r="G131" s="255"/>
      <c r="H131" s="255"/>
      <c r="I131" s="255"/>
      <c r="J131" s="255"/>
      <c r="K131" s="255"/>
      <c r="L131" s="255"/>
      <c r="M131" s="255"/>
      <c r="N131" s="255"/>
      <c r="O131" s="255"/>
      <c r="P131" s="165"/>
      <c r="Q131" s="165"/>
      <c r="R131" s="165"/>
      <c r="S131" s="165"/>
      <c r="T131" s="165"/>
      <c r="U131" s="165"/>
      <c r="V131" s="165"/>
      <c r="W131" s="165"/>
      <c r="X131" s="165"/>
      <c r="Y131" s="165"/>
      <c r="Z131" s="165"/>
      <c r="AA131" s="165"/>
      <c r="AB131" s="165"/>
      <c r="AC131" s="165"/>
      <c r="AD131" s="165"/>
      <c r="AE131" s="165"/>
      <c r="AF131" s="165"/>
      <c r="AG131" s="165"/>
      <c r="AH131" s="165"/>
      <c r="AI131" s="165"/>
      <c r="AJ131" s="165"/>
      <c r="AK131" s="165"/>
      <c r="AL131" s="165"/>
      <c r="AM131" s="165"/>
      <c r="AN131" s="165"/>
      <c r="AO131" s="165"/>
    </row>
    <row r="132" ht="15.75" customHeight="1">
      <c r="A132" s="165"/>
      <c r="B132" s="255"/>
      <c r="C132" s="255"/>
      <c r="D132" s="255"/>
      <c r="E132" s="255"/>
      <c r="F132" s="165"/>
      <c r="G132" s="255"/>
      <c r="H132" s="255"/>
      <c r="I132" s="255"/>
      <c r="J132" s="255"/>
      <c r="K132" s="255"/>
      <c r="L132" s="255"/>
      <c r="M132" s="255"/>
      <c r="N132" s="255"/>
      <c r="O132" s="255"/>
      <c r="P132" s="165"/>
      <c r="Q132" s="165"/>
      <c r="R132" s="165"/>
      <c r="S132" s="165"/>
      <c r="T132" s="165"/>
      <c r="U132" s="165"/>
      <c r="V132" s="165"/>
      <c r="W132" s="165"/>
      <c r="X132" s="165"/>
      <c r="Y132" s="165"/>
      <c r="Z132" s="165"/>
      <c r="AA132" s="165"/>
      <c r="AB132" s="165"/>
      <c r="AC132" s="165"/>
      <c r="AD132" s="165"/>
      <c r="AE132" s="165"/>
      <c r="AF132" s="165"/>
      <c r="AG132" s="165"/>
      <c r="AH132" s="165"/>
      <c r="AI132" s="165"/>
      <c r="AJ132" s="165"/>
      <c r="AK132" s="165"/>
      <c r="AL132" s="165"/>
      <c r="AM132" s="165"/>
      <c r="AN132" s="165"/>
      <c r="AO132" s="165"/>
    </row>
    <row r="133" ht="15.75" customHeight="1">
      <c r="A133" s="165"/>
      <c r="B133" s="255"/>
      <c r="C133" s="255"/>
      <c r="D133" s="255"/>
      <c r="E133" s="255"/>
      <c r="F133" s="165"/>
      <c r="G133" s="255"/>
      <c r="H133" s="255"/>
      <c r="I133" s="255"/>
      <c r="J133" s="255"/>
      <c r="K133" s="255"/>
      <c r="L133" s="255"/>
      <c r="M133" s="255"/>
      <c r="N133" s="255"/>
      <c r="O133" s="255"/>
      <c r="P133" s="165"/>
      <c r="Q133" s="165"/>
      <c r="R133" s="165"/>
      <c r="S133" s="165"/>
      <c r="T133" s="165"/>
      <c r="U133" s="165"/>
      <c r="V133" s="165"/>
      <c r="W133" s="165"/>
      <c r="X133" s="165"/>
      <c r="Y133" s="165"/>
      <c r="Z133" s="165"/>
      <c r="AA133" s="165"/>
      <c r="AB133" s="165"/>
      <c r="AC133" s="165"/>
      <c r="AD133" s="165"/>
      <c r="AE133" s="165"/>
      <c r="AF133" s="165"/>
      <c r="AG133" s="165"/>
      <c r="AH133" s="165"/>
      <c r="AI133" s="165"/>
      <c r="AJ133" s="165"/>
      <c r="AK133" s="165"/>
      <c r="AL133" s="165"/>
      <c r="AM133" s="165"/>
      <c r="AN133" s="165"/>
      <c r="AO133" s="165"/>
    </row>
    <row r="134" ht="15.75" customHeight="1">
      <c r="A134" s="165"/>
      <c r="B134" s="255"/>
      <c r="C134" s="255"/>
      <c r="D134" s="255"/>
      <c r="E134" s="255"/>
      <c r="F134" s="165"/>
      <c r="G134" s="255"/>
      <c r="H134" s="255"/>
      <c r="I134" s="255"/>
      <c r="J134" s="255"/>
      <c r="K134" s="255"/>
      <c r="L134" s="255"/>
      <c r="M134" s="255"/>
      <c r="N134" s="255"/>
      <c r="O134" s="255"/>
      <c r="P134" s="165"/>
      <c r="Q134" s="165"/>
      <c r="R134" s="165"/>
      <c r="S134" s="165"/>
      <c r="T134" s="165"/>
      <c r="U134" s="165"/>
      <c r="V134" s="165"/>
      <c r="W134" s="165"/>
      <c r="X134" s="165"/>
      <c r="Y134" s="165"/>
      <c r="Z134" s="165"/>
      <c r="AA134" s="165"/>
      <c r="AB134" s="165"/>
      <c r="AC134" s="165"/>
      <c r="AD134" s="165"/>
      <c r="AE134" s="165"/>
      <c r="AF134" s="165"/>
      <c r="AG134" s="165"/>
      <c r="AH134" s="165"/>
      <c r="AI134" s="165"/>
      <c r="AJ134" s="165"/>
      <c r="AK134" s="165"/>
      <c r="AL134" s="165"/>
      <c r="AM134" s="165"/>
      <c r="AN134" s="165"/>
      <c r="AO134" s="165"/>
    </row>
    <row r="135" ht="15.75" customHeight="1">
      <c r="A135" s="165"/>
      <c r="B135" s="255"/>
      <c r="C135" s="255"/>
      <c r="D135" s="255"/>
      <c r="E135" s="255"/>
      <c r="F135" s="165"/>
      <c r="G135" s="255"/>
      <c r="H135" s="255"/>
      <c r="I135" s="255"/>
      <c r="J135" s="255"/>
      <c r="K135" s="255"/>
      <c r="L135" s="255"/>
      <c r="M135" s="255"/>
      <c r="N135" s="255"/>
      <c r="O135" s="255"/>
      <c r="P135" s="165"/>
      <c r="Q135" s="165"/>
      <c r="R135" s="165"/>
      <c r="S135" s="165"/>
      <c r="T135" s="165"/>
      <c r="U135" s="165"/>
      <c r="V135" s="165"/>
      <c r="W135" s="165"/>
      <c r="X135" s="165"/>
      <c r="Y135" s="165"/>
      <c r="Z135" s="165"/>
      <c r="AA135" s="165"/>
      <c r="AB135" s="165"/>
      <c r="AC135" s="165"/>
      <c r="AD135" s="165"/>
      <c r="AE135" s="165"/>
      <c r="AF135" s="165"/>
      <c r="AG135" s="165"/>
      <c r="AH135" s="165"/>
      <c r="AI135" s="165"/>
      <c r="AJ135" s="165"/>
      <c r="AK135" s="165"/>
      <c r="AL135" s="165"/>
      <c r="AM135" s="165"/>
      <c r="AN135" s="165"/>
      <c r="AO135" s="165"/>
    </row>
    <row r="136" ht="15.75" customHeight="1">
      <c r="A136" s="165"/>
      <c r="B136" s="255"/>
      <c r="C136" s="255"/>
      <c r="D136" s="255"/>
      <c r="E136" s="255"/>
      <c r="F136" s="165"/>
      <c r="G136" s="255"/>
      <c r="H136" s="255"/>
      <c r="I136" s="255"/>
      <c r="J136" s="255"/>
      <c r="K136" s="255"/>
      <c r="L136" s="255"/>
      <c r="M136" s="255"/>
      <c r="N136" s="255"/>
      <c r="O136" s="255"/>
      <c r="P136" s="165"/>
      <c r="Q136" s="165"/>
      <c r="R136" s="165"/>
      <c r="S136" s="165"/>
      <c r="T136" s="165"/>
      <c r="U136" s="165"/>
      <c r="V136" s="165"/>
      <c r="W136" s="165"/>
      <c r="X136" s="165"/>
      <c r="Y136" s="165"/>
      <c r="Z136" s="165"/>
      <c r="AA136" s="165"/>
      <c r="AB136" s="165"/>
      <c r="AC136" s="165"/>
      <c r="AD136" s="165"/>
      <c r="AE136" s="165"/>
      <c r="AF136" s="165"/>
      <c r="AG136" s="165"/>
      <c r="AH136" s="165"/>
      <c r="AI136" s="165"/>
      <c r="AJ136" s="165"/>
      <c r="AK136" s="165"/>
      <c r="AL136" s="165"/>
      <c r="AM136" s="165"/>
      <c r="AN136" s="165"/>
      <c r="AO136" s="165"/>
    </row>
    <row r="137" ht="15.75" customHeight="1">
      <c r="A137" s="165"/>
      <c r="B137" s="255"/>
      <c r="C137" s="255"/>
      <c r="D137" s="255"/>
      <c r="E137" s="255"/>
      <c r="F137" s="165"/>
      <c r="G137" s="255"/>
      <c r="H137" s="255"/>
      <c r="I137" s="255"/>
      <c r="J137" s="255"/>
      <c r="K137" s="255"/>
      <c r="L137" s="255"/>
      <c r="M137" s="255"/>
      <c r="N137" s="255"/>
      <c r="O137" s="255"/>
      <c r="P137" s="165"/>
      <c r="Q137" s="165"/>
      <c r="R137" s="165"/>
      <c r="S137" s="165"/>
      <c r="T137" s="165"/>
      <c r="U137" s="165"/>
      <c r="V137" s="165"/>
      <c r="W137" s="165"/>
      <c r="X137" s="165"/>
      <c r="Y137" s="165"/>
      <c r="Z137" s="165"/>
      <c r="AA137" s="165"/>
      <c r="AB137" s="165"/>
      <c r="AC137" s="165"/>
      <c r="AD137" s="165"/>
      <c r="AE137" s="165"/>
      <c r="AF137" s="165"/>
      <c r="AG137" s="165"/>
      <c r="AH137" s="165"/>
      <c r="AI137" s="165"/>
      <c r="AJ137" s="165"/>
      <c r="AK137" s="165"/>
      <c r="AL137" s="165"/>
      <c r="AM137" s="165"/>
      <c r="AN137" s="165"/>
      <c r="AO137" s="165"/>
    </row>
    <row r="138" ht="15.75" customHeight="1">
      <c r="A138" s="165"/>
      <c r="B138" s="255"/>
      <c r="C138" s="255"/>
      <c r="D138" s="255"/>
      <c r="E138" s="255"/>
      <c r="F138" s="165"/>
      <c r="G138" s="255"/>
      <c r="H138" s="255"/>
      <c r="I138" s="255"/>
      <c r="J138" s="255"/>
      <c r="K138" s="255"/>
      <c r="L138" s="255"/>
      <c r="M138" s="255"/>
      <c r="N138" s="255"/>
      <c r="O138" s="255"/>
      <c r="P138" s="165"/>
      <c r="Q138" s="165"/>
      <c r="R138" s="165"/>
      <c r="S138" s="165"/>
      <c r="T138" s="165"/>
      <c r="U138" s="165"/>
      <c r="V138" s="165"/>
      <c r="W138" s="165"/>
      <c r="X138" s="165"/>
      <c r="Y138" s="165"/>
      <c r="Z138" s="165"/>
      <c r="AA138" s="165"/>
      <c r="AB138" s="165"/>
      <c r="AC138" s="165"/>
      <c r="AD138" s="165"/>
      <c r="AE138" s="165"/>
      <c r="AF138" s="165"/>
      <c r="AG138" s="165"/>
      <c r="AH138" s="165"/>
      <c r="AI138" s="165"/>
      <c r="AJ138" s="165"/>
      <c r="AK138" s="165"/>
      <c r="AL138" s="165"/>
      <c r="AM138" s="165"/>
      <c r="AN138" s="165"/>
      <c r="AO138" s="165"/>
    </row>
    <row r="139" ht="15.75" customHeight="1">
      <c r="A139" s="165"/>
      <c r="B139" s="255"/>
      <c r="C139" s="255"/>
      <c r="D139" s="255"/>
      <c r="E139" s="255"/>
      <c r="F139" s="165"/>
      <c r="G139" s="255"/>
      <c r="H139" s="255"/>
      <c r="I139" s="255"/>
      <c r="J139" s="255"/>
      <c r="K139" s="255"/>
      <c r="L139" s="255"/>
      <c r="M139" s="255"/>
      <c r="N139" s="255"/>
      <c r="O139" s="255"/>
      <c r="P139" s="165"/>
      <c r="Q139" s="165"/>
      <c r="R139" s="165"/>
      <c r="S139" s="165"/>
      <c r="T139" s="165"/>
      <c r="U139" s="165"/>
      <c r="V139" s="165"/>
      <c r="W139" s="165"/>
      <c r="X139" s="165"/>
      <c r="Y139" s="165"/>
      <c r="Z139" s="165"/>
      <c r="AA139" s="165"/>
      <c r="AB139" s="165"/>
      <c r="AC139" s="165"/>
      <c r="AD139" s="165"/>
      <c r="AE139" s="165"/>
      <c r="AF139" s="165"/>
      <c r="AG139" s="165"/>
      <c r="AH139" s="165"/>
      <c r="AI139" s="165"/>
      <c r="AJ139" s="165"/>
      <c r="AK139" s="165"/>
      <c r="AL139" s="165"/>
      <c r="AM139" s="165"/>
      <c r="AN139" s="165"/>
      <c r="AO139" s="165"/>
    </row>
    <row r="140" ht="15.75" customHeight="1">
      <c r="A140" s="165"/>
      <c r="B140" s="255"/>
      <c r="C140" s="255"/>
      <c r="D140" s="255"/>
      <c r="E140" s="255"/>
      <c r="F140" s="165"/>
      <c r="G140" s="255"/>
      <c r="H140" s="255"/>
      <c r="I140" s="255"/>
      <c r="J140" s="255"/>
      <c r="K140" s="255"/>
      <c r="L140" s="255"/>
      <c r="M140" s="255"/>
      <c r="N140" s="255"/>
      <c r="O140" s="255"/>
      <c r="P140" s="165"/>
      <c r="Q140" s="165"/>
      <c r="R140" s="165"/>
      <c r="S140" s="165"/>
      <c r="T140" s="165"/>
      <c r="U140" s="165"/>
      <c r="V140" s="165"/>
      <c r="W140" s="165"/>
      <c r="X140" s="165"/>
      <c r="Y140" s="165"/>
      <c r="Z140" s="165"/>
      <c r="AA140" s="165"/>
      <c r="AB140" s="165"/>
      <c r="AC140" s="165"/>
      <c r="AD140" s="165"/>
      <c r="AE140" s="165"/>
      <c r="AF140" s="165"/>
      <c r="AG140" s="165"/>
      <c r="AH140" s="165"/>
      <c r="AI140" s="165"/>
      <c r="AJ140" s="165"/>
      <c r="AK140" s="165"/>
      <c r="AL140" s="165"/>
      <c r="AM140" s="165"/>
      <c r="AN140" s="165"/>
      <c r="AO140" s="165"/>
    </row>
    <row r="141" ht="15.75" customHeight="1">
      <c r="A141" s="165"/>
      <c r="B141" s="255"/>
      <c r="C141" s="255"/>
      <c r="D141" s="255"/>
      <c r="E141" s="255"/>
      <c r="F141" s="165"/>
      <c r="G141" s="255"/>
      <c r="H141" s="255"/>
      <c r="I141" s="255"/>
      <c r="J141" s="255"/>
      <c r="K141" s="255"/>
      <c r="L141" s="255"/>
      <c r="M141" s="255"/>
      <c r="N141" s="255"/>
      <c r="O141" s="255"/>
      <c r="P141" s="165"/>
      <c r="Q141" s="165"/>
      <c r="R141" s="165"/>
      <c r="S141" s="165"/>
      <c r="T141" s="165"/>
      <c r="U141" s="165"/>
      <c r="V141" s="165"/>
      <c r="W141" s="165"/>
      <c r="X141" s="165"/>
      <c r="Y141" s="165"/>
      <c r="Z141" s="165"/>
      <c r="AA141" s="165"/>
      <c r="AB141" s="165"/>
      <c r="AC141" s="165"/>
      <c r="AD141" s="165"/>
      <c r="AE141" s="165"/>
      <c r="AF141" s="165"/>
      <c r="AG141" s="165"/>
      <c r="AH141" s="165"/>
      <c r="AI141" s="165"/>
      <c r="AJ141" s="165"/>
      <c r="AK141" s="165"/>
      <c r="AL141" s="165"/>
      <c r="AM141" s="165"/>
      <c r="AN141" s="165"/>
      <c r="AO141" s="165"/>
    </row>
    <row r="142" ht="15.75" customHeight="1">
      <c r="A142" s="165"/>
      <c r="B142" s="255"/>
      <c r="C142" s="255"/>
      <c r="D142" s="255"/>
      <c r="E142" s="255"/>
      <c r="F142" s="165"/>
      <c r="G142" s="255"/>
      <c r="H142" s="255"/>
      <c r="I142" s="255"/>
      <c r="J142" s="255"/>
      <c r="K142" s="255"/>
      <c r="L142" s="255"/>
      <c r="M142" s="255"/>
      <c r="N142" s="255"/>
      <c r="O142" s="255"/>
      <c r="P142" s="165"/>
      <c r="Q142" s="165"/>
      <c r="R142" s="165"/>
      <c r="S142" s="165"/>
      <c r="T142" s="165"/>
      <c r="U142" s="165"/>
      <c r="V142" s="165"/>
      <c r="W142" s="165"/>
      <c r="X142" s="165"/>
      <c r="Y142" s="165"/>
      <c r="Z142" s="165"/>
      <c r="AA142" s="165"/>
      <c r="AB142" s="165"/>
      <c r="AC142" s="165"/>
      <c r="AD142" s="165"/>
      <c r="AE142" s="165"/>
      <c r="AF142" s="165"/>
      <c r="AG142" s="165"/>
      <c r="AH142" s="165"/>
      <c r="AI142" s="165"/>
      <c r="AJ142" s="165"/>
      <c r="AK142" s="165"/>
      <c r="AL142" s="165"/>
      <c r="AM142" s="165"/>
      <c r="AN142" s="165"/>
      <c r="AO142" s="165"/>
    </row>
    <row r="143" ht="15.75" customHeight="1">
      <c r="A143" s="165"/>
      <c r="B143" s="255"/>
      <c r="C143" s="255"/>
      <c r="D143" s="255"/>
      <c r="E143" s="255"/>
      <c r="F143" s="165"/>
      <c r="G143" s="255"/>
      <c r="H143" s="255"/>
      <c r="I143" s="255"/>
      <c r="J143" s="255"/>
      <c r="K143" s="255"/>
      <c r="L143" s="255"/>
      <c r="M143" s="255"/>
      <c r="N143" s="255"/>
      <c r="O143" s="255"/>
      <c r="P143" s="165"/>
      <c r="Q143" s="165"/>
      <c r="R143" s="165"/>
      <c r="S143" s="165"/>
      <c r="T143" s="165"/>
      <c r="U143" s="165"/>
      <c r="V143" s="165"/>
      <c r="W143" s="165"/>
      <c r="X143" s="165"/>
      <c r="Y143" s="165"/>
      <c r="Z143" s="165"/>
      <c r="AA143" s="165"/>
      <c r="AB143" s="165"/>
      <c r="AC143" s="165"/>
      <c r="AD143" s="165"/>
      <c r="AE143" s="165"/>
      <c r="AF143" s="165"/>
      <c r="AG143" s="165"/>
      <c r="AH143" s="165"/>
      <c r="AI143" s="165"/>
      <c r="AJ143" s="165"/>
      <c r="AK143" s="165"/>
      <c r="AL143" s="165"/>
      <c r="AM143" s="165"/>
      <c r="AN143" s="165"/>
      <c r="AO143" s="165"/>
    </row>
    <row r="144" ht="15.75" customHeight="1">
      <c r="A144" s="165"/>
      <c r="B144" s="255"/>
      <c r="C144" s="255"/>
      <c r="D144" s="255"/>
      <c r="E144" s="255"/>
      <c r="F144" s="165"/>
      <c r="G144" s="255"/>
      <c r="H144" s="255"/>
      <c r="I144" s="255"/>
      <c r="J144" s="255"/>
      <c r="K144" s="255"/>
      <c r="L144" s="255"/>
      <c r="M144" s="255"/>
      <c r="N144" s="255"/>
      <c r="O144" s="255"/>
      <c r="P144" s="165"/>
      <c r="Q144" s="165"/>
      <c r="R144" s="165"/>
      <c r="S144" s="165"/>
      <c r="T144" s="165"/>
      <c r="U144" s="165"/>
      <c r="V144" s="165"/>
      <c r="W144" s="165"/>
      <c r="X144" s="165"/>
      <c r="Y144" s="165"/>
      <c r="Z144" s="165"/>
      <c r="AA144" s="165"/>
      <c r="AB144" s="165"/>
      <c r="AC144" s="165"/>
      <c r="AD144" s="165"/>
      <c r="AE144" s="165"/>
      <c r="AF144" s="165"/>
      <c r="AG144" s="165"/>
      <c r="AH144" s="165"/>
      <c r="AI144" s="165"/>
      <c r="AJ144" s="165"/>
      <c r="AK144" s="165"/>
      <c r="AL144" s="165"/>
      <c r="AM144" s="165"/>
      <c r="AN144" s="165"/>
      <c r="AO144" s="165"/>
    </row>
    <row r="145" ht="15.75" customHeight="1">
      <c r="A145" s="165"/>
      <c r="B145" s="255"/>
      <c r="C145" s="255"/>
      <c r="D145" s="255"/>
      <c r="E145" s="255"/>
      <c r="F145" s="165"/>
      <c r="G145" s="255"/>
      <c r="H145" s="255"/>
      <c r="I145" s="255"/>
      <c r="J145" s="255"/>
      <c r="K145" s="255"/>
      <c r="L145" s="255"/>
      <c r="M145" s="255"/>
      <c r="N145" s="255"/>
      <c r="O145" s="255"/>
      <c r="P145" s="165"/>
      <c r="Q145" s="165"/>
      <c r="R145" s="165"/>
      <c r="S145" s="165"/>
      <c r="T145" s="165"/>
      <c r="U145" s="165"/>
      <c r="V145" s="165"/>
      <c r="W145" s="165"/>
      <c r="X145" s="165"/>
      <c r="Y145" s="165"/>
      <c r="Z145" s="165"/>
      <c r="AA145" s="165"/>
      <c r="AB145" s="165"/>
      <c r="AC145" s="165"/>
      <c r="AD145" s="165"/>
      <c r="AE145" s="165"/>
      <c r="AF145" s="165"/>
      <c r="AG145" s="165"/>
      <c r="AH145" s="165"/>
      <c r="AI145" s="165"/>
      <c r="AJ145" s="165"/>
      <c r="AK145" s="165"/>
      <c r="AL145" s="165"/>
      <c r="AM145" s="165"/>
      <c r="AN145" s="165"/>
      <c r="AO145" s="165"/>
    </row>
    <row r="146" ht="15.75" customHeight="1">
      <c r="A146" s="165"/>
      <c r="B146" s="255"/>
      <c r="C146" s="255"/>
      <c r="D146" s="255"/>
      <c r="E146" s="255"/>
      <c r="F146" s="165"/>
      <c r="G146" s="255"/>
      <c r="H146" s="255"/>
      <c r="I146" s="255"/>
      <c r="J146" s="255"/>
      <c r="K146" s="255"/>
      <c r="L146" s="255"/>
      <c r="M146" s="255"/>
      <c r="N146" s="255"/>
      <c r="O146" s="255"/>
      <c r="P146" s="165"/>
      <c r="Q146" s="165"/>
      <c r="R146" s="165"/>
      <c r="S146" s="165"/>
      <c r="T146" s="165"/>
      <c r="U146" s="165"/>
      <c r="V146" s="165"/>
      <c r="W146" s="165"/>
      <c r="X146" s="165"/>
      <c r="Y146" s="165"/>
      <c r="Z146" s="165"/>
      <c r="AA146" s="165"/>
      <c r="AB146" s="165"/>
      <c r="AC146" s="165"/>
      <c r="AD146" s="165"/>
      <c r="AE146" s="165"/>
      <c r="AF146" s="165"/>
      <c r="AG146" s="165"/>
      <c r="AH146" s="165"/>
      <c r="AI146" s="165"/>
      <c r="AJ146" s="165"/>
      <c r="AK146" s="165"/>
      <c r="AL146" s="165"/>
      <c r="AM146" s="165"/>
      <c r="AN146" s="165"/>
      <c r="AO146" s="165"/>
    </row>
    <row r="147" ht="15.75" customHeight="1">
      <c r="A147" s="165"/>
      <c r="B147" s="255"/>
      <c r="C147" s="255"/>
      <c r="D147" s="255"/>
      <c r="E147" s="255"/>
      <c r="F147" s="165"/>
      <c r="G147" s="255"/>
      <c r="H147" s="255"/>
      <c r="I147" s="255"/>
      <c r="J147" s="255"/>
      <c r="K147" s="255"/>
      <c r="L147" s="255"/>
      <c r="M147" s="255"/>
      <c r="N147" s="255"/>
      <c r="O147" s="255"/>
      <c r="P147" s="165"/>
      <c r="Q147" s="165"/>
      <c r="R147" s="165"/>
      <c r="S147" s="165"/>
      <c r="T147" s="165"/>
      <c r="U147" s="165"/>
      <c r="V147" s="165"/>
      <c r="W147" s="165"/>
      <c r="X147" s="165"/>
      <c r="Y147" s="165"/>
      <c r="Z147" s="165"/>
      <c r="AA147" s="165"/>
      <c r="AB147" s="165"/>
      <c r="AC147" s="165"/>
      <c r="AD147" s="165"/>
      <c r="AE147" s="165"/>
      <c r="AF147" s="165"/>
      <c r="AG147" s="165"/>
      <c r="AH147" s="165"/>
      <c r="AI147" s="165"/>
      <c r="AJ147" s="165"/>
      <c r="AK147" s="165"/>
      <c r="AL147" s="165"/>
      <c r="AM147" s="165"/>
      <c r="AN147" s="165"/>
      <c r="AO147" s="165"/>
    </row>
    <row r="148" ht="15.75" customHeight="1">
      <c r="A148" s="165"/>
      <c r="B148" s="255"/>
      <c r="C148" s="255"/>
      <c r="D148" s="255"/>
      <c r="E148" s="255"/>
      <c r="F148" s="165"/>
      <c r="G148" s="255"/>
      <c r="H148" s="255"/>
      <c r="I148" s="255"/>
      <c r="J148" s="255"/>
      <c r="K148" s="255"/>
      <c r="L148" s="255"/>
      <c r="M148" s="255"/>
      <c r="N148" s="255"/>
      <c r="O148" s="255"/>
      <c r="P148" s="165"/>
      <c r="Q148" s="165"/>
      <c r="R148" s="165"/>
      <c r="S148" s="165"/>
      <c r="T148" s="165"/>
      <c r="U148" s="165"/>
      <c r="V148" s="165"/>
      <c r="W148" s="165"/>
      <c r="X148" s="165"/>
      <c r="Y148" s="165"/>
      <c r="Z148" s="165"/>
      <c r="AA148" s="165"/>
      <c r="AB148" s="165"/>
      <c r="AC148" s="165"/>
      <c r="AD148" s="165"/>
      <c r="AE148" s="165"/>
      <c r="AF148" s="165"/>
      <c r="AG148" s="165"/>
      <c r="AH148" s="165"/>
      <c r="AI148" s="165"/>
      <c r="AJ148" s="165"/>
      <c r="AK148" s="165"/>
      <c r="AL148" s="165"/>
      <c r="AM148" s="165"/>
      <c r="AN148" s="165"/>
      <c r="AO148" s="165"/>
    </row>
    <row r="149" ht="15.75" customHeight="1">
      <c r="A149" s="165"/>
      <c r="B149" s="255"/>
      <c r="C149" s="255"/>
      <c r="D149" s="255"/>
      <c r="E149" s="255"/>
      <c r="F149" s="165"/>
      <c r="G149" s="255"/>
      <c r="H149" s="255"/>
      <c r="I149" s="255"/>
      <c r="J149" s="255"/>
      <c r="K149" s="255"/>
      <c r="L149" s="255"/>
      <c r="M149" s="255"/>
      <c r="N149" s="255"/>
      <c r="O149" s="255"/>
      <c r="P149" s="165"/>
      <c r="Q149" s="165"/>
      <c r="R149" s="165"/>
      <c r="S149" s="165"/>
      <c r="T149" s="165"/>
      <c r="U149" s="165"/>
      <c r="V149" s="165"/>
      <c r="W149" s="165"/>
      <c r="X149" s="165"/>
      <c r="Y149" s="165"/>
      <c r="Z149" s="165"/>
      <c r="AA149" s="165"/>
      <c r="AB149" s="165"/>
      <c r="AC149" s="165"/>
      <c r="AD149" s="165"/>
      <c r="AE149" s="165"/>
      <c r="AF149" s="165"/>
      <c r="AG149" s="165"/>
      <c r="AH149" s="165"/>
      <c r="AI149" s="165"/>
      <c r="AJ149" s="165"/>
      <c r="AK149" s="165"/>
      <c r="AL149" s="165"/>
      <c r="AM149" s="165"/>
      <c r="AN149" s="165"/>
      <c r="AO149" s="165"/>
    </row>
    <row r="150" ht="15.75" customHeight="1">
      <c r="A150" s="165"/>
      <c r="B150" s="255"/>
      <c r="C150" s="255"/>
      <c r="D150" s="255"/>
      <c r="E150" s="255"/>
      <c r="F150" s="165"/>
      <c r="G150" s="255"/>
      <c r="H150" s="255"/>
      <c r="I150" s="255"/>
      <c r="J150" s="255"/>
      <c r="K150" s="255"/>
      <c r="L150" s="255"/>
      <c r="M150" s="255"/>
      <c r="N150" s="255"/>
      <c r="O150" s="255"/>
      <c r="P150" s="165"/>
      <c r="Q150" s="165"/>
      <c r="R150" s="165"/>
      <c r="S150" s="165"/>
      <c r="T150" s="165"/>
      <c r="U150" s="165"/>
      <c r="V150" s="165"/>
      <c r="W150" s="165"/>
      <c r="X150" s="165"/>
      <c r="Y150" s="165"/>
      <c r="Z150" s="165"/>
      <c r="AA150" s="165"/>
      <c r="AB150" s="165"/>
      <c r="AC150" s="165"/>
      <c r="AD150" s="165"/>
      <c r="AE150" s="165"/>
      <c r="AF150" s="165"/>
      <c r="AG150" s="165"/>
      <c r="AH150" s="165"/>
      <c r="AI150" s="165"/>
      <c r="AJ150" s="165"/>
      <c r="AK150" s="165"/>
      <c r="AL150" s="165"/>
      <c r="AM150" s="165"/>
      <c r="AN150" s="165"/>
      <c r="AO150" s="165"/>
    </row>
    <row r="151" ht="15.75" customHeight="1">
      <c r="A151" s="165"/>
      <c r="B151" s="255"/>
      <c r="C151" s="255"/>
      <c r="D151" s="255"/>
      <c r="E151" s="255"/>
      <c r="F151" s="165"/>
      <c r="G151" s="255"/>
      <c r="H151" s="255"/>
      <c r="I151" s="255"/>
      <c r="J151" s="255"/>
      <c r="K151" s="255"/>
      <c r="L151" s="255"/>
      <c r="M151" s="255"/>
      <c r="N151" s="255"/>
      <c r="O151" s="255"/>
      <c r="P151" s="165"/>
      <c r="Q151" s="165"/>
      <c r="R151" s="165"/>
      <c r="S151" s="165"/>
      <c r="T151" s="165"/>
      <c r="U151" s="165"/>
      <c r="V151" s="165"/>
      <c r="W151" s="165"/>
      <c r="X151" s="165"/>
      <c r="Y151" s="165"/>
      <c r="Z151" s="165"/>
      <c r="AA151" s="165"/>
      <c r="AB151" s="165"/>
      <c r="AC151" s="165"/>
      <c r="AD151" s="165"/>
      <c r="AE151" s="165"/>
      <c r="AF151" s="165"/>
      <c r="AG151" s="165"/>
      <c r="AH151" s="165"/>
      <c r="AI151" s="165"/>
      <c r="AJ151" s="165"/>
      <c r="AK151" s="165"/>
      <c r="AL151" s="165"/>
      <c r="AM151" s="165"/>
      <c r="AN151" s="165"/>
      <c r="AO151" s="165"/>
    </row>
    <row r="152" ht="15.75" customHeight="1">
      <c r="A152" s="165"/>
      <c r="B152" s="255"/>
      <c r="C152" s="255"/>
      <c r="D152" s="255"/>
      <c r="E152" s="255"/>
      <c r="F152" s="165"/>
      <c r="G152" s="255"/>
      <c r="H152" s="255"/>
      <c r="I152" s="255"/>
      <c r="J152" s="255"/>
      <c r="K152" s="255"/>
      <c r="L152" s="255"/>
      <c r="M152" s="255"/>
      <c r="N152" s="255"/>
      <c r="O152" s="255"/>
      <c r="P152" s="165"/>
      <c r="Q152" s="165"/>
      <c r="R152" s="165"/>
      <c r="S152" s="165"/>
      <c r="T152" s="165"/>
      <c r="U152" s="165"/>
      <c r="V152" s="165"/>
      <c r="W152" s="165"/>
      <c r="X152" s="165"/>
      <c r="Y152" s="165"/>
      <c r="Z152" s="165"/>
      <c r="AA152" s="165"/>
      <c r="AB152" s="165"/>
      <c r="AC152" s="165"/>
      <c r="AD152" s="165"/>
      <c r="AE152" s="165"/>
      <c r="AF152" s="165"/>
      <c r="AG152" s="165"/>
      <c r="AH152" s="165"/>
      <c r="AI152" s="165"/>
      <c r="AJ152" s="165"/>
      <c r="AK152" s="165"/>
      <c r="AL152" s="165"/>
      <c r="AM152" s="165"/>
      <c r="AN152" s="165"/>
      <c r="AO152" s="165"/>
    </row>
    <row r="153" ht="15.75" customHeight="1">
      <c r="A153" s="165"/>
      <c r="B153" s="255"/>
      <c r="C153" s="255"/>
      <c r="D153" s="255"/>
      <c r="E153" s="255"/>
      <c r="F153" s="165"/>
      <c r="G153" s="255"/>
      <c r="H153" s="255"/>
      <c r="I153" s="255"/>
      <c r="J153" s="255"/>
      <c r="K153" s="255"/>
      <c r="L153" s="255"/>
      <c r="M153" s="255"/>
      <c r="N153" s="255"/>
      <c r="O153" s="255"/>
      <c r="P153" s="165"/>
      <c r="Q153" s="165"/>
      <c r="R153" s="165"/>
      <c r="S153" s="165"/>
      <c r="T153" s="165"/>
      <c r="U153" s="165"/>
      <c r="V153" s="165"/>
      <c r="W153" s="165"/>
      <c r="X153" s="165"/>
      <c r="Y153" s="165"/>
      <c r="Z153" s="165"/>
      <c r="AA153" s="165"/>
      <c r="AB153" s="165"/>
      <c r="AC153" s="165"/>
      <c r="AD153" s="165"/>
      <c r="AE153" s="165"/>
      <c r="AF153" s="165"/>
      <c r="AG153" s="165"/>
      <c r="AH153" s="165"/>
      <c r="AI153" s="165"/>
      <c r="AJ153" s="165"/>
      <c r="AK153" s="165"/>
      <c r="AL153" s="165"/>
      <c r="AM153" s="165"/>
      <c r="AN153" s="165"/>
      <c r="AO153" s="165"/>
    </row>
    <row r="154" ht="15.75" customHeight="1">
      <c r="A154" s="165"/>
      <c r="B154" s="255"/>
      <c r="C154" s="255"/>
      <c r="D154" s="255"/>
      <c r="E154" s="255"/>
      <c r="F154" s="165"/>
      <c r="G154" s="255"/>
      <c r="H154" s="255"/>
      <c r="I154" s="255"/>
      <c r="J154" s="255"/>
      <c r="K154" s="255"/>
      <c r="L154" s="255"/>
      <c r="M154" s="255"/>
      <c r="N154" s="255"/>
      <c r="O154" s="255"/>
      <c r="P154" s="165"/>
      <c r="Q154" s="165"/>
      <c r="R154" s="165"/>
      <c r="S154" s="165"/>
      <c r="T154" s="165"/>
      <c r="U154" s="165"/>
      <c r="V154" s="165"/>
      <c r="W154" s="165"/>
      <c r="X154" s="165"/>
      <c r="Y154" s="165"/>
      <c r="Z154" s="165"/>
      <c r="AA154" s="165"/>
      <c r="AB154" s="165"/>
      <c r="AC154" s="165"/>
      <c r="AD154" s="165"/>
      <c r="AE154" s="165"/>
      <c r="AF154" s="165"/>
      <c r="AG154" s="165"/>
      <c r="AH154" s="165"/>
      <c r="AI154" s="165"/>
      <c r="AJ154" s="165"/>
      <c r="AK154" s="165"/>
      <c r="AL154" s="165"/>
      <c r="AM154" s="165"/>
      <c r="AN154" s="165"/>
      <c r="AO154" s="165"/>
    </row>
    <row r="155" ht="15.75" customHeight="1">
      <c r="A155" s="165"/>
      <c r="B155" s="255"/>
      <c r="C155" s="255"/>
      <c r="D155" s="255"/>
      <c r="E155" s="255"/>
      <c r="F155" s="165"/>
      <c r="G155" s="255"/>
      <c r="H155" s="255"/>
      <c r="I155" s="255"/>
      <c r="J155" s="255"/>
      <c r="K155" s="255"/>
      <c r="L155" s="255"/>
      <c r="M155" s="255"/>
      <c r="N155" s="255"/>
      <c r="O155" s="255"/>
      <c r="P155" s="165"/>
      <c r="Q155" s="165"/>
      <c r="R155" s="165"/>
      <c r="S155" s="165"/>
      <c r="T155" s="165"/>
      <c r="U155" s="165"/>
      <c r="V155" s="165"/>
      <c r="W155" s="165"/>
      <c r="X155" s="165"/>
      <c r="Y155" s="165"/>
      <c r="Z155" s="165"/>
      <c r="AA155" s="165"/>
      <c r="AB155" s="165"/>
      <c r="AC155" s="165"/>
      <c r="AD155" s="165"/>
      <c r="AE155" s="165"/>
      <c r="AF155" s="165"/>
      <c r="AG155" s="165"/>
      <c r="AH155" s="165"/>
      <c r="AI155" s="165"/>
      <c r="AJ155" s="165"/>
      <c r="AK155" s="165"/>
      <c r="AL155" s="165"/>
      <c r="AM155" s="165"/>
      <c r="AN155" s="165"/>
      <c r="AO155" s="165"/>
    </row>
    <row r="156" ht="15.75" customHeight="1">
      <c r="A156" s="165"/>
      <c r="B156" s="255"/>
      <c r="C156" s="255"/>
      <c r="D156" s="255"/>
      <c r="E156" s="255"/>
      <c r="F156" s="165"/>
      <c r="G156" s="255"/>
      <c r="H156" s="255"/>
      <c r="I156" s="255"/>
      <c r="J156" s="255"/>
      <c r="K156" s="255"/>
      <c r="L156" s="255"/>
      <c r="M156" s="255"/>
      <c r="N156" s="255"/>
      <c r="O156" s="255"/>
      <c r="P156" s="165"/>
      <c r="Q156" s="165"/>
      <c r="R156" s="165"/>
      <c r="S156" s="165"/>
      <c r="T156" s="165"/>
      <c r="U156" s="165"/>
      <c r="V156" s="165"/>
      <c r="W156" s="165"/>
      <c r="X156" s="165"/>
      <c r="Y156" s="165"/>
      <c r="Z156" s="165"/>
      <c r="AA156" s="165"/>
      <c r="AB156" s="165"/>
      <c r="AC156" s="165"/>
      <c r="AD156" s="165"/>
      <c r="AE156" s="165"/>
      <c r="AF156" s="165"/>
      <c r="AG156" s="165"/>
      <c r="AH156" s="165"/>
      <c r="AI156" s="165"/>
      <c r="AJ156" s="165"/>
      <c r="AK156" s="165"/>
      <c r="AL156" s="165"/>
      <c r="AM156" s="165"/>
      <c r="AN156" s="165"/>
      <c r="AO156" s="165"/>
    </row>
    <row r="157" ht="15.75" customHeight="1">
      <c r="A157" s="165"/>
      <c r="B157" s="255"/>
      <c r="C157" s="255"/>
      <c r="D157" s="255"/>
      <c r="E157" s="255"/>
      <c r="F157" s="165"/>
      <c r="G157" s="255"/>
      <c r="H157" s="255"/>
      <c r="I157" s="255"/>
      <c r="J157" s="255"/>
      <c r="K157" s="255"/>
      <c r="L157" s="255"/>
      <c r="M157" s="255"/>
      <c r="N157" s="255"/>
      <c r="O157" s="255"/>
      <c r="P157" s="165"/>
      <c r="Q157" s="165"/>
      <c r="R157" s="165"/>
      <c r="S157" s="165"/>
      <c r="T157" s="165"/>
      <c r="U157" s="165"/>
      <c r="V157" s="165"/>
      <c r="W157" s="165"/>
      <c r="X157" s="165"/>
      <c r="Y157" s="165"/>
      <c r="Z157" s="165"/>
      <c r="AA157" s="165"/>
      <c r="AB157" s="165"/>
      <c r="AC157" s="165"/>
      <c r="AD157" s="165"/>
      <c r="AE157" s="165"/>
      <c r="AF157" s="165"/>
      <c r="AG157" s="165"/>
      <c r="AH157" s="165"/>
      <c r="AI157" s="165"/>
      <c r="AJ157" s="165"/>
      <c r="AK157" s="165"/>
      <c r="AL157" s="165"/>
      <c r="AM157" s="165"/>
      <c r="AN157" s="165"/>
      <c r="AO157" s="165"/>
    </row>
    <row r="158" ht="15.75" customHeight="1">
      <c r="A158" s="165"/>
      <c r="B158" s="255"/>
      <c r="C158" s="255"/>
      <c r="D158" s="255"/>
      <c r="E158" s="255"/>
      <c r="F158" s="165"/>
      <c r="G158" s="255"/>
      <c r="H158" s="255"/>
      <c r="I158" s="255"/>
      <c r="J158" s="255"/>
      <c r="K158" s="255"/>
      <c r="L158" s="255"/>
      <c r="M158" s="255"/>
      <c r="N158" s="255"/>
      <c r="O158" s="255"/>
      <c r="P158" s="165"/>
      <c r="Q158" s="165"/>
      <c r="R158" s="165"/>
      <c r="S158" s="165"/>
      <c r="T158" s="165"/>
      <c r="U158" s="165"/>
      <c r="V158" s="165"/>
      <c r="W158" s="165"/>
      <c r="X158" s="165"/>
      <c r="Y158" s="165"/>
      <c r="Z158" s="165"/>
      <c r="AA158" s="165"/>
      <c r="AB158" s="165"/>
      <c r="AC158" s="165"/>
      <c r="AD158" s="165"/>
      <c r="AE158" s="165"/>
      <c r="AF158" s="165"/>
      <c r="AG158" s="165"/>
      <c r="AH158" s="165"/>
      <c r="AI158" s="165"/>
      <c r="AJ158" s="165"/>
      <c r="AK158" s="165"/>
      <c r="AL158" s="165"/>
      <c r="AM158" s="165"/>
      <c r="AN158" s="165"/>
      <c r="AO158" s="165"/>
    </row>
    <row r="159" ht="15.75" customHeight="1">
      <c r="A159" s="165"/>
      <c r="B159" s="255"/>
      <c r="C159" s="255"/>
      <c r="D159" s="255"/>
      <c r="E159" s="255"/>
      <c r="F159" s="165"/>
      <c r="G159" s="255"/>
      <c r="H159" s="255"/>
      <c r="I159" s="255"/>
      <c r="J159" s="255"/>
      <c r="K159" s="255"/>
      <c r="L159" s="255"/>
      <c r="M159" s="255"/>
      <c r="N159" s="255"/>
      <c r="O159" s="255"/>
      <c r="P159" s="165"/>
      <c r="Q159" s="165"/>
      <c r="R159" s="165"/>
      <c r="S159" s="165"/>
      <c r="T159" s="165"/>
      <c r="U159" s="165"/>
      <c r="V159" s="165"/>
      <c r="W159" s="165"/>
      <c r="X159" s="165"/>
      <c r="Y159" s="165"/>
      <c r="Z159" s="165"/>
      <c r="AA159" s="165"/>
      <c r="AB159" s="165"/>
      <c r="AC159" s="165"/>
      <c r="AD159" s="165"/>
      <c r="AE159" s="165"/>
      <c r="AF159" s="165"/>
      <c r="AG159" s="165"/>
      <c r="AH159" s="165"/>
      <c r="AI159" s="165"/>
      <c r="AJ159" s="165"/>
      <c r="AK159" s="165"/>
      <c r="AL159" s="165"/>
      <c r="AM159" s="165"/>
      <c r="AN159" s="165"/>
      <c r="AO159" s="165"/>
    </row>
    <row r="160" ht="15.75" customHeight="1">
      <c r="A160" s="165"/>
      <c r="B160" s="255"/>
      <c r="C160" s="255"/>
      <c r="D160" s="255"/>
      <c r="E160" s="255"/>
      <c r="F160" s="165"/>
      <c r="G160" s="255"/>
      <c r="H160" s="255"/>
      <c r="I160" s="255"/>
      <c r="J160" s="255"/>
      <c r="K160" s="255"/>
      <c r="L160" s="255"/>
      <c r="M160" s="255"/>
      <c r="N160" s="255"/>
      <c r="O160" s="255"/>
      <c r="P160" s="165"/>
      <c r="Q160" s="165"/>
      <c r="R160" s="165"/>
      <c r="S160" s="165"/>
      <c r="T160" s="165"/>
      <c r="U160" s="165"/>
      <c r="V160" s="165"/>
      <c r="W160" s="165"/>
      <c r="X160" s="165"/>
      <c r="Y160" s="165"/>
      <c r="Z160" s="165"/>
      <c r="AA160" s="165"/>
      <c r="AB160" s="165"/>
      <c r="AC160" s="165"/>
      <c r="AD160" s="165"/>
      <c r="AE160" s="165"/>
      <c r="AF160" s="165"/>
      <c r="AG160" s="165"/>
      <c r="AH160" s="165"/>
      <c r="AI160" s="165"/>
      <c r="AJ160" s="165"/>
      <c r="AK160" s="165"/>
      <c r="AL160" s="165"/>
      <c r="AM160" s="165"/>
      <c r="AN160" s="165"/>
      <c r="AO160" s="165"/>
    </row>
    <row r="161" ht="15.75" customHeight="1">
      <c r="A161" s="165"/>
      <c r="B161" s="255"/>
      <c r="C161" s="255"/>
      <c r="D161" s="255"/>
      <c r="E161" s="255"/>
      <c r="F161" s="165"/>
      <c r="G161" s="255"/>
      <c r="H161" s="255"/>
      <c r="I161" s="255"/>
      <c r="J161" s="255"/>
      <c r="K161" s="255"/>
      <c r="L161" s="255"/>
      <c r="M161" s="255"/>
      <c r="N161" s="255"/>
      <c r="O161" s="255"/>
      <c r="P161" s="165"/>
      <c r="Q161" s="165"/>
      <c r="R161" s="165"/>
      <c r="S161" s="165"/>
      <c r="T161" s="165"/>
      <c r="U161" s="165"/>
      <c r="V161" s="165"/>
      <c r="W161" s="165"/>
      <c r="X161" s="165"/>
      <c r="Y161" s="165"/>
      <c r="Z161" s="165"/>
      <c r="AA161" s="165"/>
      <c r="AB161" s="165"/>
      <c r="AC161" s="165"/>
      <c r="AD161" s="165"/>
      <c r="AE161" s="165"/>
      <c r="AF161" s="165"/>
      <c r="AG161" s="165"/>
      <c r="AH161" s="165"/>
      <c r="AI161" s="165"/>
      <c r="AJ161" s="165"/>
      <c r="AK161" s="165"/>
      <c r="AL161" s="165"/>
      <c r="AM161" s="165"/>
      <c r="AN161" s="165"/>
      <c r="AO161" s="165"/>
    </row>
    <row r="162" ht="15.75" customHeight="1">
      <c r="A162" s="165"/>
      <c r="B162" s="255"/>
      <c r="C162" s="255"/>
      <c r="D162" s="255"/>
      <c r="E162" s="255"/>
      <c r="F162" s="165"/>
      <c r="G162" s="255"/>
      <c r="H162" s="255"/>
      <c r="I162" s="255"/>
      <c r="J162" s="255"/>
      <c r="K162" s="255"/>
      <c r="L162" s="255"/>
      <c r="M162" s="255"/>
      <c r="N162" s="255"/>
      <c r="O162" s="255"/>
      <c r="P162" s="165"/>
      <c r="Q162" s="165"/>
      <c r="R162" s="165"/>
      <c r="S162" s="165"/>
      <c r="T162" s="165"/>
      <c r="U162" s="165"/>
      <c r="V162" s="165"/>
      <c r="W162" s="165"/>
      <c r="X162" s="165"/>
      <c r="Y162" s="165"/>
      <c r="Z162" s="165"/>
      <c r="AA162" s="165"/>
      <c r="AB162" s="165"/>
      <c r="AC162" s="165"/>
      <c r="AD162" s="165"/>
      <c r="AE162" s="165"/>
      <c r="AF162" s="165"/>
      <c r="AG162" s="165"/>
      <c r="AH162" s="165"/>
      <c r="AI162" s="165"/>
      <c r="AJ162" s="165"/>
      <c r="AK162" s="165"/>
      <c r="AL162" s="165"/>
      <c r="AM162" s="165"/>
      <c r="AN162" s="165"/>
      <c r="AO162" s="165"/>
    </row>
    <row r="163" ht="15.75" customHeight="1">
      <c r="A163" s="165"/>
      <c r="B163" s="255"/>
      <c r="C163" s="255"/>
      <c r="D163" s="255"/>
      <c r="E163" s="255"/>
      <c r="F163" s="165"/>
      <c r="G163" s="255"/>
      <c r="H163" s="255"/>
      <c r="I163" s="255"/>
      <c r="J163" s="255"/>
      <c r="K163" s="255"/>
      <c r="L163" s="255"/>
      <c r="M163" s="255"/>
      <c r="N163" s="255"/>
      <c r="O163" s="255"/>
      <c r="P163" s="165"/>
      <c r="Q163" s="165"/>
      <c r="R163" s="165"/>
      <c r="S163" s="165"/>
      <c r="T163" s="165"/>
      <c r="U163" s="165"/>
      <c r="V163" s="165"/>
      <c r="W163" s="165"/>
      <c r="X163" s="165"/>
      <c r="Y163" s="165"/>
      <c r="Z163" s="165"/>
      <c r="AA163" s="165"/>
      <c r="AB163" s="165"/>
      <c r="AC163" s="165"/>
      <c r="AD163" s="165"/>
      <c r="AE163" s="165"/>
      <c r="AF163" s="165"/>
      <c r="AG163" s="165"/>
      <c r="AH163" s="165"/>
      <c r="AI163" s="165"/>
      <c r="AJ163" s="165"/>
      <c r="AK163" s="165"/>
      <c r="AL163" s="165"/>
      <c r="AM163" s="165"/>
      <c r="AN163" s="165"/>
      <c r="AO163" s="165"/>
    </row>
    <row r="164" ht="15.75" customHeight="1">
      <c r="A164" s="165"/>
      <c r="B164" s="255"/>
      <c r="C164" s="255"/>
      <c r="D164" s="255"/>
      <c r="E164" s="255"/>
      <c r="F164" s="165"/>
      <c r="G164" s="255"/>
      <c r="H164" s="255"/>
      <c r="I164" s="255"/>
      <c r="J164" s="255"/>
      <c r="K164" s="255"/>
      <c r="L164" s="255"/>
      <c r="M164" s="255"/>
      <c r="N164" s="255"/>
      <c r="O164" s="25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65"/>
      <c r="AM164" s="165"/>
      <c r="AN164" s="165"/>
      <c r="AO164" s="165"/>
    </row>
    <row r="165" ht="15.75" customHeight="1">
      <c r="A165" s="165"/>
      <c r="B165" s="255"/>
      <c r="C165" s="255"/>
      <c r="D165" s="255"/>
      <c r="E165" s="255"/>
      <c r="F165" s="165"/>
      <c r="G165" s="255"/>
      <c r="H165" s="255"/>
      <c r="I165" s="255"/>
      <c r="J165" s="255"/>
      <c r="K165" s="255"/>
      <c r="L165" s="255"/>
      <c r="M165" s="255"/>
      <c r="N165" s="255"/>
      <c r="O165" s="255"/>
      <c r="P165" s="165"/>
      <c r="Q165" s="165"/>
      <c r="R165" s="165"/>
      <c r="S165" s="165"/>
      <c r="T165" s="165"/>
      <c r="U165" s="165"/>
      <c r="V165" s="165"/>
      <c r="W165" s="165"/>
      <c r="X165" s="165"/>
      <c r="Y165" s="165"/>
      <c r="Z165" s="165"/>
      <c r="AA165" s="165"/>
      <c r="AB165" s="165"/>
      <c r="AC165" s="165"/>
      <c r="AD165" s="165"/>
      <c r="AE165" s="165"/>
      <c r="AF165" s="165"/>
      <c r="AG165" s="165"/>
      <c r="AH165" s="165"/>
      <c r="AI165" s="165"/>
      <c r="AJ165" s="165"/>
      <c r="AK165" s="165"/>
      <c r="AL165" s="165"/>
      <c r="AM165" s="165"/>
      <c r="AN165" s="165"/>
      <c r="AO165" s="165"/>
    </row>
    <row r="166" ht="15.75" customHeight="1">
      <c r="A166" s="165"/>
      <c r="B166" s="255"/>
      <c r="C166" s="255"/>
      <c r="D166" s="255"/>
      <c r="E166" s="255"/>
      <c r="F166" s="165"/>
      <c r="G166" s="255"/>
      <c r="H166" s="255"/>
      <c r="I166" s="255"/>
      <c r="J166" s="255"/>
      <c r="K166" s="255"/>
      <c r="L166" s="255"/>
      <c r="M166" s="255"/>
      <c r="N166" s="255"/>
      <c r="O166" s="255"/>
      <c r="P166" s="165"/>
      <c r="Q166" s="165"/>
      <c r="R166" s="165"/>
      <c r="S166" s="165"/>
      <c r="T166" s="165"/>
      <c r="U166" s="165"/>
      <c r="V166" s="165"/>
      <c r="W166" s="165"/>
      <c r="X166" s="165"/>
      <c r="Y166" s="165"/>
      <c r="Z166" s="165"/>
      <c r="AA166" s="165"/>
      <c r="AB166" s="165"/>
      <c r="AC166" s="165"/>
      <c r="AD166" s="165"/>
      <c r="AE166" s="165"/>
      <c r="AF166" s="165"/>
      <c r="AG166" s="165"/>
      <c r="AH166" s="165"/>
      <c r="AI166" s="165"/>
      <c r="AJ166" s="165"/>
      <c r="AK166" s="165"/>
      <c r="AL166" s="165"/>
      <c r="AM166" s="165"/>
      <c r="AN166" s="165"/>
      <c r="AO166" s="165"/>
    </row>
    <row r="167" ht="15.75" customHeight="1">
      <c r="A167" s="165"/>
      <c r="B167" s="255"/>
      <c r="C167" s="255"/>
      <c r="D167" s="255"/>
      <c r="E167" s="255"/>
      <c r="F167" s="165"/>
      <c r="G167" s="255"/>
      <c r="H167" s="255"/>
      <c r="I167" s="255"/>
      <c r="J167" s="255"/>
      <c r="K167" s="255"/>
      <c r="L167" s="255"/>
      <c r="M167" s="255"/>
      <c r="N167" s="255"/>
      <c r="O167" s="255"/>
      <c r="P167" s="165"/>
      <c r="Q167" s="165"/>
      <c r="R167" s="165"/>
      <c r="S167" s="165"/>
      <c r="T167" s="165"/>
      <c r="U167" s="165"/>
      <c r="V167" s="165"/>
      <c r="W167" s="165"/>
      <c r="X167" s="165"/>
      <c r="Y167" s="165"/>
      <c r="Z167" s="165"/>
      <c r="AA167" s="165"/>
      <c r="AB167" s="165"/>
      <c r="AC167" s="165"/>
      <c r="AD167" s="165"/>
      <c r="AE167" s="165"/>
      <c r="AF167" s="165"/>
      <c r="AG167" s="165"/>
      <c r="AH167" s="165"/>
      <c r="AI167" s="165"/>
      <c r="AJ167" s="165"/>
      <c r="AK167" s="165"/>
      <c r="AL167" s="165"/>
      <c r="AM167" s="165"/>
      <c r="AN167" s="165"/>
      <c r="AO167" s="165"/>
    </row>
    <row r="168" ht="15.75" customHeight="1">
      <c r="A168" s="165"/>
      <c r="B168" s="255"/>
      <c r="C168" s="255"/>
      <c r="D168" s="255"/>
      <c r="E168" s="255"/>
      <c r="F168" s="165"/>
      <c r="G168" s="255"/>
      <c r="H168" s="255"/>
      <c r="I168" s="255"/>
      <c r="J168" s="255"/>
      <c r="K168" s="255"/>
      <c r="L168" s="255"/>
      <c r="M168" s="255"/>
      <c r="N168" s="255"/>
      <c r="O168" s="255"/>
      <c r="P168" s="165"/>
      <c r="Q168" s="165"/>
      <c r="R168" s="165"/>
      <c r="S168" s="165"/>
      <c r="T168" s="165"/>
      <c r="U168" s="165"/>
      <c r="V168" s="165"/>
      <c r="W168" s="165"/>
      <c r="X168" s="165"/>
      <c r="Y168" s="165"/>
      <c r="Z168" s="165"/>
      <c r="AA168" s="165"/>
      <c r="AB168" s="165"/>
      <c r="AC168" s="165"/>
      <c r="AD168" s="165"/>
      <c r="AE168" s="165"/>
      <c r="AF168" s="165"/>
      <c r="AG168" s="165"/>
      <c r="AH168" s="165"/>
      <c r="AI168" s="165"/>
      <c r="AJ168" s="165"/>
      <c r="AK168" s="165"/>
      <c r="AL168" s="165"/>
      <c r="AM168" s="165"/>
      <c r="AN168" s="165"/>
      <c r="AO168" s="165"/>
    </row>
    <row r="169" ht="15.75" customHeight="1">
      <c r="A169" s="165"/>
      <c r="B169" s="255"/>
      <c r="C169" s="255"/>
      <c r="D169" s="255"/>
      <c r="E169" s="255"/>
      <c r="F169" s="165"/>
      <c r="G169" s="255"/>
      <c r="H169" s="255"/>
      <c r="I169" s="255"/>
      <c r="J169" s="255"/>
      <c r="K169" s="255"/>
      <c r="L169" s="255"/>
      <c r="M169" s="255"/>
      <c r="N169" s="255"/>
      <c r="O169" s="255"/>
      <c r="P169" s="165"/>
      <c r="Q169" s="165"/>
      <c r="R169" s="165"/>
      <c r="S169" s="165"/>
      <c r="T169" s="165"/>
      <c r="U169" s="165"/>
      <c r="V169" s="165"/>
      <c r="W169" s="165"/>
      <c r="X169" s="165"/>
      <c r="Y169" s="165"/>
      <c r="Z169" s="165"/>
      <c r="AA169" s="165"/>
      <c r="AB169" s="165"/>
      <c r="AC169" s="165"/>
      <c r="AD169" s="165"/>
      <c r="AE169" s="165"/>
      <c r="AF169" s="165"/>
      <c r="AG169" s="165"/>
      <c r="AH169" s="165"/>
      <c r="AI169" s="165"/>
      <c r="AJ169" s="165"/>
      <c r="AK169" s="165"/>
      <c r="AL169" s="165"/>
      <c r="AM169" s="165"/>
      <c r="AN169" s="165"/>
      <c r="AO169" s="165"/>
    </row>
    <row r="170" ht="15.75" customHeight="1">
      <c r="A170" s="165"/>
      <c r="B170" s="255"/>
      <c r="C170" s="255"/>
      <c r="D170" s="255"/>
      <c r="E170" s="255"/>
      <c r="F170" s="165"/>
      <c r="G170" s="255"/>
      <c r="H170" s="255"/>
      <c r="I170" s="255"/>
      <c r="J170" s="255"/>
      <c r="K170" s="255"/>
      <c r="L170" s="255"/>
      <c r="M170" s="255"/>
      <c r="N170" s="255"/>
      <c r="O170" s="255"/>
      <c r="P170" s="165"/>
      <c r="Q170" s="165"/>
      <c r="R170" s="165"/>
      <c r="S170" s="165"/>
      <c r="T170" s="165"/>
      <c r="U170" s="165"/>
      <c r="V170" s="165"/>
      <c r="W170" s="165"/>
      <c r="X170" s="165"/>
      <c r="Y170" s="165"/>
      <c r="Z170" s="165"/>
      <c r="AA170" s="165"/>
      <c r="AB170" s="165"/>
      <c r="AC170" s="165"/>
      <c r="AD170" s="165"/>
      <c r="AE170" s="165"/>
      <c r="AF170" s="165"/>
      <c r="AG170" s="165"/>
      <c r="AH170" s="165"/>
      <c r="AI170" s="165"/>
      <c r="AJ170" s="165"/>
      <c r="AK170" s="165"/>
      <c r="AL170" s="165"/>
      <c r="AM170" s="165"/>
      <c r="AN170" s="165"/>
      <c r="AO170" s="165"/>
    </row>
    <row r="171" ht="15.75" customHeight="1">
      <c r="A171" s="165"/>
      <c r="B171" s="255"/>
      <c r="C171" s="255"/>
      <c r="D171" s="255"/>
      <c r="E171" s="255"/>
      <c r="F171" s="165"/>
      <c r="G171" s="255"/>
      <c r="H171" s="255"/>
      <c r="I171" s="255"/>
      <c r="J171" s="255"/>
      <c r="K171" s="255"/>
      <c r="L171" s="255"/>
      <c r="M171" s="255"/>
      <c r="N171" s="255"/>
      <c r="O171" s="255"/>
      <c r="P171" s="165"/>
      <c r="Q171" s="165"/>
      <c r="R171" s="165"/>
      <c r="S171" s="165"/>
      <c r="T171" s="165"/>
      <c r="U171" s="165"/>
      <c r="V171" s="165"/>
      <c r="W171" s="165"/>
      <c r="X171" s="165"/>
      <c r="Y171" s="165"/>
      <c r="Z171" s="165"/>
      <c r="AA171" s="165"/>
      <c r="AB171" s="165"/>
      <c r="AC171" s="165"/>
      <c r="AD171" s="165"/>
      <c r="AE171" s="165"/>
      <c r="AF171" s="165"/>
      <c r="AG171" s="165"/>
      <c r="AH171" s="165"/>
      <c r="AI171" s="165"/>
      <c r="AJ171" s="165"/>
      <c r="AK171" s="165"/>
      <c r="AL171" s="165"/>
      <c r="AM171" s="165"/>
      <c r="AN171" s="165"/>
      <c r="AO171" s="165"/>
    </row>
    <row r="172" ht="15.75" customHeight="1">
      <c r="A172" s="165"/>
      <c r="B172" s="255"/>
      <c r="C172" s="255"/>
      <c r="D172" s="255"/>
      <c r="E172" s="255"/>
      <c r="F172" s="165"/>
      <c r="G172" s="255"/>
      <c r="H172" s="255"/>
      <c r="I172" s="255"/>
      <c r="J172" s="255"/>
      <c r="K172" s="255"/>
      <c r="L172" s="255"/>
      <c r="M172" s="255"/>
      <c r="N172" s="255"/>
      <c r="O172" s="255"/>
      <c r="P172" s="165"/>
      <c r="Q172" s="165"/>
      <c r="R172" s="165"/>
      <c r="S172" s="165"/>
      <c r="T172" s="165"/>
      <c r="U172" s="165"/>
      <c r="V172" s="165"/>
      <c r="W172" s="165"/>
      <c r="X172" s="165"/>
      <c r="Y172" s="165"/>
      <c r="Z172" s="165"/>
      <c r="AA172" s="165"/>
      <c r="AB172" s="165"/>
      <c r="AC172" s="165"/>
      <c r="AD172" s="165"/>
      <c r="AE172" s="165"/>
      <c r="AF172" s="165"/>
      <c r="AG172" s="165"/>
      <c r="AH172" s="165"/>
      <c r="AI172" s="165"/>
      <c r="AJ172" s="165"/>
      <c r="AK172" s="165"/>
      <c r="AL172" s="165"/>
      <c r="AM172" s="165"/>
      <c r="AN172" s="165"/>
      <c r="AO172" s="165"/>
    </row>
    <row r="173" ht="15.75" customHeight="1">
      <c r="A173" s="165"/>
      <c r="B173" s="255"/>
      <c r="C173" s="255"/>
      <c r="D173" s="255"/>
      <c r="E173" s="255"/>
      <c r="F173" s="165"/>
      <c r="G173" s="255"/>
      <c r="H173" s="255"/>
      <c r="I173" s="255"/>
      <c r="J173" s="255"/>
      <c r="K173" s="255"/>
      <c r="L173" s="255"/>
      <c r="M173" s="255"/>
      <c r="N173" s="255"/>
      <c r="O173" s="255"/>
      <c r="P173" s="165"/>
      <c r="Q173" s="165"/>
      <c r="R173" s="165"/>
      <c r="S173" s="165"/>
      <c r="T173" s="165"/>
      <c r="U173" s="165"/>
      <c r="V173" s="165"/>
      <c r="W173" s="165"/>
      <c r="X173" s="165"/>
      <c r="Y173" s="165"/>
      <c r="Z173" s="165"/>
      <c r="AA173" s="165"/>
      <c r="AB173" s="165"/>
      <c r="AC173" s="165"/>
      <c r="AD173" s="165"/>
      <c r="AE173" s="165"/>
      <c r="AF173" s="165"/>
      <c r="AG173" s="165"/>
      <c r="AH173" s="165"/>
      <c r="AI173" s="165"/>
      <c r="AJ173" s="165"/>
      <c r="AK173" s="165"/>
      <c r="AL173" s="165"/>
      <c r="AM173" s="165"/>
      <c r="AN173" s="165"/>
      <c r="AO173" s="165"/>
    </row>
    <row r="174" ht="15.75" customHeight="1">
      <c r="A174" s="165"/>
      <c r="B174" s="255"/>
      <c r="C174" s="255"/>
      <c r="D174" s="255"/>
      <c r="E174" s="255"/>
      <c r="F174" s="165"/>
      <c r="G174" s="255"/>
      <c r="H174" s="255"/>
      <c r="I174" s="255"/>
      <c r="J174" s="255"/>
      <c r="K174" s="255"/>
      <c r="L174" s="255"/>
      <c r="M174" s="255"/>
      <c r="N174" s="255"/>
      <c r="O174" s="255"/>
      <c r="P174" s="165"/>
      <c r="Q174" s="165"/>
      <c r="R174" s="165"/>
      <c r="S174" s="165"/>
      <c r="T174" s="165"/>
      <c r="U174" s="165"/>
      <c r="V174" s="165"/>
      <c r="W174" s="165"/>
      <c r="X174" s="165"/>
      <c r="Y174" s="165"/>
      <c r="Z174" s="165"/>
      <c r="AA174" s="165"/>
      <c r="AB174" s="165"/>
      <c r="AC174" s="165"/>
      <c r="AD174" s="165"/>
      <c r="AE174" s="165"/>
      <c r="AF174" s="165"/>
      <c r="AG174" s="165"/>
      <c r="AH174" s="165"/>
      <c r="AI174" s="165"/>
      <c r="AJ174" s="165"/>
      <c r="AK174" s="165"/>
      <c r="AL174" s="165"/>
      <c r="AM174" s="165"/>
      <c r="AN174" s="165"/>
      <c r="AO174" s="165"/>
    </row>
    <row r="175" ht="15.75" customHeight="1">
      <c r="A175" s="165"/>
      <c r="B175" s="255"/>
      <c r="C175" s="255"/>
      <c r="D175" s="255"/>
      <c r="E175" s="255"/>
      <c r="F175" s="165"/>
      <c r="G175" s="255"/>
      <c r="H175" s="255"/>
      <c r="I175" s="255"/>
      <c r="J175" s="255"/>
      <c r="K175" s="255"/>
      <c r="L175" s="255"/>
      <c r="M175" s="255"/>
      <c r="N175" s="255"/>
      <c r="O175" s="255"/>
      <c r="P175" s="165"/>
      <c r="Q175" s="165"/>
      <c r="R175" s="165"/>
      <c r="S175" s="165"/>
      <c r="T175" s="165"/>
      <c r="U175" s="165"/>
      <c r="V175" s="165"/>
      <c r="W175" s="165"/>
      <c r="X175" s="165"/>
      <c r="Y175" s="165"/>
      <c r="Z175" s="165"/>
      <c r="AA175" s="165"/>
      <c r="AB175" s="165"/>
      <c r="AC175" s="165"/>
      <c r="AD175" s="165"/>
      <c r="AE175" s="165"/>
      <c r="AF175" s="165"/>
      <c r="AG175" s="165"/>
      <c r="AH175" s="165"/>
      <c r="AI175" s="165"/>
      <c r="AJ175" s="165"/>
      <c r="AK175" s="165"/>
      <c r="AL175" s="165"/>
      <c r="AM175" s="165"/>
      <c r="AN175" s="165"/>
      <c r="AO175" s="165"/>
    </row>
    <row r="176" ht="15.75" customHeight="1">
      <c r="A176" s="165"/>
      <c r="B176" s="255"/>
      <c r="C176" s="255"/>
      <c r="D176" s="255"/>
      <c r="E176" s="255"/>
      <c r="F176" s="165"/>
      <c r="G176" s="255"/>
      <c r="H176" s="255"/>
      <c r="I176" s="255"/>
      <c r="J176" s="255"/>
      <c r="K176" s="255"/>
      <c r="L176" s="255"/>
      <c r="M176" s="255"/>
      <c r="N176" s="255"/>
      <c r="O176" s="255"/>
      <c r="P176" s="165"/>
      <c r="Q176" s="165"/>
      <c r="R176" s="165"/>
      <c r="S176" s="165"/>
      <c r="T176" s="165"/>
      <c r="U176" s="165"/>
      <c r="V176" s="165"/>
      <c r="W176" s="165"/>
      <c r="X176" s="165"/>
      <c r="Y176" s="165"/>
      <c r="Z176" s="165"/>
      <c r="AA176" s="165"/>
      <c r="AB176" s="165"/>
      <c r="AC176" s="165"/>
      <c r="AD176" s="165"/>
      <c r="AE176" s="165"/>
      <c r="AF176" s="165"/>
      <c r="AG176" s="165"/>
      <c r="AH176" s="165"/>
      <c r="AI176" s="165"/>
      <c r="AJ176" s="165"/>
      <c r="AK176" s="165"/>
      <c r="AL176" s="165"/>
      <c r="AM176" s="165"/>
      <c r="AN176" s="165"/>
      <c r="AO176" s="165"/>
    </row>
    <row r="177" ht="15.75" customHeight="1">
      <c r="A177" s="165"/>
      <c r="B177" s="255"/>
      <c r="C177" s="255"/>
      <c r="D177" s="255"/>
      <c r="E177" s="255"/>
      <c r="F177" s="165"/>
      <c r="G177" s="255"/>
      <c r="H177" s="255"/>
      <c r="I177" s="255"/>
      <c r="J177" s="255"/>
      <c r="K177" s="255"/>
      <c r="L177" s="255"/>
      <c r="M177" s="255"/>
      <c r="N177" s="255"/>
      <c r="O177" s="255"/>
      <c r="P177" s="165"/>
      <c r="Q177" s="165"/>
      <c r="R177" s="165"/>
      <c r="S177" s="165"/>
      <c r="T177" s="165"/>
      <c r="U177" s="165"/>
      <c r="V177" s="165"/>
      <c r="W177" s="165"/>
      <c r="X177" s="165"/>
      <c r="Y177" s="165"/>
      <c r="Z177" s="165"/>
      <c r="AA177" s="165"/>
      <c r="AB177" s="165"/>
      <c r="AC177" s="165"/>
      <c r="AD177" s="165"/>
      <c r="AE177" s="165"/>
      <c r="AF177" s="165"/>
      <c r="AG177" s="165"/>
      <c r="AH177" s="165"/>
      <c r="AI177" s="165"/>
      <c r="AJ177" s="165"/>
      <c r="AK177" s="165"/>
      <c r="AL177" s="165"/>
      <c r="AM177" s="165"/>
      <c r="AN177" s="165"/>
      <c r="AO177" s="165"/>
    </row>
    <row r="178" ht="15.75" customHeight="1">
      <c r="A178" s="165"/>
      <c r="B178" s="255"/>
      <c r="C178" s="255"/>
      <c r="D178" s="255"/>
      <c r="E178" s="255"/>
      <c r="F178" s="165"/>
      <c r="G178" s="255"/>
      <c r="H178" s="255"/>
      <c r="I178" s="255"/>
      <c r="J178" s="255"/>
      <c r="K178" s="255"/>
      <c r="L178" s="255"/>
      <c r="M178" s="255"/>
      <c r="N178" s="255"/>
      <c r="O178" s="255"/>
      <c r="P178" s="165"/>
      <c r="Q178" s="165"/>
      <c r="R178" s="165"/>
      <c r="S178" s="165"/>
      <c r="T178" s="165"/>
      <c r="U178" s="165"/>
      <c r="V178" s="165"/>
      <c r="W178" s="165"/>
      <c r="X178" s="165"/>
      <c r="Y178" s="165"/>
      <c r="Z178" s="165"/>
      <c r="AA178" s="165"/>
      <c r="AB178" s="165"/>
      <c r="AC178" s="165"/>
      <c r="AD178" s="165"/>
      <c r="AE178" s="165"/>
      <c r="AF178" s="165"/>
      <c r="AG178" s="165"/>
      <c r="AH178" s="165"/>
      <c r="AI178" s="165"/>
      <c r="AJ178" s="165"/>
      <c r="AK178" s="165"/>
      <c r="AL178" s="165"/>
      <c r="AM178" s="165"/>
      <c r="AN178" s="165"/>
      <c r="AO178" s="165"/>
    </row>
    <row r="179" ht="15.75" customHeight="1">
      <c r="A179" s="165"/>
      <c r="B179" s="255"/>
      <c r="C179" s="255"/>
      <c r="D179" s="255"/>
      <c r="E179" s="255"/>
      <c r="F179" s="165"/>
      <c r="G179" s="255"/>
      <c r="H179" s="255"/>
      <c r="I179" s="255"/>
      <c r="J179" s="255"/>
      <c r="K179" s="255"/>
      <c r="L179" s="255"/>
      <c r="M179" s="255"/>
      <c r="N179" s="255"/>
      <c r="O179" s="255"/>
      <c r="P179" s="165"/>
      <c r="Q179" s="165"/>
      <c r="R179" s="165"/>
      <c r="S179" s="165"/>
      <c r="T179" s="165"/>
      <c r="U179" s="165"/>
      <c r="V179" s="165"/>
      <c r="W179" s="165"/>
      <c r="X179" s="165"/>
      <c r="Y179" s="165"/>
      <c r="Z179" s="165"/>
      <c r="AA179" s="165"/>
      <c r="AB179" s="165"/>
      <c r="AC179" s="165"/>
      <c r="AD179" s="165"/>
      <c r="AE179" s="165"/>
      <c r="AF179" s="165"/>
      <c r="AG179" s="165"/>
      <c r="AH179" s="165"/>
      <c r="AI179" s="165"/>
      <c r="AJ179" s="165"/>
      <c r="AK179" s="165"/>
      <c r="AL179" s="165"/>
      <c r="AM179" s="165"/>
      <c r="AN179" s="165"/>
      <c r="AO179" s="165"/>
    </row>
    <row r="180" ht="15.75" customHeight="1">
      <c r="A180" s="165"/>
      <c r="B180" s="255"/>
      <c r="C180" s="255"/>
      <c r="D180" s="255"/>
      <c r="E180" s="255"/>
      <c r="F180" s="165"/>
      <c r="G180" s="255"/>
      <c r="H180" s="255"/>
      <c r="I180" s="255"/>
      <c r="J180" s="255"/>
      <c r="K180" s="255"/>
      <c r="L180" s="255"/>
      <c r="M180" s="255"/>
      <c r="N180" s="255"/>
      <c r="O180" s="255"/>
      <c r="P180" s="165"/>
      <c r="Q180" s="165"/>
      <c r="R180" s="165"/>
      <c r="S180" s="165"/>
      <c r="T180" s="165"/>
      <c r="U180" s="165"/>
      <c r="V180" s="165"/>
      <c r="W180" s="165"/>
      <c r="X180" s="165"/>
      <c r="Y180" s="165"/>
      <c r="Z180" s="165"/>
      <c r="AA180" s="165"/>
      <c r="AB180" s="165"/>
      <c r="AC180" s="165"/>
      <c r="AD180" s="165"/>
      <c r="AE180" s="165"/>
      <c r="AF180" s="165"/>
      <c r="AG180" s="165"/>
      <c r="AH180" s="165"/>
      <c r="AI180" s="165"/>
      <c r="AJ180" s="165"/>
      <c r="AK180" s="165"/>
      <c r="AL180" s="165"/>
      <c r="AM180" s="165"/>
      <c r="AN180" s="165"/>
      <c r="AO180" s="165"/>
    </row>
    <row r="181" ht="15.75" customHeight="1">
      <c r="A181" s="165"/>
      <c r="B181" s="255"/>
      <c r="C181" s="255"/>
      <c r="D181" s="255"/>
      <c r="E181" s="255"/>
      <c r="F181" s="165"/>
      <c r="G181" s="255"/>
      <c r="H181" s="255"/>
      <c r="I181" s="255"/>
      <c r="J181" s="255"/>
      <c r="K181" s="255"/>
      <c r="L181" s="255"/>
      <c r="M181" s="255"/>
      <c r="N181" s="255"/>
      <c r="O181" s="255"/>
      <c r="P181" s="165"/>
      <c r="Q181" s="165"/>
      <c r="R181" s="165"/>
      <c r="S181" s="165"/>
      <c r="T181" s="165"/>
      <c r="U181" s="165"/>
      <c r="V181" s="165"/>
      <c r="W181" s="165"/>
      <c r="X181" s="165"/>
      <c r="Y181" s="165"/>
      <c r="Z181" s="165"/>
      <c r="AA181" s="165"/>
      <c r="AB181" s="165"/>
      <c r="AC181" s="165"/>
      <c r="AD181" s="165"/>
      <c r="AE181" s="165"/>
      <c r="AF181" s="165"/>
      <c r="AG181" s="165"/>
      <c r="AH181" s="165"/>
      <c r="AI181" s="165"/>
      <c r="AJ181" s="165"/>
      <c r="AK181" s="165"/>
      <c r="AL181" s="165"/>
      <c r="AM181" s="165"/>
      <c r="AN181" s="165"/>
      <c r="AO181" s="165"/>
    </row>
    <row r="182" ht="15.75" customHeight="1">
      <c r="A182" s="165"/>
      <c r="B182" s="255"/>
      <c r="C182" s="255"/>
      <c r="D182" s="255"/>
      <c r="E182" s="255"/>
      <c r="F182" s="165"/>
      <c r="G182" s="255"/>
      <c r="H182" s="255"/>
      <c r="I182" s="255"/>
      <c r="J182" s="255"/>
      <c r="K182" s="255"/>
      <c r="L182" s="255"/>
      <c r="M182" s="255"/>
      <c r="N182" s="255"/>
      <c r="O182" s="255"/>
      <c r="P182" s="165"/>
      <c r="Q182" s="165"/>
      <c r="R182" s="165"/>
      <c r="S182" s="165"/>
      <c r="T182" s="165"/>
      <c r="U182" s="165"/>
      <c r="V182" s="165"/>
      <c r="W182" s="165"/>
      <c r="X182" s="165"/>
      <c r="Y182" s="165"/>
      <c r="Z182" s="165"/>
      <c r="AA182" s="165"/>
      <c r="AB182" s="165"/>
      <c r="AC182" s="165"/>
      <c r="AD182" s="165"/>
      <c r="AE182" s="165"/>
      <c r="AF182" s="165"/>
      <c r="AG182" s="165"/>
      <c r="AH182" s="165"/>
      <c r="AI182" s="165"/>
      <c r="AJ182" s="165"/>
      <c r="AK182" s="165"/>
      <c r="AL182" s="165"/>
      <c r="AM182" s="165"/>
      <c r="AN182" s="165"/>
      <c r="AO182" s="165"/>
    </row>
    <row r="183" ht="15.75" customHeight="1">
      <c r="A183" s="165"/>
      <c r="B183" s="255"/>
      <c r="C183" s="255"/>
      <c r="D183" s="255"/>
      <c r="E183" s="255"/>
      <c r="F183" s="165"/>
      <c r="G183" s="255"/>
      <c r="H183" s="255"/>
      <c r="I183" s="255"/>
      <c r="J183" s="255"/>
      <c r="K183" s="255"/>
      <c r="L183" s="255"/>
      <c r="M183" s="255"/>
      <c r="N183" s="255"/>
      <c r="O183" s="255"/>
      <c r="P183" s="165"/>
      <c r="Q183" s="165"/>
      <c r="R183" s="165"/>
      <c r="S183" s="165"/>
      <c r="T183" s="165"/>
      <c r="U183" s="165"/>
      <c r="V183" s="165"/>
      <c r="W183" s="165"/>
      <c r="X183" s="165"/>
      <c r="Y183" s="165"/>
      <c r="Z183" s="165"/>
      <c r="AA183" s="165"/>
      <c r="AB183" s="165"/>
      <c r="AC183" s="165"/>
      <c r="AD183" s="165"/>
      <c r="AE183" s="165"/>
      <c r="AF183" s="165"/>
      <c r="AG183" s="165"/>
      <c r="AH183" s="165"/>
      <c r="AI183" s="165"/>
      <c r="AJ183" s="165"/>
      <c r="AK183" s="165"/>
      <c r="AL183" s="165"/>
      <c r="AM183" s="165"/>
      <c r="AN183" s="165"/>
      <c r="AO183" s="165"/>
    </row>
    <row r="184" ht="15.75" customHeight="1">
      <c r="A184" s="165"/>
      <c r="B184" s="255"/>
      <c r="C184" s="255"/>
      <c r="D184" s="255"/>
      <c r="E184" s="255"/>
      <c r="F184" s="165"/>
      <c r="G184" s="255"/>
      <c r="H184" s="255"/>
      <c r="I184" s="255"/>
      <c r="J184" s="255"/>
      <c r="K184" s="255"/>
      <c r="L184" s="255"/>
      <c r="M184" s="255"/>
      <c r="N184" s="255"/>
      <c r="O184" s="255"/>
      <c r="P184" s="165"/>
      <c r="Q184" s="165"/>
      <c r="R184" s="165"/>
      <c r="S184" s="165"/>
      <c r="T184" s="165"/>
      <c r="U184" s="165"/>
      <c r="V184" s="165"/>
      <c r="W184" s="165"/>
      <c r="X184" s="165"/>
      <c r="Y184" s="165"/>
      <c r="Z184" s="165"/>
      <c r="AA184" s="165"/>
      <c r="AB184" s="165"/>
      <c r="AC184" s="165"/>
      <c r="AD184" s="165"/>
      <c r="AE184" s="165"/>
      <c r="AF184" s="165"/>
      <c r="AG184" s="165"/>
      <c r="AH184" s="165"/>
      <c r="AI184" s="165"/>
      <c r="AJ184" s="165"/>
      <c r="AK184" s="165"/>
      <c r="AL184" s="165"/>
      <c r="AM184" s="165"/>
      <c r="AN184" s="165"/>
      <c r="AO184" s="165"/>
    </row>
    <row r="185" ht="15.75" customHeight="1">
      <c r="A185" s="165"/>
      <c r="B185" s="255"/>
      <c r="C185" s="255"/>
      <c r="D185" s="255"/>
      <c r="E185" s="255"/>
      <c r="F185" s="165"/>
      <c r="G185" s="255"/>
      <c r="H185" s="255"/>
      <c r="I185" s="255"/>
      <c r="J185" s="255"/>
      <c r="K185" s="255"/>
      <c r="L185" s="255"/>
      <c r="M185" s="255"/>
      <c r="N185" s="255"/>
      <c r="O185" s="255"/>
      <c r="P185" s="165"/>
      <c r="Q185" s="165"/>
      <c r="R185" s="165"/>
      <c r="S185" s="165"/>
      <c r="T185" s="165"/>
      <c r="U185" s="165"/>
      <c r="V185" s="165"/>
      <c r="W185" s="165"/>
      <c r="X185" s="165"/>
      <c r="Y185" s="165"/>
      <c r="Z185" s="165"/>
      <c r="AA185" s="165"/>
      <c r="AB185" s="165"/>
      <c r="AC185" s="165"/>
      <c r="AD185" s="165"/>
      <c r="AE185" s="165"/>
      <c r="AF185" s="165"/>
      <c r="AG185" s="165"/>
      <c r="AH185" s="165"/>
      <c r="AI185" s="165"/>
      <c r="AJ185" s="165"/>
      <c r="AK185" s="165"/>
      <c r="AL185" s="165"/>
      <c r="AM185" s="165"/>
      <c r="AN185" s="165"/>
      <c r="AO185" s="165"/>
    </row>
    <row r="186" ht="15.75" customHeight="1">
      <c r="A186" s="165"/>
      <c r="B186" s="255"/>
      <c r="C186" s="255"/>
      <c r="D186" s="255"/>
      <c r="E186" s="255"/>
      <c r="F186" s="165"/>
      <c r="G186" s="255"/>
      <c r="H186" s="255"/>
      <c r="I186" s="255"/>
      <c r="J186" s="255"/>
      <c r="K186" s="255"/>
      <c r="L186" s="255"/>
      <c r="M186" s="255"/>
      <c r="N186" s="255"/>
      <c r="O186" s="255"/>
      <c r="P186" s="165"/>
      <c r="Q186" s="165"/>
      <c r="R186" s="165"/>
      <c r="S186" s="165"/>
      <c r="T186" s="165"/>
      <c r="U186" s="165"/>
      <c r="V186" s="165"/>
      <c r="W186" s="165"/>
      <c r="X186" s="165"/>
      <c r="Y186" s="165"/>
      <c r="Z186" s="165"/>
      <c r="AA186" s="165"/>
      <c r="AB186" s="165"/>
      <c r="AC186" s="165"/>
      <c r="AD186" s="165"/>
      <c r="AE186" s="165"/>
      <c r="AF186" s="165"/>
      <c r="AG186" s="165"/>
      <c r="AH186" s="165"/>
      <c r="AI186" s="165"/>
      <c r="AJ186" s="165"/>
      <c r="AK186" s="165"/>
      <c r="AL186" s="165"/>
      <c r="AM186" s="165"/>
      <c r="AN186" s="165"/>
      <c r="AO186" s="165"/>
    </row>
    <row r="187" ht="15.75" customHeight="1">
      <c r="A187" s="165"/>
      <c r="B187" s="255"/>
      <c r="C187" s="255"/>
      <c r="D187" s="255"/>
      <c r="E187" s="255"/>
      <c r="F187" s="165"/>
      <c r="G187" s="255"/>
      <c r="H187" s="255"/>
      <c r="I187" s="255"/>
      <c r="J187" s="255"/>
      <c r="K187" s="255"/>
      <c r="L187" s="255"/>
      <c r="M187" s="255"/>
      <c r="N187" s="255"/>
      <c r="O187" s="255"/>
      <c r="P187" s="165"/>
      <c r="Q187" s="165"/>
      <c r="R187" s="165"/>
      <c r="S187" s="165"/>
      <c r="T187" s="165"/>
      <c r="U187" s="165"/>
      <c r="V187" s="165"/>
      <c r="W187" s="165"/>
      <c r="X187" s="165"/>
      <c r="Y187" s="165"/>
      <c r="Z187" s="165"/>
      <c r="AA187" s="165"/>
      <c r="AB187" s="165"/>
      <c r="AC187" s="165"/>
      <c r="AD187" s="165"/>
      <c r="AE187" s="165"/>
      <c r="AF187" s="165"/>
      <c r="AG187" s="165"/>
      <c r="AH187" s="165"/>
      <c r="AI187" s="165"/>
      <c r="AJ187" s="165"/>
      <c r="AK187" s="165"/>
      <c r="AL187" s="165"/>
      <c r="AM187" s="165"/>
      <c r="AN187" s="165"/>
      <c r="AO187" s="165"/>
    </row>
    <row r="188" ht="15.75" customHeight="1">
      <c r="A188" s="165"/>
      <c r="B188" s="255"/>
      <c r="C188" s="255"/>
      <c r="D188" s="255"/>
      <c r="E188" s="255"/>
      <c r="F188" s="165"/>
      <c r="G188" s="255"/>
      <c r="H188" s="255"/>
      <c r="I188" s="255"/>
      <c r="J188" s="255"/>
      <c r="K188" s="255"/>
      <c r="L188" s="255"/>
      <c r="M188" s="255"/>
      <c r="N188" s="255"/>
      <c r="O188" s="255"/>
      <c r="P188" s="165"/>
      <c r="Q188" s="165"/>
      <c r="R188" s="165"/>
      <c r="S188" s="165"/>
      <c r="T188" s="165"/>
      <c r="U188" s="165"/>
      <c r="V188" s="165"/>
      <c r="W188" s="165"/>
      <c r="X188" s="165"/>
      <c r="Y188" s="165"/>
      <c r="Z188" s="165"/>
      <c r="AA188" s="165"/>
      <c r="AB188" s="165"/>
      <c r="AC188" s="165"/>
      <c r="AD188" s="165"/>
      <c r="AE188" s="165"/>
      <c r="AF188" s="165"/>
      <c r="AG188" s="165"/>
      <c r="AH188" s="165"/>
      <c r="AI188" s="165"/>
      <c r="AJ188" s="165"/>
      <c r="AK188" s="165"/>
      <c r="AL188" s="165"/>
      <c r="AM188" s="165"/>
      <c r="AN188" s="165"/>
      <c r="AO188" s="165"/>
    </row>
    <row r="189" ht="15.75" customHeight="1">
      <c r="A189" s="165"/>
      <c r="B189" s="255"/>
      <c r="C189" s="255"/>
      <c r="D189" s="255"/>
      <c r="E189" s="255"/>
      <c r="F189" s="165"/>
      <c r="G189" s="255"/>
      <c r="H189" s="255"/>
      <c r="I189" s="255"/>
      <c r="J189" s="255"/>
      <c r="K189" s="255"/>
      <c r="L189" s="255"/>
      <c r="M189" s="255"/>
      <c r="N189" s="255"/>
      <c r="O189" s="255"/>
      <c r="P189" s="165"/>
      <c r="Q189" s="165"/>
      <c r="R189" s="165"/>
      <c r="S189" s="165"/>
      <c r="T189" s="165"/>
      <c r="U189" s="165"/>
      <c r="V189" s="165"/>
      <c r="W189" s="165"/>
      <c r="X189" s="165"/>
      <c r="Y189" s="165"/>
      <c r="Z189" s="165"/>
      <c r="AA189" s="165"/>
      <c r="AB189" s="165"/>
      <c r="AC189" s="165"/>
      <c r="AD189" s="165"/>
      <c r="AE189" s="165"/>
      <c r="AF189" s="165"/>
      <c r="AG189" s="165"/>
      <c r="AH189" s="165"/>
      <c r="AI189" s="165"/>
      <c r="AJ189" s="165"/>
      <c r="AK189" s="165"/>
      <c r="AL189" s="165"/>
      <c r="AM189" s="165"/>
      <c r="AN189" s="165"/>
      <c r="AO189" s="165"/>
    </row>
    <row r="190" ht="15.75" customHeight="1">
      <c r="A190" s="165"/>
      <c r="B190" s="255"/>
      <c r="C190" s="255"/>
      <c r="D190" s="255"/>
      <c r="E190" s="255"/>
      <c r="F190" s="165"/>
      <c r="G190" s="255"/>
      <c r="H190" s="255"/>
      <c r="I190" s="255"/>
      <c r="J190" s="255"/>
      <c r="K190" s="255"/>
      <c r="L190" s="255"/>
      <c r="M190" s="255"/>
      <c r="N190" s="255"/>
      <c r="O190" s="255"/>
      <c r="P190" s="165"/>
      <c r="Q190" s="165"/>
      <c r="R190" s="165"/>
      <c r="S190" s="165"/>
      <c r="T190" s="165"/>
      <c r="U190" s="165"/>
      <c r="V190" s="165"/>
      <c r="W190" s="165"/>
      <c r="X190" s="165"/>
      <c r="Y190" s="165"/>
      <c r="Z190" s="165"/>
      <c r="AA190" s="165"/>
      <c r="AB190" s="165"/>
      <c r="AC190" s="165"/>
      <c r="AD190" s="165"/>
      <c r="AE190" s="165"/>
      <c r="AF190" s="165"/>
      <c r="AG190" s="165"/>
      <c r="AH190" s="165"/>
      <c r="AI190" s="165"/>
      <c r="AJ190" s="165"/>
      <c r="AK190" s="165"/>
      <c r="AL190" s="165"/>
      <c r="AM190" s="165"/>
      <c r="AN190" s="165"/>
      <c r="AO190" s="165"/>
    </row>
    <row r="191" ht="15.75" customHeight="1">
      <c r="A191" s="165"/>
      <c r="B191" s="255"/>
      <c r="C191" s="255"/>
      <c r="D191" s="255"/>
      <c r="E191" s="255"/>
      <c r="F191" s="165"/>
      <c r="G191" s="255"/>
      <c r="H191" s="255"/>
      <c r="I191" s="255"/>
      <c r="J191" s="255"/>
      <c r="K191" s="255"/>
      <c r="L191" s="255"/>
      <c r="M191" s="255"/>
      <c r="N191" s="255"/>
      <c r="O191" s="255"/>
      <c r="P191" s="165"/>
      <c r="Q191" s="165"/>
      <c r="R191" s="165"/>
      <c r="S191" s="165"/>
      <c r="T191" s="165"/>
      <c r="U191" s="165"/>
      <c r="V191" s="165"/>
      <c r="W191" s="165"/>
      <c r="X191" s="165"/>
      <c r="Y191" s="165"/>
      <c r="Z191" s="165"/>
      <c r="AA191" s="165"/>
      <c r="AB191" s="165"/>
      <c r="AC191" s="165"/>
      <c r="AD191" s="165"/>
      <c r="AE191" s="165"/>
      <c r="AF191" s="165"/>
      <c r="AG191" s="165"/>
      <c r="AH191" s="165"/>
      <c r="AI191" s="165"/>
      <c r="AJ191" s="165"/>
      <c r="AK191" s="165"/>
      <c r="AL191" s="165"/>
      <c r="AM191" s="165"/>
      <c r="AN191" s="165"/>
      <c r="AO191" s="165"/>
    </row>
    <row r="192" ht="15.75" customHeight="1">
      <c r="A192" s="165"/>
      <c r="B192" s="255"/>
      <c r="C192" s="255"/>
      <c r="D192" s="255"/>
      <c r="E192" s="255"/>
      <c r="F192" s="165"/>
      <c r="G192" s="255"/>
      <c r="H192" s="255"/>
      <c r="I192" s="255"/>
      <c r="J192" s="255"/>
      <c r="K192" s="255"/>
      <c r="L192" s="255"/>
      <c r="M192" s="255"/>
      <c r="N192" s="255"/>
      <c r="O192" s="255"/>
      <c r="P192" s="165"/>
      <c r="Q192" s="165"/>
      <c r="R192" s="165"/>
      <c r="S192" s="165"/>
      <c r="T192" s="165"/>
      <c r="U192" s="165"/>
      <c r="V192" s="165"/>
      <c r="W192" s="165"/>
      <c r="X192" s="165"/>
      <c r="Y192" s="165"/>
      <c r="Z192" s="165"/>
      <c r="AA192" s="165"/>
      <c r="AB192" s="165"/>
      <c r="AC192" s="165"/>
      <c r="AD192" s="165"/>
      <c r="AE192" s="165"/>
      <c r="AF192" s="165"/>
      <c r="AG192" s="165"/>
      <c r="AH192" s="165"/>
      <c r="AI192" s="165"/>
      <c r="AJ192" s="165"/>
      <c r="AK192" s="165"/>
      <c r="AL192" s="165"/>
      <c r="AM192" s="165"/>
      <c r="AN192" s="165"/>
      <c r="AO192" s="165"/>
    </row>
    <row r="193" ht="15.75" customHeight="1">
      <c r="A193" s="165"/>
      <c r="B193" s="255"/>
      <c r="C193" s="255"/>
      <c r="D193" s="255"/>
      <c r="E193" s="255"/>
      <c r="F193" s="165"/>
      <c r="G193" s="255"/>
      <c r="H193" s="255"/>
      <c r="I193" s="255"/>
      <c r="J193" s="255"/>
      <c r="K193" s="255"/>
      <c r="L193" s="255"/>
      <c r="M193" s="255"/>
      <c r="N193" s="255"/>
      <c r="O193" s="255"/>
      <c r="P193" s="165"/>
      <c r="Q193" s="165"/>
      <c r="R193" s="165"/>
      <c r="S193" s="165"/>
      <c r="T193" s="165"/>
      <c r="U193" s="165"/>
      <c r="V193" s="165"/>
      <c r="W193" s="165"/>
      <c r="X193" s="165"/>
      <c r="Y193" s="165"/>
      <c r="Z193" s="165"/>
      <c r="AA193" s="165"/>
      <c r="AB193" s="165"/>
      <c r="AC193" s="165"/>
      <c r="AD193" s="165"/>
      <c r="AE193" s="165"/>
      <c r="AF193" s="165"/>
      <c r="AG193" s="165"/>
      <c r="AH193" s="165"/>
      <c r="AI193" s="165"/>
      <c r="AJ193" s="165"/>
      <c r="AK193" s="165"/>
      <c r="AL193" s="165"/>
      <c r="AM193" s="165"/>
      <c r="AN193" s="165"/>
      <c r="AO193" s="165"/>
    </row>
    <row r="194" ht="15.75" customHeight="1">
      <c r="A194" s="165"/>
      <c r="B194" s="255"/>
      <c r="C194" s="255"/>
      <c r="D194" s="255"/>
      <c r="E194" s="255"/>
      <c r="F194" s="165"/>
      <c r="G194" s="255"/>
      <c r="H194" s="255"/>
      <c r="I194" s="255"/>
      <c r="J194" s="255"/>
      <c r="K194" s="255"/>
      <c r="L194" s="255"/>
      <c r="M194" s="255"/>
      <c r="N194" s="255"/>
      <c r="O194" s="255"/>
      <c r="P194" s="165"/>
      <c r="Q194" s="165"/>
      <c r="R194" s="165"/>
      <c r="S194" s="165"/>
      <c r="T194" s="165"/>
      <c r="U194" s="165"/>
      <c r="V194" s="165"/>
      <c r="W194" s="165"/>
      <c r="X194" s="165"/>
      <c r="Y194" s="165"/>
      <c r="Z194" s="165"/>
      <c r="AA194" s="165"/>
      <c r="AB194" s="165"/>
      <c r="AC194" s="165"/>
      <c r="AD194" s="165"/>
      <c r="AE194" s="165"/>
      <c r="AF194" s="165"/>
      <c r="AG194" s="165"/>
      <c r="AH194" s="165"/>
      <c r="AI194" s="165"/>
      <c r="AJ194" s="165"/>
      <c r="AK194" s="165"/>
      <c r="AL194" s="165"/>
      <c r="AM194" s="165"/>
      <c r="AN194" s="165"/>
      <c r="AO194" s="165"/>
    </row>
    <row r="195" ht="15.75" customHeight="1">
      <c r="A195" s="165"/>
      <c r="B195" s="255"/>
      <c r="C195" s="255"/>
      <c r="D195" s="255"/>
      <c r="E195" s="255"/>
      <c r="F195" s="165"/>
      <c r="G195" s="255"/>
      <c r="H195" s="255"/>
      <c r="I195" s="255"/>
      <c r="J195" s="255"/>
      <c r="K195" s="255"/>
      <c r="L195" s="255"/>
      <c r="M195" s="255"/>
      <c r="N195" s="255"/>
      <c r="O195" s="255"/>
      <c r="P195" s="165"/>
      <c r="Q195" s="165"/>
      <c r="R195" s="165"/>
      <c r="S195" s="165"/>
      <c r="T195" s="165"/>
      <c r="U195" s="165"/>
      <c r="V195" s="165"/>
      <c r="W195" s="165"/>
      <c r="X195" s="165"/>
      <c r="Y195" s="165"/>
      <c r="Z195" s="165"/>
      <c r="AA195" s="165"/>
      <c r="AB195" s="165"/>
      <c r="AC195" s="165"/>
      <c r="AD195" s="165"/>
      <c r="AE195" s="165"/>
      <c r="AF195" s="165"/>
      <c r="AG195" s="165"/>
      <c r="AH195" s="165"/>
      <c r="AI195" s="165"/>
      <c r="AJ195" s="165"/>
      <c r="AK195" s="165"/>
      <c r="AL195" s="165"/>
      <c r="AM195" s="165"/>
      <c r="AN195" s="165"/>
      <c r="AO195" s="165"/>
    </row>
    <row r="196" ht="15.75" customHeight="1">
      <c r="A196" s="165"/>
      <c r="B196" s="255"/>
      <c r="C196" s="255"/>
      <c r="D196" s="255"/>
      <c r="E196" s="255"/>
      <c r="F196" s="165"/>
      <c r="G196" s="255"/>
      <c r="H196" s="255"/>
      <c r="I196" s="255"/>
      <c r="J196" s="255"/>
      <c r="K196" s="255"/>
      <c r="L196" s="255"/>
      <c r="M196" s="255"/>
      <c r="N196" s="255"/>
      <c r="O196" s="255"/>
      <c r="P196" s="165"/>
      <c r="Q196" s="165"/>
      <c r="R196" s="165"/>
      <c r="S196" s="165"/>
      <c r="T196" s="165"/>
      <c r="U196" s="165"/>
      <c r="V196" s="165"/>
      <c r="W196" s="165"/>
      <c r="X196" s="165"/>
      <c r="Y196" s="165"/>
      <c r="Z196" s="165"/>
      <c r="AA196" s="165"/>
      <c r="AB196" s="165"/>
      <c r="AC196" s="165"/>
      <c r="AD196" s="165"/>
      <c r="AE196" s="165"/>
      <c r="AF196" s="165"/>
      <c r="AG196" s="165"/>
      <c r="AH196" s="165"/>
      <c r="AI196" s="165"/>
      <c r="AJ196" s="165"/>
      <c r="AK196" s="165"/>
      <c r="AL196" s="165"/>
      <c r="AM196" s="165"/>
      <c r="AN196" s="165"/>
      <c r="AO196" s="165"/>
    </row>
    <row r="197" ht="15.75" customHeight="1">
      <c r="A197" s="165"/>
      <c r="B197" s="255"/>
      <c r="C197" s="255"/>
      <c r="D197" s="255"/>
      <c r="E197" s="255"/>
      <c r="F197" s="165"/>
      <c r="G197" s="255"/>
      <c r="H197" s="255"/>
      <c r="I197" s="255"/>
      <c r="J197" s="255"/>
      <c r="K197" s="255"/>
      <c r="L197" s="255"/>
      <c r="M197" s="255"/>
      <c r="N197" s="255"/>
      <c r="O197" s="255"/>
      <c r="P197" s="165"/>
      <c r="Q197" s="165"/>
      <c r="R197" s="165"/>
      <c r="S197" s="165"/>
      <c r="T197" s="165"/>
      <c r="U197" s="165"/>
      <c r="V197" s="165"/>
      <c r="W197" s="165"/>
      <c r="X197" s="165"/>
      <c r="Y197" s="165"/>
      <c r="Z197" s="165"/>
      <c r="AA197" s="165"/>
      <c r="AB197" s="165"/>
      <c r="AC197" s="165"/>
      <c r="AD197" s="165"/>
      <c r="AE197" s="165"/>
      <c r="AF197" s="165"/>
      <c r="AG197" s="165"/>
      <c r="AH197" s="165"/>
      <c r="AI197" s="165"/>
      <c r="AJ197" s="165"/>
      <c r="AK197" s="165"/>
      <c r="AL197" s="165"/>
      <c r="AM197" s="165"/>
      <c r="AN197" s="165"/>
      <c r="AO197" s="165"/>
    </row>
    <row r="198" ht="15.75" customHeight="1">
      <c r="A198" s="165"/>
      <c r="B198" s="255"/>
      <c r="C198" s="255"/>
      <c r="D198" s="255"/>
      <c r="E198" s="255"/>
      <c r="F198" s="165"/>
      <c r="G198" s="255"/>
      <c r="H198" s="255"/>
      <c r="I198" s="255"/>
      <c r="J198" s="255"/>
      <c r="K198" s="255"/>
      <c r="L198" s="255"/>
      <c r="M198" s="255"/>
      <c r="N198" s="255"/>
      <c r="O198" s="255"/>
      <c r="P198" s="165"/>
      <c r="Q198" s="165"/>
      <c r="R198" s="165"/>
      <c r="S198" s="165"/>
      <c r="T198" s="165"/>
      <c r="U198" s="165"/>
      <c r="V198" s="165"/>
      <c r="W198" s="165"/>
      <c r="X198" s="165"/>
      <c r="Y198" s="165"/>
      <c r="Z198" s="165"/>
      <c r="AA198" s="165"/>
      <c r="AB198" s="165"/>
      <c r="AC198" s="165"/>
      <c r="AD198" s="165"/>
      <c r="AE198" s="165"/>
      <c r="AF198" s="165"/>
      <c r="AG198" s="165"/>
      <c r="AH198" s="165"/>
      <c r="AI198" s="165"/>
      <c r="AJ198" s="165"/>
      <c r="AK198" s="165"/>
      <c r="AL198" s="165"/>
      <c r="AM198" s="165"/>
      <c r="AN198" s="165"/>
      <c r="AO198" s="165"/>
    </row>
    <row r="199" ht="15.75" customHeight="1">
      <c r="A199" s="165"/>
      <c r="B199" s="255"/>
      <c r="C199" s="255"/>
      <c r="D199" s="255"/>
      <c r="E199" s="255"/>
      <c r="F199" s="165"/>
      <c r="G199" s="255"/>
      <c r="H199" s="255"/>
      <c r="I199" s="255"/>
      <c r="J199" s="255"/>
      <c r="K199" s="255"/>
      <c r="L199" s="255"/>
      <c r="M199" s="255"/>
      <c r="N199" s="255"/>
      <c r="O199" s="255"/>
      <c r="P199" s="165"/>
      <c r="Q199" s="165"/>
      <c r="R199" s="165"/>
      <c r="S199" s="165"/>
      <c r="T199" s="165"/>
      <c r="U199" s="165"/>
      <c r="V199" s="165"/>
      <c r="W199" s="165"/>
      <c r="X199" s="165"/>
      <c r="Y199" s="165"/>
      <c r="Z199" s="165"/>
      <c r="AA199" s="165"/>
      <c r="AB199" s="165"/>
      <c r="AC199" s="165"/>
      <c r="AD199" s="165"/>
      <c r="AE199" s="165"/>
      <c r="AF199" s="165"/>
      <c r="AG199" s="165"/>
      <c r="AH199" s="165"/>
      <c r="AI199" s="165"/>
      <c r="AJ199" s="165"/>
      <c r="AK199" s="165"/>
      <c r="AL199" s="165"/>
      <c r="AM199" s="165"/>
      <c r="AN199" s="165"/>
      <c r="AO199" s="165"/>
    </row>
    <row r="200" ht="15.75" customHeight="1">
      <c r="A200" s="165"/>
      <c r="B200" s="255"/>
      <c r="C200" s="255"/>
      <c r="D200" s="255"/>
      <c r="E200" s="255"/>
      <c r="F200" s="165"/>
      <c r="G200" s="255"/>
      <c r="H200" s="255"/>
      <c r="I200" s="255"/>
      <c r="J200" s="255"/>
      <c r="K200" s="255"/>
      <c r="L200" s="255"/>
      <c r="M200" s="255"/>
      <c r="N200" s="255"/>
      <c r="O200" s="255"/>
      <c r="P200" s="165"/>
      <c r="Q200" s="165"/>
      <c r="R200" s="165"/>
      <c r="S200" s="165"/>
      <c r="T200" s="165"/>
      <c r="U200" s="165"/>
      <c r="V200" s="165"/>
      <c r="W200" s="165"/>
      <c r="X200" s="165"/>
      <c r="Y200" s="165"/>
      <c r="Z200" s="165"/>
      <c r="AA200" s="165"/>
      <c r="AB200" s="165"/>
      <c r="AC200" s="165"/>
      <c r="AD200" s="165"/>
      <c r="AE200" s="165"/>
      <c r="AF200" s="165"/>
      <c r="AG200" s="165"/>
      <c r="AH200" s="165"/>
      <c r="AI200" s="165"/>
      <c r="AJ200" s="165"/>
      <c r="AK200" s="165"/>
      <c r="AL200" s="165"/>
      <c r="AM200" s="165"/>
      <c r="AN200" s="165"/>
      <c r="AO200" s="165"/>
    </row>
    <row r="201" ht="15.75" customHeight="1">
      <c r="A201" s="165"/>
      <c r="B201" s="255"/>
      <c r="C201" s="255"/>
      <c r="D201" s="255"/>
      <c r="E201" s="255"/>
      <c r="F201" s="165"/>
      <c r="G201" s="255"/>
      <c r="H201" s="255"/>
      <c r="I201" s="255"/>
      <c r="J201" s="255"/>
      <c r="K201" s="255"/>
      <c r="L201" s="255"/>
      <c r="M201" s="255"/>
      <c r="N201" s="255"/>
      <c r="O201" s="255"/>
      <c r="P201" s="165"/>
      <c r="Q201" s="165"/>
      <c r="R201" s="165"/>
      <c r="S201" s="165"/>
      <c r="T201" s="165"/>
      <c r="U201" s="165"/>
      <c r="V201" s="165"/>
      <c r="W201" s="165"/>
      <c r="X201" s="165"/>
      <c r="Y201" s="165"/>
      <c r="Z201" s="165"/>
      <c r="AA201" s="165"/>
      <c r="AB201" s="165"/>
      <c r="AC201" s="165"/>
      <c r="AD201" s="165"/>
      <c r="AE201" s="165"/>
      <c r="AF201" s="165"/>
      <c r="AG201" s="165"/>
      <c r="AH201" s="165"/>
      <c r="AI201" s="165"/>
      <c r="AJ201" s="165"/>
      <c r="AK201" s="165"/>
      <c r="AL201" s="165"/>
      <c r="AM201" s="165"/>
      <c r="AN201" s="165"/>
      <c r="AO201" s="165"/>
    </row>
    <row r="202" ht="15.75" customHeight="1">
      <c r="A202" s="165"/>
      <c r="B202" s="255"/>
      <c r="C202" s="255"/>
      <c r="D202" s="255"/>
      <c r="E202" s="255"/>
      <c r="F202" s="165"/>
      <c r="G202" s="255"/>
      <c r="H202" s="255"/>
      <c r="I202" s="255"/>
      <c r="J202" s="255"/>
      <c r="K202" s="255"/>
      <c r="L202" s="255"/>
      <c r="M202" s="255"/>
      <c r="N202" s="255"/>
      <c r="O202" s="255"/>
      <c r="P202" s="165"/>
      <c r="Q202" s="165"/>
      <c r="R202" s="165"/>
      <c r="S202" s="165"/>
      <c r="T202" s="165"/>
      <c r="U202" s="165"/>
      <c r="V202" s="165"/>
      <c r="W202" s="165"/>
      <c r="X202" s="165"/>
      <c r="Y202" s="165"/>
      <c r="Z202" s="165"/>
      <c r="AA202" s="165"/>
      <c r="AB202" s="165"/>
      <c r="AC202" s="165"/>
      <c r="AD202" s="165"/>
      <c r="AE202" s="165"/>
      <c r="AF202" s="165"/>
      <c r="AG202" s="165"/>
      <c r="AH202" s="165"/>
      <c r="AI202" s="165"/>
      <c r="AJ202" s="165"/>
      <c r="AK202" s="165"/>
      <c r="AL202" s="165"/>
      <c r="AM202" s="165"/>
      <c r="AN202" s="165"/>
      <c r="AO202" s="165"/>
    </row>
    <row r="203" ht="15.75" customHeight="1">
      <c r="A203" s="165"/>
      <c r="B203" s="255"/>
      <c r="C203" s="255"/>
      <c r="D203" s="255"/>
      <c r="E203" s="255"/>
      <c r="F203" s="165"/>
      <c r="G203" s="255"/>
      <c r="H203" s="255"/>
      <c r="I203" s="255"/>
      <c r="J203" s="255"/>
      <c r="K203" s="255"/>
      <c r="L203" s="255"/>
      <c r="M203" s="255"/>
      <c r="N203" s="255"/>
      <c r="O203" s="255"/>
      <c r="P203" s="165"/>
      <c r="Q203" s="165"/>
      <c r="R203" s="165"/>
      <c r="S203" s="165"/>
      <c r="T203" s="165"/>
      <c r="U203" s="165"/>
      <c r="V203" s="165"/>
      <c r="W203" s="165"/>
      <c r="X203" s="165"/>
      <c r="Y203" s="165"/>
      <c r="Z203" s="165"/>
      <c r="AA203" s="165"/>
      <c r="AB203" s="165"/>
      <c r="AC203" s="165"/>
      <c r="AD203" s="165"/>
      <c r="AE203" s="165"/>
      <c r="AF203" s="165"/>
      <c r="AG203" s="165"/>
      <c r="AH203" s="165"/>
      <c r="AI203" s="165"/>
      <c r="AJ203" s="165"/>
      <c r="AK203" s="165"/>
      <c r="AL203" s="165"/>
      <c r="AM203" s="165"/>
      <c r="AN203" s="165"/>
      <c r="AO203" s="165"/>
    </row>
    <row r="204" ht="15.75" customHeight="1">
      <c r="A204" s="165"/>
      <c r="B204" s="255"/>
      <c r="C204" s="255"/>
      <c r="D204" s="255"/>
      <c r="E204" s="255"/>
      <c r="F204" s="165"/>
      <c r="G204" s="255"/>
      <c r="H204" s="255"/>
      <c r="I204" s="255"/>
      <c r="J204" s="255"/>
      <c r="K204" s="255"/>
      <c r="L204" s="255"/>
      <c r="M204" s="255"/>
      <c r="N204" s="255"/>
      <c r="O204" s="255"/>
      <c r="P204" s="165"/>
      <c r="Q204" s="165"/>
      <c r="R204" s="165"/>
      <c r="S204" s="165"/>
      <c r="T204" s="165"/>
      <c r="U204" s="165"/>
      <c r="V204" s="165"/>
      <c r="W204" s="165"/>
      <c r="X204" s="165"/>
      <c r="Y204" s="165"/>
      <c r="Z204" s="165"/>
      <c r="AA204" s="165"/>
      <c r="AB204" s="165"/>
      <c r="AC204" s="165"/>
      <c r="AD204" s="165"/>
      <c r="AE204" s="165"/>
      <c r="AF204" s="165"/>
      <c r="AG204" s="165"/>
      <c r="AH204" s="165"/>
      <c r="AI204" s="165"/>
      <c r="AJ204" s="165"/>
      <c r="AK204" s="165"/>
      <c r="AL204" s="165"/>
      <c r="AM204" s="165"/>
      <c r="AN204" s="165"/>
      <c r="AO204" s="165"/>
    </row>
    <row r="205" ht="15.75" customHeight="1">
      <c r="A205" s="165"/>
      <c r="B205" s="255"/>
      <c r="C205" s="255"/>
      <c r="D205" s="255"/>
      <c r="E205" s="255"/>
      <c r="F205" s="165"/>
      <c r="G205" s="255"/>
      <c r="H205" s="255"/>
      <c r="I205" s="255"/>
      <c r="J205" s="255"/>
      <c r="K205" s="255"/>
      <c r="L205" s="255"/>
      <c r="M205" s="255"/>
      <c r="N205" s="255"/>
      <c r="O205" s="255"/>
      <c r="P205" s="165"/>
      <c r="Q205" s="165"/>
      <c r="R205" s="165"/>
      <c r="S205" s="165"/>
      <c r="T205" s="165"/>
      <c r="U205" s="165"/>
      <c r="V205" s="165"/>
      <c r="W205" s="165"/>
      <c r="X205" s="165"/>
      <c r="Y205" s="165"/>
      <c r="Z205" s="165"/>
      <c r="AA205" s="165"/>
      <c r="AB205" s="165"/>
      <c r="AC205" s="165"/>
      <c r="AD205" s="165"/>
      <c r="AE205" s="165"/>
      <c r="AF205" s="165"/>
      <c r="AG205" s="165"/>
      <c r="AH205" s="165"/>
      <c r="AI205" s="165"/>
      <c r="AJ205" s="165"/>
      <c r="AK205" s="165"/>
      <c r="AL205" s="165"/>
      <c r="AM205" s="165"/>
      <c r="AN205" s="165"/>
      <c r="AO205" s="165"/>
    </row>
    <row r="206" ht="15.75" customHeight="1">
      <c r="A206" s="165"/>
      <c r="B206" s="255"/>
      <c r="C206" s="255"/>
      <c r="D206" s="255"/>
      <c r="E206" s="255"/>
      <c r="F206" s="165"/>
      <c r="G206" s="255"/>
      <c r="H206" s="255"/>
      <c r="I206" s="255"/>
      <c r="J206" s="255"/>
      <c r="K206" s="255"/>
      <c r="L206" s="255"/>
      <c r="M206" s="255"/>
      <c r="N206" s="255"/>
      <c r="O206" s="255"/>
      <c r="P206" s="165"/>
      <c r="Q206" s="165"/>
      <c r="R206" s="165"/>
      <c r="S206" s="165"/>
      <c r="T206" s="165"/>
      <c r="U206" s="165"/>
      <c r="V206" s="165"/>
      <c r="W206" s="165"/>
      <c r="X206" s="165"/>
      <c r="Y206" s="165"/>
      <c r="Z206" s="165"/>
      <c r="AA206" s="165"/>
      <c r="AB206" s="165"/>
      <c r="AC206" s="165"/>
      <c r="AD206" s="165"/>
      <c r="AE206" s="165"/>
      <c r="AF206" s="165"/>
      <c r="AG206" s="165"/>
      <c r="AH206" s="165"/>
      <c r="AI206" s="165"/>
      <c r="AJ206" s="165"/>
      <c r="AK206" s="165"/>
      <c r="AL206" s="165"/>
      <c r="AM206" s="165"/>
      <c r="AN206" s="165"/>
      <c r="AO206" s="165"/>
    </row>
    <row r="207" ht="15.75" customHeight="1">
      <c r="A207" s="165"/>
      <c r="B207" s="255"/>
      <c r="C207" s="255"/>
      <c r="D207" s="255"/>
      <c r="E207" s="255"/>
      <c r="F207" s="165"/>
      <c r="G207" s="255"/>
      <c r="H207" s="255"/>
      <c r="I207" s="255"/>
      <c r="J207" s="255"/>
      <c r="K207" s="255"/>
      <c r="L207" s="255"/>
      <c r="M207" s="255"/>
      <c r="N207" s="255"/>
      <c r="O207" s="255"/>
      <c r="P207" s="165"/>
      <c r="Q207" s="165"/>
      <c r="R207" s="165"/>
      <c r="S207" s="165"/>
      <c r="T207" s="165"/>
      <c r="U207" s="165"/>
      <c r="V207" s="165"/>
      <c r="W207" s="165"/>
      <c r="X207" s="165"/>
      <c r="Y207" s="165"/>
      <c r="Z207" s="165"/>
      <c r="AA207" s="165"/>
      <c r="AB207" s="165"/>
      <c r="AC207" s="165"/>
      <c r="AD207" s="165"/>
      <c r="AE207" s="165"/>
      <c r="AF207" s="165"/>
      <c r="AG207" s="165"/>
      <c r="AH207" s="165"/>
      <c r="AI207" s="165"/>
      <c r="AJ207" s="165"/>
      <c r="AK207" s="165"/>
      <c r="AL207" s="165"/>
      <c r="AM207" s="165"/>
      <c r="AN207" s="165"/>
      <c r="AO207" s="165"/>
    </row>
    <row r="208" ht="15.75" customHeight="1">
      <c r="A208" s="165"/>
      <c r="B208" s="255"/>
      <c r="C208" s="255"/>
      <c r="D208" s="255"/>
      <c r="E208" s="255"/>
      <c r="F208" s="165"/>
      <c r="G208" s="255"/>
      <c r="H208" s="255"/>
      <c r="I208" s="255"/>
      <c r="J208" s="255"/>
      <c r="K208" s="255"/>
      <c r="L208" s="255"/>
      <c r="M208" s="255"/>
      <c r="N208" s="255"/>
      <c r="O208" s="255"/>
      <c r="P208" s="165"/>
      <c r="Q208" s="165"/>
      <c r="R208" s="165"/>
      <c r="S208" s="165"/>
      <c r="T208" s="165"/>
      <c r="U208" s="165"/>
      <c r="V208" s="165"/>
      <c r="W208" s="165"/>
      <c r="X208" s="165"/>
      <c r="Y208" s="165"/>
      <c r="Z208" s="165"/>
      <c r="AA208" s="165"/>
      <c r="AB208" s="165"/>
      <c r="AC208" s="165"/>
      <c r="AD208" s="165"/>
      <c r="AE208" s="165"/>
      <c r="AF208" s="165"/>
      <c r="AG208" s="165"/>
      <c r="AH208" s="165"/>
      <c r="AI208" s="165"/>
      <c r="AJ208" s="165"/>
      <c r="AK208" s="165"/>
      <c r="AL208" s="165"/>
      <c r="AM208" s="165"/>
      <c r="AN208" s="165"/>
      <c r="AO208" s="165"/>
    </row>
    <row r="209" ht="15.75" customHeight="1">
      <c r="A209" s="165"/>
      <c r="B209" s="255"/>
      <c r="C209" s="255"/>
      <c r="D209" s="255"/>
      <c r="E209" s="255"/>
      <c r="F209" s="165"/>
      <c r="G209" s="255"/>
      <c r="H209" s="255"/>
      <c r="I209" s="255"/>
      <c r="J209" s="255"/>
      <c r="K209" s="255"/>
      <c r="L209" s="255"/>
      <c r="M209" s="255"/>
      <c r="N209" s="255"/>
      <c r="O209" s="255"/>
      <c r="P209" s="165"/>
      <c r="Q209" s="165"/>
      <c r="R209" s="165"/>
      <c r="S209" s="165"/>
      <c r="T209" s="165"/>
      <c r="U209" s="165"/>
      <c r="V209" s="165"/>
      <c r="W209" s="165"/>
      <c r="X209" s="165"/>
      <c r="Y209" s="165"/>
      <c r="Z209" s="165"/>
      <c r="AA209" s="165"/>
      <c r="AB209" s="165"/>
      <c r="AC209" s="165"/>
      <c r="AD209" s="165"/>
      <c r="AE209" s="165"/>
      <c r="AF209" s="165"/>
      <c r="AG209" s="165"/>
      <c r="AH209" s="165"/>
      <c r="AI209" s="165"/>
      <c r="AJ209" s="165"/>
      <c r="AK209" s="165"/>
      <c r="AL209" s="165"/>
      <c r="AM209" s="165"/>
      <c r="AN209" s="165"/>
      <c r="AO209" s="165"/>
    </row>
    <row r="210" ht="15.75" customHeight="1">
      <c r="A210" s="165"/>
      <c r="B210" s="255"/>
      <c r="C210" s="255"/>
      <c r="D210" s="255"/>
      <c r="E210" s="255"/>
      <c r="F210" s="165"/>
      <c r="G210" s="255"/>
      <c r="H210" s="255"/>
      <c r="I210" s="255"/>
      <c r="J210" s="255"/>
      <c r="K210" s="255"/>
      <c r="L210" s="255"/>
      <c r="M210" s="255"/>
      <c r="N210" s="255"/>
      <c r="O210" s="255"/>
      <c r="P210" s="165"/>
      <c r="Q210" s="165"/>
      <c r="R210" s="165"/>
      <c r="S210" s="165"/>
      <c r="T210" s="165"/>
      <c r="U210" s="165"/>
      <c r="V210" s="165"/>
      <c r="W210" s="165"/>
      <c r="X210" s="165"/>
      <c r="Y210" s="165"/>
      <c r="Z210" s="165"/>
      <c r="AA210" s="165"/>
      <c r="AB210" s="165"/>
      <c r="AC210" s="165"/>
      <c r="AD210" s="165"/>
      <c r="AE210" s="165"/>
      <c r="AF210" s="165"/>
      <c r="AG210" s="165"/>
      <c r="AH210" s="165"/>
      <c r="AI210" s="165"/>
      <c r="AJ210" s="165"/>
      <c r="AK210" s="165"/>
      <c r="AL210" s="165"/>
      <c r="AM210" s="165"/>
      <c r="AN210" s="165"/>
      <c r="AO210" s="165"/>
    </row>
    <row r="211" ht="15.75" customHeight="1">
      <c r="A211" s="165"/>
      <c r="B211" s="255"/>
      <c r="C211" s="255"/>
      <c r="D211" s="255"/>
      <c r="E211" s="255"/>
      <c r="F211" s="165"/>
      <c r="G211" s="255"/>
      <c r="H211" s="255"/>
      <c r="I211" s="255"/>
      <c r="J211" s="255"/>
      <c r="K211" s="255"/>
      <c r="L211" s="255"/>
      <c r="M211" s="255"/>
      <c r="N211" s="255"/>
      <c r="O211" s="255"/>
      <c r="P211" s="165"/>
      <c r="Q211" s="165"/>
      <c r="R211" s="165"/>
      <c r="S211" s="165"/>
      <c r="T211" s="165"/>
      <c r="U211" s="165"/>
      <c r="V211" s="165"/>
      <c r="W211" s="165"/>
      <c r="X211" s="165"/>
      <c r="Y211" s="165"/>
      <c r="Z211" s="165"/>
      <c r="AA211" s="165"/>
      <c r="AB211" s="165"/>
      <c r="AC211" s="165"/>
      <c r="AD211" s="165"/>
      <c r="AE211" s="165"/>
      <c r="AF211" s="165"/>
      <c r="AG211" s="165"/>
      <c r="AH211" s="165"/>
      <c r="AI211" s="165"/>
      <c r="AJ211" s="165"/>
      <c r="AK211" s="165"/>
      <c r="AL211" s="165"/>
      <c r="AM211" s="165"/>
      <c r="AN211" s="165"/>
      <c r="AO211" s="165"/>
    </row>
    <row r="212" ht="15.75" customHeight="1">
      <c r="A212" s="165"/>
      <c r="B212" s="255"/>
      <c r="C212" s="255"/>
      <c r="D212" s="255"/>
      <c r="E212" s="255"/>
      <c r="F212" s="165"/>
      <c r="G212" s="255"/>
      <c r="H212" s="255"/>
      <c r="I212" s="255"/>
      <c r="J212" s="255"/>
      <c r="K212" s="255"/>
      <c r="L212" s="255"/>
      <c r="M212" s="255"/>
      <c r="N212" s="255"/>
      <c r="O212" s="255"/>
      <c r="P212" s="165"/>
      <c r="Q212" s="165"/>
      <c r="R212" s="165"/>
      <c r="S212" s="165"/>
      <c r="T212" s="165"/>
      <c r="U212" s="165"/>
      <c r="V212" s="165"/>
      <c r="W212" s="165"/>
      <c r="X212" s="165"/>
      <c r="Y212" s="165"/>
      <c r="Z212" s="165"/>
      <c r="AA212" s="165"/>
      <c r="AB212" s="165"/>
      <c r="AC212" s="165"/>
      <c r="AD212" s="165"/>
      <c r="AE212" s="165"/>
      <c r="AF212" s="165"/>
      <c r="AG212" s="165"/>
      <c r="AH212" s="165"/>
      <c r="AI212" s="165"/>
      <c r="AJ212" s="165"/>
      <c r="AK212" s="165"/>
      <c r="AL212" s="165"/>
      <c r="AM212" s="165"/>
      <c r="AN212" s="165"/>
      <c r="AO212" s="165"/>
    </row>
    <row r="213" ht="15.75" customHeight="1">
      <c r="A213" s="165"/>
      <c r="B213" s="255"/>
      <c r="C213" s="255"/>
      <c r="D213" s="255"/>
      <c r="E213" s="255"/>
      <c r="F213" s="165"/>
      <c r="G213" s="255"/>
      <c r="H213" s="255"/>
      <c r="I213" s="255"/>
      <c r="J213" s="255"/>
      <c r="K213" s="255"/>
      <c r="L213" s="255"/>
      <c r="M213" s="255"/>
      <c r="N213" s="255"/>
      <c r="O213" s="255"/>
      <c r="P213" s="165"/>
      <c r="Q213" s="165"/>
      <c r="R213" s="165"/>
      <c r="S213" s="165"/>
      <c r="T213" s="165"/>
      <c r="U213" s="165"/>
      <c r="V213" s="165"/>
      <c r="W213" s="165"/>
      <c r="X213" s="165"/>
      <c r="Y213" s="165"/>
      <c r="Z213" s="165"/>
      <c r="AA213" s="165"/>
      <c r="AB213" s="165"/>
      <c r="AC213" s="165"/>
      <c r="AD213" s="165"/>
      <c r="AE213" s="165"/>
      <c r="AF213" s="165"/>
      <c r="AG213" s="165"/>
      <c r="AH213" s="165"/>
      <c r="AI213" s="165"/>
      <c r="AJ213" s="165"/>
      <c r="AK213" s="165"/>
      <c r="AL213" s="165"/>
      <c r="AM213" s="165"/>
      <c r="AN213" s="165"/>
      <c r="AO213" s="165"/>
    </row>
    <row r="214" ht="15.75" customHeight="1">
      <c r="A214" s="165"/>
      <c r="B214" s="255"/>
      <c r="C214" s="255"/>
      <c r="D214" s="255"/>
      <c r="E214" s="255"/>
      <c r="F214" s="165"/>
      <c r="G214" s="255"/>
      <c r="H214" s="255"/>
      <c r="I214" s="255"/>
      <c r="J214" s="255"/>
      <c r="K214" s="255"/>
      <c r="L214" s="255"/>
      <c r="M214" s="255"/>
      <c r="N214" s="255"/>
      <c r="O214" s="255"/>
      <c r="P214" s="165"/>
      <c r="Q214" s="165"/>
      <c r="R214" s="165"/>
      <c r="S214" s="165"/>
      <c r="T214" s="165"/>
      <c r="U214" s="165"/>
      <c r="V214" s="165"/>
      <c r="W214" s="165"/>
      <c r="X214" s="165"/>
      <c r="Y214" s="165"/>
      <c r="Z214" s="165"/>
      <c r="AA214" s="165"/>
      <c r="AB214" s="165"/>
      <c r="AC214" s="165"/>
      <c r="AD214" s="165"/>
      <c r="AE214" s="165"/>
      <c r="AF214" s="165"/>
      <c r="AG214" s="165"/>
      <c r="AH214" s="165"/>
      <c r="AI214" s="165"/>
      <c r="AJ214" s="165"/>
      <c r="AK214" s="165"/>
      <c r="AL214" s="165"/>
      <c r="AM214" s="165"/>
      <c r="AN214" s="165"/>
      <c r="AO214" s="165"/>
    </row>
    <row r="215" ht="15.75" customHeight="1">
      <c r="A215" s="165"/>
      <c r="B215" s="255"/>
      <c r="C215" s="255"/>
      <c r="D215" s="255"/>
      <c r="E215" s="255"/>
      <c r="F215" s="165"/>
      <c r="G215" s="255"/>
      <c r="H215" s="255"/>
      <c r="I215" s="255"/>
      <c r="J215" s="255"/>
      <c r="K215" s="255"/>
      <c r="L215" s="255"/>
      <c r="M215" s="255"/>
      <c r="N215" s="255"/>
      <c r="O215" s="255"/>
      <c r="P215" s="165"/>
      <c r="Q215" s="165"/>
      <c r="R215" s="165"/>
      <c r="S215" s="165"/>
      <c r="T215" s="165"/>
      <c r="U215" s="165"/>
      <c r="V215" s="165"/>
      <c r="W215" s="165"/>
      <c r="X215" s="165"/>
      <c r="Y215" s="165"/>
      <c r="Z215" s="165"/>
      <c r="AA215" s="165"/>
      <c r="AB215" s="165"/>
      <c r="AC215" s="165"/>
      <c r="AD215" s="165"/>
      <c r="AE215" s="165"/>
      <c r="AF215" s="165"/>
      <c r="AG215" s="165"/>
      <c r="AH215" s="165"/>
      <c r="AI215" s="165"/>
      <c r="AJ215" s="165"/>
      <c r="AK215" s="165"/>
      <c r="AL215" s="165"/>
      <c r="AM215" s="165"/>
      <c r="AN215" s="165"/>
      <c r="AO215" s="165"/>
    </row>
    <row r="216" ht="15.75" customHeight="1">
      <c r="A216" s="165"/>
      <c r="B216" s="255"/>
      <c r="C216" s="255"/>
      <c r="D216" s="255"/>
      <c r="E216" s="255"/>
      <c r="F216" s="165"/>
      <c r="G216" s="255"/>
      <c r="H216" s="255"/>
      <c r="I216" s="255"/>
      <c r="J216" s="255"/>
      <c r="K216" s="255"/>
      <c r="L216" s="255"/>
      <c r="M216" s="255"/>
      <c r="N216" s="255"/>
      <c r="O216" s="255"/>
      <c r="P216" s="165"/>
      <c r="Q216" s="165"/>
      <c r="R216" s="165"/>
      <c r="S216" s="165"/>
      <c r="T216" s="165"/>
      <c r="U216" s="165"/>
      <c r="V216" s="165"/>
      <c r="W216" s="165"/>
      <c r="X216" s="165"/>
      <c r="Y216" s="165"/>
      <c r="Z216" s="165"/>
      <c r="AA216" s="165"/>
      <c r="AB216" s="165"/>
      <c r="AC216" s="165"/>
      <c r="AD216" s="165"/>
      <c r="AE216" s="165"/>
      <c r="AF216" s="165"/>
      <c r="AG216" s="165"/>
      <c r="AH216" s="165"/>
      <c r="AI216" s="165"/>
      <c r="AJ216" s="165"/>
      <c r="AK216" s="165"/>
      <c r="AL216" s="165"/>
      <c r="AM216" s="165"/>
      <c r="AN216" s="165"/>
      <c r="AO216" s="165"/>
    </row>
    <row r="217" ht="15.75" customHeight="1">
      <c r="A217" s="165"/>
      <c r="B217" s="255"/>
      <c r="C217" s="255"/>
      <c r="D217" s="255"/>
      <c r="E217" s="255"/>
      <c r="F217" s="165"/>
      <c r="G217" s="255"/>
      <c r="H217" s="255"/>
      <c r="I217" s="255"/>
      <c r="J217" s="255"/>
      <c r="K217" s="255"/>
      <c r="L217" s="255"/>
      <c r="M217" s="255"/>
      <c r="N217" s="255"/>
      <c r="O217" s="255"/>
      <c r="P217" s="165"/>
      <c r="Q217" s="165"/>
      <c r="R217" s="165"/>
      <c r="S217" s="165"/>
      <c r="T217" s="165"/>
      <c r="U217" s="165"/>
      <c r="V217" s="165"/>
      <c r="W217" s="165"/>
      <c r="X217" s="165"/>
      <c r="Y217" s="165"/>
      <c r="Z217" s="165"/>
      <c r="AA217" s="165"/>
      <c r="AB217" s="165"/>
      <c r="AC217" s="165"/>
      <c r="AD217" s="165"/>
      <c r="AE217" s="165"/>
      <c r="AF217" s="165"/>
      <c r="AG217" s="165"/>
      <c r="AH217" s="165"/>
      <c r="AI217" s="165"/>
      <c r="AJ217" s="165"/>
      <c r="AK217" s="165"/>
      <c r="AL217" s="165"/>
      <c r="AM217" s="165"/>
      <c r="AN217" s="165"/>
      <c r="AO217" s="165"/>
    </row>
    <row r="218" ht="15.75" customHeight="1">
      <c r="A218" s="165"/>
      <c r="B218" s="255"/>
      <c r="C218" s="255"/>
      <c r="D218" s="255"/>
      <c r="E218" s="255"/>
      <c r="F218" s="165"/>
      <c r="G218" s="255"/>
      <c r="H218" s="255"/>
      <c r="I218" s="255"/>
      <c r="J218" s="255"/>
      <c r="K218" s="255"/>
      <c r="L218" s="255"/>
      <c r="M218" s="255"/>
      <c r="N218" s="255"/>
      <c r="O218" s="255"/>
      <c r="P218" s="165"/>
      <c r="Q218" s="165"/>
      <c r="R218" s="165"/>
      <c r="S218" s="165"/>
      <c r="T218" s="165"/>
      <c r="U218" s="165"/>
      <c r="V218" s="165"/>
      <c r="W218" s="165"/>
      <c r="X218" s="165"/>
      <c r="Y218" s="165"/>
      <c r="Z218" s="165"/>
      <c r="AA218" s="165"/>
      <c r="AB218" s="165"/>
      <c r="AC218" s="165"/>
      <c r="AD218" s="165"/>
      <c r="AE218" s="165"/>
      <c r="AF218" s="165"/>
      <c r="AG218" s="165"/>
      <c r="AH218" s="165"/>
      <c r="AI218" s="165"/>
      <c r="AJ218" s="165"/>
      <c r="AK218" s="165"/>
      <c r="AL218" s="165"/>
      <c r="AM218" s="165"/>
      <c r="AN218" s="165"/>
      <c r="AO218" s="165"/>
    </row>
    <row r="219" ht="15.75" customHeight="1">
      <c r="A219" s="165"/>
      <c r="B219" s="255"/>
      <c r="C219" s="255"/>
      <c r="D219" s="255"/>
      <c r="E219" s="255"/>
      <c r="F219" s="165"/>
      <c r="G219" s="255"/>
      <c r="H219" s="255"/>
      <c r="I219" s="255"/>
      <c r="J219" s="255"/>
      <c r="K219" s="255"/>
      <c r="L219" s="255"/>
      <c r="M219" s="255"/>
      <c r="N219" s="255"/>
      <c r="O219" s="255"/>
      <c r="P219" s="165"/>
      <c r="Q219" s="165"/>
      <c r="R219" s="165"/>
      <c r="S219" s="165"/>
      <c r="T219" s="165"/>
      <c r="U219" s="165"/>
      <c r="V219" s="165"/>
      <c r="W219" s="165"/>
      <c r="X219" s="165"/>
      <c r="Y219" s="165"/>
      <c r="Z219" s="165"/>
      <c r="AA219" s="165"/>
      <c r="AB219" s="165"/>
      <c r="AC219" s="165"/>
      <c r="AD219" s="165"/>
      <c r="AE219" s="165"/>
      <c r="AF219" s="165"/>
      <c r="AG219" s="165"/>
      <c r="AH219" s="165"/>
      <c r="AI219" s="165"/>
      <c r="AJ219" s="165"/>
      <c r="AK219" s="165"/>
      <c r="AL219" s="165"/>
      <c r="AM219" s="165"/>
      <c r="AN219" s="165"/>
      <c r="AO219" s="165"/>
    </row>
    <row r="220" ht="15.75" customHeight="1">
      <c r="A220" s="165"/>
      <c r="B220" s="255"/>
      <c r="C220" s="255"/>
      <c r="D220" s="255"/>
      <c r="E220" s="255"/>
      <c r="F220" s="165"/>
      <c r="G220" s="255"/>
      <c r="H220" s="255"/>
      <c r="I220" s="255"/>
      <c r="J220" s="255"/>
      <c r="K220" s="255"/>
      <c r="L220" s="255"/>
      <c r="M220" s="255"/>
      <c r="N220" s="255"/>
      <c r="O220" s="255"/>
      <c r="P220" s="165"/>
      <c r="Q220" s="165"/>
      <c r="R220" s="165"/>
      <c r="S220" s="165"/>
      <c r="T220" s="165"/>
      <c r="U220" s="165"/>
      <c r="V220" s="165"/>
      <c r="W220" s="165"/>
      <c r="X220" s="165"/>
      <c r="Y220" s="165"/>
      <c r="Z220" s="165"/>
      <c r="AA220" s="165"/>
      <c r="AB220" s="165"/>
      <c r="AC220" s="165"/>
      <c r="AD220" s="165"/>
      <c r="AE220" s="165"/>
      <c r="AF220" s="165"/>
      <c r="AG220" s="165"/>
      <c r="AH220" s="165"/>
      <c r="AI220" s="165"/>
      <c r="AJ220" s="165"/>
      <c r="AK220" s="165"/>
      <c r="AL220" s="165"/>
      <c r="AM220" s="165"/>
      <c r="AN220" s="165"/>
      <c r="AO220" s="165"/>
    </row>
    <row r="221" ht="15.75" customHeight="1">
      <c r="A221" s="165"/>
      <c r="B221" s="255"/>
      <c r="C221" s="255"/>
      <c r="D221" s="255"/>
      <c r="E221" s="255"/>
      <c r="F221" s="165"/>
      <c r="G221" s="255"/>
      <c r="H221" s="255"/>
      <c r="I221" s="255"/>
      <c r="J221" s="255"/>
      <c r="K221" s="255"/>
      <c r="L221" s="255"/>
      <c r="M221" s="255"/>
      <c r="N221" s="255"/>
      <c r="O221" s="255"/>
      <c r="P221" s="165"/>
      <c r="Q221" s="165"/>
      <c r="R221" s="165"/>
      <c r="S221" s="165"/>
      <c r="T221" s="165"/>
      <c r="U221" s="165"/>
      <c r="V221" s="165"/>
      <c r="W221" s="165"/>
      <c r="X221" s="165"/>
      <c r="Y221" s="165"/>
      <c r="Z221" s="165"/>
      <c r="AA221" s="165"/>
      <c r="AB221" s="165"/>
      <c r="AC221" s="165"/>
      <c r="AD221" s="165"/>
      <c r="AE221" s="165"/>
      <c r="AF221" s="165"/>
      <c r="AG221" s="165"/>
      <c r="AH221" s="165"/>
      <c r="AI221" s="165"/>
      <c r="AJ221" s="165"/>
      <c r="AK221" s="165"/>
      <c r="AL221" s="165"/>
      <c r="AM221" s="165"/>
      <c r="AN221" s="165"/>
      <c r="AO221" s="165"/>
    </row>
    <row r="222" ht="15.75" customHeight="1">
      <c r="A222" s="165"/>
      <c r="B222" s="255"/>
      <c r="C222" s="255"/>
      <c r="D222" s="255"/>
      <c r="E222" s="255"/>
      <c r="F222" s="165"/>
      <c r="G222" s="255"/>
      <c r="H222" s="255"/>
      <c r="I222" s="255"/>
      <c r="J222" s="255"/>
      <c r="K222" s="255"/>
      <c r="L222" s="255"/>
      <c r="M222" s="255"/>
      <c r="N222" s="255"/>
      <c r="O222" s="255"/>
      <c r="P222" s="165"/>
      <c r="Q222" s="165"/>
      <c r="R222" s="165"/>
      <c r="S222" s="165"/>
      <c r="T222" s="165"/>
      <c r="U222" s="165"/>
      <c r="V222" s="165"/>
      <c r="W222" s="165"/>
      <c r="X222" s="165"/>
      <c r="Y222" s="165"/>
      <c r="Z222" s="165"/>
      <c r="AA222" s="165"/>
      <c r="AB222" s="165"/>
      <c r="AC222" s="165"/>
      <c r="AD222" s="165"/>
      <c r="AE222" s="165"/>
      <c r="AF222" s="165"/>
      <c r="AG222" s="165"/>
      <c r="AH222" s="165"/>
      <c r="AI222" s="165"/>
      <c r="AJ222" s="165"/>
      <c r="AK222" s="165"/>
      <c r="AL222" s="165"/>
      <c r="AM222" s="165"/>
      <c r="AN222" s="165"/>
      <c r="AO222" s="165"/>
    </row>
    <row r="223" ht="15.75" customHeight="1">
      <c r="A223" s="165"/>
      <c r="B223" s="255"/>
      <c r="C223" s="255"/>
      <c r="D223" s="255"/>
      <c r="E223" s="255"/>
      <c r="F223" s="165"/>
      <c r="G223" s="255"/>
      <c r="H223" s="255"/>
      <c r="I223" s="255"/>
      <c r="J223" s="255"/>
      <c r="K223" s="255"/>
      <c r="L223" s="255"/>
      <c r="M223" s="255"/>
      <c r="N223" s="255"/>
      <c r="O223" s="255"/>
      <c r="P223" s="165"/>
      <c r="Q223" s="165"/>
      <c r="R223" s="165"/>
      <c r="S223" s="165"/>
      <c r="T223" s="165"/>
      <c r="U223" s="165"/>
      <c r="V223" s="165"/>
      <c r="W223" s="165"/>
      <c r="X223" s="165"/>
      <c r="Y223" s="165"/>
      <c r="Z223" s="165"/>
      <c r="AA223" s="165"/>
      <c r="AB223" s="165"/>
      <c r="AC223" s="165"/>
      <c r="AD223" s="165"/>
      <c r="AE223" s="165"/>
      <c r="AF223" s="165"/>
      <c r="AG223" s="165"/>
      <c r="AH223" s="165"/>
      <c r="AI223" s="165"/>
      <c r="AJ223" s="165"/>
      <c r="AK223" s="165"/>
      <c r="AL223" s="165"/>
      <c r="AM223" s="165"/>
      <c r="AN223" s="165"/>
      <c r="AO223" s="165"/>
    </row>
    <row r="224" ht="15.75" customHeight="1">
      <c r="A224" s="165"/>
      <c r="B224" s="255"/>
      <c r="C224" s="255"/>
      <c r="D224" s="255"/>
      <c r="E224" s="255"/>
      <c r="F224" s="165"/>
      <c r="G224" s="255"/>
      <c r="H224" s="255"/>
      <c r="I224" s="255"/>
      <c r="J224" s="255"/>
      <c r="K224" s="255"/>
      <c r="L224" s="255"/>
      <c r="M224" s="255"/>
      <c r="N224" s="255"/>
      <c r="O224" s="255"/>
      <c r="P224" s="165"/>
      <c r="Q224" s="165"/>
      <c r="R224" s="165"/>
      <c r="S224" s="165"/>
      <c r="T224" s="165"/>
      <c r="U224" s="165"/>
      <c r="V224" s="165"/>
      <c r="W224" s="165"/>
      <c r="X224" s="165"/>
      <c r="Y224" s="165"/>
      <c r="Z224" s="165"/>
      <c r="AA224" s="165"/>
      <c r="AB224" s="165"/>
      <c r="AC224" s="165"/>
      <c r="AD224" s="165"/>
      <c r="AE224" s="165"/>
      <c r="AF224" s="165"/>
      <c r="AG224" s="165"/>
      <c r="AH224" s="165"/>
      <c r="AI224" s="165"/>
      <c r="AJ224" s="165"/>
      <c r="AK224" s="165"/>
      <c r="AL224" s="165"/>
      <c r="AM224" s="165"/>
      <c r="AN224" s="165"/>
      <c r="AO224" s="165"/>
    </row>
    <row r="225" ht="15.75" customHeight="1">
      <c r="A225" s="165"/>
      <c r="B225" s="255"/>
      <c r="C225" s="255"/>
      <c r="D225" s="255"/>
      <c r="E225" s="255"/>
      <c r="F225" s="165"/>
      <c r="G225" s="255"/>
      <c r="H225" s="255"/>
      <c r="I225" s="255"/>
      <c r="J225" s="255"/>
      <c r="K225" s="255"/>
      <c r="L225" s="255"/>
      <c r="M225" s="255"/>
      <c r="N225" s="255"/>
      <c r="O225" s="255"/>
      <c r="P225" s="165"/>
      <c r="Q225" s="165"/>
      <c r="R225" s="165"/>
      <c r="S225" s="165"/>
      <c r="T225" s="165"/>
      <c r="U225" s="165"/>
      <c r="V225" s="165"/>
      <c r="W225" s="165"/>
      <c r="X225" s="165"/>
      <c r="Y225" s="165"/>
      <c r="Z225" s="165"/>
      <c r="AA225" s="165"/>
      <c r="AB225" s="165"/>
      <c r="AC225" s="165"/>
      <c r="AD225" s="165"/>
      <c r="AE225" s="165"/>
      <c r="AF225" s="165"/>
      <c r="AG225" s="165"/>
      <c r="AH225" s="165"/>
      <c r="AI225" s="165"/>
      <c r="AJ225" s="165"/>
      <c r="AK225" s="165"/>
      <c r="AL225" s="165"/>
      <c r="AM225" s="165"/>
      <c r="AN225" s="165"/>
      <c r="AO225" s="165"/>
    </row>
    <row r="226" ht="15.75" customHeight="1">
      <c r="A226" s="165"/>
      <c r="B226" s="255"/>
      <c r="C226" s="255"/>
      <c r="D226" s="255"/>
      <c r="E226" s="255"/>
      <c r="F226" s="165"/>
      <c r="G226" s="255"/>
      <c r="H226" s="255"/>
      <c r="I226" s="255"/>
      <c r="J226" s="255"/>
      <c r="K226" s="255"/>
      <c r="L226" s="255"/>
      <c r="M226" s="255"/>
      <c r="N226" s="255"/>
      <c r="O226" s="255"/>
      <c r="P226" s="165"/>
      <c r="Q226" s="165"/>
      <c r="R226" s="165"/>
      <c r="S226" s="165"/>
      <c r="T226" s="165"/>
      <c r="U226" s="165"/>
      <c r="V226" s="165"/>
      <c r="W226" s="165"/>
      <c r="X226" s="165"/>
      <c r="Y226" s="165"/>
      <c r="Z226" s="165"/>
      <c r="AA226" s="165"/>
      <c r="AB226" s="165"/>
      <c r="AC226" s="165"/>
      <c r="AD226" s="165"/>
      <c r="AE226" s="165"/>
      <c r="AF226" s="165"/>
      <c r="AG226" s="165"/>
      <c r="AH226" s="165"/>
      <c r="AI226" s="165"/>
      <c r="AJ226" s="165"/>
      <c r="AK226" s="165"/>
      <c r="AL226" s="165"/>
      <c r="AM226" s="165"/>
      <c r="AN226" s="165"/>
      <c r="AO226" s="165"/>
    </row>
    <row r="227" ht="15.75" customHeight="1">
      <c r="A227" s="165"/>
      <c r="B227" s="255"/>
      <c r="C227" s="255"/>
      <c r="D227" s="255"/>
      <c r="E227" s="255"/>
      <c r="F227" s="165"/>
      <c r="G227" s="255"/>
      <c r="H227" s="255"/>
      <c r="I227" s="255"/>
      <c r="J227" s="255"/>
      <c r="K227" s="255"/>
      <c r="L227" s="255"/>
      <c r="M227" s="255"/>
      <c r="N227" s="255"/>
      <c r="O227" s="255"/>
      <c r="P227" s="165"/>
      <c r="Q227" s="165"/>
      <c r="R227" s="165"/>
      <c r="S227" s="165"/>
      <c r="T227" s="165"/>
      <c r="U227" s="165"/>
      <c r="V227" s="165"/>
      <c r="W227" s="165"/>
      <c r="X227" s="165"/>
      <c r="Y227" s="165"/>
      <c r="Z227" s="165"/>
      <c r="AA227" s="165"/>
      <c r="AB227" s="165"/>
      <c r="AC227" s="165"/>
      <c r="AD227" s="165"/>
      <c r="AE227" s="165"/>
      <c r="AF227" s="165"/>
      <c r="AG227" s="165"/>
      <c r="AH227" s="165"/>
      <c r="AI227" s="165"/>
      <c r="AJ227" s="165"/>
      <c r="AK227" s="165"/>
      <c r="AL227" s="165"/>
      <c r="AM227" s="165"/>
      <c r="AN227" s="165"/>
      <c r="AO227" s="165"/>
    </row>
    <row r="228" ht="15.75" customHeight="1">
      <c r="A228" s="165"/>
      <c r="B228" s="255"/>
      <c r="C228" s="255"/>
      <c r="D228" s="255"/>
      <c r="E228" s="255"/>
      <c r="F228" s="165"/>
      <c r="G228" s="255"/>
      <c r="H228" s="255"/>
      <c r="I228" s="255"/>
      <c r="J228" s="255"/>
      <c r="K228" s="255"/>
      <c r="L228" s="255"/>
      <c r="M228" s="255"/>
      <c r="N228" s="255"/>
      <c r="O228" s="255"/>
      <c r="P228" s="165"/>
      <c r="Q228" s="165"/>
      <c r="R228" s="165"/>
      <c r="S228" s="165"/>
      <c r="T228" s="165"/>
      <c r="U228" s="165"/>
      <c r="V228" s="165"/>
      <c r="W228" s="165"/>
      <c r="X228" s="165"/>
      <c r="Y228" s="165"/>
      <c r="Z228" s="165"/>
      <c r="AA228" s="165"/>
      <c r="AB228" s="165"/>
      <c r="AC228" s="165"/>
      <c r="AD228" s="165"/>
      <c r="AE228" s="165"/>
      <c r="AF228" s="165"/>
      <c r="AG228" s="165"/>
      <c r="AH228" s="165"/>
      <c r="AI228" s="165"/>
      <c r="AJ228" s="165"/>
      <c r="AK228" s="165"/>
      <c r="AL228" s="165"/>
      <c r="AM228" s="165"/>
      <c r="AN228" s="165"/>
      <c r="AO228" s="165"/>
    </row>
    <row r="229" ht="15.75" customHeight="1">
      <c r="A229" s="165"/>
      <c r="B229" s="255"/>
      <c r="C229" s="255"/>
      <c r="D229" s="255"/>
      <c r="E229" s="255"/>
      <c r="F229" s="165"/>
      <c r="G229" s="255"/>
      <c r="H229" s="255"/>
      <c r="I229" s="255"/>
      <c r="J229" s="255"/>
      <c r="K229" s="255"/>
      <c r="L229" s="255"/>
      <c r="M229" s="255"/>
      <c r="N229" s="255"/>
      <c r="O229" s="255"/>
      <c r="P229" s="165"/>
      <c r="Q229" s="165"/>
      <c r="R229" s="165"/>
      <c r="S229" s="165"/>
      <c r="T229" s="165"/>
      <c r="U229" s="165"/>
      <c r="V229" s="165"/>
      <c r="W229" s="165"/>
      <c r="X229" s="165"/>
      <c r="Y229" s="165"/>
      <c r="Z229" s="165"/>
      <c r="AA229" s="165"/>
      <c r="AB229" s="165"/>
      <c r="AC229" s="165"/>
      <c r="AD229" s="165"/>
      <c r="AE229" s="165"/>
      <c r="AF229" s="165"/>
      <c r="AG229" s="165"/>
      <c r="AH229" s="165"/>
      <c r="AI229" s="165"/>
      <c r="AJ229" s="165"/>
      <c r="AK229" s="165"/>
      <c r="AL229" s="165"/>
      <c r="AM229" s="165"/>
      <c r="AN229" s="165"/>
      <c r="AO229" s="165"/>
    </row>
    <row r="230" ht="15.75" customHeight="1">
      <c r="A230" s="165"/>
      <c r="B230" s="255"/>
      <c r="C230" s="255"/>
      <c r="D230" s="255"/>
      <c r="E230" s="255"/>
      <c r="F230" s="165"/>
      <c r="G230" s="255"/>
      <c r="H230" s="255"/>
      <c r="I230" s="255"/>
      <c r="J230" s="255"/>
      <c r="K230" s="255"/>
      <c r="L230" s="255"/>
      <c r="M230" s="255"/>
      <c r="N230" s="255"/>
      <c r="O230" s="255"/>
      <c r="P230" s="165"/>
      <c r="Q230" s="165"/>
      <c r="R230" s="165"/>
      <c r="S230" s="165"/>
      <c r="T230" s="165"/>
      <c r="U230" s="165"/>
      <c r="V230" s="165"/>
      <c r="W230" s="165"/>
      <c r="X230" s="165"/>
      <c r="Y230" s="165"/>
      <c r="Z230" s="165"/>
      <c r="AA230" s="165"/>
      <c r="AB230" s="165"/>
      <c r="AC230" s="165"/>
      <c r="AD230" s="165"/>
      <c r="AE230" s="165"/>
      <c r="AF230" s="165"/>
      <c r="AG230" s="165"/>
      <c r="AH230" s="165"/>
      <c r="AI230" s="165"/>
      <c r="AJ230" s="165"/>
      <c r="AK230" s="165"/>
      <c r="AL230" s="165"/>
      <c r="AM230" s="165"/>
      <c r="AN230" s="165"/>
      <c r="AO230" s="165"/>
    </row>
    <row r="231" ht="15.75" customHeight="1">
      <c r="A231" s="165"/>
      <c r="B231" s="255"/>
      <c r="C231" s="255"/>
      <c r="D231" s="255"/>
      <c r="E231" s="255"/>
      <c r="F231" s="165"/>
      <c r="G231" s="255"/>
      <c r="H231" s="255"/>
      <c r="I231" s="255"/>
      <c r="J231" s="255"/>
      <c r="K231" s="255"/>
      <c r="L231" s="255"/>
      <c r="M231" s="255"/>
      <c r="N231" s="255"/>
      <c r="O231" s="255"/>
      <c r="P231" s="165"/>
      <c r="Q231" s="165"/>
      <c r="R231" s="165"/>
      <c r="S231" s="165"/>
      <c r="T231" s="165"/>
      <c r="U231" s="165"/>
      <c r="V231" s="165"/>
      <c r="W231" s="165"/>
      <c r="X231" s="165"/>
      <c r="Y231" s="165"/>
      <c r="Z231" s="165"/>
      <c r="AA231" s="165"/>
      <c r="AB231" s="165"/>
      <c r="AC231" s="165"/>
      <c r="AD231" s="165"/>
      <c r="AE231" s="165"/>
      <c r="AF231" s="165"/>
      <c r="AG231" s="165"/>
      <c r="AH231" s="165"/>
      <c r="AI231" s="165"/>
      <c r="AJ231" s="165"/>
      <c r="AK231" s="165"/>
      <c r="AL231" s="165"/>
      <c r="AM231" s="165"/>
      <c r="AN231" s="165"/>
      <c r="AO231" s="165"/>
    </row>
    <row r="232" ht="15.75" customHeight="1">
      <c r="A232" s="165"/>
      <c r="B232" s="255"/>
      <c r="C232" s="255"/>
      <c r="D232" s="255"/>
      <c r="E232" s="255"/>
      <c r="F232" s="165"/>
      <c r="G232" s="255"/>
      <c r="H232" s="255"/>
      <c r="I232" s="255"/>
      <c r="J232" s="255"/>
      <c r="K232" s="255"/>
      <c r="L232" s="255"/>
      <c r="M232" s="255"/>
      <c r="N232" s="255"/>
      <c r="O232" s="255"/>
      <c r="P232" s="165"/>
      <c r="Q232" s="165"/>
      <c r="R232" s="165"/>
      <c r="S232" s="165"/>
      <c r="T232" s="165"/>
      <c r="U232" s="165"/>
      <c r="V232" s="165"/>
      <c r="W232" s="165"/>
      <c r="X232" s="165"/>
      <c r="Y232" s="165"/>
      <c r="Z232" s="165"/>
      <c r="AA232" s="165"/>
      <c r="AB232" s="165"/>
      <c r="AC232" s="165"/>
      <c r="AD232" s="165"/>
      <c r="AE232" s="165"/>
      <c r="AF232" s="165"/>
      <c r="AG232" s="165"/>
      <c r="AH232" s="165"/>
      <c r="AI232" s="165"/>
      <c r="AJ232" s="165"/>
      <c r="AK232" s="165"/>
      <c r="AL232" s="165"/>
      <c r="AM232" s="165"/>
      <c r="AN232" s="165"/>
      <c r="AO232" s="165"/>
    </row>
    <row r="233" ht="15.75" customHeight="1">
      <c r="A233" s="165"/>
      <c r="B233" s="255"/>
      <c r="C233" s="255"/>
      <c r="D233" s="255"/>
      <c r="E233" s="255"/>
      <c r="F233" s="165"/>
      <c r="G233" s="255"/>
      <c r="H233" s="255"/>
      <c r="I233" s="255"/>
      <c r="J233" s="255"/>
      <c r="K233" s="255"/>
      <c r="L233" s="255"/>
      <c r="M233" s="255"/>
      <c r="N233" s="255"/>
      <c r="O233" s="255"/>
      <c r="P233" s="165"/>
      <c r="Q233" s="165"/>
      <c r="R233" s="165"/>
      <c r="S233" s="165"/>
      <c r="T233" s="165"/>
      <c r="U233" s="165"/>
      <c r="V233" s="165"/>
      <c r="W233" s="165"/>
      <c r="X233" s="165"/>
      <c r="Y233" s="165"/>
      <c r="Z233" s="165"/>
      <c r="AA233" s="165"/>
      <c r="AB233" s="165"/>
      <c r="AC233" s="165"/>
      <c r="AD233" s="165"/>
      <c r="AE233" s="165"/>
      <c r="AF233" s="165"/>
      <c r="AG233" s="165"/>
      <c r="AH233" s="165"/>
      <c r="AI233" s="165"/>
      <c r="AJ233" s="165"/>
      <c r="AK233" s="165"/>
      <c r="AL233" s="165"/>
      <c r="AM233" s="165"/>
      <c r="AN233" s="165"/>
      <c r="AO233" s="165"/>
    </row>
    <row r="234" ht="15.75" customHeight="1">
      <c r="A234" s="165"/>
      <c r="B234" s="255"/>
      <c r="C234" s="255"/>
      <c r="D234" s="255"/>
      <c r="E234" s="255"/>
      <c r="F234" s="165"/>
      <c r="G234" s="255"/>
      <c r="H234" s="255"/>
      <c r="I234" s="255"/>
      <c r="J234" s="255"/>
      <c r="K234" s="255"/>
      <c r="L234" s="255"/>
      <c r="M234" s="255"/>
      <c r="N234" s="255"/>
      <c r="O234" s="255"/>
      <c r="P234" s="165"/>
      <c r="Q234" s="165"/>
      <c r="R234" s="165"/>
      <c r="S234" s="165"/>
      <c r="T234" s="165"/>
      <c r="U234" s="165"/>
      <c r="V234" s="165"/>
      <c r="W234" s="165"/>
      <c r="X234" s="165"/>
      <c r="Y234" s="165"/>
      <c r="Z234" s="165"/>
      <c r="AA234" s="165"/>
      <c r="AB234" s="165"/>
      <c r="AC234" s="165"/>
      <c r="AD234" s="165"/>
      <c r="AE234" s="165"/>
      <c r="AF234" s="165"/>
      <c r="AG234" s="165"/>
      <c r="AH234" s="165"/>
      <c r="AI234" s="165"/>
      <c r="AJ234" s="165"/>
      <c r="AK234" s="165"/>
      <c r="AL234" s="165"/>
      <c r="AM234" s="165"/>
      <c r="AN234" s="165"/>
      <c r="AO234" s="165"/>
    </row>
    <row r="235" ht="15.75" customHeight="1">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c r="AE235" s="165"/>
      <c r="AF235" s="165"/>
      <c r="AG235" s="165"/>
      <c r="AH235" s="165"/>
      <c r="AI235" s="165"/>
      <c r="AJ235" s="165"/>
      <c r="AK235" s="165"/>
      <c r="AL235" s="165"/>
      <c r="AM235" s="165"/>
      <c r="AN235" s="165"/>
      <c r="AO235" s="165"/>
    </row>
    <row r="236" ht="15.75" customHeight="1">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c r="AE236" s="165"/>
      <c r="AF236" s="165"/>
      <c r="AG236" s="165"/>
      <c r="AH236" s="165"/>
      <c r="AI236" s="165"/>
      <c r="AJ236" s="165"/>
      <c r="AK236" s="165"/>
      <c r="AL236" s="165"/>
      <c r="AM236" s="165"/>
      <c r="AN236" s="165"/>
      <c r="AO236" s="165"/>
    </row>
    <row r="237" ht="15.75" customHeight="1">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c r="AE237" s="165"/>
      <c r="AF237" s="165"/>
      <c r="AG237" s="165"/>
      <c r="AH237" s="165"/>
      <c r="AI237" s="165"/>
      <c r="AJ237" s="165"/>
      <c r="AK237" s="165"/>
      <c r="AL237" s="165"/>
      <c r="AM237" s="165"/>
      <c r="AN237" s="165"/>
      <c r="AO237" s="165"/>
    </row>
    <row r="238" ht="15.75" customHeight="1">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c r="AE238" s="165"/>
      <c r="AF238" s="165"/>
      <c r="AG238" s="165"/>
      <c r="AH238" s="165"/>
      <c r="AI238" s="165"/>
      <c r="AJ238" s="165"/>
      <c r="AK238" s="165"/>
      <c r="AL238" s="165"/>
      <c r="AM238" s="165"/>
      <c r="AN238" s="165"/>
      <c r="AO238" s="165"/>
    </row>
    <row r="239" ht="15.75" customHeight="1">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c r="AE239" s="165"/>
      <c r="AF239" s="165"/>
      <c r="AG239" s="165"/>
      <c r="AH239" s="165"/>
      <c r="AI239" s="165"/>
      <c r="AJ239" s="165"/>
      <c r="AK239" s="165"/>
      <c r="AL239" s="165"/>
      <c r="AM239" s="165"/>
      <c r="AN239" s="165"/>
      <c r="AO239" s="165"/>
    </row>
    <row r="240" ht="15.75" customHeight="1">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c r="AE240" s="165"/>
      <c r="AF240" s="165"/>
      <c r="AG240" s="165"/>
      <c r="AH240" s="165"/>
      <c r="AI240" s="165"/>
      <c r="AJ240" s="165"/>
      <c r="AK240" s="165"/>
      <c r="AL240" s="165"/>
      <c r="AM240" s="165"/>
      <c r="AN240" s="165"/>
      <c r="AO240" s="165"/>
    </row>
    <row r="241" ht="15.75" customHeight="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c r="AE241" s="165"/>
      <c r="AF241" s="165"/>
      <c r="AG241" s="165"/>
      <c r="AH241" s="165"/>
      <c r="AI241" s="165"/>
      <c r="AJ241" s="165"/>
      <c r="AK241" s="165"/>
      <c r="AL241" s="165"/>
      <c r="AM241" s="165"/>
      <c r="AN241" s="165"/>
      <c r="AO241" s="165"/>
    </row>
    <row r="242" ht="15.75" customHeight="1">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c r="AE242" s="165"/>
      <c r="AF242" s="165"/>
      <c r="AG242" s="165"/>
      <c r="AH242" s="165"/>
      <c r="AI242" s="165"/>
      <c r="AJ242" s="165"/>
      <c r="AK242" s="165"/>
      <c r="AL242" s="165"/>
      <c r="AM242" s="165"/>
      <c r="AN242" s="165"/>
      <c r="AO242" s="165"/>
    </row>
    <row r="243" ht="15.75" customHeight="1">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c r="AE243" s="165"/>
      <c r="AF243" s="165"/>
      <c r="AG243" s="165"/>
      <c r="AH243" s="165"/>
      <c r="AI243" s="165"/>
      <c r="AJ243" s="165"/>
      <c r="AK243" s="165"/>
      <c r="AL243" s="165"/>
      <c r="AM243" s="165"/>
      <c r="AN243" s="165"/>
      <c r="AO243" s="165"/>
    </row>
    <row r="244" ht="15.75" customHeight="1">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c r="AE244" s="165"/>
      <c r="AF244" s="165"/>
      <c r="AG244" s="165"/>
      <c r="AH244" s="165"/>
      <c r="AI244" s="165"/>
      <c r="AJ244" s="165"/>
      <c r="AK244" s="165"/>
      <c r="AL244" s="165"/>
      <c r="AM244" s="165"/>
      <c r="AN244" s="165"/>
      <c r="AO244" s="165"/>
    </row>
    <row r="245" ht="15.75" customHeight="1">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c r="AE245" s="165"/>
      <c r="AF245" s="165"/>
      <c r="AG245" s="165"/>
      <c r="AH245" s="165"/>
      <c r="AI245" s="165"/>
      <c r="AJ245" s="165"/>
      <c r="AK245" s="165"/>
      <c r="AL245" s="165"/>
      <c r="AM245" s="165"/>
      <c r="AN245" s="165"/>
      <c r="AO245" s="165"/>
    </row>
    <row r="246" ht="15.75" customHeight="1">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c r="AE246" s="165"/>
      <c r="AF246" s="165"/>
      <c r="AG246" s="165"/>
      <c r="AH246" s="165"/>
      <c r="AI246" s="165"/>
      <c r="AJ246" s="165"/>
      <c r="AK246" s="165"/>
      <c r="AL246" s="165"/>
      <c r="AM246" s="165"/>
      <c r="AN246" s="165"/>
      <c r="AO246" s="165"/>
    </row>
    <row r="247" ht="15.75" customHeight="1">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c r="AE247" s="165"/>
      <c r="AF247" s="165"/>
      <c r="AG247" s="165"/>
      <c r="AH247" s="165"/>
      <c r="AI247" s="165"/>
      <c r="AJ247" s="165"/>
      <c r="AK247" s="165"/>
      <c r="AL247" s="165"/>
      <c r="AM247" s="165"/>
      <c r="AN247" s="165"/>
      <c r="AO247" s="165"/>
    </row>
    <row r="248" ht="15.75" customHeight="1">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c r="AE248" s="165"/>
      <c r="AF248" s="165"/>
      <c r="AG248" s="165"/>
      <c r="AH248" s="165"/>
      <c r="AI248" s="165"/>
      <c r="AJ248" s="165"/>
      <c r="AK248" s="165"/>
      <c r="AL248" s="165"/>
      <c r="AM248" s="165"/>
      <c r="AN248" s="165"/>
      <c r="AO248" s="165"/>
    </row>
    <row r="249" ht="15.75" customHeight="1">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c r="AE249" s="165"/>
      <c r="AF249" s="165"/>
      <c r="AG249" s="165"/>
      <c r="AH249" s="165"/>
      <c r="AI249" s="165"/>
      <c r="AJ249" s="165"/>
      <c r="AK249" s="165"/>
      <c r="AL249" s="165"/>
      <c r="AM249" s="165"/>
      <c r="AN249" s="165"/>
      <c r="AO249" s="165"/>
    </row>
    <row r="250" ht="15.75" customHeight="1">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c r="AE250" s="165"/>
      <c r="AF250" s="165"/>
      <c r="AG250" s="165"/>
      <c r="AH250" s="165"/>
      <c r="AI250" s="165"/>
      <c r="AJ250" s="165"/>
      <c r="AK250" s="165"/>
      <c r="AL250" s="165"/>
      <c r="AM250" s="165"/>
      <c r="AN250" s="165"/>
      <c r="AO250" s="165"/>
    </row>
    <row r="251" ht="15.75"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65"/>
      <c r="AF251" s="165"/>
      <c r="AG251" s="165"/>
      <c r="AH251" s="165"/>
      <c r="AI251" s="165"/>
      <c r="AJ251" s="165"/>
      <c r="AK251" s="165"/>
      <c r="AL251" s="165"/>
      <c r="AM251" s="165"/>
      <c r="AN251" s="165"/>
      <c r="AO251" s="165"/>
    </row>
    <row r="252" ht="15.75"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c r="AE252" s="165"/>
      <c r="AF252" s="165"/>
      <c r="AG252" s="165"/>
      <c r="AH252" s="165"/>
      <c r="AI252" s="165"/>
      <c r="AJ252" s="165"/>
      <c r="AK252" s="165"/>
      <c r="AL252" s="165"/>
      <c r="AM252" s="165"/>
      <c r="AN252" s="165"/>
      <c r="AO252" s="165"/>
    </row>
    <row r="253" ht="15.75"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c r="AE253" s="165"/>
      <c r="AF253" s="165"/>
      <c r="AG253" s="165"/>
      <c r="AH253" s="165"/>
      <c r="AI253" s="165"/>
      <c r="AJ253" s="165"/>
      <c r="AK253" s="165"/>
      <c r="AL253" s="165"/>
      <c r="AM253" s="165"/>
      <c r="AN253" s="165"/>
      <c r="AO253" s="165"/>
    </row>
    <row r="254" ht="15.75"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c r="AE254" s="165"/>
      <c r="AF254" s="165"/>
      <c r="AG254" s="165"/>
      <c r="AH254" s="165"/>
      <c r="AI254" s="165"/>
      <c r="AJ254" s="165"/>
      <c r="AK254" s="165"/>
      <c r="AL254" s="165"/>
      <c r="AM254" s="165"/>
      <c r="AN254" s="165"/>
      <c r="AO254" s="165"/>
    </row>
    <row r="255" ht="15.75"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c r="AE255" s="165"/>
      <c r="AF255" s="165"/>
      <c r="AG255" s="165"/>
      <c r="AH255" s="165"/>
      <c r="AI255" s="165"/>
      <c r="AJ255" s="165"/>
      <c r="AK255" s="165"/>
      <c r="AL255" s="165"/>
      <c r="AM255" s="165"/>
      <c r="AN255" s="165"/>
      <c r="AO255" s="165"/>
    </row>
    <row r="256" ht="15.75"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65"/>
      <c r="AF256" s="165"/>
      <c r="AG256" s="165"/>
      <c r="AH256" s="165"/>
      <c r="AI256" s="165"/>
      <c r="AJ256" s="165"/>
      <c r="AK256" s="165"/>
      <c r="AL256" s="165"/>
      <c r="AM256" s="165"/>
      <c r="AN256" s="165"/>
      <c r="AO256" s="165"/>
    </row>
    <row r="257" ht="15.75"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c r="AE257" s="165"/>
      <c r="AF257" s="165"/>
      <c r="AG257" s="165"/>
      <c r="AH257" s="165"/>
      <c r="AI257" s="165"/>
      <c r="AJ257" s="165"/>
      <c r="AK257" s="165"/>
      <c r="AL257" s="165"/>
      <c r="AM257" s="165"/>
      <c r="AN257" s="165"/>
      <c r="AO257" s="165"/>
    </row>
    <row r="258" ht="15.75"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c r="AE258" s="165"/>
      <c r="AF258" s="165"/>
      <c r="AG258" s="165"/>
      <c r="AH258" s="165"/>
      <c r="AI258" s="165"/>
      <c r="AJ258" s="165"/>
      <c r="AK258" s="165"/>
      <c r="AL258" s="165"/>
      <c r="AM258" s="165"/>
      <c r="AN258" s="165"/>
      <c r="AO258" s="165"/>
    </row>
    <row r="259" ht="15.75"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c r="AE259" s="165"/>
      <c r="AF259" s="165"/>
      <c r="AG259" s="165"/>
      <c r="AH259" s="165"/>
      <c r="AI259" s="165"/>
      <c r="AJ259" s="165"/>
      <c r="AK259" s="165"/>
      <c r="AL259" s="165"/>
      <c r="AM259" s="165"/>
      <c r="AN259" s="165"/>
      <c r="AO259" s="165"/>
    </row>
    <row r="260" ht="15.75"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65"/>
      <c r="AF260" s="165"/>
      <c r="AG260" s="165"/>
      <c r="AH260" s="165"/>
      <c r="AI260" s="165"/>
      <c r="AJ260" s="165"/>
      <c r="AK260" s="165"/>
      <c r="AL260" s="165"/>
      <c r="AM260" s="165"/>
      <c r="AN260" s="165"/>
      <c r="AO260" s="165"/>
    </row>
    <row r="261" ht="15.75"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O261" s="165"/>
    </row>
    <row r="262" ht="15.75"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c r="AE262" s="165"/>
      <c r="AF262" s="165"/>
      <c r="AG262" s="165"/>
      <c r="AH262" s="165"/>
      <c r="AI262" s="165"/>
      <c r="AJ262" s="165"/>
      <c r="AK262" s="165"/>
      <c r="AL262" s="165"/>
      <c r="AM262" s="165"/>
      <c r="AN262" s="165"/>
      <c r="AO262" s="165"/>
    </row>
    <row r="263" ht="15.75"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c r="AE263" s="165"/>
      <c r="AF263" s="165"/>
      <c r="AG263" s="165"/>
      <c r="AH263" s="165"/>
      <c r="AI263" s="165"/>
      <c r="AJ263" s="165"/>
      <c r="AK263" s="165"/>
      <c r="AL263" s="165"/>
      <c r="AM263" s="165"/>
      <c r="AN263" s="165"/>
      <c r="AO263" s="165"/>
    </row>
    <row r="264" ht="15.75"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c r="AE264" s="165"/>
      <c r="AF264" s="165"/>
      <c r="AG264" s="165"/>
      <c r="AH264" s="165"/>
      <c r="AI264" s="165"/>
      <c r="AJ264" s="165"/>
      <c r="AK264" s="165"/>
      <c r="AL264" s="165"/>
      <c r="AM264" s="165"/>
      <c r="AN264" s="165"/>
      <c r="AO264" s="165"/>
    </row>
    <row r="265" ht="15.75"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c r="AE265" s="165"/>
      <c r="AF265" s="165"/>
      <c r="AG265" s="165"/>
      <c r="AH265" s="165"/>
      <c r="AI265" s="165"/>
      <c r="AJ265" s="165"/>
      <c r="AK265" s="165"/>
      <c r="AL265" s="165"/>
      <c r="AM265" s="165"/>
      <c r="AN265" s="165"/>
      <c r="AO265" s="165"/>
    </row>
    <row r="266" ht="15.75"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c r="AE266" s="165"/>
      <c r="AF266" s="165"/>
      <c r="AG266" s="165"/>
      <c r="AH266" s="165"/>
      <c r="AI266" s="165"/>
      <c r="AJ266" s="165"/>
      <c r="AK266" s="165"/>
      <c r="AL266" s="165"/>
      <c r="AM266" s="165"/>
      <c r="AN266" s="165"/>
      <c r="AO266" s="165"/>
    </row>
    <row r="267" ht="15.75"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c r="AE267" s="165"/>
      <c r="AF267" s="165"/>
      <c r="AG267" s="165"/>
      <c r="AH267" s="165"/>
      <c r="AI267" s="165"/>
      <c r="AJ267" s="165"/>
      <c r="AK267" s="165"/>
      <c r="AL267" s="165"/>
      <c r="AM267" s="165"/>
      <c r="AN267" s="165"/>
      <c r="AO267" s="165"/>
    </row>
    <row r="268" ht="15.75"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c r="AE268" s="165"/>
      <c r="AF268" s="165"/>
      <c r="AG268" s="165"/>
      <c r="AH268" s="165"/>
      <c r="AI268" s="165"/>
      <c r="AJ268" s="165"/>
      <c r="AK268" s="165"/>
      <c r="AL268" s="165"/>
      <c r="AM268" s="165"/>
      <c r="AN268" s="165"/>
      <c r="AO268" s="165"/>
    </row>
    <row r="269" ht="15.75"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c r="AE269" s="165"/>
      <c r="AF269" s="165"/>
      <c r="AG269" s="165"/>
      <c r="AH269" s="165"/>
      <c r="AI269" s="165"/>
      <c r="AJ269" s="165"/>
      <c r="AK269" s="165"/>
      <c r="AL269" s="165"/>
      <c r="AM269" s="165"/>
      <c r="AN269" s="165"/>
      <c r="AO269" s="165"/>
    </row>
    <row r="270" ht="15.75"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c r="AE270" s="165"/>
      <c r="AF270" s="165"/>
      <c r="AG270" s="165"/>
      <c r="AH270" s="165"/>
      <c r="AI270" s="165"/>
      <c r="AJ270" s="165"/>
      <c r="AK270" s="165"/>
      <c r="AL270" s="165"/>
      <c r="AM270" s="165"/>
      <c r="AN270" s="165"/>
      <c r="AO270" s="165"/>
    </row>
    <row r="271" ht="15.75"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c r="AE271" s="165"/>
      <c r="AF271" s="165"/>
      <c r="AG271" s="165"/>
      <c r="AH271" s="165"/>
      <c r="AI271" s="165"/>
      <c r="AJ271" s="165"/>
      <c r="AK271" s="165"/>
      <c r="AL271" s="165"/>
      <c r="AM271" s="165"/>
      <c r="AN271" s="165"/>
      <c r="AO271" s="165"/>
    </row>
    <row r="272" ht="15.75"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c r="AE272" s="165"/>
      <c r="AF272" s="165"/>
      <c r="AG272" s="165"/>
      <c r="AH272" s="165"/>
      <c r="AI272" s="165"/>
      <c r="AJ272" s="165"/>
      <c r="AK272" s="165"/>
      <c r="AL272" s="165"/>
      <c r="AM272" s="165"/>
      <c r="AN272" s="165"/>
      <c r="AO272" s="165"/>
    </row>
    <row r="273" ht="15.75"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c r="AE273" s="165"/>
      <c r="AF273" s="165"/>
      <c r="AG273" s="165"/>
      <c r="AH273" s="165"/>
      <c r="AI273" s="165"/>
      <c r="AJ273" s="165"/>
      <c r="AK273" s="165"/>
      <c r="AL273" s="165"/>
      <c r="AM273" s="165"/>
      <c r="AN273" s="165"/>
      <c r="AO273" s="165"/>
    </row>
    <row r="274" ht="15.75"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c r="AE274" s="165"/>
      <c r="AF274" s="165"/>
      <c r="AG274" s="165"/>
      <c r="AH274" s="165"/>
      <c r="AI274" s="165"/>
      <c r="AJ274" s="165"/>
      <c r="AK274" s="165"/>
      <c r="AL274" s="165"/>
      <c r="AM274" s="165"/>
      <c r="AN274" s="165"/>
      <c r="AO274" s="165"/>
    </row>
    <row r="275" ht="15.75"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c r="AE275" s="165"/>
      <c r="AF275" s="165"/>
      <c r="AG275" s="165"/>
      <c r="AH275" s="165"/>
      <c r="AI275" s="165"/>
      <c r="AJ275" s="165"/>
      <c r="AK275" s="165"/>
      <c r="AL275" s="165"/>
      <c r="AM275" s="165"/>
      <c r="AN275" s="165"/>
      <c r="AO275" s="165"/>
    </row>
    <row r="276" ht="15.75"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c r="AE276" s="165"/>
      <c r="AF276" s="165"/>
      <c r="AG276" s="165"/>
      <c r="AH276" s="165"/>
      <c r="AI276" s="165"/>
      <c r="AJ276" s="165"/>
      <c r="AK276" s="165"/>
      <c r="AL276" s="165"/>
      <c r="AM276" s="165"/>
      <c r="AN276" s="165"/>
      <c r="AO276" s="165"/>
    </row>
    <row r="277" ht="15.75"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c r="AE277" s="165"/>
      <c r="AF277" s="165"/>
      <c r="AG277" s="165"/>
      <c r="AH277" s="165"/>
      <c r="AI277" s="165"/>
      <c r="AJ277" s="165"/>
      <c r="AK277" s="165"/>
      <c r="AL277" s="165"/>
      <c r="AM277" s="165"/>
      <c r="AN277" s="165"/>
      <c r="AO277" s="165"/>
    </row>
    <row r="278" ht="15.75"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c r="AE278" s="165"/>
      <c r="AF278" s="165"/>
      <c r="AG278" s="165"/>
      <c r="AH278" s="165"/>
      <c r="AI278" s="165"/>
      <c r="AJ278" s="165"/>
      <c r="AK278" s="165"/>
      <c r="AL278" s="165"/>
      <c r="AM278" s="165"/>
      <c r="AN278" s="165"/>
      <c r="AO278" s="165"/>
    </row>
    <row r="279" ht="15.75"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c r="AE279" s="165"/>
      <c r="AF279" s="165"/>
      <c r="AG279" s="165"/>
      <c r="AH279" s="165"/>
      <c r="AI279" s="165"/>
      <c r="AJ279" s="165"/>
      <c r="AK279" s="165"/>
      <c r="AL279" s="165"/>
      <c r="AM279" s="165"/>
      <c r="AN279" s="165"/>
      <c r="AO279" s="165"/>
    </row>
    <row r="280" ht="15.75"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c r="AE280" s="165"/>
      <c r="AF280" s="165"/>
      <c r="AG280" s="165"/>
      <c r="AH280" s="165"/>
      <c r="AI280" s="165"/>
      <c r="AJ280" s="165"/>
      <c r="AK280" s="165"/>
      <c r="AL280" s="165"/>
      <c r="AM280" s="165"/>
      <c r="AN280" s="165"/>
      <c r="AO280" s="165"/>
    </row>
    <row r="281" ht="15.75"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c r="AE281" s="165"/>
      <c r="AF281" s="165"/>
      <c r="AG281" s="165"/>
      <c r="AH281" s="165"/>
      <c r="AI281" s="165"/>
      <c r="AJ281" s="165"/>
      <c r="AK281" s="165"/>
      <c r="AL281" s="165"/>
      <c r="AM281" s="165"/>
      <c r="AN281" s="165"/>
      <c r="AO281" s="165"/>
    </row>
    <row r="282" ht="15.75"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c r="AE282" s="165"/>
      <c r="AF282" s="165"/>
      <c r="AG282" s="165"/>
      <c r="AH282" s="165"/>
      <c r="AI282" s="165"/>
      <c r="AJ282" s="165"/>
      <c r="AK282" s="165"/>
      <c r="AL282" s="165"/>
      <c r="AM282" s="165"/>
      <c r="AN282" s="165"/>
      <c r="AO282" s="165"/>
    </row>
    <row r="283" ht="15.75"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c r="AE283" s="165"/>
      <c r="AF283" s="165"/>
      <c r="AG283" s="165"/>
      <c r="AH283" s="165"/>
      <c r="AI283" s="165"/>
      <c r="AJ283" s="165"/>
      <c r="AK283" s="165"/>
      <c r="AL283" s="165"/>
      <c r="AM283" s="165"/>
      <c r="AN283" s="165"/>
      <c r="AO283" s="165"/>
    </row>
    <row r="284" ht="15.75"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c r="AE284" s="165"/>
      <c r="AF284" s="165"/>
      <c r="AG284" s="165"/>
      <c r="AH284" s="165"/>
      <c r="AI284" s="165"/>
      <c r="AJ284" s="165"/>
      <c r="AK284" s="165"/>
      <c r="AL284" s="165"/>
      <c r="AM284" s="165"/>
      <c r="AN284" s="165"/>
      <c r="AO284" s="165"/>
    </row>
    <row r="285" ht="15.75"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c r="AE285" s="165"/>
      <c r="AF285" s="165"/>
      <c r="AG285" s="165"/>
      <c r="AH285" s="165"/>
      <c r="AI285" s="165"/>
      <c r="AJ285" s="165"/>
      <c r="AK285" s="165"/>
      <c r="AL285" s="165"/>
      <c r="AM285" s="165"/>
      <c r="AN285" s="165"/>
      <c r="AO285" s="165"/>
    </row>
    <row r="286" ht="15.75"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c r="AE286" s="165"/>
      <c r="AF286" s="165"/>
      <c r="AG286" s="165"/>
      <c r="AH286" s="165"/>
      <c r="AI286" s="165"/>
      <c r="AJ286" s="165"/>
      <c r="AK286" s="165"/>
      <c r="AL286" s="165"/>
      <c r="AM286" s="165"/>
      <c r="AN286" s="165"/>
      <c r="AO286" s="165"/>
    </row>
    <row r="287" ht="15.75"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c r="AE287" s="165"/>
      <c r="AF287" s="165"/>
      <c r="AG287" s="165"/>
      <c r="AH287" s="165"/>
      <c r="AI287" s="165"/>
      <c r="AJ287" s="165"/>
      <c r="AK287" s="165"/>
      <c r="AL287" s="165"/>
      <c r="AM287" s="165"/>
      <c r="AN287" s="165"/>
      <c r="AO287" s="165"/>
    </row>
    <row r="288" ht="15.75"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c r="AE288" s="165"/>
      <c r="AF288" s="165"/>
      <c r="AG288" s="165"/>
      <c r="AH288" s="165"/>
      <c r="AI288" s="165"/>
      <c r="AJ288" s="165"/>
      <c r="AK288" s="165"/>
      <c r="AL288" s="165"/>
      <c r="AM288" s="165"/>
      <c r="AN288" s="165"/>
      <c r="AO288" s="165"/>
    </row>
    <row r="289" ht="15.75"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c r="AE289" s="165"/>
      <c r="AF289" s="165"/>
      <c r="AG289" s="165"/>
      <c r="AH289" s="165"/>
      <c r="AI289" s="165"/>
      <c r="AJ289" s="165"/>
      <c r="AK289" s="165"/>
      <c r="AL289" s="165"/>
      <c r="AM289" s="165"/>
      <c r="AN289" s="165"/>
      <c r="AO289" s="165"/>
    </row>
    <row r="290" ht="15.75"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c r="AE290" s="165"/>
      <c r="AF290" s="165"/>
      <c r="AG290" s="165"/>
      <c r="AH290" s="165"/>
      <c r="AI290" s="165"/>
      <c r="AJ290" s="165"/>
      <c r="AK290" s="165"/>
      <c r="AL290" s="165"/>
      <c r="AM290" s="165"/>
      <c r="AN290" s="165"/>
      <c r="AO290" s="165"/>
    </row>
    <row r="291" ht="15.75"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c r="AE291" s="165"/>
      <c r="AF291" s="165"/>
      <c r="AG291" s="165"/>
      <c r="AH291" s="165"/>
      <c r="AI291" s="165"/>
      <c r="AJ291" s="165"/>
      <c r="AK291" s="165"/>
      <c r="AL291" s="165"/>
      <c r="AM291" s="165"/>
      <c r="AN291" s="165"/>
      <c r="AO291" s="165"/>
    </row>
    <row r="292" ht="15.75"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c r="AE292" s="165"/>
      <c r="AF292" s="165"/>
      <c r="AG292" s="165"/>
      <c r="AH292" s="165"/>
      <c r="AI292" s="165"/>
      <c r="AJ292" s="165"/>
      <c r="AK292" s="165"/>
      <c r="AL292" s="165"/>
      <c r="AM292" s="165"/>
      <c r="AN292" s="165"/>
      <c r="AO292" s="165"/>
    </row>
    <row r="293" ht="15.75"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c r="AE293" s="165"/>
      <c r="AF293" s="165"/>
      <c r="AG293" s="165"/>
      <c r="AH293" s="165"/>
      <c r="AI293" s="165"/>
      <c r="AJ293" s="165"/>
      <c r="AK293" s="165"/>
      <c r="AL293" s="165"/>
      <c r="AM293" s="165"/>
      <c r="AN293" s="165"/>
      <c r="AO293" s="165"/>
    </row>
    <row r="294" ht="15.75"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c r="AE294" s="165"/>
      <c r="AF294" s="165"/>
      <c r="AG294" s="165"/>
      <c r="AH294" s="165"/>
      <c r="AI294" s="165"/>
      <c r="AJ294" s="165"/>
      <c r="AK294" s="165"/>
      <c r="AL294" s="165"/>
      <c r="AM294" s="165"/>
      <c r="AN294" s="165"/>
      <c r="AO294" s="165"/>
    </row>
    <row r="295" ht="15.75"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c r="AE295" s="165"/>
      <c r="AF295" s="165"/>
      <c r="AG295" s="165"/>
      <c r="AH295" s="165"/>
      <c r="AI295" s="165"/>
      <c r="AJ295" s="165"/>
      <c r="AK295" s="165"/>
      <c r="AL295" s="165"/>
      <c r="AM295" s="165"/>
      <c r="AN295" s="165"/>
      <c r="AO295" s="165"/>
    </row>
    <row r="296" ht="15.75"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c r="AE296" s="165"/>
      <c r="AF296" s="165"/>
      <c r="AG296" s="165"/>
      <c r="AH296" s="165"/>
      <c r="AI296" s="165"/>
      <c r="AJ296" s="165"/>
      <c r="AK296" s="165"/>
      <c r="AL296" s="165"/>
      <c r="AM296" s="165"/>
      <c r="AN296" s="165"/>
      <c r="AO296" s="165"/>
    </row>
    <row r="297" ht="15.75"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c r="AE297" s="165"/>
      <c r="AF297" s="165"/>
      <c r="AG297" s="165"/>
      <c r="AH297" s="165"/>
      <c r="AI297" s="165"/>
      <c r="AJ297" s="165"/>
      <c r="AK297" s="165"/>
      <c r="AL297" s="165"/>
      <c r="AM297" s="165"/>
      <c r="AN297" s="165"/>
      <c r="AO297" s="165"/>
    </row>
    <row r="298" ht="15.75"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c r="AE298" s="165"/>
      <c r="AF298" s="165"/>
      <c r="AG298" s="165"/>
      <c r="AH298" s="165"/>
      <c r="AI298" s="165"/>
      <c r="AJ298" s="165"/>
      <c r="AK298" s="165"/>
      <c r="AL298" s="165"/>
      <c r="AM298" s="165"/>
      <c r="AN298" s="165"/>
      <c r="AO298" s="165"/>
    </row>
    <row r="299" ht="15.75"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c r="AE299" s="165"/>
      <c r="AF299" s="165"/>
      <c r="AG299" s="165"/>
      <c r="AH299" s="165"/>
      <c r="AI299" s="165"/>
      <c r="AJ299" s="165"/>
      <c r="AK299" s="165"/>
      <c r="AL299" s="165"/>
      <c r="AM299" s="165"/>
      <c r="AN299" s="165"/>
      <c r="AO299" s="165"/>
    </row>
    <row r="300" ht="15.75"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c r="AE300" s="165"/>
      <c r="AF300" s="165"/>
      <c r="AG300" s="165"/>
      <c r="AH300" s="165"/>
      <c r="AI300" s="165"/>
      <c r="AJ300" s="165"/>
      <c r="AK300" s="165"/>
      <c r="AL300" s="165"/>
      <c r="AM300" s="165"/>
      <c r="AN300" s="165"/>
      <c r="AO300" s="165"/>
    </row>
    <row r="301" ht="15.75"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c r="AE301" s="165"/>
      <c r="AF301" s="165"/>
      <c r="AG301" s="165"/>
      <c r="AH301" s="165"/>
      <c r="AI301" s="165"/>
      <c r="AJ301" s="165"/>
      <c r="AK301" s="165"/>
      <c r="AL301" s="165"/>
      <c r="AM301" s="165"/>
      <c r="AN301" s="165"/>
      <c r="AO301" s="165"/>
    </row>
    <row r="302" ht="15.75"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c r="AE302" s="165"/>
      <c r="AF302" s="165"/>
      <c r="AG302" s="165"/>
      <c r="AH302" s="165"/>
      <c r="AI302" s="165"/>
      <c r="AJ302" s="165"/>
      <c r="AK302" s="165"/>
      <c r="AL302" s="165"/>
      <c r="AM302" s="165"/>
      <c r="AN302" s="165"/>
      <c r="AO302" s="165"/>
    </row>
    <row r="303" ht="15.75"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c r="AE303" s="165"/>
      <c r="AF303" s="165"/>
      <c r="AG303" s="165"/>
      <c r="AH303" s="165"/>
      <c r="AI303" s="165"/>
      <c r="AJ303" s="165"/>
      <c r="AK303" s="165"/>
      <c r="AL303" s="165"/>
      <c r="AM303" s="165"/>
      <c r="AN303" s="165"/>
      <c r="AO303" s="165"/>
    </row>
    <row r="304" ht="15.75"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c r="AE304" s="165"/>
      <c r="AF304" s="165"/>
      <c r="AG304" s="165"/>
      <c r="AH304" s="165"/>
      <c r="AI304" s="165"/>
      <c r="AJ304" s="165"/>
      <c r="AK304" s="165"/>
      <c r="AL304" s="165"/>
      <c r="AM304" s="165"/>
      <c r="AN304" s="165"/>
      <c r="AO304" s="165"/>
    </row>
    <row r="305" ht="15.75"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c r="AE305" s="165"/>
      <c r="AF305" s="165"/>
      <c r="AG305" s="165"/>
      <c r="AH305" s="165"/>
      <c r="AI305" s="165"/>
      <c r="AJ305" s="165"/>
      <c r="AK305" s="165"/>
      <c r="AL305" s="165"/>
      <c r="AM305" s="165"/>
      <c r="AN305" s="165"/>
      <c r="AO305" s="165"/>
    </row>
    <row r="306" ht="15.75"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c r="AE306" s="165"/>
      <c r="AF306" s="165"/>
      <c r="AG306" s="165"/>
      <c r="AH306" s="165"/>
      <c r="AI306" s="165"/>
      <c r="AJ306" s="165"/>
      <c r="AK306" s="165"/>
      <c r="AL306" s="165"/>
      <c r="AM306" s="165"/>
      <c r="AN306" s="165"/>
      <c r="AO306" s="165"/>
    </row>
    <row r="307" ht="15.75" customHeight="1">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c r="AE307" s="165"/>
      <c r="AF307" s="165"/>
      <c r="AG307" s="165"/>
      <c r="AH307" s="165"/>
      <c r="AI307" s="165"/>
      <c r="AJ307" s="165"/>
      <c r="AK307" s="165"/>
      <c r="AL307" s="165"/>
      <c r="AM307" s="165"/>
      <c r="AN307" s="165"/>
      <c r="AO307" s="165"/>
    </row>
    <row r="308" ht="15.75" customHeight="1">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c r="AE308" s="165"/>
      <c r="AF308" s="165"/>
      <c r="AG308" s="165"/>
      <c r="AH308" s="165"/>
      <c r="AI308" s="165"/>
      <c r="AJ308" s="165"/>
      <c r="AK308" s="165"/>
      <c r="AL308" s="165"/>
      <c r="AM308" s="165"/>
      <c r="AN308" s="165"/>
      <c r="AO308" s="165"/>
    </row>
    <row r="309" ht="15.75" customHeight="1">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c r="AE309" s="165"/>
      <c r="AF309" s="165"/>
      <c r="AG309" s="165"/>
      <c r="AH309" s="165"/>
      <c r="AI309" s="165"/>
      <c r="AJ309" s="165"/>
      <c r="AK309" s="165"/>
      <c r="AL309" s="165"/>
      <c r="AM309" s="165"/>
      <c r="AN309" s="165"/>
      <c r="AO309" s="165"/>
    </row>
    <row r="310" ht="15.75" customHeight="1">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c r="AE310" s="165"/>
      <c r="AF310" s="165"/>
      <c r="AG310" s="165"/>
      <c r="AH310" s="165"/>
      <c r="AI310" s="165"/>
      <c r="AJ310" s="165"/>
      <c r="AK310" s="165"/>
      <c r="AL310" s="165"/>
      <c r="AM310" s="165"/>
      <c r="AN310" s="165"/>
      <c r="AO310" s="165"/>
    </row>
    <row r="311" ht="15.75" customHeight="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c r="AE311" s="165"/>
      <c r="AF311" s="165"/>
      <c r="AG311" s="165"/>
      <c r="AH311" s="165"/>
      <c r="AI311" s="165"/>
      <c r="AJ311" s="165"/>
      <c r="AK311" s="165"/>
      <c r="AL311" s="165"/>
      <c r="AM311" s="165"/>
      <c r="AN311" s="165"/>
      <c r="AO311" s="165"/>
    </row>
    <row r="312" ht="15.75" customHeight="1">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c r="AE312" s="165"/>
      <c r="AF312" s="165"/>
      <c r="AG312" s="165"/>
      <c r="AH312" s="165"/>
      <c r="AI312" s="165"/>
      <c r="AJ312" s="165"/>
      <c r="AK312" s="165"/>
      <c r="AL312" s="165"/>
      <c r="AM312" s="165"/>
      <c r="AN312" s="165"/>
      <c r="AO312" s="165"/>
    </row>
    <row r="313" ht="15.75" customHeight="1">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c r="AE313" s="165"/>
      <c r="AF313" s="165"/>
      <c r="AG313" s="165"/>
      <c r="AH313" s="165"/>
      <c r="AI313" s="165"/>
      <c r="AJ313" s="165"/>
      <c r="AK313" s="165"/>
      <c r="AL313" s="165"/>
      <c r="AM313" s="165"/>
      <c r="AN313" s="165"/>
      <c r="AO313" s="165"/>
    </row>
    <row r="314" ht="15.75" customHeight="1">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c r="AE314" s="165"/>
      <c r="AF314" s="165"/>
      <c r="AG314" s="165"/>
      <c r="AH314" s="165"/>
      <c r="AI314" s="165"/>
      <c r="AJ314" s="165"/>
      <c r="AK314" s="165"/>
      <c r="AL314" s="165"/>
      <c r="AM314" s="165"/>
      <c r="AN314" s="165"/>
      <c r="AO314" s="165"/>
    </row>
    <row r="315" ht="15.75" customHeight="1">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c r="AE315" s="165"/>
      <c r="AF315" s="165"/>
      <c r="AG315" s="165"/>
      <c r="AH315" s="165"/>
      <c r="AI315" s="165"/>
      <c r="AJ315" s="165"/>
      <c r="AK315" s="165"/>
      <c r="AL315" s="165"/>
      <c r="AM315" s="165"/>
      <c r="AN315" s="165"/>
      <c r="AO315" s="165"/>
    </row>
    <row r="316" ht="15.75" customHeight="1">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c r="AE316" s="165"/>
      <c r="AF316" s="165"/>
      <c r="AG316" s="165"/>
      <c r="AH316" s="165"/>
      <c r="AI316" s="165"/>
      <c r="AJ316" s="165"/>
      <c r="AK316" s="165"/>
      <c r="AL316" s="165"/>
      <c r="AM316" s="165"/>
      <c r="AN316" s="165"/>
      <c r="AO316" s="165"/>
    </row>
    <row r="317" ht="15.75" customHeight="1">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c r="AE317" s="165"/>
      <c r="AF317" s="165"/>
      <c r="AG317" s="165"/>
      <c r="AH317" s="165"/>
      <c r="AI317" s="165"/>
      <c r="AJ317" s="165"/>
      <c r="AK317" s="165"/>
      <c r="AL317" s="165"/>
      <c r="AM317" s="165"/>
      <c r="AN317" s="165"/>
      <c r="AO317" s="165"/>
    </row>
    <row r="318" ht="15.75" customHeight="1">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c r="AE318" s="165"/>
      <c r="AF318" s="165"/>
      <c r="AG318" s="165"/>
      <c r="AH318" s="165"/>
      <c r="AI318" s="165"/>
      <c r="AJ318" s="165"/>
      <c r="AK318" s="165"/>
      <c r="AL318" s="165"/>
      <c r="AM318" s="165"/>
      <c r="AN318" s="165"/>
      <c r="AO318" s="165"/>
    </row>
    <row r="319" ht="15.75" customHeight="1">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c r="AE319" s="165"/>
      <c r="AF319" s="165"/>
      <c r="AG319" s="165"/>
      <c r="AH319" s="165"/>
      <c r="AI319" s="165"/>
      <c r="AJ319" s="165"/>
      <c r="AK319" s="165"/>
      <c r="AL319" s="165"/>
      <c r="AM319" s="165"/>
      <c r="AN319" s="165"/>
      <c r="AO319" s="165"/>
    </row>
    <row r="320" ht="15.75" customHeight="1">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c r="AE320" s="165"/>
      <c r="AF320" s="165"/>
      <c r="AG320" s="165"/>
      <c r="AH320" s="165"/>
      <c r="AI320" s="165"/>
      <c r="AJ320" s="165"/>
      <c r="AK320" s="165"/>
      <c r="AL320" s="165"/>
      <c r="AM320" s="165"/>
      <c r="AN320" s="165"/>
      <c r="AO320" s="165"/>
    </row>
    <row r="321" ht="15.75" customHeight="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c r="AE321" s="165"/>
      <c r="AF321" s="165"/>
      <c r="AG321" s="165"/>
      <c r="AH321" s="165"/>
      <c r="AI321" s="165"/>
      <c r="AJ321" s="165"/>
      <c r="AK321" s="165"/>
      <c r="AL321" s="165"/>
      <c r="AM321" s="165"/>
      <c r="AN321" s="165"/>
      <c r="AO321" s="165"/>
    </row>
    <row r="322" ht="15.75" customHeight="1">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c r="AE322" s="165"/>
      <c r="AF322" s="165"/>
      <c r="AG322" s="165"/>
      <c r="AH322" s="165"/>
      <c r="AI322" s="165"/>
      <c r="AJ322" s="165"/>
      <c r="AK322" s="165"/>
      <c r="AL322" s="165"/>
      <c r="AM322" s="165"/>
      <c r="AN322" s="165"/>
      <c r="AO322" s="165"/>
    </row>
    <row r="323" ht="15.75" customHeight="1">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c r="AE323" s="165"/>
      <c r="AF323" s="165"/>
      <c r="AG323" s="165"/>
      <c r="AH323" s="165"/>
      <c r="AI323" s="165"/>
      <c r="AJ323" s="165"/>
      <c r="AK323" s="165"/>
      <c r="AL323" s="165"/>
      <c r="AM323" s="165"/>
      <c r="AN323" s="165"/>
      <c r="AO323" s="165"/>
    </row>
    <row r="324" ht="15.75" customHeight="1">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c r="AE324" s="165"/>
      <c r="AF324" s="165"/>
      <c r="AG324" s="165"/>
      <c r="AH324" s="165"/>
      <c r="AI324" s="165"/>
      <c r="AJ324" s="165"/>
      <c r="AK324" s="165"/>
      <c r="AL324" s="165"/>
      <c r="AM324" s="165"/>
      <c r="AN324" s="165"/>
      <c r="AO324" s="165"/>
    </row>
    <row r="325" ht="15.75" customHeight="1">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c r="AE325" s="165"/>
      <c r="AF325" s="165"/>
      <c r="AG325" s="165"/>
      <c r="AH325" s="165"/>
      <c r="AI325" s="165"/>
      <c r="AJ325" s="165"/>
      <c r="AK325" s="165"/>
      <c r="AL325" s="165"/>
      <c r="AM325" s="165"/>
      <c r="AN325" s="165"/>
      <c r="AO325" s="165"/>
    </row>
    <row r="326" ht="15.75" customHeight="1">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c r="AE326" s="165"/>
      <c r="AF326" s="165"/>
      <c r="AG326" s="165"/>
      <c r="AH326" s="165"/>
      <c r="AI326" s="165"/>
      <c r="AJ326" s="165"/>
      <c r="AK326" s="165"/>
      <c r="AL326" s="165"/>
      <c r="AM326" s="165"/>
      <c r="AN326" s="165"/>
      <c r="AO326" s="165"/>
    </row>
    <row r="327" ht="15.75" customHeight="1">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c r="AE327" s="165"/>
      <c r="AF327" s="165"/>
      <c r="AG327" s="165"/>
      <c r="AH327" s="165"/>
      <c r="AI327" s="165"/>
      <c r="AJ327" s="165"/>
      <c r="AK327" s="165"/>
      <c r="AL327" s="165"/>
      <c r="AM327" s="165"/>
      <c r="AN327" s="165"/>
      <c r="AO327" s="165"/>
    </row>
    <row r="328" ht="15.75" customHeight="1">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c r="AE328" s="165"/>
      <c r="AF328" s="165"/>
      <c r="AG328" s="165"/>
      <c r="AH328" s="165"/>
      <c r="AI328" s="165"/>
      <c r="AJ328" s="165"/>
      <c r="AK328" s="165"/>
      <c r="AL328" s="165"/>
      <c r="AM328" s="165"/>
      <c r="AN328" s="165"/>
      <c r="AO328" s="165"/>
    </row>
    <row r="329" ht="15.75" customHeight="1">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c r="AE329" s="165"/>
      <c r="AF329" s="165"/>
      <c r="AG329" s="165"/>
      <c r="AH329" s="165"/>
      <c r="AI329" s="165"/>
      <c r="AJ329" s="165"/>
      <c r="AK329" s="165"/>
      <c r="AL329" s="165"/>
      <c r="AM329" s="165"/>
      <c r="AN329" s="165"/>
      <c r="AO329" s="165"/>
    </row>
    <row r="330" ht="15.75" customHeight="1">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c r="AE330" s="165"/>
      <c r="AF330" s="165"/>
      <c r="AG330" s="165"/>
      <c r="AH330" s="165"/>
      <c r="AI330" s="165"/>
      <c r="AJ330" s="165"/>
      <c r="AK330" s="165"/>
      <c r="AL330" s="165"/>
      <c r="AM330" s="165"/>
      <c r="AN330" s="165"/>
      <c r="AO330" s="165"/>
    </row>
    <row r="331" ht="15.75" customHeight="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c r="AE331" s="165"/>
      <c r="AF331" s="165"/>
      <c r="AG331" s="165"/>
      <c r="AH331" s="165"/>
      <c r="AI331" s="165"/>
      <c r="AJ331" s="165"/>
      <c r="AK331" s="165"/>
      <c r="AL331" s="165"/>
      <c r="AM331" s="165"/>
      <c r="AN331" s="165"/>
      <c r="AO331" s="165"/>
    </row>
    <row r="332" ht="15.75" customHeight="1">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c r="AE332" s="165"/>
      <c r="AF332" s="165"/>
      <c r="AG332" s="165"/>
      <c r="AH332" s="165"/>
      <c r="AI332" s="165"/>
      <c r="AJ332" s="165"/>
      <c r="AK332" s="165"/>
      <c r="AL332" s="165"/>
      <c r="AM332" s="165"/>
      <c r="AN332" s="165"/>
      <c r="AO332" s="165"/>
    </row>
    <row r="333" ht="15.75" customHeight="1">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c r="AE333" s="165"/>
      <c r="AF333" s="165"/>
      <c r="AG333" s="165"/>
      <c r="AH333" s="165"/>
      <c r="AI333" s="165"/>
      <c r="AJ333" s="165"/>
      <c r="AK333" s="165"/>
      <c r="AL333" s="165"/>
      <c r="AM333" s="165"/>
      <c r="AN333" s="165"/>
      <c r="AO333" s="165"/>
    </row>
    <row r="334" ht="15.75" customHeight="1">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c r="AE334" s="165"/>
      <c r="AF334" s="165"/>
      <c r="AG334" s="165"/>
      <c r="AH334" s="165"/>
      <c r="AI334" s="165"/>
      <c r="AJ334" s="165"/>
      <c r="AK334" s="165"/>
      <c r="AL334" s="165"/>
      <c r="AM334" s="165"/>
      <c r="AN334" s="165"/>
      <c r="AO334" s="165"/>
    </row>
    <row r="335" ht="15.75" customHeight="1">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c r="AE335" s="165"/>
      <c r="AF335" s="165"/>
      <c r="AG335" s="165"/>
      <c r="AH335" s="165"/>
      <c r="AI335" s="165"/>
      <c r="AJ335" s="165"/>
      <c r="AK335" s="165"/>
      <c r="AL335" s="165"/>
      <c r="AM335" s="165"/>
      <c r="AN335" s="165"/>
      <c r="AO335" s="165"/>
    </row>
    <row r="336" ht="15.75" customHeight="1">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c r="AE336" s="165"/>
      <c r="AF336" s="165"/>
      <c r="AG336" s="165"/>
      <c r="AH336" s="165"/>
      <c r="AI336" s="165"/>
      <c r="AJ336" s="165"/>
      <c r="AK336" s="165"/>
      <c r="AL336" s="165"/>
      <c r="AM336" s="165"/>
      <c r="AN336" s="165"/>
      <c r="AO336" s="165"/>
    </row>
    <row r="337" ht="15.75" customHeight="1">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c r="AE337" s="165"/>
      <c r="AF337" s="165"/>
      <c r="AG337" s="165"/>
      <c r="AH337" s="165"/>
      <c r="AI337" s="165"/>
      <c r="AJ337" s="165"/>
      <c r="AK337" s="165"/>
      <c r="AL337" s="165"/>
      <c r="AM337" s="165"/>
      <c r="AN337" s="165"/>
      <c r="AO337" s="165"/>
    </row>
    <row r="338" ht="15.75" customHeight="1">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c r="AE338" s="165"/>
      <c r="AF338" s="165"/>
      <c r="AG338" s="165"/>
      <c r="AH338" s="165"/>
      <c r="AI338" s="165"/>
      <c r="AJ338" s="165"/>
      <c r="AK338" s="165"/>
      <c r="AL338" s="165"/>
      <c r="AM338" s="165"/>
      <c r="AN338" s="165"/>
      <c r="AO338" s="165"/>
    </row>
    <row r="339" ht="15.75" customHeight="1">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c r="AE339" s="165"/>
      <c r="AF339" s="165"/>
      <c r="AG339" s="165"/>
      <c r="AH339" s="165"/>
      <c r="AI339" s="165"/>
      <c r="AJ339" s="165"/>
      <c r="AK339" s="165"/>
      <c r="AL339" s="165"/>
      <c r="AM339" s="165"/>
      <c r="AN339" s="165"/>
      <c r="AO339" s="165"/>
    </row>
    <row r="340" ht="15.75" customHeight="1">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c r="AE340" s="165"/>
      <c r="AF340" s="165"/>
      <c r="AG340" s="165"/>
      <c r="AH340" s="165"/>
      <c r="AI340" s="165"/>
      <c r="AJ340" s="165"/>
      <c r="AK340" s="165"/>
      <c r="AL340" s="165"/>
      <c r="AM340" s="165"/>
      <c r="AN340" s="165"/>
      <c r="AO340" s="165"/>
    </row>
    <row r="341" ht="15.75" customHeight="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c r="AE341" s="165"/>
      <c r="AF341" s="165"/>
      <c r="AG341" s="165"/>
      <c r="AH341" s="165"/>
      <c r="AI341" s="165"/>
      <c r="AJ341" s="165"/>
      <c r="AK341" s="165"/>
      <c r="AL341" s="165"/>
      <c r="AM341" s="165"/>
      <c r="AN341" s="165"/>
      <c r="AO341" s="165"/>
    </row>
    <row r="342" ht="15.75" customHeight="1">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c r="AE342" s="165"/>
      <c r="AF342" s="165"/>
      <c r="AG342" s="165"/>
      <c r="AH342" s="165"/>
      <c r="AI342" s="165"/>
      <c r="AJ342" s="165"/>
      <c r="AK342" s="165"/>
      <c r="AL342" s="165"/>
      <c r="AM342" s="165"/>
      <c r="AN342" s="165"/>
      <c r="AO342" s="165"/>
    </row>
    <row r="343" ht="15.75" customHeight="1">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c r="AE343" s="165"/>
      <c r="AF343" s="165"/>
      <c r="AG343" s="165"/>
      <c r="AH343" s="165"/>
      <c r="AI343" s="165"/>
      <c r="AJ343" s="165"/>
      <c r="AK343" s="165"/>
      <c r="AL343" s="165"/>
      <c r="AM343" s="165"/>
      <c r="AN343" s="165"/>
      <c r="AO343" s="165"/>
    </row>
    <row r="344" ht="15.75" customHeight="1">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c r="AE344" s="165"/>
      <c r="AF344" s="165"/>
      <c r="AG344" s="165"/>
      <c r="AH344" s="165"/>
      <c r="AI344" s="165"/>
      <c r="AJ344" s="165"/>
      <c r="AK344" s="165"/>
      <c r="AL344" s="165"/>
      <c r="AM344" s="165"/>
      <c r="AN344" s="165"/>
      <c r="AO344" s="165"/>
    </row>
    <row r="345" ht="15.75" customHeight="1">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c r="AE345" s="165"/>
      <c r="AF345" s="165"/>
      <c r="AG345" s="165"/>
      <c r="AH345" s="165"/>
      <c r="AI345" s="165"/>
      <c r="AJ345" s="165"/>
      <c r="AK345" s="165"/>
      <c r="AL345" s="165"/>
      <c r="AM345" s="165"/>
      <c r="AN345" s="165"/>
      <c r="AO345" s="165"/>
    </row>
    <row r="346" ht="15.75" customHeight="1">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c r="AE346" s="165"/>
      <c r="AF346" s="165"/>
      <c r="AG346" s="165"/>
      <c r="AH346" s="165"/>
      <c r="AI346" s="165"/>
      <c r="AJ346" s="165"/>
      <c r="AK346" s="165"/>
      <c r="AL346" s="165"/>
      <c r="AM346" s="165"/>
      <c r="AN346" s="165"/>
      <c r="AO346" s="165"/>
    </row>
    <row r="347" ht="15.75" customHeight="1">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c r="AE347" s="165"/>
      <c r="AF347" s="165"/>
      <c r="AG347" s="165"/>
      <c r="AH347" s="165"/>
      <c r="AI347" s="165"/>
      <c r="AJ347" s="165"/>
      <c r="AK347" s="165"/>
      <c r="AL347" s="165"/>
      <c r="AM347" s="165"/>
      <c r="AN347" s="165"/>
      <c r="AO347" s="165"/>
    </row>
    <row r="348" ht="15.75" customHeight="1">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c r="AE348" s="165"/>
      <c r="AF348" s="165"/>
      <c r="AG348" s="165"/>
      <c r="AH348" s="165"/>
      <c r="AI348" s="165"/>
      <c r="AJ348" s="165"/>
      <c r="AK348" s="165"/>
      <c r="AL348" s="165"/>
      <c r="AM348" s="165"/>
      <c r="AN348" s="165"/>
      <c r="AO348" s="165"/>
    </row>
    <row r="349" ht="15.75" customHeight="1">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c r="AE349" s="165"/>
      <c r="AF349" s="165"/>
      <c r="AG349" s="165"/>
      <c r="AH349" s="165"/>
      <c r="AI349" s="165"/>
      <c r="AJ349" s="165"/>
      <c r="AK349" s="165"/>
      <c r="AL349" s="165"/>
      <c r="AM349" s="165"/>
      <c r="AN349" s="165"/>
      <c r="AO349" s="165"/>
    </row>
    <row r="350" ht="15.75" customHeight="1">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c r="AE350" s="165"/>
      <c r="AF350" s="165"/>
      <c r="AG350" s="165"/>
      <c r="AH350" s="165"/>
      <c r="AI350" s="165"/>
      <c r="AJ350" s="165"/>
      <c r="AK350" s="165"/>
      <c r="AL350" s="165"/>
      <c r="AM350" s="165"/>
      <c r="AN350" s="165"/>
      <c r="AO350" s="165"/>
    </row>
    <row r="351" ht="15.75" customHeight="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c r="AE351" s="165"/>
      <c r="AF351" s="165"/>
      <c r="AG351" s="165"/>
      <c r="AH351" s="165"/>
      <c r="AI351" s="165"/>
      <c r="AJ351" s="165"/>
      <c r="AK351" s="165"/>
      <c r="AL351" s="165"/>
      <c r="AM351" s="165"/>
      <c r="AN351" s="165"/>
      <c r="AO351" s="165"/>
    </row>
    <row r="352" ht="15.75" customHeight="1">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c r="AE352" s="165"/>
      <c r="AF352" s="165"/>
      <c r="AG352" s="165"/>
      <c r="AH352" s="165"/>
      <c r="AI352" s="165"/>
      <c r="AJ352" s="165"/>
      <c r="AK352" s="165"/>
      <c r="AL352" s="165"/>
      <c r="AM352" s="165"/>
      <c r="AN352" s="165"/>
      <c r="AO352" s="165"/>
    </row>
    <row r="353" ht="15.75" customHeight="1">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c r="AE353" s="165"/>
      <c r="AF353" s="165"/>
      <c r="AG353" s="165"/>
      <c r="AH353" s="165"/>
      <c r="AI353" s="165"/>
      <c r="AJ353" s="165"/>
      <c r="AK353" s="165"/>
      <c r="AL353" s="165"/>
      <c r="AM353" s="165"/>
      <c r="AN353" s="165"/>
      <c r="AO353" s="165"/>
    </row>
    <row r="354" ht="15.75" customHeight="1">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c r="AE354" s="165"/>
      <c r="AF354" s="165"/>
      <c r="AG354" s="165"/>
      <c r="AH354" s="165"/>
      <c r="AI354" s="165"/>
      <c r="AJ354" s="165"/>
      <c r="AK354" s="165"/>
      <c r="AL354" s="165"/>
      <c r="AM354" s="165"/>
      <c r="AN354" s="165"/>
      <c r="AO354" s="165"/>
    </row>
    <row r="355" ht="15.75" customHeight="1">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c r="AE355" s="165"/>
      <c r="AF355" s="165"/>
      <c r="AG355" s="165"/>
      <c r="AH355" s="165"/>
      <c r="AI355" s="165"/>
      <c r="AJ355" s="165"/>
      <c r="AK355" s="165"/>
      <c r="AL355" s="165"/>
      <c r="AM355" s="165"/>
      <c r="AN355" s="165"/>
      <c r="AO355" s="165"/>
    </row>
    <row r="356" ht="15.75" customHeight="1">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c r="AE356" s="165"/>
      <c r="AF356" s="165"/>
      <c r="AG356" s="165"/>
      <c r="AH356" s="165"/>
      <c r="AI356" s="165"/>
      <c r="AJ356" s="165"/>
      <c r="AK356" s="165"/>
      <c r="AL356" s="165"/>
      <c r="AM356" s="165"/>
      <c r="AN356" s="165"/>
      <c r="AO356" s="165"/>
    </row>
    <row r="357" ht="15.75" customHeight="1">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c r="AE357" s="165"/>
      <c r="AF357" s="165"/>
      <c r="AG357" s="165"/>
      <c r="AH357" s="165"/>
      <c r="AI357" s="165"/>
      <c r="AJ357" s="165"/>
      <c r="AK357" s="165"/>
      <c r="AL357" s="165"/>
      <c r="AM357" s="165"/>
      <c r="AN357" s="165"/>
      <c r="AO357" s="165"/>
    </row>
    <row r="358" ht="15.75" customHeight="1">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c r="AE358" s="165"/>
      <c r="AF358" s="165"/>
      <c r="AG358" s="165"/>
      <c r="AH358" s="165"/>
      <c r="AI358" s="165"/>
      <c r="AJ358" s="165"/>
      <c r="AK358" s="165"/>
      <c r="AL358" s="165"/>
      <c r="AM358" s="165"/>
      <c r="AN358" s="165"/>
      <c r="AO358" s="165"/>
    </row>
    <row r="359" ht="15.75" customHeight="1">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c r="AE359" s="165"/>
      <c r="AF359" s="165"/>
      <c r="AG359" s="165"/>
      <c r="AH359" s="165"/>
      <c r="AI359" s="165"/>
      <c r="AJ359" s="165"/>
      <c r="AK359" s="165"/>
      <c r="AL359" s="165"/>
      <c r="AM359" s="165"/>
      <c r="AN359" s="165"/>
      <c r="AO359" s="165"/>
    </row>
    <row r="360" ht="15.75" customHeight="1">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c r="AE360" s="165"/>
      <c r="AF360" s="165"/>
      <c r="AG360" s="165"/>
      <c r="AH360" s="165"/>
      <c r="AI360" s="165"/>
      <c r="AJ360" s="165"/>
      <c r="AK360" s="165"/>
      <c r="AL360" s="165"/>
      <c r="AM360" s="165"/>
      <c r="AN360" s="165"/>
      <c r="AO360" s="165"/>
    </row>
    <row r="361" ht="15.75" customHeight="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c r="AE361" s="165"/>
      <c r="AF361" s="165"/>
      <c r="AG361" s="165"/>
      <c r="AH361" s="165"/>
      <c r="AI361" s="165"/>
      <c r="AJ361" s="165"/>
      <c r="AK361" s="165"/>
      <c r="AL361" s="165"/>
      <c r="AM361" s="165"/>
      <c r="AN361" s="165"/>
      <c r="AO361" s="165"/>
    </row>
    <row r="362" ht="15.75" customHeight="1">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c r="AE362" s="165"/>
      <c r="AF362" s="165"/>
      <c r="AG362" s="165"/>
      <c r="AH362" s="165"/>
      <c r="AI362" s="165"/>
      <c r="AJ362" s="165"/>
      <c r="AK362" s="165"/>
      <c r="AL362" s="165"/>
      <c r="AM362" s="165"/>
      <c r="AN362" s="165"/>
      <c r="AO362" s="165"/>
    </row>
    <row r="363" ht="15.75" customHeight="1">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c r="AE363" s="165"/>
      <c r="AF363" s="165"/>
      <c r="AG363" s="165"/>
      <c r="AH363" s="165"/>
      <c r="AI363" s="165"/>
      <c r="AJ363" s="165"/>
      <c r="AK363" s="165"/>
      <c r="AL363" s="165"/>
      <c r="AM363" s="165"/>
      <c r="AN363" s="165"/>
      <c r="AO363" s="165"/>
    </row>
    <row r="364" ht="15.75" customHeight="1">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c r="AE364" s="165"/>
      <c r="AF364" s="165"/>
      <c r="AG364" s="165"/>
      <c r="AH364" s="165"/>
      <c r="AI364" s="165"/>
      <c r="AJ364" s="165"/>
      <c r="AK364" s="165"/>
      <c r="AL364" s="165"/>
      <c r="AM364" s="165"/>
      <c r="AN364" s="165"/>
      <c r="AO364" s="165"/>
    </row>
    <row r="365" ht="15.75" customHeight="1">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c r="AE365" s="165"/>
      <c r="AF365" s="165"/>
      <c r="AG365" s="165"/>
      <c r="AH365" s="165"/>
      <c r="AI365" s="165"/>
      <c r="AJ365" s="165"/>
      <c r="AK365" s="165"/>
      <c r="AL365" s="165"/>
      <c r="AM365" s="165"/>
      <c r="AN365" s="165"/>
      <c r="AO365" s="165"/>
    </row>
    <row r="366" ht="15.75" customHeight="1">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c r="AE366" s="165"/>
      <c r="AF366" s="165"/>
      <c r="AG366" s="165"/>
      <c r="AH366" s="165"/>
      <c r="AI366" s="165"/>
      <c r="AJ366" s="165"/>
      <c r="AK366" s="165"/>
      <c r="AL366" s="165"/>
      <c r="AM366" s="165"/>
      <c r="AN366" s="165"/>
      <c r="AO366" s="165"/>
    </row>
    <row r="367" ht="15.75" customHeight="1">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c r="AE367" s="165"/>
      <c r="AF367" s="165"/>
      <c r="AG367" s="165"/>
      <c r="AH367" s="165"/>
      <c r="AI367" s="165"/>
      <c r="AJ367" s="165"/>
      <c r="AK367" s="165"/>
      <c r="AL367" s="165"/>
      <c r="AM367" s="165"/>
      <c r="AN367" s="165"/>
      <c r="AO367" s="165"/>
    </row>
    <row r="368" ht="15.75" customHeight="1">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c r="AE368" s="165"/>
      <c r="AF368" s="165"/>
      <c r="AG368" s="165"/>
      <c r="AH368" s="165"/>
      <c r="AI368" s="165"/>
      <c r="AJ368" s="165"/>
      <c r="AK368" s="165"/>
      <c r="AL368" s="165"/>
      <c r="AM368" s="165"/>
      <c r="AN368" s="165"/>
      <c r="AO368" s="165"/>
    </row>
    <row r="369" ht="15.75" customHeight="1">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c r="AE369" s="165"/>
      <c r="AF369" s="165"/>
      <c r="AG369" s="165"/>
      <c r="AH369" s="165"/>
      <c r="AI369" s="165"/>
      <c r="AJ369" s="165"/>
      <c r="AK369" s="165"/>
      <c r="AL369" s="165"/>
      <c r="AM369" s="165"/>
      <c r="AN369" s="165"/>
      <c r="AO369" s="165"/>
    </row>
    <row r="370" ht="15.75" customHeight="1">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c r="AE370" s="165"/>
      <c r="AF370" s="165"/>
      <c r="AG370" s="165"/>
      <c r="AH370" s="165"/>
      <c r="AI370" s="165"/>
      <c r="AJ370" s="165"/>
      <c r="AK370" s="165"/>
      <c r="AL370" s="165"/>
      <c r="AM370" s="165"/>
      <c r="AN370" s="165"/>
      <c r="AO370" s="165"/>
    </row>
    <row r="371" ht="15.75" customHeight="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c r="AE371" s="165"/>
      <c r="AF371" s="165"/>
      <c r="AG371" s="165"/>
      <c r="AH371" s="165"/>
      <c r="AI371" s="165"/>
      <c r="AJ371" s="165"/>
      <c r="AK371" s="165"/>
      <c r="AL371" s="165"/>
      <c r="AM371" s="165"/>
      <c r="AN371" s="165"/>
      <c r="AO371" s="165"/>
    </row>
    <row r="372" ht="15.75" customHeight="1">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c r="AE372" s="165"/>
      <c r="AF372" s="165"/>
      <c r="AG372" s="165"/>
      <c r="AH372" s="165"/>
      <c r="AI372" s="165"/>
      <c r="AJ372" s="165"/>
      <c r="AK372" s="165"/>
      <c r="AL372" s="165"/>
      <c r="AM372" s="165"/>
      <c r="AN372" s="165"/>
      <c r="AO372" s="165"/>
    </row>
    <row r="373" ht="15.75" customHeight="1">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c r="AE373" s="165"/>
      <c r="AF373" s="165"/>
      <c r="AG373" s="165"/>
      <c r="AH373" s="165"/>
      <c r="AI373" s="165"/>
      <c r="AJ373" s="165"/>
      <c r="AK373" s="165"/>
      <c r="AL373" s="165"/>
      <c r="AM373" s="165"/>
      <c r="AN373" s="165"/>
      <c r="AO373" s="165"/>
    </row>
    <row r="374" ht="15.75" customHeight="1">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c r="AE374" s="165"/>
      <c r="AF374" s="165"/>
      <c r="AG374" s="165"/>
      <c r="AH374" s="165"/>
      <c r="AI374" s="165"/>
      <c r="AJ374" s="165"/>
      <c r="AK374" s="165"/>
      <c r="AL374" s="165"/>
      <c r="AM374" s="165"/>
      <c r="AN374" s="165"/>
      <c r="AO374" s="165"/>
    </row>
    <row r="375" ht="15.75" customHeight="1">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c r="AE375" s="165"/>
      <c r="AF375" s="165"/>
      <c r="AG375" s="165"/>
      <c r="AH375" s="165"/>
      <c r="AI375" s="165"/>
      <c r="AJ375" s="165"/>
      <c r="AK375" s="165"/>
      <c r="AL375" s="165"/>
      <c r="AM375" s="165"/>
      <c r="AN375" s="165"/>
      <c r="AO375" s="165"/>
    </row>
    <row r="376" ht="15.75" customHeight="1">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c r="AE376" s="165"/>
      <c r="AF376" s="165"/>
      <c r="AG376" s="165"/>
      <c r="AH376" s="165"/>
      <c r="AI376" s="165"/>
      <c r="AJ376" s="165"/>
      <c r="AK376" s="165"/>
      <c r="AL376" s="165"/>
      <c r="AM376" s="165"/>
      <c r="AN376" s="165"/>
      <c r="AO376" s="165"/>
    </row>
    <row r="377" ht="15.75" customHeight="1">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c r="AE377" s="165"/>
      <c r="AF377" s="165"/>
      <c r="AG377" s="165"/>
      <c r="AH377" s="165"/>
      <c r="AI377" s="165"/>
      <c r="AJ377" s="165"/>
      <c r="AK377" s="165"/>
      <c r="AL377" s="165"/>
      <c r="AM377" s="165"/>
      <c r="AN377" s="165"/>
      <c r="AO377" s="165"/>
    </row>
    <row r="378" ht="15.75" customHeight="1">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c r="AE378" s="165"/>
      <c r="AF378" s="165"/>
      <c r="AG378" s="165"/>
      <c r="AH378" s="165"/>
      <c r="AI378" s="165"/>
      <c r="AJ378" s="165"/>
      <c r="AK378" s="165"/>
      <c r="AL378" s="165"/>
      <c r="AM378" s="165"/>
      <c r="AN378" s="165"/>
      <c r="AO378" s="165"/>
    </row>
    <row r="379" ht="15.75" customHeight="1">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c r="AE379" s="165"/>
      <c r="AF379" s="165"/>
      <c r="AG379" s="165"/>
      <c r="AH379" s="165"/>
      <c r="AI379" s="165"/>
      <c r="AJ379" s="165"/>
      <c r="AK379" s="165"/>
      <c r="AL379" s="165"/>
      <c r="AM379" s="165"/>
      <c r="AN379" s="165"/>
      <c r="AO379" s="165"/>
    </row>
    <row r="380" ht="15.75" customHeight="1">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c r="AE380" s="165"/>
      <c r="AF380" s="165"/>
      <c r="AG380" s="165"/>
      <c r="AH380" s="165"/>
      <c r="AI380" s="165"/>
      <c r="AJ380" s="165"/>
      <c r="AK380" s="165"/>
      <c r="AL380" s="165"/>
      <c r="AM380" s="165"/>
      <c r="AN380" s="165"/>
      <c r="AO380" s="165"/>
    </row>
    <row r="381" ht="15.75" customHeight="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c r="AE381" s="165"/>
      <c r="AF381" s="165"/>
      <c r="AG381" s="165"/>
      <c r="AH381" s="165"/>
      <c r="AI381" s="165"/>
      <c r="AJ381" s="165"/>
      <c r="AK381" s="165"/>
      <c r="AL381" s="165"/>
      <c r="AM381" s="165"/>
      <c r="AN381" s="165"/>
      <c r="AO381" s="165"/>
    </row>
    <row r="382" ht="15.75" customHeight="1">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c r="AE382" s="165"/>
      <c r="AF382" s="165"/>
      <c r="AG382" s="165"/>
      <c r="AH382" s="165"/>
      <c r="AI382" s="165"/>
      <c r="AJ382" s="165"/>
      <c r="AK382" s="165"/>
      <c r="AL382" s="165"/>
      <c r="AM382" s="165"/>
      <c r="AN382" s="165"/>
      <c r="AO382" s="165"/>
    </row>
    <row r="383" ht="15.75" customHeight="1">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c r="AE383" s="165"/>
      <c r="AF383" s="165"/>
      <c r="AG383" s="165"/>
      <c r="AH383" s="165"/>
      <c r="AI383" s="165"/>
      <c r="AJ383" s="165"/>
      <c r="AK383" s="165"/>
      <c r="AL383" s="165"/>
      <c r="AM383" s="165"/>
      <c r="AN383" s="165"/>
      <c r="AO383" s="165"/>
    </row>
    <row r="384" ht="15.75" customHeight="1">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c r="AE384" s="165"/>
      <c r="AF384" s="165"/>
      <c r="AG384" s="165"/>
      <c r="AH384" s="165"/>
      <c r="AI384" s="165"/>
      <c r="AJ384" s="165"/>
      <c r="AK384" s="165"/>
      <c r="AL384" s="165"/>
      <c r="AM384" s="165"/>
      <c r="AN384" s="165"/>
      <c r="AO384" s="165"/>
    </row>
    <row r="385" ht="15.75" customHeight="1">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c r="AE385" s="165"/>
      <c r="AF385" s="165"/>
      <c r="AG385" s="165"/>
      <c r="AH385" s="165"/>
      <c r="AI385" s="165"/>
      <c r="AJ385" s="165"/>
      <c r="AK385" s="165"/>
      <c r="AL385" s="165"/>
      <c r="AM385" s="165"/>
      <c r="AN385" s="165"/>
      <c r="AO385" s="165"/>
    </row>
    <row r="386" ht="15.75" customHeight="1">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c r="AE386" s="165"/>
      <c r="AF386" s="165"/>
      <c r="AG386" s="165"/>
      <c r="AH386" s="165"/>
      <c r="AI386" s="165"/>
      <c r="AJ386" s="165"/>
      <c r="AK386" s="165"/>
      <c r="AL386" s="165"/>
      <c r="AM386" s="165"/>
      <c r="AN386" s="165"/>
      <c r="AO386" s="165"/>
    </row>
    <row r="387" ht="15.75" customHeight="1">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c r="AE387" s="165"/>
      <c r="AF387" s="165"/>
      <c r="AG387" s="165"/>
      <c r="AH387" s="165"/>
      <c r="AI387" s="165"/>
      <c r="AJ387" s="165"/>
      <c r="AK387" s="165"/>
      <c r="AL387" s="165"/>
      <c r="AM387" s="165"/>
      <c r="AN387" s="165"/>
      <c r="AO387" s="165"/>
    </row>
    <row r="388" ht="15.75" customHeight="1">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c r="AE388" s="165"/>
      <c r="AF388" s="165"/>
      <c r="AG388" s="165"/>
      <c r="AH388" s="165"/>
      <c r="AI388" s="165"/>
      <c r="AJ388" s="165"/>
      <c r="AK388" s="165"/>
      <c r="AL388" s="165"/>
      <c r="AM388" s="165"/>
      <c r="AN388" s="165"/>
      <c r="AO388" s="165"/>
    </row>
    <row r="389" ht="15.75" customHeight="1">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c r="AE389" s="165"/>
      <c r="AF389" s="165"/>
      <c r="AG389" s="165"/>
      <c r="AH389" s="165"/>
      <c r="AI389" s="165"/>
      <c r="AJ389" s="165"/>
      <c r="AK389" s="165"/>
      <c r="AL389" s="165"/>
      <c r="AM389" s="165"/>
      <c r="AN389" s="165"/>
      <c r="AO389" s="165"/>
    </row>
    <row r="390" ht="15.75" customHeight="1">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c r="AE390" s="165"/>
      <c r="AF390" s="165"/>
      <c r="AG390" s="165"/>
      <c r="AH390" s="165"/>
      <c r="AI390" s="165"/>
      <c r="AJ390" s="165"/>
      <c r="AK390" s="165"/>
      <c r="AL390" s="165"/>
      <c r="AM390" s="165"/>
      <c r="AN390" s="165"/>
      <c r="AO390" s="165"/>
    </row>
    <row r="391" ht="15.75" customHeight="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c r="AE391" s="165"/>
      <c r="AF391" s="165"/>
      <c r="AG391" s="165"/>
      <c r="AH391" s="165"/>
      <c r="AI391" s="165"/>
      <c r="AJ391" s="165"/>
      <c r="AK391" s="165"/>
      <c r="AL391" s="165"/>
      <c r="AM391" s="165"/>
      <c r="AN391" s="165"/>
      <c r="AO391" s="165"/>
    </row>
    <row r="392" ht="15.75" customHeight="1">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c r="AE392" s="165"/>
      <c r="AF392" s="165"/>
      <c r="AG392" s="165"/>
      <c r="AH392" s="165"/>
      <c r="AI392" s="165"/>
      <c r="AJ392" s="165"/>
      <c r="AK392" s="165"/>
      <c r="AL392" s="165"/>
      <c r="AM392" s="165"/>
      <c r="AN392" s="165"/>
      <c r="AO392" s="165"/>
    </row>
    <row r="393" ht="15.75" customHeight="1">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c r="AE393" s="165"/>
      <c r="AF393" s="165"/>
      <c r="AG393" s="165"/>
      <c r="AH393" s="165"/>
      <c r="AI393" s="165"/>
      <c r="AJ393" s="165"/>
      <c r="AK393" s="165"/>
      <c r="AL393" s="165"/>
      <c r="AM393" s="165"/>
      <c r="AN393" s="165"/>
      <c r="AO393" s="165"/>
    </row>
    <row r="394" ht="15.75" customHeight="1">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c r="AE394" s="165"/>
      <c r="AF394" s="165"/>
      <c r="AG394" s="165"/>
      <c r="AH394" s="165"/>
      <c r="AI394" s="165"/>
      <c r="AJ394" s="165"/>
      <c r="AK394" s="165"/>
      <c r="AL394" s="165"/>
      <c r="AM394" s="165"/>
      <c r="AN394" s="165"/>
      <c r="AO394" s="165"/>
    </row>
    <row r="395" ht="15.75" customHeight="1">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c r="AE395" s="165"/>
      <c r="AF395" s="165"/>
      <c r="AG395" s="165"/>
      <c r="AH395" s="165"/>
      <c r="AI395" s="165"/>
      <c r="AJ395" s="165"/>
      <c r="AK395" s="165"/>
      <c r="AL395" s="165"/>
      <c r="AM395" s="165"/>
      <c r="AN395" s="165"/>
      <c r="AO395" s="165"/>
    </row>
    <row r="396" ht="15.75" customHeight="1">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c r="AE396" s="165"/>
      <c r="AF396" s="165"/>
      <c r="AG396" s="165"/>
      <c r="AH396" s="165"/>
      <c r="AI396" s="165"/>
      <c r="AJ396" s="165"/>
      <c r="AK396" s="165"/>
      <c r="AL396" s="165"/>
      <c r="AM396" s="165"/>
      <c r="AN396" s="165"/>
      <c r="AO396" s="165"/>
    </row>
    <row r="397" ht="15.75" customHeight="1">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c r="AE397" s="165"/>
      <c r="AF397" s="165"/>
      <c r="AG397" s="165"/>
      <c r="AH397" s="165"/>
      <c r="AI397" s="165"/>
      <c r="AJ397" s="165"/>
      <c r="AK397" s="165"/>
      <c r="AL397" s="165"/>
      <c r="AM397" s="165"/>
      <c r="AN397" s="165"/>
      <c r="AO397" s="165"/>
    </row>
    <row r="398" ht="15.75" customHeight="1">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c r="AE398" s="165"/>
      <c r="AF398" s="165"/>
      <c r="AG398" s="165"/>
      <c r="AH398" s="165"/>
      <c r="AI398" s="165"/>
      <c r="AJ398" s="165"/>
      <c r="AK398" s="165"/>
      <c r="AL398" s="165"/>
      <c r="AM398" s="165"/>
      <c r="AN398" s="165"/>
      <c r="AO398" s="165"/>
    </row>
    <row r="399" ht="15.75" customHeight="1">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c r="AE399" s="165"/>
      <c r="AF399" s="165"/>
      <c r="AG399" s="165"/>
      <c r="AH399" s="165"/>
      <c r="AI399" s="165"/>
      <c r="AJ399" s="165"/>
      <c r="AK399" s="165"/>
      <c r="AL399" s="165"/>
      <c r="AM399" s="165"/>
      <c r="AN399" s="165"/>
      <c r="AO399" s="165"/>
    </row>
    <row r="400" ht="15.75" customHeight="1">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c r="AE400" s="165"/>
      <c r="AF400" s="165"/>
      <c r="AG400" s="165"/>
      <c r="AH400" s="165"/>
      <c r="AI400" s="165"/>
      <c r="AJ400" s="165"/>
      <c r="AK400" s="165"/>
      <c r="AL400" s="165"/>
      <c r="AM400" s="165"/>
      <c r="AN400" s="165"/>
      <c r="AO400" s="165"/>
    </row>
    <row r="401" ht="15.75" customHeight="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c r="AE401" s="165"/>
      <c r="AF401" s="165"/>
      <c r="AG401" s="165"/>
      <c r="AH401" s="165"/>
      <c r="AI401" s="165"/>
      <c r="AJ401" s="165"/>
      <c r="AK401" s="165"/>
      <c r="AL401" s="165"/>
      <c r="AM401" s="165"/>
      <c r="AN401" s="165"/>
      <c r="AO401" s="165"/>
    </row>
    <row r="402" ht="15.75" customHeight="1">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c r="AE402" s="165"/>
      <c r="AF402" s="165"/>
      <c r="AG402" s="165"/>
      <c r="AH402" s="165"/>
      <c r="AI402" s="165"/>
      <c r="AJ402" s="165"/>
      <c r="AK402" s="165"/>
      <c r="AL402" s="165"/>
      <c r="AM402" s="165"/>
      <c r="AN402" s="165"/>
      <c r="AO402" s="165"/>
    </row>
    <row r="403" ht="15.75" customHeight="1">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c r="AE403" s="165"/>
      <c r="AF403" s="165"/>
      <c r="AG403" s="165"/>
      <c r="AH403" s="165"/>
      <c r="AI403" s="165"/>
      <c r="AJ403" s="165"/>
      <c r="AK403" s="165"/>
      <c r="AL403" s="165"/>
      <c r="AM403" s="165"/>
      <c r="AN403" s="165"/>
      <c r="AO403" s="165"/>
    </row>
    <row r="404" ht="15.75" customHeight="1">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c r="AE404" s="165"/>
      <c r="AF404" s="165"/>
      <c r="AG404" s="165"/>
      <c r="AH404" s="165"/>
      <c r="AI404" s="165"/>
      <c r="AJ404" s="165"/>
      <c r="AK404" s="165"/>
      <c r="AL404" s="165"/>
      <c r="AM404" s="165"/>
      <c r="AN404" s="165"/>
      <c r="AO404" s="165"/>
    </row>
    <row r="405" ht="15.75" customHeight="1">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c r="AE405" s="165"/>
      <c r="AF405" s="165"/>
      <c r="AG405" s="165"/>
      <c r="AH405" s="165"/>
      <c r="AI405" s="165"/>
      <c r="AJ405" s="165"/>
      <c r="AK405" s="165"/>
      <c r="AL405" s="165"/>
      <c r="AM405" s="165"/>
      <c r="AN405" s="165"/>
      <c r="AO405" s="165"/>
    </row>
    <row r="406" ht="15.75" customHeight="1">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c r="AE406" s="165"/>
      <c r="AF406" s="165"/>
      <c r="AG406" s="165"/>
      <c r="AH406" s="165"/>
      <c r="AI406" s="165"/>
      <c r="AJ406" s="165"/>
      <c r="AK406" s="165"/>
      <c r="AL406" s="165"/>
      <c r="AM406" s="165"/>
      <c r="AN406" s="165"/>
      <c r="AO406" s="165"/>
    </row>
    <row r="407" ht="15.75" customHeight="1">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c r="AE407" s="165"/>
      <c r="AF407" s="165"/>
      <c r="AG407" s="165"/>
      <c r="AH407" s="165"/>
      <c r="AI407" s="165"/>
      <c r="AJ407" s="165"/>
      <c r="AK407" s="165"/>
      <c r="AL407" s="165"/>
      <c r="AM407" s="165"/>
      <c r="AN407" s="165"/>
      <c r="AO407" s="165"/>
    </row>
    <row r="408" ht="15.75" customHeight="1">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c r="AE408" s="165"/>
      <c r="AF408" s="165"/>
      <c r="AG408" s="165"/>
      <c r="AH408" s="165"/>
      <c r="AI408" s="165"/>
      <c r="AJ408" s="165"/>
      <c r="AK408" s="165"/>
      <c r="AL408" s="165"/>
      <c r="AM408" s="165"/>
      <c r="AN408" s="165"/>
      <c r="AO408" s="165"/>
    </row>
    <row r="409" ht="15.75" customHeight="1">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c r="AE409" s="165"/>
      <c r="AF409" s="165"/>
      <c r="AG409" s="165"/>
      <c r="AH409" s="165"/>
      <c r="AI409" s="165"/>
      <c r="AJ409" s="165"/>
      <c r="AK409" s="165"/>
      <c r="AL409" s="165"/>
      <c r="AM409" s="165"/>
      <c r="AN409" s="165"/>
      <c r="AO409" s="165"/>
    </row>
    <row r="410" ht="15.75" customHeight="1">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c r="AE410" s="165"/>
      <c r="AF410" s="165"/>
      <c r="AG410" s="165"/>
      <c r="AH410" s="165"/>
      <c r="AI410" s="165"/>
      <c r="AJ410" s="165"/>
      <c r="AK410" s="165"/>
      <c r="AL410" s="165"/>
      <c r="AM410" s="165"/>
      <c r="AN410" s="165"/>
      <c r="AO410" s="165"/>
    </row>
    <row r="411" ht="15.75" customHeight="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c r="AE411" s="165"/>
      <c r="AF411" s="165"/>
      <c r="AG411" s="165"/>
      <c r="AH411" s="165"/>
      <c r="AI411" s="165"/>
      <c r="AJ411" s="165"/>
      <c r="AK411" s="165"/>
      <c r="AL411" s="165"/>
      <c r="AM411" s="165"/>
      <c r="AN411" s="165"/>
      <c r="AO411" s="165"/>
    </row>
    <row r="412" ht="15.75" customHeight="1">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c r="AE412" s="165"/>
      <c r="AF412" s="165"/>
      <c r="AG412" s="165"/>
      <c r="AH412" s="165"/>
      <c r="AI412" s="165"/>
      <c r="AJ412" s="165"/>
      <c r="AK412" s="165"/>
      <c r="AL412" s="165"/>
      <c r="AM412" s="165"/>
      <c r="AN412" s="165"/>
      <c r="AO412" s="165"/>
    </row>
    <row r="413" ht="15.75" customHeight="1">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c r="AE413" s="165"/>
      <c r="AF413" s="165"/>
      <c r="AG413" s="165"/>
      <c r="AH413" s="165"/>
      <c r="AI413" s="165"/>
      <c r="AJ413" s="165"/>
      <c r="AK413" s="165"/>
      <c r="AL413" s="165"/>
      <c r="AM413" s="165"/>
      <c r="AN413" s="165"/>
      <c r="AO413" s="165"/>
    </row>
    <row r="414" ht="15.75" customHeight="1">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c r="AE414" s="165"/>
      <c r="AF414" s="165"/>
      <c r="AG414" s="165"/>
      <c r="AH414" s="165"/>
      <c r="AI414" s="165"/>
      <c r="AJ414" s="165"/>
      <c r="AK414" s="165"/>
      <c r="AL414" s="165"/>
      <c r="AM414" s="165"/>
      <c r="AN414" s="165"/>
      <c r="AO414" s="165"/>
    </row>
    <row r="415" ht="15.75" customHeight="1">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c r="AE415" s="165"/>
      <c r="AF415" s="165"/>
      <c r="AG415" s="165"/>
      <c r="AH415" s="165"/>
      <c r="AI415" s="165"/>
      <c r="AJ415" s="165"/>
      <c r="AK415" s="165"/>
      <c r="AL415" s="165"/>
      <c r="AM415" s="165"/>
      <c r="AN415" s="165"/>
      <c r="AO415" s="165"/>
    </row>
    <row r="416" ht="15.75" customHeight="1">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c r="AE416" s="165"/>
      <c r="AF416" s="165"/>
      <c r="AG416" s="165"/>
      <c r="AH416" s="165"/>
      <c r="AI416" s="165"/>
      <c r="AJ416" s="165"/>
      <c r="AK416" s="165"/>
      <c r="AL416" s="165"/>
      <c r="AM416" s="165"/>
      <c r="AN416" s="165"/>
      <c r="AO416" s="165"/>
    </row>
    <row r="417" ht="15.75" customHeight="1">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c r="AE417" s="165"/>
      <c r="AF417" s="165"/>
      <c r="AG417" s="165"/>
      <c r="AH417" s="165"/>
      <c r="AI417" s="165"/>
      <c r="AJ417" s="165"/>
      <c r="AK417" s="165"/>
      <c r="AL417" s="165"/>
      <c r="AM417" s="165"/>
      <c r="AN417" s="165"/>
      <c r="AO417" s="165"/>
    </row>
    <row r="418" ht="15.75" customHeight="1">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c r="AE418" s="165"/>
      <c r="AF418" s="165"/>
      <c r="AG418" s="165"/>
      <c r="AH418" s="165"/>
      <c r="AI418" s="165"/>
      <c r="AJ418" s="165"/>
      <c r="AK418" s="165"/>
      <c r="AL418" s="165"/>
      <c r="AM418" s="165"/>
      <c r="AN418" s="165"/>
      <c r="AO418" s="165"/>
    </row>
    <row r="419" ht="15.75" customHeight="1">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c r="AE419" s="165"/>
      <c r="AF419" s="165"/>
      <c r="AG419" s="165"/>
      <c r="AH419" s="165"/>
      <c r="AI419" s="165"/>
      <c r="AJ419" s="165"/>
      <c r="AK419" s="165"/>
      <c r="AL419" s="165"/>
      <c r="AM419" s="165"/>
      <c r="AN419" s="165"/>
      <c r="AO419" s="165"/>
    </row>
    <row r="420" ht="15.75" customHeight="1">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c r="AE420" s="165"/>
      <c r="AF420" s="165"/>
      <c r="AG420" s="165"/>
      <c r="AH420" s="165"/>
      <c r="AI420" s="165"/>
      <c r="AJ420" s="165"/>
      <c r="AK420" s="165"/>
      <c r="AL420" s="165"/>
      <c r="AM420" s="165"/>
      <c r="AN420" s="165"/>
      <c r="AO420" s="165"/>
    </row>
    <row r="421" ht="15.75" customHeight="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c r="AE421" s="165"/>
      <c r="AF421" s="165"/>
      <c r="AG421" s="165"/>
      <c r="AH421" s="165"/>
      <c r="AI421" s="165"/>
      <c r="AJ421" s="165"/>
      <c r="AK421" s="165"/>
      <c r="AL421" s="165"/>
      <c r="AM421" s="165"/>
      <c r="AN421" s="165"/>
      <c r="AO421" s="165"/>
    </row>
    <row r="422" ht="15.75" customHeight="1">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c r="AE422" s="165"/>
      <c r="AF422" s="165"/>
      <c r="AG422" s="165"/>
      <c r="AH422" s="165"/>
      <c r="AI422" s="165"/>
      <c r="AJ422" s="165"/>
      <c r="AK422" s="165"/>
      <c r="AL422" s="165"/>
      <c r="AM422" s="165"/>
      <c r="AN422" s="165"/>
      <c r="AO422" s="165"/>
    </row>
    <row r="423" ht="15.75" customHeight="1">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c r="AE423" s="165"/>
      <c r="AF423" s="165"/>
      <c r="AG423" s="165"/>
      <c r="AH423" s="165"/>
      <c r="AI423" s="165"/>
      <c r="AJ423" s="165"/>
      <c r="AK423" s="165"/>
      <c r="AL423" s="165"/>
      <c r="AM423" s="165"/>
      <c r="AN423" s="165"/>
      <c r="AO423" s="165"/>
    </row>
    <row r="424" ht="15.75" customHeight="1">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c r="AE424" s="165"/>
      <c r="AF424" s="165"/>
      <c r="AG424" s="165"/>
      <c r="AH424" s="165"/>
      <c r="AI424" s="165"/>
      <c r="AJ424" s="165"/>
      <c r="AK424" s="165"/>
      <c r="AL424" s="165"/>
      <c r="AM424" s="165"/>
      <c r="AN424" s="165"/>
      <c r="AO424" s="165"/>
    </row>
    <row r="425" ht="15.75" customHeight="1">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c r="AE425" s="165"/>
      <c r="AF425" s="165"/>
      <c r="AG425" s="165"/>
      <c r="AH425" s="165"/>
      <c r="AI425" s="165"/>
      <c r="AJ425" s="165"/>
      <c r="AK425" s="165"/>
      <c r="AL425" s="165"/>
      <c r="AM425" s="165"/>
      <c r="AN425" s="165"/>
      <c r="AO425" s="165"/>
    </row>
    <row r="426" ht="15.75" customHeight="1">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c r="AE426" s="165"/>
      <c r="AF426" s="165"/>
      <c r="AG426" s="165"/>
      <c r="AH426" s="165"/>
      <c r="AI426" s="165"/>
      <c r="AJ426" s="165"/>
      <c r="AK426" s="165"/>
      <c r="AL426" s="165"/>
      <c r="AM426" s="165"/>
      <c r="AN426" s="165"/>
      <c r="AO426" s="165"/>
    </row>
    <row r="427" ht="15.75" customHeight="1">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c r="AE427" s="165"/>
      <c r="AF427" s="165"/>
      <c r="AG427" s="165"/>
      <c r="AH427" s="165"/>
      <c r="AI427" s="165"/>
      <c r="AJ427" s="165"/>
      <c r="AK427" s="165"/>
      <c r="AL427" s="165"/>
      <c r="AM427" s="165"/>
      <c r="AN427" s="165"/>
      <c r="AO427" s="165"/>
    </row>
    <row r="428" ht="15.75" customHeight="1">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c r="AE428" s="165"/>
      <c r="AF428" s="165"/>
      <c r="AG428" s="165"/>
      <c r="AH428" s="165"/>
      <c r="AI428" s="165"/>
      <c r="AJ428" s="165"/>
      <c r="AK428" s="165"/>
      <c r="AL428" s="165"/>
      <c r="AM428" s="165"/>
      <c r="AN428" s="165"/>
      <c r="AO428" s="165"/>
    </row>
    <row r="429" ht="15.75" customHeight="1">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c r="AE429" s="165"/>
      <c r="AF429" s="165"/>
      <c r="AG429" s="165"/>
      <c r="AH429" s="165"/>
      <c r="AI429" s="165"/>
      <c r="AJ429" s="165"/>
      <c r="AK429" s="165"/>
      <c r="AL429" s="165"/>
      <c r="AM429" s="165"/>
      <c r="AN429" s="165"/>
      <c r="AO429" s="165"/>
    </row>
    <row r="430" ht="15.75" customHeight="1">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c r="AE430" s="165"/>
      <c r="AF430" s="165"/>
      <c r="AG430" s="165"/>
      <c r="AH430" s="165"/>
      <c r="AI430" s="165"/>
      <c r="AJ430" s="165"/>
      <c r="AK430" s="165"/>
      <c r="AL430" s="165"/>
      <c r="AM430" s="165"/>
      <c r="AN430" s="165"/>
      <c r="AO430" s="165"/>
    </row>
    <row r="431" ht="15.75" customHeight="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c r="AE431" s="165"/>
      <c r="AF431" s="165"/>
      <c r="AG431" s="165"/>
      <c r="AH431" s="165"/>
      <c r="AI431" s="165"/>
      <c r="AJ431" s="165"/>
      <c r="AK431" s="165"/>
      <c r="AL431" s="165"/>
      <c r="AM431" s="165"/>
      <c r="AN431" s="165"/>
      <c r="AO431" s="165"/>
    </row>
    <row r="432" ht="15.75" customHeight="1">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c r="AE432" s="165"/>
      <c r="AF432" s="165"/>
      <c r="AG432" s="165"/>
      <c r="AH432" s="165"/>
      <c r="AI432" s="165"/>
      <c r="AJ432" s="165"/>
      <c r="AK432" s="165"/>
      <c r="AL432" s="165"/>
      <c r="AM432" s="165"/>
      <c r="AN432" s="165"/>
      <c r="AO432" s="165"/>
    </row>
    <row r="433" ht="15.75" customHeight="1">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c r="AE433" s="165"/>
      <c r="AF433" s="165"/>
      <c r="AG433" s="165"/>
      <c r="AH433" s="165"/>
      <c r="AI433" s="165"/>
      <c r="AJ433" s="165"/>
      <c r="AK433" s="165"/>
      <c r="AL433" s="165"/>
      <c r="AM433" s="165"/>
      <c r="AN433" s="165"/>
      <c r="AO433" s="165"/>
    </row>
    <row r="434" ht="15.75" customHeight="1">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c r="AE434" s="165"/>
      <c r="AF434" s="165"/>
      <c r="AG434" s="165"/>
      <c r="AH434" s="165"/>
      <c r="AI434" s="165"/>
      <c r="AJ434" s="165"/>
      <c r="AK434" s="165"/>
      <c r="AL434" s="165"/>
      <c r="AM434" s="165"/>
      <c r="AN434" s="165"/>
      <c r="AO434" s="165"/>
    </row>
    <row r="435" ht="15.75" customHeight="1">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c r="AE435" s="165"/>
      <c r="AF435" s="165"/>
      <c r="AG435" s="165"/>
      <c r="AH435" s="165"/>
      <c r="AI435" s="165"/>
      <c r="AJ435" s="165"/>
      <c r="AK435" s="165"/>
      <c r="AL435" s="165"/>
      <c r="AM435" s="165"/>
      <c r="AN435" s="165"/>
      <c r="AO435" s="165"/>
    </row>
    <row r="436" ht="15.75" customHeight="1">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c r="AE436" s="165"/>
      <c r="AF436" s="165"/>
      <c r="AG436" s="165"/>
      <c r="AH436" s="165"/>
      <c r="AI436" s="165"/>
      <c r="AJ436" s="165"/>
      <c r="AK436" s="165"/>
      <c r="AL436" s="165"/>
      <c r="AM436" s="165"/>
      <c r="AN436" s="165"/>
      <c r="AO436" s="165"/>
    </row>
    <row r="437" ht="15.75" customHeight="1">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c r="AE437" s="165"/>
      <c r="AF437" s="165"/>
      <c r="AG437" s="165"/>
      <c r="AH437" s="165"/>
      <c r="AI437" s="165"/>
      <c r="AJ437" s="165"/>
      <c r="AK437" s="165"/>
      <c r="AL437" s="165"/>
      <c r="AM437" s="165"/>
      <c r="AN437" s="165"/>
      <c r="AO437" s="165"/>
    </row>
    <row r="438" ht="15.75" customHeight="1">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c r="AE438" s="165"/>
      <c r="AF438" s="165"/>
      <c r="AG438" s="165"/>
      <c r="AH438" s="165"/>
      <c r="AI438" s="165"/>
      <c r="AJ438" s="165"/>
      <c r="AK438" s="165"/>
      <c r="AL438" s="165"/>
      <c r="AM438" s="165"/>
      <c r="AN438" s="165"/>
      <c r="AO438" s="165"/>
    </row>
    <row r="439" ht="15.75" customHeight="1">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c r="AE439" s="165"/>
      <c r="AF439" s="165"/>
      <c r="AG439" s="165"/>
      <c r="AH439" s="165"/>
      <c r="AI439" s="165"/>
      <c r="AJ439" s="165"/>
      <c r="AK439" s="165"/>
      <c r="AL439" s="165"/>
      <c r="AM439" s="165"/>
      <c r="AN439" s="165"/>
      <c r="AO439" s="165"/>
    </row>
    <row r="440" ht="15.75" customHeight="1">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c r="AE440" s="165"/>
      <c r="AF440" s="165"/>
      <c r="AG440" s="165"/>
      <c r="AH440" s="165"/>
      <c r="AI440" s="165"/>
      <c r="AJ440" s="165"/>
      <c r="AK440" s="165"/>
      <c r="AL440" s="165"/>
      <c r="AM440" s="165"/>
      <c r="AN440" s="165"/>
      <c r="AO440" s="165"/>
    </row>
    <row r="441" ht="15.75" customHeight="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c r="AE441" s="165"/>
      <c r="AF441" s="165"/>
      <c r="AG441" s="165"/>
      <c r="AH441" s="165"/>
      <c r="AI441" s="165"/>
      <c r="AJ441" s="165"/>
      <c r="AK441" s="165"/>
      <c r="AL441" s="165"/>
      <c r="AM441" s="165"/>
      <c r="AN441" s="165"/>
      <c r="AO441" s="165"/>
    </row>
    <row r="442" ht="15.75" customHeight="1">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c r="AE442" s="165"/>
      <c r="AF442" s="165"/>
      <c r="AG442" s="165"/>
      <c r="AH442" s="165"/>
      <c r="AI442" s="165"/>
      <c r="AJ442" s="165"/>
      <c r="AK442" s="165"/>
      <c r="AL442" s="165"/>
      <c r="AM442" s="165"/>
      <c r="AN442" s="165"/>
      <c r="AO442" s="165"/>
    </row>
    <row r="443" ht="15.75" customHeight="1">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c r="AE443" s="165"/>
      <c r="AF443" s="165"/>
      <c r="AG443" s="165"/>
      <c r="AH443" s="165"/>
      <c r="AI443" s="165"/>
      <c r="AJ443" s="165"/>
      <c r="AK443" s="165"/>
      <c r="AL443" s="165"/>
      <c r="AM443" s="165"/>
      <c r="AN443" s="165"/>
      <c r="AO443" s="165"/>
    </row>
    <row r="444" ht="15.75" customHeight="1">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c r="AE444" s="165"/>
      <c r="AF444" s="165"/>
      <c r="AG444" s="165"/>
      <c r="AH444" s="165"/>
      <c r="AI444" s="165"/>
      <c r="AJ444" s="165"/>
      <c r="AK444" s="165"/>
      <c r="AL444" s="165"/>
      <c r="AM444" s="165"/>
      <c r="AN444" s="165"/>
      <c r="AO444" s="165"/>
    </row>
    <row r="445" ht="15.75" customHeight="1">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c r="AE445" s="165"/>
      <c r="AF445" s="165"/>
      <c r="AG445" s="165"/>
      <c r="AH445" s="165"/>
      <c r="AI445" s="165"/>
      <c r="AJ445" s="165"/>
      <c r="AK445" s="165"/>
      <c r="AL445" s="165"/>
      <c r="AM445" s="165"/>
      <c r="AN445" s="165"/>
      <c r="AO445" s="165"/>
    </row>
    <row r="446" ht="15.75" customHeight="1">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c r="AE446" s="165"/>
      <c r="AF446" s="165"/>
      <c r="AG446" s="165"/>
      <c r="AH446" s="165"/>
      <c r="AI446" s="165"/>
      <c r="AJ446" s="165"/>
      <c r="AK446" s="165"/>
      <c r="AL446" s="165"/>
      <c r="AM446" s="165"/>
      <c r="AN446" s="165"/>
      <c r="AO446" s="165"/>
    </row>
    <row r="447" ht="15.75" customHeight="1">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c r="AE447" s="165"/>
      <c r="AF447" s="165"/>
      <c r="AG447" s="165"/>
      <c r="AH447" s="165"/>
      <c r="AI447" s="165"/>
      <c r="AJ447" s="165"/>
      <c r="AK447" s="165"/>
      <c r="AL447" s="165"/>
      <c r="AM447" s="165"/>
      <c r="AN447" s="165"/>
      <c r="AO447" s="165"/>
    </row>
    <row r="448" ht="15.75" customHeight="1">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c r="AE448" s="165"/>
      <c r="AF448" s="165"/>
      <c r="AG448" s="165"/>
      <c r="AH448" s="165"/>
      <c r="AI448" s="165"/>
      <c r="AJ448" s="165"/>
      <c r="AK448" s="165"/>
      <c r="AL448" s="165"/>
      <c r="AM448" s="165"/>
      <c r="AN448" s="165"/>
      <c r="AO448" s="165"/>
    </row>
    <row r="449" ht="15.75" customHeight="1">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c r="AE449" s="165"/>
      <c r="AF449" s="165"/>
      <c r="AG449" s="165"/>
      <c r="AH449" s="165"/>
      <c r="AI449" s="165"/>
      <c r="AJ449" s="165"/>
      <c r="AK449" s="165"/>
      <c r="AL449" s="165"/>
      <c r="AM449" s="165"/>
      <c r="AN449" s="165"/>
      <c r="AO449" s="165"/>
    </row>
    <row r="450" ht="15.75" customHeight="1">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c r="AE450" s="165"/>
      <c r="AF450" s="165"/>
      <c r="AG450" s="165"/>
      <c r="AH450" s="165"/>
      <c r="AI450" s="165"/>
      <c r="AJ450" s="165"/>
      <c r="AK450" s="165"/>
      <c r="AL450" s="165"/>
      <c r="AM450" s="165"/>
      <c r="AN450" s="165"/>
      <c r="AO450" s="165"/>
    </row>
    <row r="451" ht="15.75" customHeight="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c r="AE451" s="165"/>
      <c r="AF451" s="165"/>
      <c r="AG451" s="165"/>
      <c r="AH451" s="165"/>
      <c r="AI451" s="165"/>
      <c r="AJ451" s="165"/>
      <c r="AK451" s="165"/>
      <c r="AL451" s="165"/>
      <c r="AM451" s="165"/>
      <c r="AN451" s="165"/>
      <c r="AO451" s="165"/>
    </row>
    <row r="452" ht="15.75" customHeight="1">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c r="AE452" s="165"/>
      <c r="AF452" s="165"/>
      <c r="AG452" s="165"/>
      <c r="AH452" s="165"/>
      <c r="AI452" s="165"/>
      <c r="AJ452" s="165"/>
      <c r="AK452" s="165"/>
      <c r="AL452" s="165"/>
      <c r="AM452" s="165"/>
      <c r="AN452" s="165"/>
      <c r="AO452" s="165"/>
    </row>
    <row r="453" ht="15.75" customHeight="1">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c r="AE453" s="165"/>
      <c r="AF453" s="165"/>
      <c r="AG453" s="165"/>
      <c r="AH453" s="165"/>
      <c r="AI453" s="165"/>
      <c r="AJ453" s="165"/>
      <c r="AK453" s="165"/>
      <c r="AL453" s="165"/>
      <c r="AM453" s="165"/>
      <c r="AN453" s="165"/>
      <c r="AO453" s="165"/>
    </row>
    <row r="454" ht="15.75" customHeight="1">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c r="AE454" s="165"/>
      <c r="AF454" s="165"/>
      <c r="AG454" s="165"/>
      <c r="AH454" s="165"/>
      <c r="AI454" s="165"/>
      <c r="AJ454" s="165"/>
      <c r="AK454" s="165"/>
      <c r="AL454" s="165"/>
      <c r="AM454" s="165"/>
      <c r="AN454" s="165"/>
      <c r="AO454" s="165"/>
    </row>
    <row r="455" ht="15.75" customHeight="1">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c r="AE455" s="165"/>
      <c r="AF455" s="165"/>
      <c r="AG455" s="165"/>
      <c r="AH455" s="165"/>
      <c r="AI455" s="165"/>
      <c r="AJ455" s="165"/>
      <c r="AK455" s="165"/>
      <c r="AL455" s="165"/>
      <c r="AM455" s="165"/>
      <c r="AN455" s="165"/>
      <c r="AO455" s="165"/>
    </row>
    <row r="456" ht="15.75" customHeight="1">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c r="AE456" s="165"/>
      <c r="AF456" s="165"/>
      <c r="AG456" s="165"/>
      <c r="AH456" s="165"/>
      <c r="AI456" s="165"/>
      <c r="AJ456" s="165"/>
      <c r="AK456" s="165"/>
      <c r="AL456" s="165"/>
      <c r="AM456" s="165"/>
      <c r="AN456" s="165"/>
      <c r="AO456" s="165"/>
    </row>
    <row r="457" ht="15.75" customHeight="1">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c r="AE457" s="165"/>
      <c r="AF457" s="165"/>
      <c r="AG457" s="165"/>
      <c r="AH457" s="165"/>
      <c r="AI457" s="165"/>
      <c r="AJ457" s="165"/>
      <c r="AK457" s="165"/>
      <c r="AL457" s="165"/>
      <c r="AM457" s="165"/>
      <c r="AN457" s="165"/>
      <c r="AO457" s="165"/>
    </row>
    <row r="458" ht="15.75" customHeight="1">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c r="AE458" s="165"/>
      <c r="AF458" s="165"/>
      <c r="AG458" s="165"/>
      <c r="AH458" s="165"/>
      <c r="AI458" s="165"/>
      <c r="AJ458" s="165"/>
      <c r="AK458" s="165"/>
      <c r="AL458" s="165"/>
      <c r="AM458" s="165"/>
      <c r="AN458" s="165"/>
      <c r="AO458" s="165"/>
    </row>
    <row r="459" ht="15.75" customHeight="1">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c r="AE459" s="165"/>
      <c r="AF459" s="165"/>
      <c r="AG459" s="165"/>
      <c r="AH459" s="165"/>
      <c r="AI459" s="165"/>
      <c r="AJ459" s="165"/>
      <c r="AK459" s="165"/>
      <c r="AL459" s="165"/>
      <c r="AM459" s="165"/>
      <c r="AN459" s="165"/>
      <c r="AO459" s="165"/>
    </row>
    <row r="460" ht="15.75" customHeight="1">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c r="AE460" s="165"/>
      <c r="AF460" s="165"/>
      <c r="AG460" s="165"/>
      <c r="AH460" s="165"/>
      <c r="AI460" s="165"/>
      <c r="AJ460" s="165"/>
      <c r="AK460" s="165"/>
      <c r="AL460" s="165"/>
      <c r="AM460" s="165"/>
      <c r="AN460" s="165"/>
      <c r="AO460" s="165"/>
    </row>
    <row r="461" ht="15.75" customHeight="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c r="AE461" s="165"/>
      <c r="AF461" s="165"/>
      <c r="AG461" s="165"/>
      <c r="AH461" s="165"/>
      <c r="AI461" s="165"/>
      <c r="AJ461" s="165"/>
      <c r="AK461" s="165"/>
      <c r="AL461" s="165"/>
      <c r="AM461" s="165"/>
      <c r="AN461" s="165"/>
      <c r="AO461" s="165"/>
    </row>
    <row r="462" ht="15.75" customHeight="1">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c r="AE462" s="165"/>
      <c r="AF462" s="165"/>
      <c r="AG462" s="165"/>
      <c r="AH462" s="165"/>
      <c r="AI462" s="165"/>
      <c r="AJ462" s="165"/>
      <c r="AK462" s="165"/>
      <c r="AL462" s="165"/>
      <c r="AM462" s="165"/>
      <c r="AN462" s="165"/>
      <c r="AO462" s="165"/>
    </row>
    <row r="463" ht="15.75" customHeight="1">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c r="AE463" s="165"/>
      <c r="AF463" s="165"/>
      <c r="AG463" s="165"/>
      <c r="AH463" s="165"/>
      <c r="AI463" s="165"/>
      <c r="AJ463" s="165"/>
      <c r="AK463" s="165"/>
      <c r="AL463" s="165"/>
      <c r="AM463" s="165"/>
      <c r="AN463" s="165"/>
      <c r="AO463" s="165"/>
    </row>
    <row r="464" ht="15.75" customHeight="1">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c r="AE464" s="165"/>
      <c r="AF464" s="165"/>
      <c r="AG464" s="165"/>
      <c r="AH464" s="165"/>
      <c r="AI464" s="165"/>
      <c r="AJ464" s="165"/>
      <c r="AK464" s="165"/>
      <c r="AL464" s="165"/>
      <c r="AM464" s="165"/>
      <c r="AN464" s="165"/>
      <c r="AO464" s="165"/>
    </row>
    <row r="465" ht="15.75" customHeight="1">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c r="AE465" s="165"/>
      <c r="AF465" s="165"/>
      <c r="AG465" s="165"/>
      <c r="AH465" s="165"/>
      <c r="AI465" s="165"/>
      <c r="AJ465" s="165"/>
      <c r="AK465" s="165"/>
      <c r="AL465" s="165"/>
      <c r="AM465" s="165"/>
      <c r="AN465" s="165"/>
      <c r="AO465" s="165"/>
    </row>
    <row r="466" ht="15.75" customHeight="1">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c r="AE466" s="165"/>
      <c r="AF466" s="165"/>
      <c r="AG466" s="165"/>
      <c r="AH466" s="165"/>
      <c r="AI466" s="165"/>
      <c r="AJ466" s="165"/>
      <c r="AK466" s="165"/>
      <c r="AL466" s="165"/>
      <c r="AM466" s="165"/>
      <c r="AN466" s="165"/>
      <c r="AO466" s="165"/>
    </row>
    <row r="467" ht="15.75" customHeight="1">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c r="AE467" s="165"/>
      <c r="AF467" s="165"/>
      <c r="AG467" s="165"/>
      <c r="AH467" s="165"/>
      <c r="AI467" s="165"/>
      <c r="AJ467" s="165"/>
      <c r="AK467" s="165"/>
      <c r="AL467" s="165"/>
      <c r="AM467" s="165"/>
      <c r="AN467" s="165"/>
      <c r="AO467" s="165"/>
    </row>
    <row r="468" ht="15.75" customHeight="1">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c r="AE468" s="165"/>
      <c r="AF468" s="165"/>
      <c r="AG468" s="165"/>
      <c r="AH468" s="165"/>
      <c r="AI468" s="165"/>
      <c r="AJ468" s="165"/>
      <c r="AK468" s="165"/>
      <c r="AL468" s="165"/>
      <c r="AM468" s="165"/>
      <c r="AN468" s="165"/>
      <c r="AO468" s="165"/>
    </row>
    <row r="469" ht="15.75" customHeight="1">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c r="AE469" s="165"/>
      <c r="AF469" s="165"/>
      <c r="AG469" s="165"/>
      <c r="AH469" s="165"/>
      <c r="AI469" s="165"/>
      <c r="AJ469" s="165"/>
      <c r="AK469" s="165"/>
      <c r="AL469" s="165"/>
      <c r="AM469" s="165"/>
      <c r="AN469" s="165"/>
      <c r="AO469" s="165"/>
    </row>
    <row r="470" ht="15.75" customHeight="1">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c r="AE470" s="165"/>
      <c r="AF470" s="165"/>
      <c r="AG470" s="165"/>
      <c r="AH470" s="165"/>
      <c r="AI470" s="165"/>
      <c r="AJ470" s="165"/>
      <c r="AK470" s="165"/>
      <c r="AL470" s="165"/>
      <c r="AM470" s="165"/>
      <c r="AN470" s="165"/>
      <c r="AO470" s="165"/>
    </row>
    <row r="471" ht="15.75" customHeight="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c r="AE471" s="165"/>
      <c r="AF471" s="165"/>
      <c r="AG471" s="165"/>
      <c r="AH471" s="165"/>
      <c r="AI471" s="165"/>
      <c r="AJ471" s="165"/>
      <c r="AK471" s="165"/>
      <c r="AL471" s="165"/>
      <c r="AM471" s="165"/>
      <c r="AN471" s="165"/>
      <c r="AO471" s="165"/>
    </row>
    <row r="472" ht="15.75" customHeight="1">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c r="AE472" s="165"/>
      <c r="AF472" s="165"/>
      <c r="AG472" s="165"/>
      <c r="AH472" s="165"/>
      <c r="AI472" s="165"/>
      <c r="AJ472" s="165"/>
      <c r="AK472" s="165"/>
      <c r="AL472" s="165"/>
      <c r="AM472" s="165"/>
      <c r="AN472" s="165"/>
      <c r="AO472" s="165"/>
    </row>
    <row r="473" ht="15.75" customHeight="1">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c r="AE473" s="165"/>
      <c r="AF473" s="165"/>
      <c r="AG473" s="165"/>
      <c r="AH473" s="165"/>
      <c r="AI473" s="165"/>
      <c r="AJ473" s="165"/>
      <c r="AK473" s="165"/>
      <c r="AL473" s="165"/>
      <c r="AM473" s="165"/>
      <c r="AN473" s="165"/>
      <c r="AO473" s="165"/>
    </row>
    <row r="474" ht="15.75" customHeight="1">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c r="AE474" s="165"/>
      <c r="AF474" s="165"/>
      <c r="AG474" s="165"/>
      <c r="AH474" s="165"/>
      <c r="AI474" s="165"/>
      <c r="AJ474" s="165"/>
      <c r="AK474" s="165"/>
      <c r="AL474" s="165"/>
      <c r="AM474" s="165"/>
      <c r="AN474" s="165"/>
      <c r="AO474" s="165"/>
    </row>
    <row r="475" ht="15.75" customHeight="1">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c r="AE475" s="165"/>
      <c r="AF475" s="165"/>
      <c r="AG475" s="165"/>
      <c r="AH475" s="165"/>
      <c r="AI475" s="165"/>
      <c r="AJ475" s="165"/>
      <c r="AK475" s="165"/>
      <c r="AL475" s="165"/>
      <c r="AM475" s="165"/>
      <c r="AN475" s="165"/>
      <c r="AO475" s="165"/>
    </row>
    <row r="476" ht="15.75" customHeight="1">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c r="AE476" s="165"/>
      <c r="AF476" s="165"/>
      <c r="AG476" s="165"/>
      <c r="AH476" s="165"/>
      <c r="AI476" s="165"/>
      <c r="AJ476" s="165"/>
      <c r="AK476" s="165"/>
      <c r="AL476" s="165"/>
      <c r="AM476" s="165"/>
      <c r="AN476" s="165"/>
      <c r="AO476" s="165"/>
    </row>
    <row r="477" ht="15.75" customHeight="1">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c r="AE477" s="165"/>
      <c r="AF477" s="165"/>
      <c r="AG477" s="165"/>
      <c r="AH477" s="165"/>
      <c r="AI477" s="165"/>
      <c r="AJ477" s="165"/>
      <c r="AK477" s="165"/>
      <c r="AL477" s="165"/>
      <c r="AM477" s="165"/>
      <c r="AN477" s="165"/>
      <c r="AO477" s="165"/>
    </row>
    <row r="478" ht="15.75" customHeight="1">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c r="AE478" s="165"/>
      <c r="AF478" s="165"/>
      <c r="AG478" s="165"/>
      <c r="AH478" s="165"/>
      <c r="AI478" s="165"/>
      <c r="AJ478" s="165"/>
      <c r="AK478" s="165"/>
      <c r="AL478" s="165"/>
      <c r="AM478" s="165"/>
      <c r="AN478" s="165"/>
      <c r="AO478" s="165"/>
    </row>
    <row r="479" ht="15.75" customHeight="1">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c r="AE479" s="165"/>
      <c r="AF479" s="165"/>
      <c r="AG479" s="165"/>
      <c r="AH479" s="165"/>
      <c r="AI479" s="165"/>
      <c r="AJ479" s="165"/>
      <c r="AK479" s="165"/>
      <c r="AL479" s="165"/>
      <c r="AM479" s="165"/>
      <c r="AN479" s="165"/>
      <c r="AO479" s="165"/>
    </row>
    <row r="480" ht="15.75" customHeight="1">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c r="AE480" s="165"/>
      <c r="AF480" s="165"/>
      <c r="AG480" s="165"/>
      <c r="AH480" s="165"/>
      <c r="AI480" s="165"/>
      <c r="AJ480" s="165"/>
      <c r="AK480" s="165"/>
      <c r="AL480" s="165"/>
      <c r="AM480" s="165"/>
      <c r="AN480" s="165"/>
      <c r="AO480" s="165"/>
    </row>
    <row r="481" ht="15.75" customHeight="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c r="AE481" s="165"/>
      <c r="AF481" s="165"/>
      <c r="AG481" s="165"/>
      <c r="AH481" s="165"/>
      <c r="AI481" s="165"/>
      <c r="AJ481" s="165"/>
      <c r="AK481" s="165"/>
      <c r="AL481" s="165"/>
      <c r="AM481" s="165"/>
      <c r="AN481" s="165"/>
      <c r="AO481" s="165"/>
    </row>
    <row r="482" ht="15.75" customHeight="1">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c r="AE482" s="165"/>
      <c r="AF482" s="165"/>
      <c r="AG482" s="165"/>
      <c r="AH482" s="165"/>
      <c r="AI482" s="165"/>
      <c r="AJ482" s="165"/>
      <c r="AK482" s="165"/>
      <c r="AL482" s="165"/>
      <c r="AM482" s="165"/>
      <c r="AN482" s="165"/>
      <c r="AO482" s="165"/>
    </row>
    <row r="483" ht="15.75" customHeight="1">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c r="AE483" s="165"/>
      <c r="AF483" s="165"/>
      <c r="AG483" s="165"/>
      <c r="AH483" s="165"/>
      <c r="AI483" s="165"/>
      <c r="AJ483" s="165"/>
      <c r="AK483" s="165"/>
      <c r="AL483" s="165"/>
      <c r="AM483" s="165"/>
      <c r="AN483" s="165"/>
      <c r="AO483" s="165"/>
    </row>
    <row r="484" ht="15.75" customHeight="1">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c r="AE484" s="165"/>
      <c r="AF484" s="165"/>
      <c r="AG484" s="165"/>
      <c r="AH484" s="165"/>
      <c r="AI484" s="165"/>
      <c r="AJ484" s="165"/>
      <c r="AK484" s="165"/>
      <c r="AL484" s="165"/>
      <c r="AM484" s="165"/>
      <c r="AN484" s="165"/>
      <c r="AO484" s="165"/>
    </row>
    <row r="485" ht="15.75" customHeight="1">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c r="AE485" s="165"/>
      <c r="AF485" s="165"/>
      <c r="AG485" s="165"/>
      <c r="AH485" s="165"/>
      <c r="AI485" s="165"/>
      <c r="AJ485" s="165"/>
      <c r="AK485" s="165"/>
      <c r="AL485" s="165"/>
      <c r="AM485" s="165"/>
      <c r="AN485" s="165"/>
      <c r="AO485" s="165"/>
    </row>
    <row r="486" ht="15.75" customHeight="1">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c r="AE486" s="165"/>
      <c r="AF486" s="165"/>
      <c r="AG486" s="165"/>
      <c r="AH486" s="165"/>
      <c r="AI486" s="165"/>
      <c r="AJ486" s="165"/>
      <c r="AK486" s="165"/>
      <c r="AL486" s="165"/>
      <c r="AM486" s="165"/>
      <c r="AN486" s="165"/>
      <c r="AO486" s="165"/>
    </row>
    <row r="487" ht="15.75" customHeight="1">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c r="AE487" s="165"/>
      <c r="AF487" s="165"/>
      <c r="AG487" s="165"/>
      <c r="AH487" s="165"/>
      <c r="AI487" s="165"/>
      <c r="AJ487" s="165"/>
      <c r="AK487" s="165"/>
      <c r="AL487" s="165"/>
      <c r="AM487" s="165"/>
      <c r="AN487" s="165"/>
      <c r="AO487" s="165"/>
    </row>
    <row r="488" ht="15.75" customHeight="1">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c r="AE488" s="165"/>
      <c r="AF488" s="165"/>
      <c r="AG488" s="165"/>
      <c r="AH488" s="165"/>
      <c r="AI488" s="165"/>
      <c r="AJ488" s="165"/>
      <c r="AK488" s="165"/>
      <c r="AL488" s="165"/>
      <c r="AM488" s="165"/>
      <c r="AN488" s="165"/>
      <c r="AO488" s="165"/>
    </row>
    <row r="489" ht="15.75" customHeight="1">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c r="AE489" s="165"/>
      <c r="AF489" s="165"/>
      <c r="AG489" s="165"/>
      <c r="AH489" s="165"/>
      <c r="AI489" s="165"/>
      <c r="AJ489" s="165"/>
      <c r="AK489" s="165"/>
      <c r="AL489" s="165"/>
      <c r="AM489" s="165"/>
      <c r="AN489" s="165"/>
      <c r="AO489" s="165"/>
    </row>
    <row r="490" ht="15.75" customHeight="1">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c r="AE490" s="165"/>
      <c r="AF490" s="165"/>
      <c r="AG490" s="165"/>
      <c r="AH490" s="165"/>
      <c r="AI490" s="165"/>
      <c r="AJ490" s="165"/>
      <c r="AK490" s="165"/>
      <c r="AL490" s="165"/>
      <c r="AM490" s="165"/>
      <c r="AN490" s="165"/>
      <c r="AO490" s="165"/>
    </row>
    <row r="491" ht="15.75" customHeight="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c r="AE491" s="165"/>
      <c r="AF491" s="165"/>
      <c r="AG491" s="165"/>
      <c r="AH491" s="165"/>
      <c r="AI491" s="165"/>
      <c r="AJ491" s="165"/>
      <c r="AK491" s="165"/>
      <c r="AL491" s="165"/>
      <c r="AM491" s="165"/>
      <c r="AN491" s="165"/>
      <c r="AO491" s="165"/>
    </row>
    <row r="492" ht="15.75" customHeight="1">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c r="AE492" s="165"/>
      <c r="AF492" s="165"/>
      <c r="AG492" s="165"/>
      <c r="AH492" s="165"/>
      <c r="AI492" s="165"/>
      <c r="AJ492" s="165"/>
      <c r="AK492" s="165"/>
      <c r="AL492" s="165"/>
      <c r="AM492" s="165"/>
      <c r="AN492" s="165"/>
      <c r="AO492" s="165"/>
    </row>
    <row r="493" ht="15.75" customHeight="1">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c r="AE493" s="165"/>
      <c r="AF493" s="165"/>
      <c r="AG493" s="165"/>
      <c r="AH493" s="165"/>
      <c r="AI493" s="165"/>
      <c r="AJ493" s="165"/>
      <c r="AK493" s="165"/>
      <c r="AL493" s="165"/>
      <c r="AM493" s="165"/>
      <c r="AN493" s="165"/>
      <c r="AO493" s="165"/>
    </row>
    <row r="494" ht="15.75" customHeight="1">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c r="AE494" s="165"/>
      <c r="AF494" s="165"/>
      <c r="AG494" s="165"/>
      <c r="AH494" s="165"/>
      <c r="AI494" s="165"/>
      <c r="AJ494" s="165"/>
      <c r="AK494" s="165"/>
      <c r="AL494" s="165"/>
      <c r="AM494" s="165"/>
      <c r="AN494" s="165"/>
      <c r="AO494" s="165"/>
    </row>
    <row r="495" ht="15.75" customHeight="1">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c r="AE495" s="165"/>
      <c r="AF495" s="165"/>
      <c r="AG495" s="165"/>
      <c r="AH495" s="165"/>
      <c r="AI495" s="165"/>
      <c r="AJ495" s="165"/>
      <c r="AK495" s="165"/>
      <c r="AL495" s="165"/>
      <c r="AM495" s="165"/>
      <c r="AN495" s="165"/>
      <c r="AO495" s="165"/>
    </row>
    <row r="496" ht="15.75" customHeight="1">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c r="AE496" s="165"/>
      <c r="AF496" s="165"/>
      <c r="AG496" s="165"/>
      <c r="AH496" s="165"/>
      <c r="AI496" s="165"/>
      <c r="AJ496" s="165"/>
      <c r="AK496" s="165"/>
      <c r="AL496" s="165"/>
      <c r="AM496" s="165"/>
      <c r="AN496" s="165"/>
      <c r="AO496" s="165"/>
    </row>
    <row r="497" ht="15.75" customHeight="1">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c r="AE497" s="165"/>
      <c r="AF497" s="165"/>
      <c r="AG497" s="165"/>
      <c r="AH497" s="165"/>
      <c r="AI497" s="165"/>
      <c r="AJ497" s="165"/>
      <c r="AK497" s="165"/>
      <c r="AL497" s="165"/>
      <c r="AM497" s="165"/>
      <c r="AN497" s="165"/>
      <c r="AO497" s="165"/>
    </row>
    <row r="498" ht="15.75" customHeight="1">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c r="AE498" s="165"/>
      <c r="AF498" s="165"/>
      <c r="AG498" s="165"/>
      <c r="AH498" s="165"/>
      <c r="AI498" s="165"/>
      <c r="AJ498" s="165"/>
      <c r="AK498" s="165"/>
      <c r="AL498" s="165"/>
      <c r="AM498" s="165"/>
      <c r="AN498" s="165"/>
      <c r="AO498" s="165"/>
    </row>
    <row r="499" ht="15.75" customHeight="1">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c r="AE499" s="165"/>
      <c r="AF499" s="165"/>
      <c r="AG499" s="165"/>
      <c r="AH499" s="165"/>
      <c r="AI499" s="165"/>
      <c r="AJ499" s="165"/>
      <c r="AK499" s="165"/>
      <c r="AL499" s="165"/>
      <c r="AM499" s="165"/>
      <c r="AN499" s="165"/>
      <c r="AO499" s="165"/>
    </row>
    <row r="500" ht="15.75" customHeight="1">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c r="AE500" s="165"/>
      <c r="AF500" s="165"/>
      <c r="AG500" s="165"/>
      <c r="AH500" s="165"/>
      <c r="AI500" s="165"/>
      <c r="AJ500" s="165"/>
      <c r="AK500" s="165"/>
      <c r="AL500" s="165"/>
      <c r="AM500" s="165"/>
      <c r="AN500" s="165"/>
      <c r="AO500" s="165"/>
    </row>
    <row r="501" ht="15.75" customHeight="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c r="AE501" s="165"/>
      <c r="AF501" s="165"/>
      <c r="AG501" s="165"/>
      <c r="AH501" s="165"/>
      <c r="AI501" s="165"/>
      <c r="AJ501" s="165"/>
      <c r="AK501" s="165"/>
      <c r="AL501" s="165"/>
      <c r="AM501" s="165"/>
      <c r="AN501" s="165"/>
      <c r="AO501" s="165"/>
    </row>
    <row r="502" ht="15.75" customHeight="1">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c r="AE502" s="165"/>
      <c r="AF502" s="165"/>
      <c r="AG502" s="165"/>
      <c r="AH502" s="165"/>
      <c r="AI502" s="165"/>
      <c r="AJ502" s="165"/>
      <c r="AK502" s="165"/>
      <c r="AL502" s="165"/>
      <c r="AM502" s="165"/>
      <c r="AN502" s="165"/>
      <c r="AO502" s="165"/>
    </row>
    <row r="503" ht="15.75" customHeight="1">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c r="AE503" s="165"/>
      <c r="AF503" s="165"/>
      <c r="AG503" s="165"/>
      <c r="AH503" s="165"/>
      <c r="AI503" s="165"/>
      <c r="AJ503" s="165"/>
      <c r="AK503" s="165"/>
      <c r="AL503" s="165"/>
      <c r="AM503" s="165"/>
      <c r="AN503" s="165"/>
      <c r="AO503" s="165"/>
    </row>
    <row r="504" ht="15.75" customHeight="1">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c r="AE504" s="165"/>
      <c r="AF504" s="165"/>
      <c r="AG504" s="165"/>
      <c r="AH504" s="165"/>
      <c r="AI504" s="165"/>
      <c r="AJ504" s="165"/>
      <c r="AK504" s="165"/>
      <c r="AL504" s="165"/>
      <c r="AM504" s="165"/>
      <c r="AN504" s="165"/>
      <c r="AO504" s="165"/>
    </row>
    <row r="505" ht="15.75" customHeight="1">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c r="AE505" s="165"/>
      <c r="AF505" s="165"/>
      <c r="AG505" s="165"/>
      <c r="AH505" s="165"/>
      <c r="AI505" s="165"/>
      <c r="AJ505" s="165"/>
      <c r="AK505" s="165"/>
      <c r="AL505" s="165"/>
      <c r="AM505" s="165"/>
      <c r="AN505" s="165"/>
      <c r="AO505" s="165"/>
    </row>
    <row r="506" ht="15.75" customHeight="1">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c r="AE506" s="165"/>
      <c r="AF506" s="165"/>
      <c r="AG506" s="165"/>
      <c r="AH506" s="165"/>
      <c r="AI506" s="165"/>
      <c r="AJ506" s="165"/>
      <c r="AK506" s="165"/>
      <c r="AL506" s="165"/>
      <c r="AM506" s="165"/>
      <c r="AN506" s="165"/>
      <c r="AO506" s="165"/>
    </row>
    <row r="507" ht="15.75" customHeight="1">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c r="AE507" s="165"/>
      <c r="AF507" s="165"/>
      <c r="AG507" s="165"/>
      <c r="AH507" s="165"/>
      <c r="AI507" s="165"/>
      <c r="AJ507" s="165"/>
      <c r="AK507" s="165"/>
      <c r="AL507" s="165"/>
      <c r="AM507" s="165"/>
      <c r="AN507" s="165"/>
      <c r="AO507" s="165"/>
    </row>
    <row r="508" ht="15.75" customHeight="1">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c r="AE508" s="165"/>
      <c r="AF508" s="165"/>
      <c r="AG508" s="165"/>
      <c r="AH508" s="165"/>
      <c r="AI508" s="165"/>
      <c r="AJ508" s="165"/>
      <c r="AK508" s="165"/>
      <c r="AL508" s="165"/>
      <c r="AM508" s="165"/>
      <c r="AN508" s="165"/>
      <c r="AO508" s="165"/>
    </row>
    <row r="509" ht="15.75" customHeight="1">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c r="AE509" s="165"/>
      <c r="AF509" s="165"/>
      <c r="AG509" s="165"/>
      <c r="AH509" s="165"/>
      <c r="AI509" s="165"/>
      <c r="AJ509" s="165"/>
      <c r="AK509" s="165"/>
      <c r="AL509" s="165"/>
      <c r="AM509" s="165"/>
      <c r="AN509" s="165"/>
      <c r="AO509" s="165"/>
    </row>
    <row r="510" ht="15.75" customHeight="1">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c r="AE510" s="165"/>
      <c r="AF510" s="165"/>
      <c r="AG510" s="165"/>
      <c r="AH510" s="165"/>
      <c r="AI510" s="165"/>
      <c r="AJ510" s="165"/>
      <c r="AK510" s="165"/>
      <c r="AL510" s="165"/>
      <c r="AM510" s="165"/>
      <c r="AN510" s="165"/>
      <c r="AO510" s="165"/>
    </row>
    <row r="511" ht="15.75" customHeight="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c r="AE511" s="165"/>
      <c r="AF511" s="165"/>
      <c r="AG511" s="165"/>
      <c r="AH511" s="165"/>
      <c r="AI511" s="165"/>
      <c r="AJ511" s="165"/>
      <c r="AK511" s="165"/>
      <c r="AL511" s="165"/>
      <c r="AM511" s="165"/>
      <c r="AN511" s="165"/>
      <c r="AO511" s="165"/>
    </row>
    <row r="512" ht="15.75" customHeight="1">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c r="AE512" s="165"/>
      <c r="AF512" s="165"/>
      <c r="AG512" s="165"/>
      <c r="AH512" s="165"/>
      <c r="AI512" s="165"/>
      <c r="AJ512" s="165"/>
      <c r="AK512" s="165"/>
      <c r="AL512" s="165"/>
      <c r="AM512" s="165"/>
      <c r="AN512" s="165"/>
      <c r="AO512" s="165"/>
    </row>
    <row r="513" ht="15.75" customHeight="1">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c r="AE513" s="165"/>
      <c r="AF513" s="165"/>
      <c r="AG513" s="165"/>
      <c r="AH513" s="165"/>
      <c r="AI513" s="165"/>
      <c r="AJ513" s="165"/>
      <c r="AK513" s="165"/>
      <c r="AL513" s="165"/>
      <c r="AM513" s="165"/>
      <c r="AN513" s="165"/>
      <c r="AO513" s="165"/>
    </row>
    <row r="514" ht="15.75" customHeight="1">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c r="AE514" s="165"/>
      <c r="AF514" s="165"/>
      <c r="AG514" s="165"/>
      <c r="AH514" s="165"/>
      <c r="AI514" s="165"/>
      <c r="AJ514" s="165"/>
      <c r="AK514" s="165"/>
      <c r="AL514" s="165"/>
      <c r="AM514" s="165"/>
      <c r="AN514" s="165"/>
      <c r="AO514" s="165"/>
    </row>
    <row r="515" ht="15.75" customHeight="1">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c r="AE515" s="165"/>
      <c r="AF515" s="165"/>
      <c r="AG515" s="165"/>
      <c r="AH515" s="165"/>
      <c r="AI515" s="165"/>
      <c r="AJ515" s="165"/>
      <c r="AK515" s="165"/>
      <c r="AL515" s="165"/>
      <c r="AM515" s="165"/>
      <c r="AN515" s="165"/>
      <c r="AO515" s="165"/>
    </row>
    <row r="516" ht="15.75" customHeight="1">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c r="AE516" s="165"/>
      <c r="AF516" s="165"/>
      <c r="AG516" s="165"/>
      <c r="AH516" s="165"/>
      <c r="AI516" s="165"/>
      <c r="AJ516" s="165"/>
      <c r="AK516" s="165"/>
      <c r="AL516" s="165"/>
      <c r="AM516" s="165"/>
      <c r="AN516" s="165"/>
      <c r="AO516" s="165"/>
    </row>
    <row r="517" ht="15.75" customHeight="1">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c r="AE517" s="165"/>
      <c r="AF517" s="165"/>
      <c r="AG517" s="165"/>
      <c r="AH517" s="165"/>
      <c r="AI517" s="165"/>
      <c r="AJ517" s="165"/>
      <c r="AK517" s="165"/>
      <c r="AL517" s="165"/>
      <c r="AM517" s="165"/>
      <c r="AN517" s="165"/>
      <c r="AO517" s="165"/>
    </row>
    <row r="518" ht="15.75" customHeight="1">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c r="AE518" s="165"/>
      <c r="AF518" s="165"/>
      <c r="AG518" s="165"/>
      <c r="AH518" s="165"/>
      <c r="AI518" s="165"/>
      <c r="AJ518" s="165"/>
      <c r="AK518" s="165"/>
      <c r="AL518" s="165"/>
      <c r="AM518" s="165"/>
      <c r="AN518" s="165"/>
      <c r="AO518" s="165"/>
    </row>
    <row r="519" ht="15.75" customHeight="1">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c r="AE519" s="165"/>
      <c r="AF519" s="165"/>
      <c r="AG519" s="165"/>
      <c r="AH519" s="165"/>
      <c r="AI519" s="165"/>
      <c r="AJ519" s="165"/>
      <c r="AK519" s="165"/>
      <c r="AL519" s="165"/>
      <c r="AM519" s="165"/>
      <c r="AN519" s="165"/>
      <c r="AO519" s="165"/>
    </row>
    <row r="520" ht="15.75" customHeight="1">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c r="AE520" s="165"/>
      <c r="AF520" s="165"/>
      <c r="AG520" s="165"/>
      <c r="AH520" s="165"/>
      <c r="AI520" s="165"/>
      <c r="AJ520" s="165"/>
      <c r="AK520" s="165"/>
      <c r="AL520" s="165"/>
      <c r="AM520" s="165"/>
      <c r="AN520" s="165"/>
      <c r="AO520" s="165"/>
    </row>
    <row r="521" ht="15.75" customHeight="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c r="AE521" s="165"/>
      <c r="AF521" s="165"/>
      <c r="AG521" s="165"/>
      <c r="AH521" s="165"/>
      <c r="AI521" s="165"/>
      <c r="AJ521" s="165"/>
      <c r="AK521" s="165"/>
      <c r="AL521" s="165"/>
      <c r="AM521" s="165"/>
      <c r="AN521" s="165"/>
      <c r="AO521" s="165"/>
    </row>
    <row r="522" ht="15.75" customHeight="1">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c r="AE522" s="165"/>
      <c r="AF522" s="165"/>
      <c r="AG522" s="165"/>
      <c r="AH522" s="165"/>
      <c r="AI522" s="165"/>
      <c r="AJ522" s="165"/>
      <c r="AK522" s="165"/>
      <c r="AL522" s="165"/>
      <c r="AM522" s="165"/>
      <c r="AN522" s="165"/>
      <c r="AO522" s="165"/>
    </row>
    <row r="523" ht="15.75" customHeight="1">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c r="AE523" s="165"/>
      <c r="AF523" s="165"/>
      <c r="AG523" s="165"/>
      <c r="AH523" s="165"/>
      <c r="AI523" s="165"/>
      <c r="AJ523" s="165"/>
      <c r="AK523" s="165"/>
      <c r="AL523" s="165"/>
      <c r="AM523" s="165"/>
      <c r="AN523" s="165"/>
      <c r="AO523" s="165"/>
    </row>
    <row r="524" ht="15.75" customHeight="1">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c r="AE524" s="165"/>
      <c r="AF524" s="165"/>
      <c r="AG524" s="165"/>
      <c r="AH524" s="165"/>
      <c r="AI524" s="165"/>
      <c r="AJ524" s="165"/>
      <c r="AK524" s="165"/>
      <c r="AL524" s="165"/>
      <c r="AM524" s="165"/>
      <c r="AN524" s="165"/>
      <c r="AO524" s="165"/>
    </row>
    <row r="525" ht="15.75" customHeight="1">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c r="AE525" s="165"/>
      <c r="AF525" s="165"/>
      <c r="AG525" s="165"/>
      <c r="AH525" s="165"/>
      <c r="AI525" s="165"/>
      <c r="AJ525" s="165"/>
      <c r="AK525" s="165"/>
      <c r="AL525" s="165"/>
      <c r="AM525" s="165"/>
      <c r="AN525" s="165"/>
      <c r="AO525" s="165"/>
    </row>
    <row r="526" ht="15.75" customHeight="1">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c r="AE526" s="165"/>
      <c r="AF526" s="165"/>
      <c r="AG526" s="165"/>
      <c r="AH526" s="165"/>
      <c r="AI526" s="165"/>
      <c r="AJ526" s="165"/>
      <c r="AK526" s="165"/>
      <c r="AL526" s="165"/>
      <c r="AM526" s="165"/>
      <c r="AN526" s="165"/>
      <c r="AO526" s="165"/>
    </row>
    <row r="527" ht="15.75" customHeight="1">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c r="AE527" s="165"/>
      <c r="AF527" s="165"/>
      <c r="AG527" s="165"/>
      <c r="AH527" s="165"/>
      <c r="AI527" s="165"/>
      <c r="AJ527" s="165"/>
      <c r="AK527" s="165"/>
      <c r="AL527" s="165"/>
      <c r="AM527" s="165"/>
      <c r="AN527" s="165"/>
      <c r="AO527" s="165"/>
    </row>
    <row r="528" ht="15.75" customHeight="1">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c r="AE528" s="165"/>
      <c r="AF528" s="165"/>
      <c r="AG528" s="165"/>
      <c r="AH528" s="165"/>
      <c r="AI528" s="165"/>
      <c r="AJ528" s="165"/>
      <c r="AK528" s="165"/>
      <c r="AL528" s="165"/>
      <c r="AM528" s="165"/>
      <c r="AN528" s="165"/>
      <c r="AO528" s="165"/>
    </row>
    <row r="529" ht="15.75" customHeight="1">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c r="AE529" s="165"/>
      <c r="AF529" s="165"/>
      <c r="AG529" s="165"/>
      <c r="AH529" s="165"/>
      <c r="AI529" s="165"/>
      <c r="AJ529" s="165"/>
      <c r="AK529" s="165"/>
      <c r="AL529" s="165"/>
      <c r="AM529" s="165"/>
      <c r="AN529" s="165"/>
      <c r="AO529" s="165"/>
    </row>
    <row r="530" ht="15.75" customHeight="1">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c r="AE530" s="165"/>
      <c r="AF530" s="165"/>
      <c r="AG530" s="165"/>
      <c r="AH530" s="165"/>
      <c r="AI530" s="165"/>
      <c r="AJ530" s="165"/>
      <c r="AK530" s="165"/>
      <c r="AL530" s="165"/>
      <c r="AM530" s="165"/>
      <c r="AN530" s="165"/>
      <c r="AO530" s="165"/>
    </row>
    <row r="531" ht="15.75" customHeight="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c r="AE531" s="165"/>
      <c r="AF531" s="165"/>
      <c r="AG531" s="165"/>
      <c r="AH531" s="165"/>
      <c r="AI531" s="165"/>
      <c r="AJ531" s="165"/>
      <c r="AK531" s="165"/>
      <c r="AL531" s="165"/>
      <c r="AM531" s="165"/>
      <c r="AN531" s="165"/>
      <c r="AO531" s="165"/>
    </row>
    <row r="532" ht="15.75" customHeight="1">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c r="AE532" s="165"/>
      <c r="AF532" s="165"/>
      <c r="AG532" s="165"/>
      <c r="AH532" s="165"/>
      <c r="AI532" s="165"/>
      <c r="AJ532" s="165"/>
      <c r="AK532" s="165"/>
      <c r="AL532" s="165"/>
      <c r="AM532" s="165"/>
      <c r="AN532" s="165"/>
      <c r="AO532" s="165"/>
    </row>
    <row r="533" ht="15.75" customHeight="1">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c r="AE533" s="165"/>
      <c r="AF533" s="165"/>
      <c r="AG533" s="165"/>
      <c r="AH533" s="165"/>
      <c r="AI533" s="165"/>
      <c r="AJ533" s="165"/>
      <c r="AK533" s="165"/>
      <c r="AL533" s="165"/>
      <c r="AM533" s="165"/>
      <c r="AN533" s="165"/>
      <c r="AO533" s="165"/>
    </row>
    <row r="534" ht="15.75" customHeight="1">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c r="AE534" s="165"/>
      <c r="AF534" s="165"/>
      <c r="AG534" s="165"/>
      <c r="AH534" s="165"/>
      <c r="AI534" s="165"/>
      <c r="AJ534" s="165"/>
      <c r="AK534" s="165"/>
      <c r="AL534" s="165"/>
      <c r="AM534" s="165"/>
      <c r="AN534" s="165"/>
      <c r="AO534" s="165"/>
    </row>
    <row r="535" ht="15.75" customHeight="1">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c r="AE535" s="165"/>
      <c r="AF535" s="165"/>
      <c r="AG535" s="165"/>
      <c r="AH535" s="165"/>
      <c r="AI535" s="165"/>
      <c r="AJ535" s="165"/>
      <c r="AK535" s="165"/>
      <c r="AL535" s="165"/>
      <c r="AM535" s="165"/>
      <c r="AN535" s="165"/>
      <c r="AO535" s="165"/>
    </row>
    <row r="536" ht="15.75" customHeight="1">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c r="AE536" s="165"/>
      <c r="AF536" s="165"/>
      <c r="AG536" s="165"/>
      <c r="AH536" s="165"/>
      <c r="AI536" s="165"/>
      <c r="AJ536" s="165"/>
      <c r="AK536" s="165"/>
      <c r="AL536" s="165"/>
      <c r="AM536" s="165"/>
      <c r="AN536" s="165"/>
      <c r="AO536" s="165"/>
    </row>
    <row r="537" ht="15.75" customHeight="1">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c r="AE537" s="165"/>
      <c r="AF537" s="165"/>
      <c r="AG537" s="165"/>
      <c r="AH537" s="165"/>
      <c r="AI537" s="165"/>
      <c r="AJ537" s="165"/>
      <c r="AK537" s="165"/>
      <c r="AL537" s="165"/>
      <c r="AM537" s="165"/>
      <c r="AN537" s="165"/>
      <c r="AO537" s="165"/>
    </row>
    <row r="538" ht="15.75" customHeight="1">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c r="AE538" s="165"/>
      <c r="AF538" s="165"/>
      <c r="AG538" s="165"/>
      <c r="AH538" s="165"/>
      <c r="AI538" s="165"/>
      <c r="AJ538" s="165"/>
      <c r="AK538" s="165"/>
      <c r="AL538" s="165"/>
      <c r="AM538" s="165"/>
      <c r="AN538" s="165"/>
      <c r="AO538" s="165"/>
    </row>
    <row r="539" ht="15.75" customHeight="1">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c r="AE539" s="165"/>
      <c r="AF539" s="165"/>
      <c r="AG539" s="165"/>
      <c r="AH539" s="165"/>
      <c r="AI539" s="165"/>
      <c r="AJ539" s="165"/>
      <c r="AK539" s="165"/>
      <c r="AL539" s="165"/>
      <c r="AM539" s="165"/>
      <c r="AN539" s="165"/>
      <c r="AO539" s="165"/>
    </row>
    <row r="540" ht="15.75" customHeight="1">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c r="AE540" s="165"/>
      <c r="AF540" s="165"/>
      <c r="AG540" s="165"/>
      <c r="AH540" s="165"/>
      <c r="AI540" s="165"/>
      <c r="AJ540" s="165"/>
      <c r="AK540" s="165"/>
      <c r="AL540" s="165"/>
      <c r="AM540" s="165"/>
      <c r="AN540" s="165"/>
      <c r="AO540" s="165"/>
    </row>
    <row r="541" ht="15.75" customHeight="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c r="AE541" s="165"/>
      <c r="AF541" s="165"/>
      <c r="AG541" s="165"/>
      <c r="AH541" s="165"/>
      <c r="AI541" s="165"/>
      <c r="AJ541" s="165"/>
      <c r="AK541" s="165"/>
      <c r="AL541" s="165"/>
      <c r="AM541" s="165"/>
      <c r="AN541" s="165"/>
      <c r="AO541" s="165"/>
    </row>
    <row r="542" ht="15.75" customHeight="1">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c r="AE542" s="165"/>
      <c r="AF542" s="165"/>
      <c r="AG542" s="165"/>
      <c r="AH542" s="165"/>
      <c r="AI542" s="165"/>
      <c r="AJ542" s="165"/>
      <c r="AK542" s="165"/>
      <c r="AL542" s="165"/>
      <c r="AM542" s="165"/>
      <c r="AN542" s="165"/>
      <c r="AO542" s="165"/>
    </row>
    <row r="543" ht="15.75" customHeight="1">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c r="AE543" s="165"/>
      <c r="AF543" s="165"/>
      <c r="AG543" s="165"/>
      <c r="AH543" s="165"/>
      <c r="AI543" s="165"/>
      <c r="AJ543" s="165"/>
      <c r="AK543" s="165"/>
      <c r="AL543" s="165"/>
      <c r="AM543" s="165"/>
      <c r="AN543" s="165"/>
      <c r="AO543" s="165"/>
    </row>
    <row r="544" ht="15.75" customHeight="1">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c r="AE544" s="165"/>
      <c r="AF544" s="165"/>
      <c r="AG544" s="165"/>
      <c r="AH544" s="165"/>
      <c r="AI544" s="165"/>
      <c r="AJ544" s="165"/>
      <c r="AK544" s="165"/>
      <c r="AL544" s="165"/>
      <c r="AM544" s="165"/>
      <c r="AN544" s="165"/>
      <c r="AO544" s="165"/>
    </row>
    <row r="545" ht="15.75" customHeight="1">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c r="AE545" s="165"/>
      <c r="AF545" s="165"/>
      <c r="AG545" s="165"/>
      <c r="AH545" s="165"/>
      <c r="AI545" s="165"/>
      <c r="AJ545" s="165"/>
      <c r="AK545" s="165"/>
      <c r="AL545" s="165"/>
      <c r="AM545" s="165"/>
      <c r="AN545" s="165"/>
      <c r="AO545" s="165"/>
    </row>
    <row r="546" ht="15.75" customHeight="1">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c r="AE546" s="165"/>
      <c r="AF546" s="165"/>
      <c r="AG546" s="165"/>
      <c r="AH546" s="165"/>
      <c r="AI546" s="165"/>
      <c r="AJ546" s="165"/>
      <c r="AK546" s="165"/>
      <c r="AL546" s="165"/>
      <c r="AM546" s="165"/>
      <c r="AN546" s="165"/>
      <c r="AO546" s="165"/>
    </row>
    <row r="547" ht="15.75" customHeight="1">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c r="AE547" s="165"/>
      <c r="AF547" s="165"/>
      <c r="AG547" s="165"/>
      <c r="AH547" s="165"/>
      <c r="AI547" s="165"/>
      <c r="AJ547" s="165"/>
      <c r="AK547" s="165"/>
      <c r="AL547" s="165"/>
      <c r="AM547" s="165"/>
      <c r="AN547" s="165"/>
      <c r="AO547" s="165"/>
    </row>
    <row r="548" ht="15.75" customHeight="1">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c r="AE548" s="165"/>
      <c r="AF548" s="165"/>
      <c r="AG548" s="165"/>
      <c r="AH548" s="165"/>
      <c r="AI548" s="165"/>
      <c r="AJ548" s="165"/>
      <c r="AK548" s="165"/>
      <c r="AL548" s="165"/>
      <c r="AM548" s="165"/>
      <c r="AN548" s="165"/>
      <c r="AO548" s="165"/>
    </row>
    <row r="549" ht="15.75" customHeight="1">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c r="AE549" s="165"/>
      <c r="AF549" s="165"/>
      <c r="AG549" s="165"/>
      <c r="AH549" s="165"/>
      <c r="AI549" s="165"/>
      <c r="AJ549" s="165"/>
      <c r="AK549" s="165"/>
      <c r="AL549" s="165"/>
      <c r="AM549" s="165"/>
      <c r="AN549" s="165"/>
      <c r="AO549" s="165"/>
    </row>
    <row r="550" ht="15.75" customHeight="1">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c r="AE550" s="165"/>
      <c r="AF550" s="165"/>
      <c r="AG550" s="165"/>
      <c r="AH550" s="165"/>
      <c r="AI550" s="165"/>
      <c r="AJ550" s="165"/>
      <c r="AK550" s="165"/>
      <c r="AL550" s="165"/>
      <c r="AM550" s="165"/>
      <c r="AN550" s="165"/>
      <c r="AO550" s="165"/>
    </row>
    <row r="551" ht="15.75" customHeight="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c r="AE551" s="165"/>
      <c r="AF551" s="165"/>
      <c r="AG551" s="165"/>
      <c r="AH551" s="165"/>
      <c r="AI551" s="165"/>
      <c r="AJ551" s="165"/>
      <c r="AK551" s="165"/>
      <c r="AL551" s="165"/>
      <c r="AM551" s="165"/>
      <c r="AN551" s="165"/>
      <c r="AO551" s="165"/>
    </row>
    <row r="552" ht="15.75" customHeight="1">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c r="AE552" s="165"/>
      <c r="AF552" s="165"/>
      <c r="AG552" s="165"/>
      <c r="AH552" s="165"/>
      <c r="AI552" s="165"/>
      <c r="AJ552" s="165"/>
      <c r="AK552" s="165"/>
      <c r="AL552" s="165"/>
      <c r="AM552" s="165"/>
      <c r="AN552" s="165"/>
      <c r="AO552" s="165"/>
    </row>
    <row r="553" ht="15.75" customHeight="1">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c r="AE553" s="165"/>
      <c r="AF553" s="165"/>
      <c r="AG553" s="165"/>
      <c r="AH553" s="165"/>
      <c r="AI553" s="165"/>
      <c r="AJ553" s="165"/>
      <c r="AK553" s="165"/>
      <c r="AL553" s="165"/>
      <c r="AM553" s="165"/>
      <c r="AN553" s="165"/>
      <c r="AO553" s="165"/>
    </row>
    <row r="554" ht="15.75" customHeight="1">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c r="AE554" s="165"/>
      <c r="AF554" s="165"/>
      <c r="AG554" s="165"/>
      <c r="AH554" s="165"/>
      <c r="AI554" s="165"/>
      <c r="AJ554" s="165"/>
      <c r="AK554" s="165"/>
      <c r="AL554" s="165"/>
      <c r="AM554" s="165"/>
      <c r="AN554" s="165"/>
      <c r="AO554" s="165"/>
    </row>
    <row r="555" ht="15.75" customHeight="1">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c r="AE555" s="165"/>
      <c r="AF555" s="165"/>
      <c r="AG555" s="165"/>
      <c r="AH555" s="165"/>
      <c r="AI555" s="165"/>
      <c r="AJ555" s="165"/>
      <c r="AK555" s="165"/>
      <c r="AL555" s="165"/>
      <c r="AM555" s="165"/>
      <c r="AN555" s="165"/>
      <c r="AO555" s="165"/>
    </row>
    <row r="556" ht="15.75" customHeight="1">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c r="AE556" s="165"/>
      <c r="AF556" s="165"/>
      <c r="AG556" s="165"/>
      <c r="AH556" s="165"/>
      <c r="AI556" s="165"/>
      <c r="AJ556" s="165"/>
      <c r="AK556" s="165"/>
      <c r="AL556" s="165"/>
      <c r="AM556" s="165"/>
      <c r="AN556" s="165"/>
      <c r="AO556" s="165"/>
    </row>
    <row r="557" ht="15.75" customHeight="1">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c r="AE557" s="165"/>
      <c r="AF557" s="165"/>
      <c r="AG557" s="165"/>
      <c r="AH557" s="165"/>
      <c r="AI557" s="165"/>
      <c r="AJ557" s="165"/>
      <c r="AK557" s="165"/>
      <c r="AL557" s="165"/>
      <c r="AM557" s="165"/>
      <c r="AN557" s="165"/>
      <c r="AO557" s="165"/>
    </row>
    <row r="558" ht="15.75" customHeight="1">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c r="AE558" s="165"/>
      <c r="AF558" s="165"/>
      <c r="AG558" s="165"/>
      <c r="AH558" s="165"/>
      <c r="AI558" s="165"/>
      <c r="AJ558" s="165"/>
      <c r="AK558" s="165"/>
      <c r="AL558" s="165"/>
      <c r="AM558" s="165"/>
      <c r="AN558" s="165"/>
      <c r="AO558" s="165"/>
    </row>
    <row r="559" ht="15.75" customHeight="1">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c r="AE559" s="165"/>
      <c r="AF559" s="165"/>
      <c r="AG559" s="165"/>
      <c r="AH559" s="165"/>
      <c r="AI559" s="165"/>
      <c r="AJ559" s="165"/>
      <c r="AK559" s="165"/>
      <c r="AL559" s="165"/>
      <c r="AM559" s="165"/>
      <c r="AN559" s="165"/>
      <c r="AO559" s="165"/>
    </row>
    <row r="560" ht="15.75" customHeight="1">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c r="AE560" s="165"/>
      <c r="AF560" s="165"/>
      <c r="AG560" s="165"/>
      <c r="AH560" s="165"/>
      <c r="AI560" s="165"/>
      <c r="AJ560" s="165"/>
      <c r="AK560" s="165"/>
      <c r="AL560" s="165"/>
      <c r="AM560" s="165"/>
      <c r="AN560" s="165"/>
      <c r="AO560" s="165"/>
    </row>
    <row r="561" ht="15.75" customHeight="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c r="AE561" s="165"/>
      <c r="AF561" s="165"/>
      <c r="AG561" s="165"/>
      <c r="AH561" s="165"/>
      <c r="AI561" s="165"/>
      <c r="AJ561" s="165"/>
      <c r="AK561" s="165"/>
      <c r="AL561" s="165"/>
      <c r="AM561" s="165"/>
      <c r="AN561" s="165"/>
      <c r="AO561" s="165"/>
    </row>
    <row r="562" ht="15.75" customHeight="1">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c r="AE562" s="165"/>
      <c r="AF562" s="165"/>
      <c r="AG562" s="165"/>
      <c r="AH562" s="165"/>
      <c r="AI562" s="165"/>
      <c r="AJ562" s="165"/>
      <c r="AK562" s="165"/>
      <c r="AL562" s="165"/>
      <c r="AM562" s="165"/>
      <c r="AN562" s="165"/>
      <c r="AO562" s="165"/>
    </row>
    <row r="563" ht="15.75" customHeight="1">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c r="AE563" s="165"/>
      <c r="AF563" s="165"/>
      <c r="AG563" s="165"/>
      <c r="AH563" s="165"/>
      <c r="AI563" s="165"/>
      <c r="AJ563" s="165"/>
      <c r="AK563" s="165"/>
      <c r="AL563" s="165"/>
      <c r="AM563" s="165"/>
      <c r="AN563" s="165"/>
      <c r="AO563" s="165"/>
    </row>
    <row r="564" ht="15.75" customHeight="1">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c r="AE564" s="165"/>
      <c r="AF564" s="165"/>
      <c r="AG564" s="165"/>
      <c r="AH564" s="165"/>
      <c r="AI564" s="165"/>
      <c r="AJ564" s="165"/>
      <c r="AK564" s="165"/>
      <c r="AL564" s="165"/>
      <c r="AM564" s="165"/>
      <c r="AN564" s="165"/>
      <c r="AO564" s="165"/>
    </row>
    <row r="565" ht="15.75" customHeight="1">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c r="AE565" s="165"/>
      <c r="AF565" s="165"/>
      <c r="AG565" s="165"/>
      <c r="AH565" s="165"/>
      <c r="AI565" s="165"/>
      <c r="AJ565" s="165"/>
      <c r="AK565" s="165"/>
      <c r="AL565" s="165"/>
      <c r="AM565" s="165"/>
      <c r="AN565" s="165"/>
      <c r="AO565" s="165"/>
    </row>
    <row r="566" ht="15.75" customHeight="1">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c r="AE566" s="165"/>
      <c r="AF566" s="165"/>
      <c r="AG566" s="165"/>
      <c r="AH566" s="165"/>
      <c r="AI566" s="165"/>
      <c r="AJ566" s="165"/>
      <c r="AK566" s="165"/>
      <c r="AL566" s="165"/>
      <c r="AM566" s="165"/>
      <c r="AN566" s="165"/>
      <c r="AO566" s="165"/>
    </row>
    <row r="567" ht="15.75" customHeight="1">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c r="AE567" s="165"/>
      <c r="AF567" s="165"/>
      <c r="AG567" s="165"/>
      <c r="AH567" s="165"/>
      <c r="AI567" s="165"/>
      <c r="AJ567" s="165"/>
      <c r="AK567" s="165"/>
      <c r="AL567" s="165"/>
      <c r="AM567" s="165"/>
      <c r="AN567" s="165"/>
      <c r="AO567" s="165"/>
    </row>
    <row r="568" ht="15.75" customHeight="1">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c r="AE568" s="165"/>
      <c r="AF568" s="165"/>
      <c r="AG568" s="165"/>
      <c r="AH568" s="165"/>
      <c r="AI568" s="165"/>
      <c r="AJ568" s="165"/>
      <c r="AK568" s="165"/>
      <c r="AL568" s="165"/>
      <c r="AM568" s="165"/>
      <c r="AN568" s="165"/>
      <c r="AO568" s="165"/>
    </row>
    <row r="569" ht="15.75" customHeight="1">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c r="AE569" s="165"/>
      <c r="AF569" s="165"/>
      <c r="AG569" s="165"/>
      <c r="AH569" s="165"/>
      <c r="AI569" s="165"/>
      <c r="AJ569" s="165"/>
      <c r="AK569" s="165"/>
      <c r="AL569" s="165"/>
      <c r="AM569" s="165"/>
      <c r="AN569" s="165"/>
      <c r="AO569" s="165"/>
    </row>
    <row r="570" ht="15.75" customHeight="1">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c r="AE570" s="165"/>
      <c r="AF570" s="165"/>
      <c r="AG570" s="165"/>
      <c r="AH570" s="165"/>
      <c r="AI570" s="165"/>
      <c r="AJ570" s="165"/>
      <c r="AK570" s="165"/>
      <c r="AL570" s="165"/>
      <c r="AM570" s="165"/>
      <c r="AN570" s="165"/>
      <c r="AO570" s="165"/>
    </row>
    <row r="571" ht="15.75" customHeight="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c r="AE571" s="165"/>
      <c r="AF571" s="165"/>
      <c r="AG571" s="165"/>
      <c r="AH571" s="165"/>
      <c r="AI571" s="165"/>
      <c r="AJ571" s="165"/>
      <c r="AK571" s="165"/>
      <c r="AL571" s="165"/>
      <c r="AM571" s="165"/>
      <c r="AN571" s="165"/>
      <c r="AO571" s="165"/>
    </row>
    <row r="572" ht="15.75" customHeight="1">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c r="AE572" s="165"/>
      <c r="AF572" s="165"/>
      <c r="AG572" s="165"/>
      <c r="AH572" s="165"/>
      <c r="AI572" s="165"/>
      <c r="AJ572" s="165"/>
      <c r="AK572" s="165"/>
      <c r="AL572" s="165"/>
      <c r="AM572" s="165"/>
      <c r="AN572" s="165"/>
      <c r="AO572" s="165"/>
    </row>
    <row r="573" ht="15.75" customHeight="1">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c r="AE573" s="165"/>
      <c r="AF573" s="165"/>
      <c r="AG573" s="165"/>
      <c r="AH573" s="165"/>
      <c r="AI573" s="165"/>
      <c r="AJ573" s="165"/>
      <c r="AK573" s="165"/>
      <c r="AL573" s="165"/>
      <c r="AM573" s="165"/>
      <c r="AN573" s="165"/>
      <c r="AO573" s="165"/>
    </row>
    <row r="574" ht="15.75" customHeight="1">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c r="AE574" s="165"/>
      <c r="AF574" s="165"/>
      <c r="AG574" s="165"/>
      <c r="AH574" s="165"/>
      <c r="AI574" s="165"/>
      <c r="AJ574" s="165"/>
      <c r="AK574" s="165"/>
      <c r="AL574" s="165"/>
      <c r="AM574" s="165"/>
      <c r="AN574" s="165"/>
      <c r="AO574" s="165"/>
    </row>
    <row r="575" ht="15.75" customHeight="1">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c r="AE575" s="165"/>
      <c r="AF575" s="165"/>
      <c r="AG575" s="165"/>
      <c r="AH575" s="165"/>
      <c r="AI575" s="165"/>
      <c r="AJ575" s="165"/>
      <c r="AK575" s="165"/>
      <c r="AL575" s="165"/>
      <c r="AM575" s="165"/>
      <c r="AN575" s="165"/>
      <c r="AO575" s="165"/>
    </row>
    <row r="576" ht="15.75" customHeight="1">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c r="AE576" s="165"/>
      <c r="AF576" s="165"/>
      <c r="AG576" s="165"/>
      <c r="AH576" s="165"/>
      <c r="AI576" s="165"/>
      <c r="AJ576" s="165"/>
      <c r="AK576" s="165"/>
      <c r="AL576" s="165"/>
      <c r="AM576" s="165"/>
      <c r="AN576" s="165"/>
      <c r="AO576" s="165"/>
    </row>
    <row r="577" ht="15.75" customHeight="1">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c r="AE577" s="165"/>
      <c r="AF577" s="165"/>
      <c r="AG577" s="165"/>
      <c r="AH577" s="165"/>
      <c r="AI577" s="165"/>
      <c r="AJ577" s="165"/>
      <c r="AK577" s="165"/>
      <c r="AL577" s="165"/>
      <c r="AM577" s="165"/>
      <c r="AN577" s="165"/>
      <c r="AO577" s="165"/>
    </row>
    <row r="578" ht="15.75" customHeight="1">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c r="AE578" s="165"/>
      <c r="AF578" s="165"/>
      <c r="AG578" s="165"/>
      <c r="AH578" s="165"/>
      <c r="AI578" s="165"/>
      <c r="AJ578" s="165"/>
      <c r="AK578" s="165"/>
      <c r="AL578" s="165"/>
      <c r="AM578" s="165"/>
      <c r="AN578" s="165"/>
      <c r="AO578" s="165"/>
    </row>
    <row r="579" ht="15.75" customHeight="1">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c r="AE579" s="165"/>
      <c r="AF579" s="165"/>
      <c r="AG579" s="165"/>
      <c r="AH579" s="165"/>
      <c r="AI579" s="165"/>
      <c r="AJ579" s="165"/>
      <c r="AK579" s="165"/>
      <c r="AL579" s="165"/>
      <c r="AM579" s="165"/>
      <c r="AN579" s="165"/>
      <c r="AO579" s="165"/>
    </row>
    <row r="580" ht="15.75" customHeight="1">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c r="AE580" s="165"/>
      <c r="AF580" s="165"/>
      <c r="AG580" s="165"/>
      <c r="AH580" s="165"/>
      <c r="AI580" s="165"/>
      <c r="AJ580" s="165"/>
      <c r="AK580" s="165"/>
      <c r="AL580" s="165"/>
      <c r="AM580" s="165"/>
      <c r="AN580" s="165"/>
      <c r="AO580" s="165"/>
    </row>
    <row r="581" ht="15.75" customHeight="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c r="AE581" s="165"/>
      <c r="AF581" s="165"/>
      <c r="AG581" s="165"/>
      <c r="AH581" s="165"/>
      <c r="AI581" s="165"/>
      <c r="AJ581" s="165"/>
      <c r="AK581" s="165"/>
      <c r="AL581" s="165"/>
      <c r="AM581" s="165"/>
      <c r="AN581" s="165"/>
      <c r="AO581" s="165"/>
    </row>
    <row r="582" ht="15.75" customHeight="1">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c r="AE582" s="165"/>
      <c r="AF582" s="165"/>
      <c r="AG582" s="165"/>
      <c r="AH582" s="165"/>
      <c r="AI582" s="165"/>
      <c r="AJ582" s="165"/>
      <c r="AK582" s="165"/>
      <c r="AL582" s="165"/>
      <c r="AM582" s="165"/>
      <c r="AN582" s="165"/>
      <c r="AO582" s="165"/>
    </row>
    <row r="583" ht="15.75" customHeight="1">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c r="AE583" s="165"/>
      <c r="AF583" s="165"/>
      <c r="AG583" s="165"/>
      <c r="AH583" s="165"/>
      <c r="AI583" s="165"/>
      <c r="AJ583" s="165"/>
      <c r="AK583" s="165"/>
      <c r="AL583" s="165"/>
      <c r="AM583" s="165"/>
      <c r="AN583" s="165"/>
      <c r="AO583" s="165"/>
    </row>
    <row r="584" ht="15.75" customHeight="1">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c r="AE584" s="165"/>
      <c r="AF584" s="165"/>
      <c r="AG584" s="165"/>
      <c r="AH584" s="165"/>
      <c r="AI584" s="165"/>
      <c r="AJ584" s="165"/>
      <c r="AK584" s="165"/>
      <c r="AL584" s="165"/>
      <c r="AM584" s="165"/>
      <c r="AN584" s="165"/>
      <c r="AO584" s="165"/>
    </row>
    <row r="585" ht="15.75" customHeight="1">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c r="AE585" s="165"/>
      <c r="AF585" s="165"/>
      <c r="AG585" s="165"/>
      <c r="AH585" s="165"/>
      <c r="AI585" s="165"/>
      <c r="AJ585" s="165"/>
      <c r="AK585" s="165"/>
      <c r="AL585" s="165"/>
      <c r="AM585" s="165"/>
      <c r="AN585" s="165"/>
      <c r="AO585" s="165"/>
    </row>
    <row r="586" ht="15.75" customHeight="1">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c r="AE586" s="165"/>
      <c r="AF586" s="165"/>
      <c r="AG586" s="165"/>
      <c r="AH586" s="165"/>
      <c r="AI586" s="165"/>
      <c r="AJ586" s="165"/>
      <c r="AK586" s="165"/>
      <c r="AL586" s="165"/>
      <c r="AM586" s="165"/>
      <c r="AN586" s="165"/>
      <c r="AO586" s="165"/>
    </row>
    <row r="587" ht="15.75" customHeight="1">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c r="AE587" s="165"/>
      <c r="AF587" s="165"/>
      <c r="AG587" s="165"/>
      <c r="AH587" s="165"/>
      <c r="AI587" s="165"/>
      <c r="AJ587" s="165"/>
      <c r="AK587" s="165"/>
      <c r="AL587" s="165"/>
      <c r="AM587" s="165"/>
      <c r="AN587" s="165"/>
      <c r="AO587" s="165"/>
    </row>
    <row r="588" ht="15.75" customHeight="1">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c r="AE588" s="165"/>
      <c r="AF588" s="165"/>
      <c r="AG588" s="165"/>
      <c r="AH588" s="165"/>
      <c r="AI588" s="165"/>
      <c r="AJ588" s="165"/>
      <c r="AK588" s="165"/>
      <c r="AL588" s="165"/>
      <c r="AM588" s="165"/>
      <c r="AN588" s="165"/>
      <c r="AO588" s="165"/>
    </row>
    <row r="589" ht="15.75" customHeight="1">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c r="AE589" s="165"/>
      <c r="AF589" s="165"/>
      <c r="AG589" s="165"/>
      <c r="AH589" s="165"/>
      <c r="AI589" s="165"/>
      <c r="AJ589" s="165"/>
      <c r="AK589" s="165"/>
      <c r="AL589" s="165"/>
      <c r="AM589" s="165"/>
      <c r="AN589" s="165"/>
      <c r="AO589" s="165"/>
    </row>
    <row r="590" ht="15.75" customHeight="1">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c r="AE590" s="165"/>
      <c r="AF590" s="165"/>
      <c r="AG590" s="165"/>
      <c r="AH590" s="165"/>
      <c r="AI590" s="165"/>
      <c r="AJ590" s="165"/>
      <c r="AK590" s="165"/>
      <c r="AL590" s="165"/>
      <c r="AM590" s="165"/>
      <c r="AN590" s="165"/>
      <c r="AO590" s="165"/>
    </row>
    <row r="591" ht="15.75" customHeight="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c r="AE591" s="165"/>
      <c r="AF591" s="165"/>
      <c r="AG591" s="165"/>
      <c r="AH591" s="165"/>
      <c r="AI591" s="165"/>
      <c r="AJ591" s="165"/>
      <c r="AK591" s="165"/>
      <c r="AL591" s="165"/>
      <c r="AM591" s="165"/>
      <c r="AN591" s="165"/>
      <c r="AO591" s="165"/>
    </row>
    <row r="592" ht="15.75" customHeight="1">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c r="AE592" s="165"/>
      <c r="AF592" s="165"/>
      <c r="AG592" s="165"/>
      <c r="AH592" s="165"/>
      <c r="AI592" s="165"/>
      <c r="AJ592" s="165"/>
      <c r="AK592" s="165"/>
      <c r="AL592" s="165"/>
      <c r="AM592" s="165"/>
      <c r="AN592" s="165"/>
      <c r="AO592" s="165"/>
    </row>
    <row r="593" ht="15.75" customHeight="1">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c r="AE593" s="165"/>
      <c r="AF593" s="165"/>
      <c r="AG593" s="165"/>
      <c r="AH593" s="165"/>
      <c r="AI593" s="165"/>
      <c r="AJ593" s="165"/>
      <c r="AK593" s="165"/>
      <c r="AL593" s="165"/>
      <c r="AM593" s="165"/>
      <c r="AN593" s="165"/>
      <c r="AO593" s="165"/>
    </row>
    <row r="594" ht="15.75" customHeight="1">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c r="AE594" s="165"/>
      <c r="AF594" s="165"/>
      <c r="AG594" s="165"/>
      <c r="AH594" s="165"/>
      <c r="AI594" s="165"/>
      <c r="AJ594" s="165"/>
      <c r="AK594" s="165"/>
      <c r="AL594" s="165"/>
      <c r="AM594" s="165"/>
      <c r="AN594" s="165"/>
      <c r="AO594" s="165"/>
    </row>
    <row r="595" ht="15.75" customHeight="1">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c r="AE595" s="165"/>
      <c r="AF595" s="165"/>
      <c r="AG595" s="165"/>
      <c r="AH595" s="165"/>
      <c r="AI595" s="165"/>
      <c r="AJ595" s="165"/>
      <c r="AK595" s="165"/>
      <c r="AL595" s="165"/>
      <c r="AM595" s="165"/>
      <c r="AN595" s="165"/>
      <c r="AO595" s="165"/>
    </row>
    <row r="596" ht="15.75" customHeight="1">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c r="AE596" s="165"/>
      <c r="AF596" s="165"/>
      <c r="AG596" s="165"/>
      <c r="AH596" s="165"/>
      <c r="AI596" s="165"/>
      <c r="AJ596" s="165"/>
      <c r="AK596" s="165"/>
      <c r="AL596" s="165"/>
      <c r="AM596" s="165"/>
      <c r="AN596" s="165"/>
      <c r="AO596" s="165"/>
    </row>
    <row r="597" ht="15.75" customHeight="1">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c r="AE597" s="165"/>
      <c r="AF597" s="165"/>
      <c r="AG597" s="165"/>
      <c r="AH597" s="165"/>
      <c r="AI597" s="165"/>
      <c r="AJ597" s="165"/>
      <c r="AK597" s="165"/>
      <c r="AL597" s="165"/>
      <c r="AM597" s="165"/>
      <c r="AN597" s="165"/>
      <c r="AO597" s="165"/>
    </row>
    <row r="598" ht="15.75" customHeight="1">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c r="AE598" s="165"/>
      <c r="AF598" s="165"/>
      <c r="AG598" s="165"/>
      <c r="AH598" s="165"/>
      <c r="AI598" s="165"/>
      <c r="AJ598" s="165"/>
      <c r="AK598" s="165"/>
      <c r="AL598" s="165"/>
      <c r="AM598" s="165"/>
      <c r="AN598" s="165"/>
      <c r="AO598" s="165"/>
    </row>
    <row r="599" ht="15.75" customHeight="1">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c r="AE599" s="165"/>
      <c r="AF599" s="165"/>
      <c r="AG599" s="165"/>
      <c r="AH599" s="165"/>
      <c r="AI599" s="165"/>
      <c r="AJ599" s="165"/>
      <c r="AK599" s="165"/>
      <c r="AL599" s="165"/>
      <c r="AM599" s="165"/>
      <c r="AN599" s="165"/>
      <c r="AO599" s="165"/>
    </row>
    <row r="600" ht="15.75" customHeight="1">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c r="AE600" s="165"/>
      <c r="AF600" s="165"/>
      <c r="AG600" s="165"/>
      <c r="AH600" s="165"/>
      <c r="AI600" s="165"/>
      <c r="AJ600" s="165"/>
      <c r="AK600" s="165"/>
      <c r="AL600" s="165"/>
      <c r="AM600" s="165"/>
      <c r="AN600" s="165"/>
      <c r="AO600" s="165"/>
    </row>
    <row r="601" ht="15.75" customHeight="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c r="AE601" s="165"/>
      <c r="AF601" s="165"/>
      <c r="AG601" s="165"/>
      <c r="AH601" s="165"/>
      <c r="AI601" s="165"/>
      <c r="AJ601" s="165"/>
      <c r="AK601" s="165"/>
      <c r="AL601" s="165"/>
      <c r="AM601" s="165"/>
      <c r="AN601" s="165"/>
      <c r="AO601" s="165"/>
    </row>
    <row r="602" ht="15.75" customHeight="1">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c r="AE602" s="165"/>
      <c r="AF602" s="165"/>
      <c r="AG602" s="165"/>
      <c r="AH602" s="165"/>
      <c r="AI602" s="165"/>
      <c r="AJ602" s="165"/>
      <c r="AK602" s="165"/>
      <c r="AL602" s="165"/>
      <c r="AM602" s="165"/>
      <c r="AN602" s="165"/>
      <c r="AO602" s="165"/>
    </row>
    <row r="603" ht="15.75" customHeight="1">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c r="AE603" s="165"/>
      <c r="AF603" s="165"/>
      <c r="AG603" s="165"/>
      <c r="AH603" s="165"/>
      <c r="AI603" s="165"/>
      <c r="AJ603" s="165"/>
      <c r="AK603" s="165"/>
      <c r="AL603" s="165"/>
      <c r="AM603" s="165"/>
      <c r="AN603" s="165"/>
      <c r="AO603" s="165"/>
    </row>
    <row r="604" ht="15.75" customHeight="1">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c r="AE604" s="165"/>
      <c r="AF604" s="165"/>
      <c r="AG604" s="165"/>
      <c r="AH604" s="165"/>
      <c r="AI604" s="165"/>
      <c r="AJ604" s="165"/>
      <c r="AK604" s="165"/>
      <c r="AL604" s="165"/>
      <c r="AM604" s="165"/>
      <c r="AN604" s="165"/>
      <c r="AO604" s="165"/>
    </row>
    <row r="605" ht="15.75" customHeight="1">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c r="AE605" s="165"/>
      <c r="AF605" s="165"/>
      <c r="AG605" s="165"/>
      <c r="AH605" s="165"/>
      <c r="AI605" s="165"/>
      <c r="AJ605" s="165"/>
      <c r="AK605" s="165"/>
      <c r="AL605" s="165"/>
      <c r="AM605" s="165"/>
      <c r="AN605" s="165"/>
      <c r="AO605" s="165"/>
    </row>
    <row r="606" ht="15.75" customHeight="1">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c r="AE606" s="165"/>
      <c r="AF606" s="165"/>
      <c r="AG606" s="165"/>
      <c r="AH606" s="165"/>
      <c r="AI606" s="165"/>
      <c r="AJ606" s="165"/>
      <c r="AK606" s="165"/>
      <c r="AL606" s="165"/>
      <c r="AM606" s="165"/>
      <c r="AN606" s="165"/>
      <c r="AO606" s="165"/>
    </row>
    <row r="607" ht="15.75" customHeight="1">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c r="AE607" s="165"/>
      <c r="AF607" s="165"/>
      <c r="AG607" s="165"/>
      <c r="AH607" s="165"/>
      <c r="AI607" s="165"/>
      <c r="AJ607" s="165"/>
      <c r="AK607" s="165"/>
      <c r="AL607" s="165"/>
      <c r="AM607" s="165"/>
      <c r="AN607" s="165"/>
      <c r="AO607" s="165"/>
    </row>
    <row r="608" ht="15.75" customHeight="1">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c r="AE608" s="165"/>
      <c r="AF608" s="165"/>
      <c r="AG608" s="165"/>
      <c r="AH608" s="165"/>
      <c r="AI608" s="165"/>
      <c r="AJ608" s="165"/>
      <c r="AK608" s="165"/>
      <c r="AL608" s="165"/>
      <c r="AM608" s="165"/>
      <c r="AN608" s="165"/>
      <c r="AO608" s="165"/>
    </row>
    <row r="609" ht="15.75" customHeight="1">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c r="AE609" s="165"/>
      <c r="AF609" s="165"/>
      <c r="AG609" s="165"/>
      <c r="AH609" s="165"/>
      <c r="AI609" s="165"/>
      <c r="AJ609" s="165"/>
      <c r="AK609" s="165"/>
      <c r="AL609" s="165"/>
      <c r="AM609" s="165"/>
      <c r="AN609" s="165"/>
      <c r="AO609" s="165"/>
    </row>
    <row r="610" ht="15.75" customHeight="1">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c r="AE610" s="165"/>
      <c r="AF610" s="165"/>
      <c r="AG610" s="165"/>
      <c r="AH610" s="165"/>
      <c r="AI610" s="165"/>
      <c r="AJ610" s="165"/>
      <c r="AK610" s="165"/>
      <c r="AL610" s="165"/>
      <c r="AM610" s="165"/>
      <c r="AN610" s="165"/>
      <c r="AO610" s="165"/>
    </row>
    <row r="611" ht="15.75" customHeight="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c r="AE611" s="165"/>
      <c r="AF611" s="165"/>
      <c r="AG611" s="165"/>
      <c r="AH611" s="165"/>
      <c r="AI611" s="165"/>
      <c r="AJ611" s="165"/>
      <c r="AK611" s="165"/>
      <c r="AL611" s="165"/>
      <c r="AM611" s="165"/>
      <c r="AN611" s="165"/>
      <c r="AO611" s="165"/>
    </row>
    <row r="612" ht="15.75" customHeight="1">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c r="AE612" s="165"/>
      <c r="AF612" s="165"/>
      <c r="AG612" s="165"/>
      <c r="AH612" s="165"/>
      <c r="AI612" s="165"/>
      <c r="AJ612" s="165"/>
      <c r="AK612" s="165"/>
      <c r="AL612" s="165"/>
      <c r="AM612" s="165"/>
      <c r="AN612" s="165"/>
      <c r="AO612" s="165"/>
    </row>
    <row r="613" ht="15.75" customHeight="1">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c r="AE613" s="165"/>
      <c r="AF613" s="165"/>
      <c r="AG613" s="165"/>
      <c r="AH613" s="165"/>
      <c r="AI613" s="165"/>
      <c r="AJ613" s="165"/>
      <c r="AK613" s="165"/>
      <c r="AL613" s="165"/>
      <c r="AM613" s="165"/>
      <c r="AN613" s="165"/>
      <c r="AO613" s="165"/>
    </row>
    <row r="614" ht="15.75" customHeight="1">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c r="AE614" s="165"/>
      <c r="AF614" s="165"/>
      <c r="AG614" s="165"/>
      <c r="AH614" s="165"/>
      <c r="AI614" s="165"/>
      <c r="AJ614" s="165"/>
      <c r="AK614" s="165"/>
      <c r="AL614" s="165"/>
      <c r="AM614" s="165"/>
      <c r="AN614" s="165"/>
      <c r="AO614" s="165"/>
    </row>
    <row r="615" ht="15.75" customHeight="1">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c r="AE615" s="165"/>
      <c r="AF615" s="165"/>
      <c r="AG615" s="165"/>
      <c r="AH615" s="165"/>
      <c r="AI615" s="165"/>
      <c r="AJ615" s="165"/>
      <c r="AK615" s="165"/>
      <c r="AL615" s="165"/>
      <c r="AM615" s="165"/>
      <c r="AN615" s="165"/>
      <c r="AO615" s="165"/>
    </row>
    <row r="616" ht="15.75" customHeight="1">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c r="AE616" s="165"/>
      <c r="AF616" s="165"/>
      <c r="AG616" s="165"/>
      <c r="AH616" s="165"/>
      <c r="AI616" s="165"/>
      <c r="AJ616" s="165"/>
      <c r="AK616" s="165"/>
      <c r="AL616" s="165"/>
      <c r="AM616" s="165"/>
      <c r="AN616" s="165"/>
      <c r="AO616" s="165"/>
    </row>
    <row r="617" ht="15.75" customHeight="1">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c r="AE617" s="165"/>
      <c r="AF617" s="165"/>
      <c r="AG617" s="165"/>
      <c r="AH617" s="165"/>
      <c r="AI617" s="165"/>
      <c r="AJ617" s="165"/>
      <c r="AK617" s="165"/>
      <c r="AL617" s="165"/>
      <c r="AM617" s="165"/>
      <c r="AN617" s="165"/>
      <c r="AO617" s="165"/>
    </row>
    <row r="618" ht="15.75" customHeight="1">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c r="AE618" s="165"/>
      <c r="AF618" s="165"/>
      <c r="AG618" s="165"/>
      <c r="AH618" s="165"/>
      <c r="AI618" s="165"/>
      <c r="AJ618" s="165"/>
      <c r="AK618" s="165"/>
      <c r="AL618" s="165"/>
      <c r="AM618" s="165"/>
      <c r="AN618" s="165"/>
      <c r="AO618" s="165"/>
    </row>
    <row r="619" ht="15.75" customHeight="1">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c r="AE619" s="165"/>
      <c r="AF619" s="165"/>
      <c r="AG619" s="165"/>
      <c r="AH619" s="165"/>
      <c r="AI619" s="165"/>
      <c r="AJ619" s="165"/>
      <c r="AK619" s="165"/>
      <c r="AL619" s="165"/>
      <c r="AM619" s="165"/>
      <c r="AN619" s="165"/>
      <c r="AO619" s="165"/>
    </row>
    <row r="620" ht="15.75" customHeight="1">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c r="AE620" s="165"/>
      <c r="AF620" s="165"/>
      <c r="AG620" s="165"/>
      <c r="AH620" s="165"/>
      <c r="AI620" s="165"/>
      <c r="AJ620" s="165"/>
      <c r="AK620" s="165"/>
      <c r="AL620" s="165"/>
      <c r="AM620" s="165"/>
      <c r="AN620" s="165"/>
      <c r="AO620" s="165"/>
    </row>
    <row r="621" ht="15.75" customHeight="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c r="AE621" s="165"/>
      <c r="AF621" s="165"/>
      <c r="AG621" s="165"/>
      <c r="AH621" s="165"/>
      <c r="AI621" s="165"/>
      <c r="AJ621" s="165"/>
      <c r="AK621" s="165"/>
      <c r="AL621" s="165"/>
      <c r="AM621" s="165"/>
      <c r="AN621" s="165"/>
      <c r="AO621" s="165"/>
    </row>
    <row r="622" ht="15.75" customHeight="1">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c r="AE622" s="165"/>
      <c r="AF622" s="165"/>
      <c r="AG622" s="165"/>
      <c r="AH622" s="165"/>
      <c r="AI622" s="165"/>
      <c r="AJ622" s="165"/>
      <c r="AK622" s="165"/>
      <c r="AL622" s="165"/>
      <c r="AM622" s="165"/>
      <c r="AN622" s="165"/>
      <c r="AO622" s="165"/>
    </row>
    <row r="623" ht="15.75" customHeight="1">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c r="AE623" s="165"/>
      <c r="AF623" s="165"/>
      <c r="AG623" s="165"/>
      <c r="AH623" s="165"/>
      <c r="AI623" s="165"/>
      <c r="AJ623" s="165"/>
      <c r="AK623" s="165"/>
      <c r="AL623" s="165"/>
      <c r="AM623" s="165"/>
      <c r="AN623" s="165"/>
      <c r="AO623" s="165"/>
    </row>
    <row r="624" ht="15.75" customHeight="1">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c r="AE624" s="165"/>
      <c r="AF624" s="165"/>
      <c r="AG624" s="165"/>
      <c r="AH624" s="165"/>
      <c r="AI624" s="165"/>
      <c r="AJ624" s="165"/>
      <c r="AK624" s="165"/>
      <c r="AL624" s="165"/>
      <c r="AM624" s="165"/>
      <c r="AN624" s="165"/>
      <c r="AO624" s="165"/>
    </row>
    <row r="625" ht="15.75" customHeight="1">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c r="AE625" s="165"/>
      <c r="AF625" s="165"/>
      <c r="AG625" s="165"/>
      <c r="AH625" s="165"/>
      <c r="AI625" s="165"/>
      <c r="AJ625" s="165"/>
      <c r="AK625" s="165"/>
      <c r="AL625" s="165"/>
      <c r="AM625" s="165"/>
      <c r="AN625" s="165"/>
      <c r="AO625" s="165"/>
    </row>
    <row r="626" ht="15.75" customHeight="1">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c r="AE626" s="165"/>
      <c r="AF626" s="165"/>
      <c r="AG626" s="165"/>
      <c r="AH626" s="165"/>
      <c r="AI626" s="165"/>
      <c r="AJ626" s="165"/>
      <c r="AK626" s="165"/>
      <c r="AL626" s="165"/>
      <c r="AM626" s="165"/>
      <c r="AN626" s="165"/>
      <c r="AO626" s="165"/>
    </row>
    <row r="627" ht="15.75" customHeight="1">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c r="AE627" s="165"/>
      <c r="AF627" s="165"/>
      <c r="AG627" s="165"/>
      <c r="AH627" s="165"/>
      <c r="AI627" s="165"/>
      <c r="AJ627" s="165"/>
      <c r="AK627" s="165"/>
      <c r="AL627" s="165"/>
      <c r="AM627" s="165"/>
      <c r="AN627" s="165"/>
      <c r="AO627" s="165"/>
    </row>
    <row r="628" ht="15.75" customHeight="1">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c r="AE628" s="165"/>
      <c r="AF628" s="165"/>
      <c r="AG628" s="165"/>
      <c r="AH628" s="165"/>
      <c r="AI628" s="165"/>
      <c r="AJ628" s="165"/>
      <c r="AK628" s="165"/>
      <c r="AL628" s="165"/>
      <c r="AM628" s="165"/>
      <c r="AN628" s="165"/>
      <c r="AO628" s="165"/>
    </row>
    <row r="629" ht="15.75" customHeight="1">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c r="AE629" s="165"/>
      <c r="AF629" s="165"/>
      <c r="AG629" s="165"/>
      <c r="AH629" s="165"/>
      <c r="AI629" s="165"/>
      <c r="AJ629" s="165"/>
      <c r="AK629" s="165"/>
      <c r="AL629" s="165"/>
      <c r="AM629" s="165"/>
      <c r="AN629" s="165"/>
      <c r="AO629" s="165"/>
    </row>
    <row r="630" ht="15.75" customHeight="1">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c r="AE630" s="165"/>
      <c r="AF630" s="165"/>
      <c r="AG630" s="165"/>
      <c r="AH630" s="165"/>
      <c r="AI630" s="165"/>
      <c r="AJ630" s="165"/>
      <c r="AK630" s="165"/>
      <c r="AL630" s="165"/>
      <c r="AM630" s="165"/>
      <c r="AN630" s="165"/>
      <c r="AO630" s="165"/>
    </row>
    <row r="631" ht="15.75" customHeight="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c r="AE631" s="165"/>
      <c r="AF631" s="165"/>
      <c r="AG631" s="165"/>
      <c r="AH631" s="165"/>
      <c r="AI631" s="165"/>
      <c r="AJ631" s="165"/>
      <c r="AK631" s="165"/>
      <c r="AL631" s="165"/>
      <c r="AM631" s="165"/>
      <c r="AN631" s="165"/>
      <c r="AO631" s="165"/>
    </row>
    <row r="632" ht="15.75" customHeight="1">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c r="AE632" s="165"/>
      <c r="AF632" s="165"/>
      <c r="AG632" s="165"/>
      <c r="AH632" s="165"/>
      <c r="AI632" s="165"/>
      <c r="AJ632" s="165"/>
      <c r="AK632" s="165"/>
      <c r="AL632" s="165"/>
      <c r="AM632" s="165"/>
      <c r="AN632" s="165"/>
      <c r="AO632" s="165"/>
    </row>
    <row r="633" ht="15.75" customHeight="1">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c r="AE633" s="165"/>
      <c r="AF633" s="165"/>
      <c r="AG633" s="165"/>
      <c r="AH633" s="165"/>
      <c r="AI633" s="165"/>
      <c r="AJ633" s="165"/>
      <c r="AK633" s="165"/>
      <c r="AL633" s="165"/>
      <c r="AM633" s="165"/>
      <c r="AN633" s="165"/>
      <c r="AO633" s="165"/>
    </row>
    <row r="634" ht="15.75" customHeight="1">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c r="AE634" s="165"/>
      <c r="AF634" s="165"/>
      <c r="AG634" s="165"/>
      <c r="AH634" s="165"/>
      <c r="AI634" s="165"/>
      <c r="AJ634" s="165"/>
      <c r="AK634" s="165"/>
      <c r="AL634" s="165"/>
      <c r="AM634" s="165"/>
      <c r="AN634" s="165"/>
      <c r="AO634" s="165"/>
    </row>
    <row r="635" ht="15.75" customHeight="1">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c r="AE635" s="165"/>
      <c r="AF635" s="165"/>
      <c r="AG635" s="165"/>
      <c r="AH635" s="165"/>
      <c r="AI635" s="165"/>
      <c r="AJ635" s="165"/>
      <c r="AK635" s="165"/>
      <c r="AL635" s="165"/>
      <c r="AM635" s="165"/>
      <c r="AN635" s="165"/>
      <c r="AO635" s="165"/>
    </row>
    <row r="636" ht="15.75" customHeight="1">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c r="AE636" s="165"/>
      <c r="AF636" s="165"/>
      <c r="AG636" s="165"/>
      <c r="AH636" s="165"/>
      <c r="AI636" s="165"/>
      <c r="AJ636" s="165"/>
      <c r="AK636" s="165"/>
      <c r="AL636" s="165"/>
      <c r="AM636" s="165"/>
      <c r="AN636" s="165"/>
      <c r="AO636" s="165"/>
    </row>
    <row r="637" ht="15.75" customHeight="1">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c r="AE637" s="165"/>
      <c r="AF637" s="165"/>
      <c r="AG637" s="165"/>
      <c r="AH637" s="165"/>
      <c r="AI637" s="165"/>
      <c r="AJ637" s="165"/>
      <c r="AK637" s="165"/>
      <c r="AL637" s="165"/>
      <c r="AM637" s="165"/>
      <c r="AN637" s="165"/>
      <c r="AO637" s="165"/>
    </row>
    <row r="638" ht="15.75" customHeight="1">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c r="AE638" s="165"/>
      <c r="AF638" s="165"/>
      <c r="AG638" s="165"/>
      <c r="AH638" s="165"/>
      <c r="AI638" s="165"/>
      <c r="AJ638" s="165"/>
      <c r="AK638" s="165"/>
      <c r="AL638" s="165"/>
      <c r="AM638" s="165"/>
      <c r="AN638" s="165"/>
      <c r="AO638" s="165"/>
    </row>
    <row r="639" ht="15.75" customHeight="1">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c r="AE639" s="165"/>
      <c r="AF639" s="165"/>
      <c r="AG639" s="165"/>
      <c r="AH639" s="165"/>
      <c r="AI639" s="165"/>
      <c r="AJ639" s="165"/>
      <c r="AK639" s="165"/>
      <c r="AL639" s="165"/>
      <c r="AM639" s="165"/>
      <c r="AN639" s="165"/>
      <c r="AO639" s="165"/>
    </row>
    <row r="640" ht="15.75" customHeight="1">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c r="AE640" s="165"/>
      <c r="AF640" s="165"/>
      <c r="AG640" s="165"/>
      <c r="AH640" s="165"/>
      <c r="AI640" s="165"/>
      <c r="AJ640" s="165"/>
      <c r="AK640" s="165"/>
      <c r="AL640" s="165"/>
      <c r="AM640" s="165"/>
      <c r="AN640" s="165"/>
      <c r="AO640" s="165"/>
    </row>
    <row r="641" ht="15.75" customHeight="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c r="AE641" s="165"/>
      <c r="AF641" s="165"/>
      <c r="AG641" s="165"/>
      <c r="AH641" s="165"/>
      <c r="AI641" s="165"/>
      <c r="AJ641" s="165"/>
      <c r="AK641" s="165"/>
      <c r="AL641" s="165"/>
      <c r="AM641" s="165"/>
      <c r="AN641" s="165"/>
      <c r="AO641" s="165"/>
    </row>
    <row r="642" ht="15.75" customHeight="1">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c r="AE642" s="165"/>
      <c r="AF642" s="165"/>
      <c r="AG642" s="165"/>
      <c r="AH642" s="165"/>
      <c r="AI642" s="165"/>
      <c r="AJ642" s="165"/>
      <c r="AK642" s="165"/>
      <c r="AL642" s="165"/>
      <c r="AM642" s="165"/>
      <c r="AN642" s="165"/>
      <c r="AO642" s="165"/>
    </row>
    <row r="643" ht="15.75" customHeight="1">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c r="AE643" s="165"/>
      <c r="AF643" s="165"/>
      <c r="AG643" s="165"/>
      <c r="AH643" s="165"/>
      <c r="AI643" s="165"/>
      <c r="AJ643" s="165"/>
      <c r="AK643" s="165"/>
      <c r="AL643" s="165"/>
      <c r="AM643" s="165"/>
      <c r="AN643" s="165"/>
      <c r="AO643" s="165"/>
    </row>
    <row r="644" ht="15.75" customHeight="1">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c r="AE644" s="165"/>
      <c r="AF644" s="165"/>
      <c r="AG644" s="165"/>
      <c r="AH644" s="165"/>
      <c r="AI644" s="165"/>
      <c r="AJ644" s="165"/>
      <c r="AK644" s="165"/>
      <c r="AL644" s="165"/>
      <c r="AM644" s="165"/>
      <c r="AN644" s="165"/>
      <c r="AO644" s="165"/>
    </row>
    <row r="645" ht="15.75" customHeight="1">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c r="AE645" s="165"/>
      <c r="AF645" s="165"/>
      <c r="AG645" s="165"/>
      <c r="AH645" s="165"/>
      <c r="AI645" s="165"/>
      <c r="AJ645" s="165"/>
      <c r="AK645" s="165"/>
      <c r="AL645" s="165"/>
      <c r="AM645" s="165"/>
      <c r="AN645" s="165"/>
      <c r="AO645" s="165"/>
    </row>
    <row r="646" ht="15.75" customHeight="1">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c r="AE646" s="165"/>
      <c r="AF646" s="165"/>
      <c r="AG646" s="165"/>
      <c r="AH646" s="165"/>
      <c r="AI646" s="165"/>
      <c r="AJ646" s="165"/>
      <c r="AK646" s="165"/>
      <c r="AL646" s="165"/>
      <c r="AM646" s="165"/>
      <c r="AN646" s="165"/>
      <c r="AO646" s="165"/>
    </row>
    <row r="647" ht="15.75" customHeight="1">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c r="AE647" s="165"/>
      <c r="AF647" s="165"/>
      <c r="AG647" s="165"/>
      <c r="AH647" s="165"/>
      <c r="AI647" s="165"/>
      <c r="AJ647" s="165"/>
      <c r="AK647" s="165"/>
      <c r="AL647" s="165"/>
      <c r="AM647" s="165"/>
      <c r="AN647" s="165"/>
      <c r="AO647" s="165"/>
    </row>
    <row r="648" ht="15.75" customHeight="1">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c r="AE648" s="165"/>
      <c r="AF648" s="165"/>
      <c r="AG648" s="165"/>
      <c r="AH648" s="165"/>
      <c r="AI648" s="165"/>
      <c r="AJ648" s="165"/>
      <c r="AK648" s="165"/>
      <c r="AL648" s="165"/>
      <c r="AM648" s="165"/>
      <c r="AN648" s="165"/>
      <c r="AO648" s="165"/>
    </row>
    <row r="649" ht="15.75" customHeight="1">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c r="AE649" s="165"/>
      <c r="AF649" s="165"/>
      <c r="AG649" s="165"/>
      <c r="AH649" s="165"/>
      <c r="AI649" s="165"/>
      <c r="AJ649" s="165"/>
      <c r="AK649" s="165"/>
      <c r="AL649" s="165"/>
      <c r="AM649" s="165"/>
      <c r="AN649" s="165"/>
      <c r="AO649" s="165"/>
    </row>
    <row r="650" ht="15.75" customHeight="1">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c r="AE650" s="165"/>
      <c r="AF650" s="165"/>
      <c r="AG650" s="165"/>
      <c r="AH650" s="165"/>
      <c r="AI650" s="165"/>
      <c r="AJ650" s="165"/>
      <c r="AK650" s="165"/>
      <c r="AL650" s="165"/>
      <c r="AM650" s="165"/>
      <c r="AN650" s="165"/>
      <c r="AO650" s="165"/>
    </row>
    <row r="651" ht="15.75" customHeight="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c r="AE651" s="165"/>
      <c r="AF651" s="165"/>
      <c r="AG651" s="165"/>
      <c r="AH651" s="165"/>
      <c r="AI651" s="165"/>
      <c r="AJ651" s="165"/>
      <c r="AK651" s="165"/>
      <c r="AL651" s="165"/>
      <c r="AM651" s="165"/>
      <c r="AN651" s="165"/>
      <c r="AO651" s="165"/>
    </row>
    <row r="652" ht="15.75" customHeight="1">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c r="AE652" s="165"/>
      <c r="AF652" s="165"/>
      <c r="AG652" s="165"/>
      <c r="AH652" s="165"/>
      <c r="AI652" s="165"/>
      <c r="AJ652" s="165"/>
      <c r="AK652" s="165"/>
      <c r="AL652" s="165"/>
      <c r="AM652" s="165"/>
      <c r="AN652" s="165"/>
      <c r="AO652" s="165"/>
    </row>
    <row r="653" ht="15.75" customHeight="1">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c r="AE653" s="165"/>
      <c r="AF653" s="165"/>
      <c r="AG653" s="165"/>
      <c r="AH653" s="165"/>
      <c r="AI653" s="165"/>
      <c r="AJ653" s="165"/>
      <c r="AK653" s="165"/>
      <c r="AL653" s="165"/>
      <c r="AM653" s="165"/>
      <c r="AN653" s="165"/>
      <c r="AO653" s="165"/>
    </row>
    <row r="654" ht="15.75" customHeight="1">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c r="AE654" s="165"/>
      <c r="AF654" s="165"/>
      <c r="AG654" s="165"/>
      <c r="AH654" s="165"/>
      <c r="AI654" s="165"/>
      <c r="AJ654" s="165"/>
      <c r="AK654" s="165"/>
      <c r="AL654" s="165"/>
      <c r="AM654" s="165"/>
      <c r="AN654" s="165"/>
      <c r="AO654" s="165"/>
    </row>
    <row r="655" ht="15.75" customHeight="1">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c r="AE655" s="165"/>
      <c r="AF655" s="165"/>
      <c r="AG655" s="165"/>
      <c r="AH655" s="165"/>
      <c r="AI655" s="165"/>
      <c r="AJ655" s="165"/>
      <c r="AK655" s="165"/>
      <c r="AL655" s="165"/>
      <c r="AM655" s="165"/>
      <c r="AN655" s="165"/>
      <c r="AO655" s="165"/>
    </row>
    <row r="656" ht="15.75" customHeight="1">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c r="AE656" s="165"/>
      <c r="AF656" s="165"/>
      <c r="AG656" s="165"/>
      <c r="AH656" s="165"/>
      <c r="AI656" s="165"/>
      <c r="AJ656" s="165"/>
      <c r="AK656" s="165"/>
      <c r="AL656" s="165"/>
      <c r="AM656" s="165"/>
      <c r="AN656" s="165"/>
      <c r="AO656" s="165"/>
    </row>
    <row r="657" ht="15.75" customHeight="1">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c r="AE657" s="165"/>
      <c r="AF657" s="165"/>
      <c r="AG657" s="165"/>
      <c r="AH657" s="165"/>
      <c r="AI657" s="165"/>
      <c r="AJ657" s="165"/>
      <c r="AK657" s="165"/>
      <c r="AL657" s="165"/>
      <c r="AM657" s="165"/>
      <c r="AN657" s="165"/>
      <c r="AO657" s="165"/>
    </row>
    <row r="658" ht="15.75" customHeight="1">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c r="AE658" s="165"/>
      <c r="AF658" s="165"/>
      <c r="AG658" s="165"/>
      <c r="AH658" s="165"/>
      <c r="AI658" s="165"/>
      <c r="AJ658" s="165"/>
      <c r="AK658" s="165"/>
      <c r="AL658" s="165"/>
      <c r="AM658" s="165"/>
      <c r="AN658" s="165"/>
      <c r="AO658" s="165"/>
    </row>
    <row r="659" ht="15.75" customHeight="1">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c r="AE659" s="165"/>
      <c r="AF659" s="165"/>
      <c r="AG659" s="165"/>
      <c r="AH659" s="165"/>
      <c r="AI659" s="165"/>
      <c r="AJ659" s="165"/>
      <c r="AK659" s="165"/>
      <c r="AL659" s="165"/>
      <c r="AM659" s="165"/>
      <c r="AN659" s="165"/>
      <c r="AO659" s="165"/>
    </row>
    <row r="660" ht="15.75" customHeight="1">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c r="AE660" s="165"/>
      <c r="AF660" s="165"/>
      <c r="AG660" s="165"/>
      <c r="AH660" s="165"/>
      <c r="AI660" s="165"/>
      <c r="AJ660" s="165"/>
      <c r="AK660" s="165"/>
      <c r="AL660" s="165"/>
      <c r="AM660" s="165"/>
      <c r="AN660" s="165"/>
      <c r="AO660" s="165"/>
    </row>
    <row r="661" ht="15.75" customHeight="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c r="AE661" s="165"/>
      <c r="AF661" s="165"/>
      <c r="AG661" s="165"/>
      <c r="AH661" s="165"/>
      <c r="AI661" s="165"/>
      <c r="AJ661" s="165"/>
      <c r="AK661" s="165"/>
      <c r="AL661" s="165"/>
      <c r="AM661" s="165"/>
      <c r="AN661" s="165"/>
      <c r="AO661" s="165"/>
    </row>
    <row r="662" ht="15.75" customHeight="1">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c r="AE662" s="165"/>
      <c r="AF662" s="165"/>
      <c r="AG662" s="165"/>
      <c r="AH662" s="165"/>
      <c r="AI662" s="165"/>
      <c r="AJ662" s="165"/>
      <c r="AK662" s="165"/>
      <c r="AL662" s="165"/>
      <c r="AM662" s="165"/>
      <c r="AN662" s="165"/>
      <c r="AO662" s="165"/>
    </row>
    <row r="663" ht="15.75" customHeight="1">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c r="AE663" s="165"/>
      <c r="AF663" s="165"/>
      <c r="AG663" s="165"/>
      <c r="AH663" s="165"/>
      <c r="AI663" s="165"/>
      <c r="AJ663" s="165"/>
      <c r="AK663" s="165"/>
      <c r="AL663" s="165"/>
      <c r="AM663" s="165"/>
      <c r="AN663" s="165"/>
      <c r="AO663" s="165"/>
    </row>
    <row r="664" ht="15.75" customHeight="1">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c r="AE664" s="165"/>
      <c r="AF664" s="165"/>
      <c r="AG664" s="165"/>
      <c r="AH664" s="165"/>
      <c r="AI664" s="165"/>
      <c r="AJ664" s="165"/>
      <c r="AK664" s="165"/>
      <c r="AL664" s="165"/>
      <c r="AM664" s="165"/>
      <c r="AN664" s="165"/>
      <c r="AO664" s="165"/>
    </row>
    <row r="665" ht="15.75" customHeight="1">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c r="AE665" s="165"/>
      <c r="AF665" s="165"/>
      <c r="AG665" s="165"/>
      <c r="AH665" s="165"/>
      <c r="AI665" s="165"/>
      <c r="AJ665" s="165"/>
      <c r="AK665" s="165"/>
      <c r="AL665" s="165"/>
      <c r="AM665" s="165"/>
      <c r="AN665" s="165"/>
      <c r="AO665" s="165"/>
    </row>
    <row r="666" ht="15.75" customHeight="1">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c r="AE666" s="165"/>
      <c r="AF666" s="165"/>
      <c r="AG666" s="165"/>
      <c r="AH666" s="165"/>
      <c r="AI666" s="165"/>
      <c r="AJ666" s="165"/>
      <c r="AK666" s="165"/>
      <c r="AL666" s="165"/>
      <c r="AM666" s="165"/>
      <c r="AN666" s="165"/>
      <c r="AO666" s="165"/>
    </row>
    <row r="667" ht="15.75" customHeight="1">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c r="AE667" s="165"/>
      <c r="AF667" s="165"/>
      <c r="AG667" s="165"/>
      <c r="AH667" s="165"/>
      <c r="AI667" s="165"/>
      <c r="AJ667" s="165"/>
      <c r="AK667" s="165"/>
      <c r="AL667" s="165"/>
      <c r="AM667" s="165"/>
      <c r="AN667" s="165"/>
      <c r="AO667" s="165"/>
    </row>
    <row r="668" ht="15.75" customHeight="1">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c r="AE668" s="165"/>
      <c r="AF668" s="165"/>
      <c r="AG668" s="165"/>
      <c r="AH668" s="165"/>
      <c r="AI668" s="165"/>
      <c r="AJ668" s="165"/>
      <c r="AK668" s="165"/>
      <c r="AL668" s="165"/>
      <c r="AM668" s="165"/>
      <c r="AN668" s="165"/>
      <c r="AO668" s="165"/>
    </row>
    <row r="669" ht="15.75" customHeight="1">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c r="AE669" s="165"/>
      <c r="AF669" s="165"/>
      <c r="AG669" s="165"/>
      <c r="AH669" s="165"/>
      <c r="AI669" s="165"/>
      <c r="AJ669" s="165"/>
      <c r="AK669" s="165"/>
      <c r="AL669" s="165"/>
      <c r="AM669" s="165"/>
      <c r="AN669" s="165"/>
      <c r="AO669" s="165"/>
    </row>
    <row r="670" ht="15.75" customHeight="1">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c r="AE670" s="165"/>
      <c r="AF670" s="165"/>
      <c r="AG670" s="165"/>
      <c r="AH670" s="165"/>
      <c r="AI670" s="165"/>
      <c r="AJ670" s="165"/>
      <c r="AK670" s="165"/>
      <c r="AL670" s="165"/>
      <c r="AM670" s="165"/>
      <c r="AN670" s="165"/>
      <c r="AO670" s="165"/>
    </row>
    <row r="671" ht="15.75" customHeight="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c r="AE671" s="165"/>
      <c r="AF671" s="165"/>
      <c r="AG671" s="165"/>
      <c r="AH671" s="165"/>
      <c r="AI671" s="165"/>
      <c r="AJ671" s="165"/>
      <c r="AK671" s="165"/>
      <c r="AL671" s="165"/>
      <c r="AM671" s="165"/>
      <c r="AN671" s="165"/>
      <c r="AO671" s="165"/>
    </row>
    <row r="672" ht="15.75" customHeight="1">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c r="AE672" s="165"/>
      <c r="AF672" s="165"/>
      <c r="AG672" s="165"/>
      <c r="AH672" s="165"/>
      <c r="AI672" s="165"/>
      <c r="AJ672" s="165"/>
      <c r="AK672" s="165"/>
      <c r="AL672" s="165"/>
      <c r="AM672" s="165"/>
      <c r="AN672" s="165"/>
      <c r="AO672" s="165"/>
    </row>
    <row r="673" ht="15.75" customHeight="1">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c r="AE673" s="165"/>
      <c r="AF673" s="165"/>
      <c r="AG673" s="165"/>
      <c r="AH673" s="165"/>
      <c r="AI673" s="165"/>
      <c r="AJ673" s="165"/>
      <c r="AK673" s="165"/>
      <c r="AL673" s="165"/>
      <c r="AM673" s="165"/>
      <c r="AN673" s="165"/>
      <c r="AO673" s="165"/>
    </row>
    <row r="674" ht="15.75" customHeight="1">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c r="AE674" s="165"/>
      <c r="AF674" s="165"/>
      <c r="AG674" s="165"/>
      <c r="AH674" s="165"/>
      <c r="AI674" s="165"/>
      <c r="AJ674" s="165"/>
      <c r="AK674" s="165"/>
      <c r="AL674" s="165"/>
      <c r="AM674" s="165"/>
      <c r="AN674" s="165"/>
      <c r="AO674" s="165"/>
    </row>
    <row r="675" ht="15.75" customHeight="1">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c r="AE675" s="165"/>
      <c r="AF675" s="165"/>
      <c r="AG675" s="165"/>
      <c r="AH675" s="165"/>
      <c r="AI675" s="165"/>
      <c r="AJ675" s="165"/>
      <c r="AK675" s="165"/>
      <c r="AL675" s="165"/>
      <c r="AM675" s="165"/>
      <c r="AN675" s="165"/>
      <c r="AO675" s="165"/>
    </row>
    <row r="676" ht="15.75" customHeight="1">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c r="AE676" s="165"/>
      <c r="AF676" s="165"/>
      <c r="AG676" s="165"/>
      <c r="AH676" s="165"/>
      <c r="AI676" s="165"/>
      <c r="AJ676" s="165"/>
      <c r="AK676" s="165"/>
      <c r="AL676" s="165"/>
      <c r="AM676" s="165"/>
      <c r="AN676" s="165"/>
      <c r="AO676" s="165"/>
    </row>
    <row r="677" ht="15.75" customHeight="1">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c r="AE677" s="165"/>
      <c r="AF677" s="165"/>
      <c r="AG677" s="165"/>
      <c r="AH677" s="165"/>
      <c r="AI677" s="165"/>
      <c r="AJ677" s="165"/>
      <c r="AK677" s="165"/>
      <c r="AL677" s="165"/>
      <c r="AM677" s="165"/>
      <c r="AN677" s="165"/>
      <c r="AO677" s="165"/>
    </row>
    <row r="678" ht="15.75" customHeight="1">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c r="AE678" s="165"/>
      <c r="AF678" s="165"/>
      <c r="AG678" s="165"/>
      <c r="AH678" s="165"/>
      <c r="AI678" s="165"/>
      <c r="AJ678" s="165"/>
      <c r="AK678" s="165"/>
      <c r="AL678" s="165"/>
      <c r="AM678" s="165"/>
      <c r="AN678" s="165"/>
      <c r="AO678" s="165"/>
    </row>
    <row r="679" ht="15.75" customHeight="1">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c r="AE679" s="165"/>
      <c r="AF679" s="165"/>
      <c r="AG679" s="165"/>
      <c r="AH679" s="165"/>
      <c r="AI679" s="165"/>
      <c r="AJ679" s="165"/>
      <c r="AK679" s="165"/>
      <c r="AL679" s="165"/>
      <c r="AM679" s="165"/>
      <c r="AN679" s="165"/>
      <c r="AO679" s="165"/>
    </row>
    <row r="680" ht="15.75" customHeight="1">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c r="AE680" s="165"/>
      <c r="AF680" s="165"/>
      <c r="AG680" s="165"/>
      <c r="AH680" s="165"/>
      <c r="AI680" s="165"/>
      <c r="AJ680" s="165"/>
      <c r="AK680" s="165"/>
      <c r="AL680" s="165"/>
      <c r="AM680" s="165"/>
      <c r="AN680" s="165"/>
      <c r="AO680" s="165"/>
    </row>
    <row r="681" ht="15.75" customHeight="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c r="AE681" s="165"/>
      <c r="AF681" s="165"/>
      <c r="AG681" s="165"/>
      <c r="AH681" s="165"/>
      <c r="AI681" s="165"/>
      <c r="AJ681" s="165"/>
      <c r="AK681" s="165"/>
      <c r="AL681" s="165"/>
      <c r="AM681" s="165"/>
      <c r="AN681" s="165"/>
      <c r="AO681" s="165"/>
    </row>
    <row r="682" ht="15.75" customHeight="1">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c r="AE682" s="165"/>
      <c r="AF682" s="165"/>
      <c r="AG682" s="165"/>
      <c r="AH682" s="165"/>
      <c r="AI682" s="165"/>
      <c r="AJ682" s="165"/>
      <c r="AK682" s="165"/>
      <c r="AL682" s="165"/>
      <c r="AM682" s="165"/>
      <c r="AN682" s="165"/>
      <c r="AO682" s="165"/>
    </row>
    <row r="683" ht="15.75" customHeight="1">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c r="AE683" s="165"/>
      <c r="AF683" s="165"/>
      <c r="AG683" s="165"/>
      <c r="AH683" s="165"/>
      <c r="AI683" s="165"/>
      <c r="AJ683" s="165"/>
      <c r="AK683" s="165"/>
      <c r="AL683" s="165"/>
      <c r="AM683" s="165"/>
      <c r="AN683" s="165"/>
      <c r="AO683" s="165"/>
    </row>
    <row r="684" ht="15.75" customHeight="1">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c r="AE684" s="165"/>
      <c r="AF684" s="165"/>
      <c r="AG684" s="165"/>
      <c r="AH684" s="165"/>
      <c r="AI684" s="165"/>
      <c r="AJ684" s="165"/>
      <c r="AK684" s="165"/>
      <c r="AL684" s="165"/>
      <c r="AM684" s="165"/>
      <c r="AN684" s="165"/>
      <c r="AO684" s="165"/>
    </row>
    <row r="685" ht="15.75" customHeight="1">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c r="AE685" s="165"/>
      <c r="AF685" s="165"/>
      <c r="AG685" s="165"/>
      <c r="AH685" s="165"/>
      <c r="AI685" s="165"/>
      <c r="AJ685" s="165"/>
      <c r="AK685" s="165"/>
      <c r="AL685" s="165"/>
      <c r="AM685" s="165"/>
      <c r="AN685" s="165"/>
      <c r="AO685" s="165"/>
    </row>
    <row r="686" ht="15.75" customHeight="1">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c r="AE686" s="165"/>
      <c r="AF686" s="165"/>
      <c r="AG686" s="165"/>
      <c r="AH686" s="165"/>
      <c r="AI686" s="165"/>
      <c r="AJ686" s="165"/>
      <c r="AK686" s="165"/>
      <c r="AL686" s="165"/>
      <c r="AM686" s="165"/>
      <c r="AN686" s="165"/>
      <c r="AO686" s="165"/>
    </row>
    <row r="687" ht="15.75" customHeight="1">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c r="AE687" s="165"/>
      <c r="AF687" s="165"/>
      <c r="AG687" s="165"/>
      <c r="AH687" s="165"/>
      <c r="AI687" s="165"/>
      <c r="AJ687" s="165"/>
      <c r="AK687" s="165"/>
      <c r="AL687" s="165"/>
      <c r="AM687" s="165"/>
      <c r="AN687" s="165"/>
      <c r="AO687" s="165"/>
    </row>
    <row r="688" ht="15.75" customHeight="1">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c r="AE688" s="165"/>
      <c r="AF688" s="165"/>
      <c r="AG688" s="165"/>
      <c r="AH688" s="165"/>
      <c r="AI688" s="165"/>
      <c r="AJ688" s="165"/>
      <c r="AK688" s="165"/>
      <c r="AL688" s="165"/>
      <c r="AM688" s="165"/>
      <c r="AN688" s="165"/>
      <c r="AO688" s="165"/>
    </row>
    <row r="689" ht="15.75" customHeight="1">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c r="AE689" s="165"/>
      <c r="AF689" s="165"/>
      <c r="AG689" s="165"/>
      <c r="AH689" s="165"/>
      <c r="AI689" s="165"/>
      <c r="AJ689" s="165"/>
      <c r="AK689" s="165"/>
      <c r="AL689" s="165"/>
      <c r="AM689" s="165"/>
      <c r="AN689" s="165"/>
      <c r="AO689" s="165"/>
    </row>
    <row r="690" ht="15.75" customHeight="1">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c r="AE690" s="165"/>
      <c r="AF690" s="165"/>
      <c r="AG690" s="165"/>
      <c r="AH690" s="165"/>
      <c r="AI690" s="165"/>
      <c r="AJ690" s="165"/>
      <c r="AK690" s="165"/>
      <c r="AL690" s="165"/>
      <c r="AM690" s="165"/>
      <c r="AN690" s="165"/>
      <c r="AO690" s="165"/>
    </row>
    <row r="691" ht="15.75" customHeight="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c r="AE691" s="165"/>
      <c r="AF691" s="165"/>
      <c r="AG691" s="165"/>
      <c r="AH691" s="165"/>
      <c r="AI691" s="165"/>
      <c r="AJ691" s="165"/>
      <c r="AK691" s="165"/>
      <c r="AL691" s="165"/>
      <c r="AM691" s="165"/>
      <c r="AN691" s="165"/>
      <c r="AO691" s="165"/>
    </row>
    <row r="692" ht="15.75" customHeight="1">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c r="AE692" s="165"/>
      <c r="AF692" s="165"/>
      <c r="AG692" s="165"/>
      <c r="AH692" s="165"/>
      <c r="AI692" s="165"/>
      <c r="AJ692" s="165"/>
      <c r="AK692" s="165"/>
      <c r="AL692" s="165"/>
      <c r="AM692" s="165"/>
      <c r="AN692" s="165"/>
      <c r="AO692" s="165"/>
    </row>
    <row r="693" ht="15.75" customHeight="1">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c r="AE693" s="165"/>
      <c r="AF693" s="165"/>
      <c r="AG693" s="165"/>
      <c r="AH693" s="165"/>
      <c r="AI693" s="165"/>
      <c r="AJ693" s="165"/>
      <c r="AK693" s="165"/>
      <c r="AL693" s="165"/>
      <c r="AM693" s="165"/>
      <c r="AN693" s="165"/>
      <c r="AO693" s="165"/>
    </row>
    <row r="694" ht="15.75" customHeight="1">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c r="AE694" s="165"/>
      <c r="AF694" s="165"/>
      <c r="AG694" s="165"/>
      <c r="AH694" s="165"/>
      <c r="AI694" s="165"/>
      <c r="AJ694" s="165"/>
      <c r="AK694" s="165"/>
      <c r="AL694" s="165"/>
      <c r="AM694" s="165"/>
      <c r="AN694" s="165"/>
      <c r="AO694" s="165"/>
    </row>
    <row r="695" ht="15.75" customHeight="1">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c r="AE695" s="165"/>
      <c r="AF695" s="165"/>
      <c r="AG695" s="165"/>
      <c r="AH695" s="165"/>
      <c r="AI695" s="165"/>
      <c r="AJ695" s="165"/>
      <c r="AK695" s="165"/>
      <c r="AL695" s="165"/>
      <c r="AM695" s="165"/>
      <c r="AN695" s="165"/>
      <c r="AO695" s="165"/>
    </row>
    <row r="696" ht="15.75" customHeight="1">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c r="AE696" s="165"/>
      <c r="AF696" s="165"/>
      <c r="AG696" s="165"/>
      <c r="AH696" s="165"/>
      <c r="AI696" s="165"/>
      <c r="AJ696" s="165"/>
      <c r="AK696" s="165"/>
      <c r="AL696" s="165"/>
      <c r="AM696" s="165"/>
      <c r="AN696" s="165"/>
      <c r="AO696" s="165"/>
    </row>
    <row r="697" ht="15.75" customHeight="1">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c r="AE697" s="165"/>
      <c r="AF697" s="165"/>
      <c r="AG697" s="165"/>
      <c r="AH697" s="165"/>
      <c r="AI697" s="165"/>
      <c r="AJ697" s="165"/>
      <c r="AK697" s="165"/>
      <c r="AL697" s="165"/>
      <c r="AM697" s="165"/>
      <c r="AN697" s="165"/>
      <c r="AO697" s="165"/>
    </row>
    <row r="698" ht="15.75" customHeight="1">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c r="AE698" s="165"/>
      <c r="AF698" s="165"/>
      <c r="AG698" s="165"/>
      <c r="AH698" s="165"/>
      <c r="AI698" s="165"/>
      <c r="AJ698" s="165"/>
      <c r="AK698" s="165"/>
      <c r="AL698" s="165"/>
      <c r="AM698" s="165"/>
      <c r="AN698" s="165"/>
      <c r="AO698" s="165"/>
    </row>
    <row r="699" ht="15.75" customHeight="1">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c r="AE699" s="165"/>
      <c r="AF699" s="165"/>
      <c r="AG699" s="165"/>
      <c r="AH699" s="165"/>
      <c r="AI699" s="165"/>
      <c r="AJ699" s="165"/>
      <c r="AK699" s="165"/>
      <c r="AL699" s="165"/>
      <c r="AM699" s="165"/>
      <c r="AN699" s="165"/>
      <c r="AO699" s="165"/>
    </row>
    <row r="700" ht="15.75" customHeight="1">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c r="AE700" s="165"/>
      <c r="AF700" s="165"/>
      <c r="AG700" s="165"/>
      <c r="AH700" s="165"/>
      <c r="AI700" s="165"/>
      <c r="AJ700" s="165"/>
      <c r="AK700" s="165"/>
      <c r="AL700" s="165"/>
      <c r="AM700" s="165"/>
      <c r="AN700" s="165"/>
      <c r="AO700" s="165"/>
    </row>
    <row r="701" ht="15.75" customHeight="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c r="AE701" s="165"/>
      <c r="AF701" s="165"/>
      <c r="AG701" s="165"/>
      <c r="AH701" s="165"/>
      <c r="AI701" s="165"/>
      <c r="AJ701" s="165"/>
      <c r="AK701" s="165"/>
      <c r="AL701" s="165"/>
      <c r="AM701" s="165"/>
      <c r="AN701" s="165"/>
      <c r="AO701" s="165"/>
    </row>
    <row r="702" ht="15.75" customHeight="1">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c r="AE702" s="165"/>
      <c r="AF702" s="165"/>
      <c r="AG702" s="165"/>
      <c r="AH702" s="165"/>
      <c r="AI702" s="165"/>
      <c r="AJ702" s="165"/>
      <c r="AK702" s="165"/>
      <c r="AL702" s="165"/>
      <c r="AM702" s="165"/>
      <c r="AN702" s="165"/>
      <c r="AO702" s="165"/>
    </row>
    <row r="703" ht="15.75" customHeight="1">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c r="AE703" s="165"/>
      <c r="AF703" s="165"/>
      <c r="AG703" s="165"/>
      <c r="AH703" s="165"/>
      <c r="AI703" s="165"/>
      <c r="AJ703" s="165"/>
      <c r="AK703" s="165"/>
      <c r="AL703" s="165"/>
      <c r="AM703" s="165"/>
      <c r="AN703" s="165"/>
      <c r="AO703" s="165"/>
    </row>
    <row r="704" ht="15.75" customHeight="1">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c r="AE704" s="165"/>
      <c r="AF704" s="165"/>
      <c r="AG704" s="165"/>
      <c r="AH704" s="165"/>
      <c r="AI704" s="165"/>
      <c r="AJ704" s="165"/>
      <c r="AK704" s="165"/>
      <c r="AL704" s="165"/>
      <c r="AM704" s="165"/>
      <c r="AN704" s="165"/>
      <c r="AO704" s="165"/>
    </row>
    <row r="705" ht="15.75" customHeight="1">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c r="AE705" s="165"/>
      <c r="AF705" s="165"/>
      <c r="AG705" s="165"/>
      <c r="AH705" s="165"/>
      <c r="AI705" s="165"/>
      <c r="AJ705" s="165"/>
      <c r="AK705" s="165"/>
      <c r="AL705" s="165"/>
      <c r="AM705" s="165"/>
      <c r="AN705" s="165"/>
      <c r="AO705" s="165"/>
    </row>
    <row r="706" ht="15.75" customHeight="1">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c r="AE706" s="165"/>
      <c r="AF706" s="165"/>
      <c r="AG706" s="165"/>
      <c r="AH706" s="165"/>
      <c r="AI706" s="165"/>
      <c r="AJ706" s="165"/>
      <c r="AK706" s="165"/>
      <c r="AL706" s="165"/>
      <c r="AM706" s="165"/>
      <c r="AN706" s="165"/>
      <c r="AO706" s="165"/>
    </row>
    <row r="707" ht="15.75" customHeight="1">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c r="AE707" s="165"/>
      <c r="AF707" s="165"/>
      <c r="AG707" s="165"/>
      <c r="AH707" s="165"/>
      <c r="AI707" s="165"/>
      <c r="AJ707" s="165"/>
      <c r="AK707" s="165"/>
      <c r="AL707" s="165"/>
      <c r="AM707" s="165"/>
      <c r="AN707" s="165"/>
      <c r="AO707" s="165"/>
    </row>
    <row r="708" ht="15.75" customHeight="1">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c r="AE708" s="165"/>
      <c r="AF708" s="165"/>
      <c r="AG708" s="165"/>
      <c r="AH708" s="165"/>
      <c r="AI708" s="165"/>
      <c r="AJ708" s="165"/>
      <c r="AK708" s="165"/>
      <c r="AL708" s="165"/>
      <c r="AM708" s="165"/>
      <c r="AN708" s="165"/>
      <c r="AO708" s="165"/>
    </row>
    <row r="709" ht="15.75" customHeight="1">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c r="AE709" s="165"/>
      <c r="AF709" s="165"/>
      <c r="AG709" s="165"/>
      <c r="AH709" s="165"/>
      <c r="AI709" s="165"/>
      <c r="AJ709" s="165"/>
      <c r="AK709" s="165"/>
      <c r="AL709" s="165"/>
      <c r="AM709" s="165"/>
      <c r="AN709" s="165"/>
      <c r="AO709" s="165"/>
    </row>
    <row r="710" ht="15.75" customHeight="1">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c r="AE710" s="165"/>
      <c r="AF710" s="165"/>
      <c r="AG710" s="165"/>
      <c r="AH710" s="165"/>
      <c r="AI710" s="165"/>
      <c r="AJ710" s="165"/>
      <c r="AK710" s="165"/>
      <c r="AL710" s="165"/>
      <c r="AM710" s="165"/>
      <c r="AN710" s="165"/>
      <c r="AO710" s="165"/>
    </row>
    <row r="711" ht="15.75" customHeight="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c r="AE711" s="165"/>
      <c r="AF711" s="165"/>
      <c r="AG711" s="165"/>
      <c r="AH711" s="165"/>
      <c r="AI711" s="165"/>
      <c r="AJ711" s="165"/>
      <c r="AK711" s="165"/>
      <c r="AL711" s="165"/>
      <c r="AM711" s="165"/>
      <c r="AN711" s="165"/>
      <c r="AO711" s="165"/>
    </row>
    <row r="712" ht="15.75" customHeight="1">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c r="AE712" s="165"/>
      <c r="AF712" s="165"/>
      <c r="AG712" s="165"/>
      <c r="AH712" s="165"/>
      <c r="AI712" s="165"/>
      <c r="AJ712" s="165"/>
      <c r="AK712" s="165"/>
      <c r="AL712" s="165"/>
      <c r="AM712" s="165"/>
      <c r="AN712" s="165"/>
      <c r="AO712" s="165"/>
    </row>
    <row r="713" ht="15.75" customHeight="1">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c r="AE713" s="165"/>
      <c r="AF713" s="165"/>
      <c r="AG713" s="165"/>
      <c r="AH713" s="165"/>
      <c r="AI713" s="165"/>
      <c r="AJ713" s="165"/>
      <c r="AK713" s="165"/>
      <c r="AL713" s="165"/>
      <c r="AM713" s="165"/>
      <c r="AN713" s="165"/>
      <c r="AO713" s="165"/>
    </row>
    <row r="714" ht="15.75" customHeight="1">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c r="AE714" s="165"/>
      <c r="AF714" s="165"/>
      <c r="AG714" s="165"/>
      <c r="AH714" s="165"/>
      <c r="AI714" s="165"/>
      <c r="AJ714" s="165"/>
      <c r="AK714" s="165"/>
      <c r="AL714" s="165"/>
      <c r="AM714" s="165"/>
      <c r="AN714" s="165"/>
      <c r="AO714" s="165"/>
    </row>
    <row r="715" ht="15.75" customHeight="1">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c r="AE715" s="165"/>
      <c r="AF715" s="165"/>
      <c r="AG715" s="165"/>
      <c r="AH715" s="165"/>
      <c r="AI715" s="165"/>
      <c r="AJ715" s="165"/>
      <c r="AK715" s="165"/>
      <c r="AL715" s="165"/>
      <c r="AM715" s="165"/>
      <c r="AN715" s="165"/>
      <c r="AO715" s="165"/>
    </row>
    <row r="716" ht="15.75" customHeight="1">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c r="AE716" s="165"/>
      <c r="AF716" s="165"/>
      <c r="AG716" s="165"/>
      <c r="AH716" s="165"/>
      <c r="AI716" s="165"/>
      <c r="AJ716" s="165"/>
      <c r="AK716" s="165"/>
      <c r="AL716" s="165"/>
      <c r="AM716" s="165"/>
      <c r="AN716" s="165"/>
      <c r="AO716" s="165"/>
    </row>
    <row r="717" ht="15.75" customHeight="1">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c r="AE717" s="165"/>
      <c r="AF717" s="165"/>
      <c r="AG717" s="165"/>
      <c r="AH717" s="165"/>
      <c r="AI717" s="165"/>
      <c r="AJ717" s="165"/>
      <c r="AK717" s="165"/>
      <c r="AL717" s="165"/>
      <c r="AM717" s="165"/>
      <c r="AN717" s="165"/>
      <c r="AO717" s="165"/>
    </row>
    <row r="718" ht="15.75" customHeight="1">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c r="AE718" s="165"/>
      <c r="AF718" s="165"/>
      <c r="AG718" s="165"/>
      <c r="AH718" s="165"/>
      <c r="AI718" s="165"/>
      <c r="AJ718" s="165"/>
      <c r="AK718" s="165"/>
      <c r="AL718" s="165"/>
      <c r="AM718" s="165"/>
      <c r="AN718" s="165"/>
      <c r="AO718" s="165"/>
    </row>
    <row r="719" ht="15.75" customHeight="1">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c r="AE719" s="165"/>
      <c r="AF719" s="165"/>
      <c r="AG719" s="165"/>
      <c r="AH719" s="165"/>
      <c r="AI719" s="165"/>
      <c r="AJ719" s="165"/>
      <c r="AK719" s="165"/>
      <c r="AL719" s="165"/>
      <c r="AM719" s="165"/>
      <c r="AN719" s="165"/>
      <c r="AO719" s="165"/>
    </row>
    <row r="720" ht="15.75" customHeight="1">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c r="AE720" s="165"/>
      <c r="AF720" s="165"/>
      <c r="AG720" s="165"/>
      <c r="AH720" s="165"/>
      <c r="AI720" s="165"/>
      <c r="AJ720" s="165"/>
      <c r="AK720" s="165"/>
      <c r="AL720" s="165"/>
      <c r="AM720" s="165"/>
      <c r="AN720" s="165"/>
      <c r="AO720" s="165"/>
    </row>
    <row r="721" ht="15.75" customHeight="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c r="AE721" s="165"/>
      <c r="AF721" s="165"/>
      <c r="AG721" s="165"/>
      <c r="AH721" s="165"/>
      <c r="AI721" s="165"/>
      <c r="AJ721" s="165"/>
      <c r="AK721" s="165"/>
      <c r="AL721" s="165"/>
      <c r="AM721" s="165"/>
      <c r="AN721" s="165"/>
      <c r="AO721" s="165"/>
    </row>
    <row r="722" ht="15.75" customHeight="1">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c r="AE722" s="165"/>
      <c r="AF722" s="165"/>
      <c r="AG722" s="165"/>
      <c r="AH722" s="165"/>
      <c r="AI722" s="165"/>
      <c r="AJ722" s="165"/>
      <c r="AK722" s="165"/>
      <c r="AL722" s="165"/>
      <c r="AM722" s="165"/>
      <c r="AN722" s="165"/>
      <c r="AO722" s="165"/>
    </row>
    <row r="723" ht="15.75" customHeight="1">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c r="AE723" s="165"/>
      <c r="AF723" s="165"/>
      <c r="AG723" s="165"/>
      <c r="AH723" s="165"/>
      <c r="AI723" s="165"/>
      <c r="AJ723" s="165"/>
      <c r="AK723" s="165"/>
      <c r="AL723" s="165"/>
      <c r="AM723" s="165"/>
      <c r="AN723" s="165"/>
      <c r="AO723" s="165"/>
    </row>
    <row r="724" ht="15.75" customHeight="1">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c r="AE724" s="165"/>
      <c r="AF724" s="165"/>
      <c r="AG724" s="165"/>
      <c r="AH724" s="165"/>
      <c r="AI724" s="165"/>
      <c r="AJ724" s="165"/>
      <c r="AK724" s="165"/>
      <c r="AL724" s="165"/>
      <c r="AM724" s="165"/>
      <c r="AN724" s="165"/>
      <c r="AO724" s="165"/>
    </row>
    <row r="725" ht="15.75" customHeight="1">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c r="AE725" s="165"/>
      <c r="AF725" s="165"/>
      <c r="AG725" s="165"/>
      <c r="AH725" s="165"/>
      <c r="AI725" s="165"/>
      <c r="AJ725" s="165"/>
      <c r="AK725" s="165"/>
      <c r="AL725" s="165"/>
      <c r="AM725" s="165"/>
      <c r="AN725" s="165"/>
      <c r="AO725" s="165"/>
    </row>
    <row r="726" ht="15.75" customHeight="1">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c r="AE726" s="165"/>
      <c r="AF726" s="165"/>
      <c r="AG726" s="165"/>
      <c r="AH726" s="165"/>
      <c r="AI726" s="165"/>
      <c r="AJ726" s="165"/>
      <c r="AK726" s="165"/>
      <c r="AL726" s="165"/>
      <c r="AM726" s="165"/>
      <c r="AN726" s="165"/>
      <c r="AO726" s="165"/>
    </row>
    <row r="727" ht="15.75" customHeight="1">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c r="AE727" s="165"/>
      <c r="AF727" s="165"/>
      <c r="AG727" s="165"/>
      <c r="AH727" s="165"/>
      <c r="AI727" s="165"/>
      <c r="AJ727" s="165"/>
      <c r="AK727" s="165"/>
      <c r="AL727" s="165"/>
      <c r="AM727" s="165"/>
      <c r="AN727" s="165"/>
      <c r="AO727" s="165"/>
    </row>
    <row r="728" ht="15.75" customHeight="1">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c r="AE728" s="165"/>
      <c r="AF728" s="165"/>
      <c r="AG728" s="165"/>
      <c r="AH728" s="165"/>
      <c r="AI728" s="165"/>
      <c r="AJ728" s="165"/>
      <c r="AK728" s="165"/>
      <c r="AL728" s="165"/>
      <c r="AM728" s="165"/>
      <c r="AN728" s="165"/>
      <c r="AO728" s="165"/>
    </row>
    <row r="729" ht="15.75" customHeight="1">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c r="AE729" s="165"/>
      <c r="AF729" s="165"/>
      <c r="AG729" s="165"/>
      <c r="AH729" s="165"/>
      <c r="AI729" s="165"/>
      <c r="AJ729" s="165"/>
      <c r="AK729" s="165"/>
      <c r="AL729" s="165"/>
      <c r="AM729" s="165"/>
      <c r="AN729" s="165"/>
      <c r="AO729" s="165"/>
    </row>
    <row r="730" ht="15.75" customHeight="1">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c r="AE730" s="165"/>
      <c r="AF730" s="165"/>
      <c r="AG730" s="165"/>
      <c r="AH730" s="165"/>
      <c r="AI730" s="165"/>
      <c r="AJ730" s="165"/>
      <c r="AK730" s="165"/>
      <c r="AL730" s="165"/>
      <c r="AM730" s="165"/>
      <c r="AN730" s="165"/>
      <c r="AO730" s="165"/>
    </row>
    <row r="731" ht="15.75" customHeight="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c r="AE731" s="165"/>
      <c r="AF731" s="165"/>
      <c r="AG731" s="165"/>
      <c r="AH731" s="165"/>
      <c r="AI731" s="165"/>
      <c r="AJ731" s="165"/>
      <c r="AK731" s="165"/>
      <c r="AL731" s="165"/>
      <c r="AM731" s="165"/>
      <c r="AN731" s="165"/>
      <c r="AO731" s="165"/>
    </row>
    <row r="732" ht="15.75" customHeight="1">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c r="AE732" s="165"/>
      <c r="AF732" s="165"/>
      <c r="AG732" s="165"/>
      <c r="AH732" s="165"/>
      <c r="AI732" s="165"/>
      <c r="AJ732" s="165"/>
      <c r="AK732" s="165"/>
      <c r="AL732" s="165"/>
      <c r="AM732" s="165"/>
      <c r="AN732" s="165"/>
      <c r="AO732" s="165"/>
    </row>
    <row r="733" ht="15.75" customHeight="1">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c r="AE733" s="165"/>
      <c r="AF733" s="165"/>
      <c r="AG733" s="165"/>
      <c r="AH733" s="165"/>
      <c r="AI733" s="165"/>
      <c r="AJ733" s="165"/>
      <c r="AK733" s="165"/>
      <c r="AL733" s="165"/>
      <c r="AM733" s="165"/>
      <c r="AN733" s="165"/>
      <c r="AO733" s="165"/>
    </row>
    <row r="734" ht="15.75" customHeight="1">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c r="AE734" s="165"/>
      <c r="AF734" s="165"/>
      <c r="AG734" s="165"/>
      <c r="AH734" s="165"/>
      <c r="AI734" s="165"/>
      <c r="AJ734" s="165"/>
      <c r="AK734" s="165"/>
      <c r="AL734" s="165"/>
      <c r="AM734" s="165"/>
      <c r="AN734" s="165"/>
      <c r="AO734" s="165"/>
    </row>
    <row r="735" ht="15.75" customHeight="1">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c r="AE735" s="165"/>
      <c r="AF735" s="165"/>
      <c r="AG735" s="165"/>
      <c r="AH735" s="165"/>
      <c r="AI735" s="165"/>
      <c r="AJ735" s="165"/>
      <c r="AK735" s="165"/>
      <c r="AL735" s="165"/>
      <c r="AM735" s="165"/>
      <c r="AN735" s="165"/>
      <c r="AO735" s="165"/>
    </row>
    <row r="736" ht="15.75" customHeight="1">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c r="AE736" s="165"/>
      <c r="AF736" s="165"/>
      <c r="AG736" s="165"/>
      <c r="AH736" s="165"/>
      <c r="AI736" s="165"/>
      <c r="AJ736" s="165"/>
      <c r="AK736" s="165"/>
      <c r="AL736" s="165"/>
      <c r="AM736" s="165"/>
      <c r="AN736" s="165"/>
      <c r="AO736" s="165"/>
    </row>
    <row r="737" ht="15.75" customHeight="1">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c r="AE737" s="165"/>
      <c r="AF737" s="165"/>
      <c r="AG737" s="165"/>
      <c r="AH737" s="165"/>
      <c r="AI737" s="165"/>
      <c r="AJ737" s="165"/>
      <c r="AK737" s="165"/>
      <c r="AL737" s="165"/>
      <c r="AM737" s="165"/>
      <c r="AN737" s="165"/>
      <c r="AO737" s="165"/>
    </row>
    <row r="738" ht="15.75" customHeight="1">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c r="AE738" s="165"/>
      <c r="AF738" s="165"/>
      <c r="AG738" s="165"/>
      <c r="AH738" s="165"/>
      <c r="AI738" s="165"/>
      <c r="AJ738" s="165"/>
      <c r="AK738" s="165"/>
      <c r="AL738" s="165"/>
      <c r="AM738" s="165"/>
      <c r="AN738" s="165"/>
      <c r="AO738" s="165"/>
    </row>
    <row r="739" ht="15.75" customHeight="1">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c r="AE739" s="165"/>
      <c r="AF739" s="165"/>
      <c r="AG739" s="165"/>
      <c r="AH739" s="165"/>
      <c r="AI739" s="165"/>
      <c r="AJ739" s="165"/>
      <c r="AK739" s="165"/>
      <c r="AL739" s="165"/>
      <c r="AM739" s="165"/>
      <c r="AN739" s="165"/>
      <c r="AO739" s="165"/>
    </row>
    <row r="740" ht="15.75" customHeight="1">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c r="AE740" s="165"/>
      <c r="AF740" s="165"/>
      <c r="AG740" s="165"/>
      <c r="AH740" s="165"/>
      <c r="AI740" s="165"/>
      <c r="AJ740" s="165"/>
      <c r="AK740" s="165"/>
      <c r="AL740" s="165"/>
      <c r="AM740" s="165"/>
      <c r="AN740" s="165"/>
      <c r="AO740" s="165"/>
    </row>
    <row r="741" ht="15.75" customHeight="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c r="AE741" s="165"/>
      <c r="AF741" s="165"/>
      <c r="AG741" s="165"/>
      <c r="AH741" s="165"/>
      <c r="AI741" s="165"/>
      <c r="AJ741" s="165"/>
      <c r="AK741" s="165"/>
      <c r="AL741" s="165"/>
      <c r="AM741" s="165"/>
      <c r="AN741" s="165"/>
      <c r="AO741" s="165"/>
    </row>
    <row r="742" ht="15.75" customHeight="1">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c r="AE742" s="165"/>
      <c r="AF742" s="165"/>
      <c r="AG742" s="165"/>
      <c r="AH742" s="165"/>
      <c r="AI742" s="165"/>
      <c r="AJ742" s="165"/>
      <c r="AK742" s="165"/>
      <c r="AL742" s="165"/>
      <c r="AM742" s="165"/>
      <c r="AN742" s="165"/>
      <c r="AO742" s="165"/>
    </row>
    <row r="743" ht="15.75" customHeight="1">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c r="AE743" s="165"/>
      <c r="AF743" s="165"/>
      <c r="AG743" s="165"/>
      <c r="AH743" s="165"/>
      <c r="AI743" s="165"/>
      <c r="AJ743" s="165"/>
      <c r="AK743" s="165"/>
      <c r="AL743" s="165"/>
      <c r="AM743" s="165"/>
      <c r="AN743" s="165"/>
      <c r="AO743" s="165"/>
    </row>
    <row r="744" ht="15.75" customHeight="1">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c r="AE744" s="165"/>
      <c r="AF744" s="165"/>
      <c r="AG744" s="165"/>
      <c r="AH744" s="165"/>
      <c r="AI744" s="165"/>
      <c r="AJ744" s="165"/>
      <c r="AK744" s="165"/>
      <c r="AL744" s="165"/>
      <c r="AM744" s="165"/>
      <c r="AN744" s="165"/>
      <c r="AO744" s="165"/>
    </row>
    <row r="745" ht="15.75" customHeight="1">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c r="AE745" s="165"/>
      <c r="AF745" s="165"/>
      <c r="AG745" s="165"/>
      <c r="AH745" s="165"/>
      <c r="AI745" s="165"/>
      <c r="AJ745" s="165"/>
      <c r="AK745" s="165"/>
      <c r="AL745" s="165"/>
      <c r="AM745" s="165"/>
      <c r="AN745" s="165"/>
      <c r="AO745" s="165"/>
    </row>
    <row r="746" ht="15.75" customHeight="1">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c r="AE746" s="165"/>
      <c r="AF746" s="165"/>
      <c r="AG746" s="165"/>
      <c r="AH746" s="165"/>
      <c r="AI746" s="165"/>
      <c r="AJ746" s="165"/>
      <c r="AK746" s="165"/>
      <c r="AL746" s="165"/>
      <c r="AM746" s="165"/>
      <c r="AN746" s="165"/>
      <c r="AO746" s="165"/>
    </row>
    <row r="747" ht="15.75" customHeight="1">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c r="AE747" s="165"/>
      <c r="AF747" s="165"/>
      <c r="AG747" s="165"/>
      <c r="AH747" s="165"/>
      <c r="AI747" s="165"/>
      <c r="AJ747" s="165"/>
      <c r="AK747" s="165"/>
      <c r="AL747" s="165"/>
      <c r="AM747" s="165"/>
      <c r="AN747" s="165"/>
      <c r="AO747" s="165"/>
    </row>
    <row r="748" ht="15.75" customHeight="1">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c r="AE748" s="165"/>
      <c r="AF748" s="165"/>
      <c r="AG748" s="165"/>
      <c r="AH748" s="165"/>
      <c r="AI748" s="165"/>
      <c r="AJ748" s="165"/>
      <c r="AK748" s="165"/>
      <c r="AL748" s="165"/>
      <c r="AM748" s="165"/>
      <c r="AN748" s="165"/>
      <c r="AO748" s="165"/>
    </row>
    <row r="749" ht="15.75" customHeight="1">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c r="AE749" s="165"/>
      <c r="AF749" s="165"/>
      <c r="AG749" s="165"/>
      <c r="AH749" s="165"/>
      <c r="AI749" s="165"/>
      <c r="AJ749" s="165"/>
      <c r="AK749" s="165"/>
      <c r="AL749" s="165"/>
      <c r="AM749" s="165"/>
      <c r="AN749" s="165"/>
      <c r="AO749" s="165"/>
    </row>
    <row r="750" ht="15.75" customHeight="1">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c r="AE750" s="165"/>
      <c r="AF750" s="165"/>
      <c r="AG750" s="165"/>
      <c r="AH750" s="165"/>
      <c r="AI750" s="165"/>
      <c r="AJ750" s="165"/>
      <c r="AK750" s="165"/>
      <c r="AL750" s="165"/>
      <c r="AM750" s="165"/>
      <c r="AN750" s="165"/>
      <c r="AO750" s="165"/>
    </row>
    <row r="751" ht="15.75" customHeight="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c r="AE751" s="165"/>
      <c r="AF751" s="165"/>
      <c r="AG751" s="165"/>
      <c r="AH751" s="165"/>
      <c r="AI751" s="165"/>
      <c r="AJ751" s="165"/>
      <c r="AK751" s="165"/>
      <c r="AL751" s="165"/>
      <c r="AM751" s="165"/>
      <c r="AN751" s="165"/>
      <c r="AO751" s="165"/>
    </row>
    <row r="752" ht="15.75" customHeight="1">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c r="AE752" s="165"/>
      <c r="AF752" s="165"/>
      <c r="AG752" s="165"/>
      <c r="AH752" s="165"/>
      <c r="AI752" s="165"/>
      <c r="AJ752" s="165"/>
      <c r="AK752" s="165"/>
      <c r="AL752" s="165"/>
      <c r="AM752" s="165"/>
      <c r="AN752" s="165"/>
      <c r="AO752" s="165"/>
    </row>
    <row r="753" ht="15.75" customHeight="1">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c r="AE753" s="165"/>
      <c r="AF753" s="165"/>
      <c r="AG753" s="165"/>
      <c r="AH753" s="165"/>
      <c r="AI753" s="165"/>
      <c r="AJ753" s="165"/>
      <c r="AK753" s="165"/>
      <c r="AL753" s="165"/>
      <c r="AM753" s="165"/>
      <c r="AN753" s="165"/>
      <c r="AO753" s="165"/>
    </row>
    <row r="754" ht="15.75" customHeight="1">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c r="AE754" s="165"/>
      <c r="AF754" s="165"/>
      <c r="AG754" s="165"/>
      <c r="AH754" s="165"/>
      <c r="AI754" s="165"/>
      <c r="AJ754" s="165"/>
      <c r="AK754" s="165"/>
      <c r="AL754" s="165"/>
      <c r="AM754" s="165"/>
      <c r="AN754" s="165"/>
      <c r="AO754" s="165"/>
    </row>
    <row r="755" ht="15.75" customHeight="1">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c r="AE755" s="165"/>
      <c r="AF755" s="165"/>
      <c r="AG755" s="165"/>
      <c r="AH755" s="165"/>
      <c r="AI755" s="165"/>
      <c r="AJ755" s="165"/>
      <c r="AK755" s="165"/>
      <c r="AL755" s="165"/>
      <c r="AM755" s="165"/>
      <c r="AN755" s="165"/>
      <c r="AO755" s="165"/>
    </row>
    <row r="756" ht="15.75" customHeight="1">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c r="AE756" s="165"/>
      <c r="AF756" s="165"/>
      <c r="AG756" s="165"/>
      <c r="AH756" s="165"/>
      <c r="AI756" s="165"/>
      <c r="AJ756" s="165"/>
      <c r="AK756" s="165"/>
      <c r="AL756" s="165"/>
      <c r="AM756" s="165"/>
      <c r="AN756" s="165"/>
      <c r="AO756" s="165"/>
    </row>
    <row r="757" ht="15.75" customHeight="1">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c r="AE757" s="165"/>
      <c r="AF757" s="165"/>
      <c r="AG757" s="165"/>
      <c r="AH757" s="165"/>
      <c r="AI757" s="165"/>
      <c r="AJ757" s="165"/>
      <c r="AK757" s="165"/>
      <c r="AL757" s="165"/>
      <c r="AM757" s="165"/>
      <c r="AN757" s="165"/>
      <c r="AO757" s="165"/>
    </row>
    <row r="758" ht="15.75" customHeight="1">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c r="AE758" s="165"/>
      <c r="AF758" s="165"/>
      <c r="AG758" s="165"/>
      <c r="AH758" s="165"/>
      <c r="AI758" s="165"/>
      <c r="AJ758" s="165"/>
      <c r="AK758" s="165"/>
      <c r="AL758" s="165"/>
      <c r="AM758" s="165"/>
      <c r="AN758" s="165"/>
      <c r="AO758" s="165"/>
    </row>
    <row r="759" ht="15.75" customHeight="1">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c r="AE759" s="165"/>
      <c r="AF759" s="165"/>
      <c r="AG759" s="165"/>
      <c r="AH759" s="165"/>
      <c r="AI759" s="165"/>
      <c r="AJ759" s="165"/>
      <c r="AK759" s="165"/>
      <c r="AL759" s="165"/>
      <c r="AM759" s="165"/>
      <c r="AN759" s="165"/>
      <c r="AO759" s="165"/>
    </row>
    <row r="760" ht="15.75" customHeight="1">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c r="AE760" s="165"/>
      <c r="AF760" s="165"/>
      <c r="AG760" s="165"/>
      <c r="AH760" s="165"/>
      <c r="AI760" s="165"/>
      <c r="AJ760" s="165"/>
      <c r="AK760" s="165"/>
      <c r="AL760" s="165"/>
      <c r="AM760" s="165"/>
      <c r="AN760" s="165"/>
      <c r="AO760" s="165"/>
    </row>
    <row r="761" ht="15.75" customHeight="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c r="AE761" s="165"/>
      <c r="AF761" s="165"/>
      <c r="AG761" s="165"/>
      <c r="AH761" s="165"/>
      <c r="AI761" s="165"/>
      <c r="AJ761" s="165"/>
      <c r="AK761" s="165"/>
      <c r="AL761" s="165"/>
      <c r="AM761" s="165"/>
      <c r="AN761" s="165"/>
      <c r="AO761" s="165"/>
    </row>
    <row r="762" ht="15.75" customHeight="1">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c r="AE762" s="165"/>
      <c r="AF762" s="165"/>
      <c r="AG762" s="165"/>
      <c r="AH762" s="165"/>
      <c r="AI762" s="165"/>
      <c r="AJ762" s="165"/>
      <c r="AK762" s="165"/>
      <c r="AL762" s="165"/>
      <c r="AM762" s="165"/>
      <c r="AN762" s="165"/>
      <c r="AO762" s="165"/>
    </row>
    <row r="763" ht="15.75" customHeight="1">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c r="AE763" s="165"/>
      <c r="AF763" s="165"/>
      <c r="AG763" s="165"/>
      <c r="AH763" s="165"/>
      <c r="AI763" s="165"/>
      <c r="AJ763" s="165"/>
      <c r="AK763" s="165"/>
      <c r="AL763" s="165"/>
      <c r="AM763" s="165"/>
      <c r="AN763" s="165"/>
      <c r="AO763" s="165"/>
    </row>
    <row r="764" ht="15.75" customHeight="1">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c r="AE764" s="165"/>
      <c r="AF764" s="165"/>
      <c r="AG764" s="165"/>
      <c r="AH764" s="165"/>
      <c r="AI764" s="165"/>
      <c r="AJ764" s="165"/>
      <c r="AK764" s="165"/>
      <c r="AL764" s="165"/>
      <c r="AM764" s="165"/>
      <c r="AN764" s="165"/>
      <c r="AO764" s="165"/>
    </row>
    <row r="765" ht="15.75" customHeight="1">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c r="AE765" s="165"/>
      <c r="AF765" s="165"/>
      <c r="AG765" s="165"/>
      <c r="AH765" s="165"/>
      <c r="AI765" s="165"/>
      <c r="AJ765" s="165"/>
      <c r="AK765" s="165"/>
      <c r="AL765" s="165"/>
      <c r="AM765" s="165"/>
      <c r="AN765" s="165"/>
      <c r="AO765" s="165"/>
    </row>
    <row r="766" ht="15.75" customHeight="1">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c r="AE766" s="165"/>
      <c r="AF766" s="165"/>
      <c r="AG766" s="165"/>
      <c r="AH766" s="165"/>
      <c r="AI766" s="165"/>
      <c r="AJ766" s="165"/>
      <c r="AK766" s="165"/>
      <c r="AL766" s="165"/>
      <c r="AM766" s="165"/>
      <c r="AN766" s="165"/>
      <c r="AO766" s="165"/>
    </row>
    <row r="767" ht="15.75" customHeight="1">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c r="AE767" s="165"/>
      <c r="AF767" s="165"/>
      <c r="AG767" s="165"/>
      <c r="AH767" s="165"/>
      <c r="AI767" s="165"/>
      <c r="AJ767" s="165"/>
      <c r="AK767" s="165"/>
      <c r="AL767" s="165"/>
      <c r="AM767" s="165"/>
      <c r="AN767" s="165"/>
      <c r="AO767" s="165"/>
    </row>
    <row r="768" ht="15.75" customHeight="1">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c r="AE768" s="165"/>
      <c r="AF768" s="165"/>
      <c r="AG768" s="165"/>
      <c r="AH768" s="165"/>
      <c r="AI768" s="165"/>
      <c r="AJ768" s="165"/>
      <c r="AK768" s="165"/>
      <c r="AL768" s="165"/>
      <c r="AM768" s="165"/>
      <c r="AN768" s="165"/>
      <c r="AO768" s="165"/>
    </row>
    <row r="769" ht="15.75" customHeight="1">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c r="AE769" s="165"/>
      <c r="AF769" s="165"/>
      <c r="AG769" s="165"/>
      <c r="AH769" s="165"/>
      <c r="AI769" s="165"/>
      <c r="AJ769" s="165"/>
      <c r="AK769" s="165"/>
      <c r="AL769" s="165"/>
      <c r="AM769" s="165"/>
      <c r="AN769" s="165"/>
      <c r="AO769" s="165"/>
    </row>
    <row r="770" ht="15.75" customHeight="1">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c r="AE770" s="165"/>
      <c r="AF770" s="165"/>
      <c r="AG770" s="165"/>
      <c r="AH770" s="165"/>
      <c r="AI770" s="165"/>
      <c r="AJ770" s="165"/>
      <c r="AK770" s="165"/>
      <c r="AL770" s="165"/>
      <c r="AM770" s="165"/>
      <c r="AN770" s="165"/>
      <c r="AO770" s="165"/>
    </row>
    <row r="771" ht="15.75" customHeight="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c r="AE771" s="165"/>
      <c r="AF771" s="165"/>
      <c r="AG771" s="165"/>
      <c r="AH771" s="165"/>
      <c r="AI771" s="165"/>
      <c r="AJ771" s="165"/>
      <c r="AK771" s="165"/>
      <c r="AL771" s="165"/>
      <c r="AM771" s="165"/>
      <c r="AN771" s="165"/>
      <c r="AO771" s="165"/>
    </row>
    <row r="772" ht="15.75" customHeight="1">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c r="AE772" s="165"/>
      <c r="AF772" s="165"/>
      <c r="AG772" s="165"/>
      <c r="AH772" s="165"/>
      <c r="AI772" s="165"/>
      <c r="AJ772" s="165"/>
      <c r="AK772" s="165"/>
      <c r="AL772" s="165"/>
      <c r="AM772" s="165"/>
      <c r="AN772" s="165"/>
      <c r="AO772" s="165"/>
    </row>
    <row r="773" ht="15.75" customHeight="1">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c r="AE773" s="165"/>
      <c r="AF773" s="165"/>
      <c r="AG773" s="165"/>
      <c r="AH773" s="165"/>
      <c r="AI773" s="165"/>
      <c r="AJ773" s="165"/>
      <c r="AK773" s="165"/>
      <c r="AL773" s="165"/>
      <c r="AM773" s="165"/>
      <c r="AN773" s="165"/>
      <c r="AO773" s="165"/>
    </row>
    <row r="774" ht="15.75" customHeight="1">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c r="AE774" s="165"/>
      <c r="AF774" s="165"/>
      <c r="AG774" s="165"/>
      <c r="AH774" s="165"/>
      <c r="AI774" s="165"/>
      <c r="AJ774" s="165"/>
      <c r="AK774" s="165"/>
      <c r="AL774" s="165"/>
      <c r="AM774" s="165"/>
      <c r="AN774" s="165"/>
      <c r="AO774" s="165"/>
    </row>
    <row r="775" ht="15.75" customHeight="1">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c r="AE775" s="165"/>
      <c r="AF775" s="165"/>
      <c r="AG775" s="165"/>
      <c r="AH775" s="165"/>
      <c r="AI775" s="165"/>
      <c r="AJ775" s="165"/>
      <c r="AK775" s="165"/>
      <c r="AL775" s="165"/>
      <c r="AM775" s="165"/>
      <c r="AN775" s="165"/>
      <c r="AO775" s="165"/>
    </row>
    <row r="776" ht="15.75" customHeight="1">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c r="AE776" s="165"/>
      <c r="AF776" s="165"/>
      <c r="AG776" s="165"/>
      <c r="AH776" s="165"/>
      <c r="AI776" s="165"/>
      <c r="AJ776" s="165"/>
      <c r="AK776" s="165"/>
      <c r="AL776" s="165"/>
      <c r="AM776" s="165"/>
      <c r="AN776" s="165"/>
      <c r="AO776" s="165"/>
    </row>
    <row r="777" ht="15.75" customHeight="1">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c r="AE777" s="165"/>
      <c r="AF777" s="165"/>
      <c r="AG777" s="165"/>
      <c r="AH777" s="165"/>
      <c r="AI777" s="165"/>
      <c r="AJ777" s="165"/>
      <c r="AK777" s="165"/>
      <c r="AL777" s="165"/>
      <c r="AM777" s="165"/>
      <c r="AN777" s="165"/>
      <c r="AO777" s="165"/>
    </row>
    <row r="778" ht="15.75" customHeight="1">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c r="AE778" s="165"/>
      <c r="AF778" s="165"/>
      <c r="AG778" s="165"/>
      <c r="AH778" s="165"/>
      <c r="AI778" s="165"/>
      <c r="AJ778" s="165"/>
      <c r="AK778" s="165"/>
      <c r="AL778" s="165"/>
      <c r="AM778" s="165"/>
      <c r="AN778" s="165"/>
      <c r="AO778" s="165"/>
    </row>
    <row r="779" ht="15.75" customHeight="1">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c r="AE779" s="165"/>
      <c r="AF779" s="165"/>
      <c r="AG779" s="165"/>
      <c r="AH779" s="165"/>
      <c r="AI779" s="165"/>
      <c r="AJ779" s="165"/>
      <c r="AK779" s="165"/>
      <c r="AL779" s="165"/>
      <c r="AM779" s="165"/>
      <c r="AN779" s="165"/>
      <c r="AO779" s="165"/>
    </row>
    <row r="780" ht="15.75" customHeight="1">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c r="AE780" s="165"/>
      <c r="AF780" s="165"/>
      <c r="AG780" s="165"/>
      <c r="AH780" s="165"/>
      <c r="AI780" s="165"/>
      <c r="AJ780" s="165"/>
      <c r="AK780" s="165"/>
      <c r="AL780" s="165"/>
      <c r="AM780" s="165"/>
      <c r="AN780" s="165"/>
      <c r="AO780" s="165"/>
    </row>
    <row r="781" ht="15.75" customHeight="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c r="AE781" s="165"/>
      <c r="AF781" s="165"/>
      <c r="AG781" s="165"/>
      <c r="AH781" s="165"/>
      <c r="AI781" s="165"/>
      <c r="AJ781" s="165"/>
      <c r="AK781" s="165"/>
      <c r="AL781" s="165"/>
      <c r="AM781" s="165"/>
      <c r="AN781" s="165"/>
      <c r="AO781" s="165"/>
    </row>
    <row r="782" ht="15.75" customHeight="1">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c r="AE782" s="165"/>
      <c r="AF782" s="165"/>
      <c r="AG782" s="165"/>
      <c r="AH782" s="165"/>
      <c r="AI782" s="165"/>
      <c r="AJ782" s="165"/>
      <c r="AK782" s="165"/>
      <c r="AL782" s="165"/>
      <c r="AM782" s="165"/>
      <c r="AN782" s="165"/>
      <c r="AO782" s="165"/>
    </row>
    <row r="783" ht="15.75" customHeight="1">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c r="AE783" s="165"/>
      <c r="AF783" s="165"/>
      <c r="AG783" s="165"/>
      <c r="AH783" s="165"/>
      <c r="AI783" s="165"/>
      <c r="AJ783" s="165"/>
      <c r="AK783" s="165"/>
      <c r="AL783" s="165"/>
      <c r="AM783" s="165"/>
      <c r="AN783" s="165"/>
      <c r="AO783" s="165"/>
    </row>
    <row r="784" ht="15.75" customHeight="1">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c r="AE784" s="165"/>
      <c r="AF784" s="165"/>
      <c r="AG784" s="165"/>
      <c r="AH784" s="165"/>
      <c r="AI784" s="165"/>
      <c r="AJ784" s="165"/>
      <c r="AK784" s="165"/>
      <c r="AL784" s="165"/>
      <c r="AM784" s="165"/>
      <c r="AN784" s="165"/>
      <c r="AO784" s="165"/>
    </row>
    <row r="785" ht="15.75" customHeight="1">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c r="AE785" s="165"/>
      <c r="AF785" s="165"/>
      <c r="AG785" s="165"/>
      <c r="AH785" s="165"/>
      <c r="AI785" s="165"/>
      <c r="AJ785" s="165"/>
      <c r="AK785" s="165"/>
      <c r="AL785" s="165"/>
      <c r="AM785" s="165"/>
      <c r="AN785" s="165"/>
      <c r="AO785" s="165"/>
    </row>
    <row r="786" ht="15.75" customHeight="1">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c r="AE786" s="165"/>
      <c r="AF786" s="165"/>
      <c r="AG786" s="165"/>
      <c r="AH786" s="165"/>
      <c r="AI786" s="165"/>
      <c r="AJ786" s="165"/>
      <c r="AK786" s="165"/>
      <c r="AL786" s="165"/>
      <c r="AM786" s="165"/>
      <c r="AN786" s="165"/>
      <c r="AO786" s="165"/>
    </row>
    <row r="787" ht="15.75" customHeight="1">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c r="AE787" s="165"/>
      <c r="AF787" s="165"/>
      <c r="AG787" s="165"/>
      <c r="AH787" s="165"/>
      <c r="AI787" s="165"/>
      <c r="AJ787" s="165"/>
      <c r="AK787" s="165"/>
      <c r="AL787" s="165"/>
      <c r="AM787" s="165"/>
      <c r="AN787" s="165"/>
      <c r="AO787" s="165"/>
    </row>
    <row r="788" ht="15.75" customHeight="1">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c r="AE788" s="165"/>
      <c r="AF788" s="165"/>
      <c r="AG788" s="165"/>
      <c r="AH788" s="165"/>
      <c r="AI788" s="165"/>
      <c r="AJ788" s="165"/>
      <c r="AK788" s="165"/>
      <c r="AL788" s="165"/>
      <c r="AM788" s="165"/>
      <c r="AN788" s="165"/>
      <c r="AO788" s="165"/>
    </row>
    <row r="789" ht="15.75" customHeight="1">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c r="AE789" s="165"/>
      <c r="AF789" s="165"/>
      <c r="AG789" s="165"/>
      <c r="AH789" s="165"/>
      <c r="AI789" s="165"/>
      <c r="AJ789" s="165"/>
      <c r="AK789" s="165"/>
      <c r="AL789" s="165"/>
      <c r="AM789" s="165"/>
      <c r="AN789" s="165"/>
      <c r="AO789" s="165"/>
    </row>
    <row r="790" ht="15.75" customHeight="1">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c r="AE790" s="165"/>
      <c r="AF790" s="165"/>
      <c r="AG790" s="165"/>
      <c r="AH790" s="165"/>
      <c r="AI790" s="165"/>
      <c r="AJ790" s="165"/>
      <c r="AK790" s="165"/>
      <c r="AL790" s="165"/>
      <c r="AM790" s="165"/>
      <c r="AN790" s="165"/>
      <c r="AO790" s="165"/>
    </row>
    <row r="791" ht="15.75" customHeight="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c r="AE791" s="165"/>
      <c r="AF791" s="165"/>
      <c r="AG791" s="165"/>
      <c r="AH791" s="165"/>
      <c r="AI791" s="165"/>
      <c r="AJ791" s="165"/>
      <c r="AK791" s="165"/>
      <c r="AL791" s="165"/>
      <c r="AM791" s="165"/>
      <c r="AN791" s="165"/>
      <c r="AO791" s="165"/>
    </row>
    <row r="792" ht="15.75" customHeight="1">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c r="AE792" s="165"/>
      <c r="AF792" s="165"/>
      <c r="AG792" s="165"/>
      <c r="AH792" s="165"/>
      <c r="AI792" s="165"/>
      <c r="AJ792" s="165"/>
      <c r="AK792" s="165"/>
      <c r="AL792" s="165"/>
      <c r="AM792" s="165"/>
      <c r="AN792" s="165"/>
      <c r="AO792" s="165"/>
    </row>
    <row r="793" ht="15.75" customHeight="1">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c r="AE793" s="165"/>
      <c r="AF793" s="165"/>
      <c r="AG793" s="165"/>
      <c r="AH793" s="165"/>
      <c r="AI793" s="165"/>
      <c r="AJ793" s="165"/>
      <c r="AK793" s="165"/>
      <c r="AL793" s="165"/>
      <c r="AM793" s="165"/>
      <c r="AN793" s="165"/>
      <c r="AO793" s="165"/>
    </row>
    <row r="794" ht="15.75" customHeight="1">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c r="AE794" s="165"/>
      <c r="AF794" s="165"/>
      <c r="AG794" s="165"/>
      <c r="AH794" s="165"/>
      <c r="AI794" s="165"/>
      <c r="AJ794" s="165"/>
      <c r="AK794" s="165"/>
      <c r="AL794" s="165"/>
      <c r="AM794" s="165"/>
      <c r="AN794" s="165"/>
      <c r="AO794" s="165"/>
    </row>
    <row r="795" ht="15.75" customHeight="1">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c r="AE795" s="165"/>
      <c r="AF795" s="165"/>
      <c r="AG795" s="165"/>
      <c r="AH795" s="165"/>
      <c r="AI795" s="165"/>
      <c r="AJ795" s="165"/>
      <c r="AK795" s="165"/>
      <c r="AL795" s="165"/>
      <c r="AM795" s="165"/>
      <c r="AN795" s="165"/>
      <c r="AO795" s="165"/>
    </row>
    <row r="796" ht="15.75" customHeight="1">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c r="AE796" s="165"/>
      <c r="AF796" s="165"/>
      <c r="AG796" s="165"/>
      <c r="AH796" s="165"/>
      <c r="AI796" s="165"/>
      <c r="AJ796" s="165"/>
      <c r="AK796" s="165"/>
      <c r="AL796" s="165"/>
      <c r="AM796" s="165"/>
      <c r="AN796" s="165"/>
      <c r="AO796" s="165"/>
    </row>
    <row r="797" ht="15.75" customHeight="1">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c r="AE797" s="165"/>
      <c r="AF797" s="165"/>
      <c r="AG797" s="165"/>
      <c r="AH797" s="165"/>
      <c r="AI797" s="165"/>
      <c r="AJ797" s="165"/>
      <c r="AK797" s="165"/>
      <c r="AL797" s="165"/>
      <c r="AM797" s="165"/>
      <c r="AN797" s="165"/>
      <c r="AO797" s="165"/>
    </row>
    <row r="798" ht="15.75" customHeight="1">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c r="AE798" s="165"/>
      <c r="AF798" s="165"/>
      <c r="AG798" s="165"/>
      <c r="AH798" s="165"/>
      <c r="AI798" s="165"/>
      <c r="AJ798" s="165"/>
      <c r="AK798" s="165"/>
      <c r="AL798" s="165"/>
      <c r="AM798" s="165"/>
      <c r="AN798" s="165"/>
      <c r="AO798" s="165"/>
    </row>
    <row r="799" ht="15.75" customHeight="1">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c r="AE799" s="165"/>
      <c r="AF799" s="165"/>
      <c r="AG799" s="165"/>
      <c r="AH799" s="165"/>
      <c r="AI799" s="165"/>
      <c r="AJ799" s="165"/>
      <c r="AK799" s="165"/>
      <c r="AL799" s="165"/>
      <c r="AM799" s="165"/>
      <c r="AN799" s="165"/>
      <c r="AO799" s="165"/>
    </row>
    <row r="800" ht="15.75" customHeight="1">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c r="AE800" s="165"/>
      <c r="AF800" s="165"/>
      <c r="AG800" s="165"/>
      <c r="AH800" s="165"/>
      <c r="AI800" s="165"/>
      <c r="AJ800" s="165"/>
      <c r="AK800" s="165"/>
      <c r="AL800" s="165"/>
      <c r="AM800" s="165"/>
      <c r="AN800" s="165"/>
      <c r="AO800" s="165"/>
    </row>
    <row r="801" ht="15.75" customHeight="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c r="AE801" s="165"/>
      <c r="AF801" s="165"/>
      <c r="AG801" s="165"/>
      <c r="AH801" s="165"/>
      <c r="AI801" s="165"/>
      <c r="AJ801" s="165"/>
      <c r="AK801" s="165"/>
      <c r="AL801" s="165"/>
      <c r="AM801" s="165"/>
      <c r="AN801" s="165"/>
      <c r="AO801" s="165"/>
    </row>
    <row r="802" ht="15.75" customHeight="1">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c r="AE802" s="165"/>
      <c r="AF802" s="165"/>
      <c r="AG802" s="165"/>
      <c r="AH802" s="165"/>
      <c r="AI802" s="165"/>
      <c r="AJ802" s="165"/>
      <c r="AK802" s="165"/>
      <c r="AL802" s="165"/>
      <c r="AM802" s="165"/>
      <c r="AN802" s="165"/>
      <c r="AO802" s="165"/>
    </row>
    <row r="803" ht="15.75" customHeight="1">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c r="AE803" s="165"/>
      <c r="AF803" s="165"/>
      <c r="AG803" s="165"/>
      <c r="AH803" s="165"/>
      <c r="AI803" s="165"/>
      <c r="AJ803" s="165"/>
      <c r="AK803" s="165"/>
      <c r="AL803" s="165"/>
      <c r="AM803" s="165"/>
      <c r="AN803" s="165"/>
      <c r="AO803" s="165"/>
    </row>
    <row r="804" ht="15.75" customHeight="1">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c r="AE804" s="165"/>
      <c r="AF804" s="165"/>
      <c r="AG804" s="165"/>
      <c r="AH804" s="165"/>
      <c r="AI804" s="165"/>
      <c r="AJ804" s="165"/>
      <c r="AK804" s="165"/>
      <c r="AL804" s="165"/>
      <c r="AM804" s="165"/>
      <c r="AN804" s="165"/>
      <c r="AO804" s="165"/>
    </row>
    <row r="805" ht="15.75" customHeight="1">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c r="AE805" s="165"/>
      <c r="AF805" s="165"/>
      <c r="AG805" s="165"/>
      <c r="AH805" s="165"/>
      <c r="AI805" s="165"/>
      <c r="AJ805" s="165"/>
      <c r="AK805" s="165"/>
      <c r="AL805" s="165"/>
      <c r="AM805" s="165"/>
      <c r="AN805" s="165"/>
      <c r="AO805" s="165"/>
    </row>
    <row r="806" ht="15.75" customHeight="1">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c r="AE806" s="165"/>
      <c r="AF806" s="165"/>
      <c r="AG806" s="165"/>
      <c r="AH806" s="165"/>
      <c r="AI806" s="165"/>
      <c r="AJ806" s="165"/>
      <c r="AK806" s="165"/>
      <c r="AL806" s="165"/>
      <c r="AM806" s="165"/>
      <c r="AN806" s="165"/>
      <c r="AO806" s="165"/>
    </row>
    <row r="807" ht="15.75" customHeight="1">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c r="AE807" s="165"/>
      <c r="AF807" s="165"/>
      <c r="AG807" s="165"/>
      <c r="AH807" s="165"/>
      <c r="AI807" s="165"/>
      <c r="AJ807" s="165"/>
      <c r="AK807" s="165"/>
      <c r="AL807" s="165"/>
      <c r="AM807" s="165"/>
      <c r="AN807" s="165"/>
      <c r="AO807" s="165"/>
    </row>
    <row r="808" ht="15.75" customHeight="1">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c r="AE808" s="165"/>
      <c r="AF808" s="165"/>
      <c r="AG808" s="165"/>
      <c r="AH808" s="165"/>
      <c r="AI808" s="165"/>
      <c r="AJ808" s="165"/>
      <c r="AK808" s="165"/>
      <c r="AL808" s="165"/>
      <c r="AM808" s="165"/>
      <c r="AN808" s="165"/>
      <c r="AO808" s="165"/>
    </row>
    <row r="809" ht="15.75" customHeight="1">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c r="AE809" s="165"/>
      <c r="AF809" s="165"/>
      <c r="AG809" s="165"/>
      <c r="AH809" s="165"/>
      <c r="AI809" s="165"/>
      <c r="AJ809" s="165"/>
      <c r="AK809" s="165"/>
      <c r="AL809" s="165"/>
      <c r="AM809" s="165"/>
      <c r="AN809" s="165"/>
      <c r="AO809" s="165"/>
    </row>
    <row r="810" ht="15.75" customHeight="1">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c r="AE810" s="165"/>
      <c r="AF810" s="165"/>
      <c r="AG810" s="165"/>
      <c r="AH810" s="165"/>
      <c r="AI810" s="165"/>
      <c r="AJ810" s="165"/>
      <c r="AK810" s="165"/>
      <c r="AL810" s="165"/>
      <c r="AM810" s="165"/>
      <c r="AN810" s="165"/>
      <c r="AO810" s="165"/>
    </row>
    <row r="811" ht="15.75" customHeight="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c r="AE811" s="165"/>
      <c r="AF811" s="165"/>
      <c r="AG811" s="165"/>
      <c r="AH811" s="165"/>
      <c r="AI811" s="165"/>
      <c r="AJ811" s="165"/>
      <c r="AK811" s="165"/>
      <c r="AL811" s="165"/>
      <c r="AM811" s="165"/>
      <c r="AN811" s="165"/>
      <c r="AO811" s="165"/>
    </row>
    <row r="812" ht="15.75" customHeight="1">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c r="AE812" s="165"/>
      <c r="AF812" s="165"/>
      <c r="AG812" s="165"/>
      <c r="AH812" s="165"/>
      <c r="AI812" s="165"/>
      <c r="AJ812" s="165"/>
      <c r="AK812" s="165"/>
      <c r="AL812" s="165"/>
      <c r="AM812" s="165"/>
      <c r="AN812" s="165"/>
      <c r="AO812" s="165"/>
    </row>
    <row r="813" ht="15.75" customHeight="1">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c r="AE813" s="165"/>
      <c r="AF813" s="165"/>
      <c r="AG813" s="165"/>
      <c r="AH813" s="165"/>
      <c r="AI813" s="165"/>
      <c r="AJ813" s="165"/>
      <c r="AK813" s="165"/>
      <c r="AL813" s="165"/>
      <c r="AM813" s="165"/>
      <c r="AN813" s="165"/>
      <c r="AO813" s="165"/>
    </row>
    <row r="814" ht="15.75" customHeight="1">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c r="AE814" s="165"/>
      <c r="AF814" s="165"/>
      <c r="AG814" s="165"/>
      <c r="AH814" s="165"/>
      <c r="AI814" s="165"/>
      <c r="AJ814" s="165"/>
      <c r="AK814" s="165"/>
      <c r="AL814" s="165"/>
      <c r="AM814" s="165"/>
      <c r="AN814" s="165"/>
      <c r="AO814" s="165"/>
    </row>
    <row r="815" ht="15.75" customHeight="1">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c r="AE815" s="165"/>
      <c r="AF815" s="165"/>
      <c r="AG815" s="165"/>
      <c r="AH815" s="165"/>
      <c r="AI815" s="165"/>
      <c r="AJ815" s="165"/>
      <c r="AK815" s="165"/>
      <c r="AL815" s="165"/>
      <c r="AM815" s="165"/>
      <c r="AN815" s="165"/>
      <c r="AO815" s="165"/>
    </row>
    <row r="816" ht="15.75" customHeight="1">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c r="AE816" s="165"/>
      <c r="AF816" s="165"/>
      <c r="AG816" s="165"/>
      <c r="AH816" s="165"/>
      <c r="AI816" s="165"/>
      <c r="AJ816" s="165"/>
      <c r="AK816" s="165"/>
      <c r="AL816" s="165"/>
      <c r="AM816" s="165"/>
      <c r="AN816" s="165"/>
      <c r="AO816" s="165"/>
    </row>
    <row r="817" ht="15.75" customHeight="1">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c r="AE817" s="165"/>
      <c r="AF817" s="165"/>
      <c r="AG817" s="165"/>
      <c r="AH817" s="165"/>
      <c r="AI817" s="165"/>
      <c r="AJ817" s="165"/>
      <c r="AK817" s="165"/>
      <c r="AL817" s="165"/>
      <c r="AM817" s="165"/>
      <c r="AN817" s="165"/>
      <c r="AO817" s="165"/>
    </row>
    <row r="818" ht="15.75" customHeight="1">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c r="AE818" s="165"/>
      <c r="AF818" s="165"/>
      <c r="AG818" s="165"/>
      <c r="AH818" s="165"/>
      <c r="AI818" s="165"/>
      <c r="AJ818" s="165"/>
      <c r="AK818" s="165"/>
      <c r="AL818" s="165"/>
      <c r="AM818" s="165"/>
      <c r="AN818" s="165"/>
      <c r="AO818" s="165"/>
    </row>
    <row r="819" ht="15.75" customHeight="1">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c r="AE819" s="165"/>
      <c r="AF819" s="165"/>
      <c r="AG819" s="165"/>
      <c r="AH819" s="165"/>
      <c r="AI819" s="165"/>
      <c r="AJ819" s="165"/>
      <c r="AK819" s="165"/>
      <c r="AL819" s="165"/>
      <c r="AM819" s="165"/>
      <c r="AN819" s="165"/>
      <c r="AO819" s="165"/>
    </row>
    <row r="820" ht="15.75" customHeight="1">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c r="AE820" s="165"/>
      <c r="AF820" s="165"/>
      <c r="AG820" s="165"/>
      <c r="AH820" s="165"/>
      <c r="AI820" s="165"/>
      <c r="AJ820" s="165"/>
      <c r="AK820" s="165"/>
      <c r="AL820" s="165"/>
      <c r="AM820" s="165"/>
      <c r="AN820" s="165"/>
      <c r="AO820" s="165"/>
    </row>
    <row r="821" ht="15.75" customHeight="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c r="AE821" s="165"/>
      <c r="AF821" s="165"/>
      <c r="AG821" s="165"/>
      <c r="AH821" s="165"/>
      <c r="AI821" s="165"/>
      <c r="AJ821" s="165"/>
      <c r="AK821" s="165"/>
      <c r="AL821" s="165"/>
      <c r="AM821" s="165"/>
      <c r="AN821" s="165"/>
      <c r="AO821" s="165"/>
    </row>
    <row r="822" ht="15.75" customHeight="1">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c r="AE822" s="165"/>
      <c r="AF822" s="165"/>
      <c r="AG822" s="165"/>
      <c r="AH822" s="165"/>
      <c r="AI822" s="165"/>
      <c r="AJ822" s="165"/>
      <c r="AK822" s="165"/>
      <c r="AL822" s="165"/>
      <c r="AM822" s="165"/>
      <c r="AN822" s="165"/>
      <c r="AO822" s="165"/>
    </row>
    <row r="823" ht="15.75" customHeight="1">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c r="AE823" s="165"/>
      <c r="AF823" s="165"/>
      <c r="AG823" s="165"/>
      <c r="AH823" s="165"/>
      <c r="AI823" s="165"/>
      <c r="AJ823" s="165"/>
      <c r="AK823" s="165"/>
      <c r="AL823" s="165"/>
      <c r="AM823" s="165"/>
      <c r="AN823" s="165"/>
      <c r="AO823" s="165"/>
    </row>
    <row r="824" ht="15.75" customHeight="1">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c r="AE824" s="165"/>
      <c r="AF824" s="165"/>
      <c r="AG824" s="165"/>
      <c r="AH824" s="165"/>
      <c r="AI824" s="165"/>
      <c r="AJ824" s="165"/>
      <c r="AK824" s="165"/>
      <c r="AL824" s="165"/>
      <c r="AM824" s="165"/>
      <c r="AN824" s="165"/>
      <c r="AO824" s="165"/>
    </row>
    <row r="825" ht="15.75" customHeight="1">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c r="AE825" s="165"/>
      <c r="AF825" s="165"/>
      <c r="AG825" s="165"/>
      <c r="AH825" s="165"/>
      <c r="AI825" s="165"/>
      <c r="AJ825" s="165"/>
      <c r="AK825" s="165"/>
      <c r="AL825" s="165"/>
      <c r="AM825" s="165"/>
      <c r="AN825" s="165"/>
      <c r="AO825" s="165"/>
    </row>
    <row r="826" ht="15.75" customHeight="1">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c r="AE826" s="165"/>
      <c r="AF826" s="165"/>
      <c r="AG826" s="165"/>
      <c r="AH826" s="165"/>
      <c r="AI826" s="165"/>
      <c r="AJ826" s="165"/>
      <c r="AK826" s="165"/>
      <c r="AL826" s="165"/>
      <c r="AM826" s="165"/>
      <c r="AN826" s="165"/>
      <c r="AO826" s="165"/>
    </row>
    <row r="827" ht="15.75" customHeight="1">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c r="AE827" s="165"/>
      <c r="AF827" s="165"/>
      <c r="AG827" s="165"/>
      <c r="AH827" s="165"/>
      <c r="AI827" s="165"/>
      <c r="AJ827" s="165"/>
      <c r="AK827" s="165"/>
      <c r="AL827" s="165"/>
      <c r="AM827" s="165"/>
      <c r="AN827" s="165"/>
      <c r="AO827" s="165"/>
    </row>
    <row r="828" ht="15.75" customHeight="1">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c r="AE828" s="165"/>
      <c r="AF828" s="165"/>
      <c r="AG828" s="165"/>
      <c r="AH828" s="165"/>
      <c r="AI828" s="165"/>
      <c r="AJ828" s="165"/>
      <c r="AK828" s="165"/>
      <c r="AL828" s="165"/>
      <c r="AM828" s="165"/>
      <c r="AN828" s="165"/>
      <c r="AO828" s="165"/>
    </row>
    <row r="829" ht="15.75" customHeight="1">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c r="AE829" s="165"/>
      <c r="AF829" s="165"/>
      <c r="AG829" s="165"/>
      <c r="AH829" s="165"/>
      <c r="AI829" s="165"/>
      <c r="AJ829" s="165"/>
      <c r="AK829" s="165"/>
      <c r="AL829" s="165"/>
      <c r="AM829" s="165"/>
      <c r="AN829" s="165"/>
      <c r="AO829" s="165"/>
    </row>
    <row r="830" ht="15.75" customHeight="1">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c r="AE830" s="165"/>
      <c r="AF830" s="165"/>
      <c r="AG830" s="165"/>
      <c r="AH830" s="165"/>
      <c r="AI830" s="165"/>
      <c r="AJ830" s="165"/>
      <c r="AK830" s="165"/>
      <c r="AL830" s="165"/>
      <c r="AM830" s="165"/>
      <c r="AN830" s="165"/>
      <c r="AO830" s="165"/>
    </row>
    <row r="831" ht="15.75" customHeight="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c r="AE831" s="165"/>
      <c r="AF831" s="165"/>
      <c r="AG831" s="165"/>
      <c r="AH831" s="165"/>
      <c r="AI831" s="165"/>
      <c r="AJ831" s="165"/>
      <c r="AK831" s="165"/>
      <c r="AL831" s="165"/>
      <c r="AM831" s="165"/>
      <c r="AN831" s="165"/>
      <c r="AO831" s="165"/>
    </row>
    <row r="832" ht="15.75" customHeight="1">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c r="AE832" s="165"/>
      <c r="AF832" s="165"/>
      <c r="AG832" s="165"/>
      <c r="AH832" s="165"/>
      <c r="AI832" s="165"/>
      <c r="AJ832" s="165"/>
      <c r="AK832" s="165"/>
      <c r="AL832" s="165"/>
      <c r="AM832" s="165"/>
      <c r="AN832" s="165"/>
      <c r="AO832" s="165"/>
    </row>
    <row r="833" ht="15.75" customHeight="1">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c r="AE833" s="165"/>
      <c r="AF833" s="165"/>
      <c r="AG833" s="165"/>
      <c r="AH833" s="165"/>
      <c r="AI833" s="165"/>
      <c r="AJ833" s="165"/>
      <c r="AK833" s="165"/>
      <c r="AL833" s="165"/>
      <c r="AM833" s="165"/>
      <c r="AN833" s="165"/>
      <c r="AO833" s="165"/>
    </row>
    <row r="834" ht="15.75" customHeight="1">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c r="AE834" s="165"/>
      <c r="AF834" s="165"/>
      <c r="AG834" s="165"/>
      <c r="AH834" s="165"/>
      <c r="AI834" s="165"/>
      <c r="AJ834" s="165"/>
      <c r="AK834" s="165"/>
      <c r="AL834" s="165"/>
      <c r="AM834" s="165"/>
      <c r="AN834" s="165"/>
      <c r="AO834" s="165"/>
    </row>
    <row r="835" ht="15.75" customHeight="1">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c r="AE835" s="165"/>
      <c r="AF835" s="165"/>
      <c r="AG835" s="165"/>
      <c r="AH835" s="165"/>
      <c r="AI835" s="165"/>
      <c r="AJ835" s="165"/>
      <c r="AK835" s="165"/>
      <c r="AL835" s="165"/>
      <c r="AM835" s="165"/>
      <c r="AN835" s="165"/>
      <c r="AO835" s="165"/>
    </row>
    <row r="836" ht="15.75" customHeight="1">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c r="AE836" s="165"/>
      <c r="AF836" s="165"/>
      <c r="AG836" s="165"/>
      <c r="AH836" s="165"/>
      <c r="AI836" s="165"/>
      <c r="AJ836" s="165"/>
      <c r="AK836" s="165"/>
      <c r="AL836" s="165"/>
      <c r="AM836" s="165"/>
      <c r="AN836" s="165"/>
      <c r="AO836" s="165"/>
    </row>
    <row r="837" ht="15.75" customHeight="1">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c r="AE837" s="165"/>
      <c r="AF837" s="165"/>
      <c r="AG837" s="165"/>
      <c r="AH837" s="165"/>
      <c r="AI837" s="165"/>
      <c r="AJ837" s="165"/>
      <c r="AK837" s="165"/>
      <c r="AL837" s="165"/>
      <c r="AM837" s="165"/>
      <c r="AN837" s="165"/>
      <c r="AO837" s="165"/>
    </row>
    <row r="838" ht="15.75" customHeight="1">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c r="AE838" s="165"/>
      <c r="AF838" s="165"/>
      <c r="AG838" s="165"/>
      <c r="AH838" s="165"/>
      <c r="AI838" s="165"/>
      <c r="AJ838" s="165"/>
      <c r="AK838" s="165"/>
      <c r="AL838" s="165"/>
      <c r="AM838" s="165"/>
      <c r="AN838" s="165"/>
      <c r="AO838" s="165"/>
    </row>
    <row r="839" ht="15.75" customHeight="1">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c r="AE839" s="165"/>
      <c r="AF839" s="165"/>
      <c r="AG839" s="165"/>
      <c r="AH839" s="165"/>
      <c r="AI839" s="165"/>
      <c r="AJ839" s="165"/>
      <c r="AK839" s="165"/>
      <c r="AL839" s="165"/>
      <c r="AM839" s="165"/>
      <c r="AN839" s="165"/>
      <c r="AO839" s="165"/>
    </row>
    <row r="840" ht="15.75" customHeight="1">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c r="AE840" s="165"/>
      <c r="AF840" s="165"/>
      <c r="AG840" s="165"/>
      <c r="AH840" s="165"/>
      <c r="AI840" s="165"/>
      <c r="AJ840" s="165"/>
      <c r="AK840" s="165"/>
      <c r="AL840" s="165"/>
      <c r="AM840" s="165"/>
      <c r="AN840" s="165"/>
      <c r="AO840" s="165"/>
    </row>
    <row r="841" ht="15.75" customHeight="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c r="AE841" s="165"/>
      <c r="AF841" s="165"/>
      <c r="AG841" s="165"/>
      <c r="AH841" s="165"/>
      <c r="AI841" s="165"/>
      <c r="AJ841" s="165"/>
      <c r="AK841" s="165"/>
      <c r="AL841" s="165"/>
      <c r="AM841" s="165"/>
      <c r="AN841" s="165"/>
      <c r="AO841" s="165"/>
    </row>
    <row r="842" ht="15.75" customHeight="1">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c r="AE842" s="165"/>
      <c r="AF842" s="165"/>
      <c r="AG842" s="165"/>
      <c r="AH842" s="165"/>
      <c r="AI842" s="165"/>
      <c r="AJ842" s="165"/>
      <c r="AK842" s="165"/>
      <c r="AL842" s="165"/>
      <c r="AM842" s="165"/>
      <c r="AN842" s="165"/>
      <c r="AO842" s="165"/>
    </row>
    <row r="843" ht="15.75" customHeight="1">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c r="AE843" s="165"/>
      <c r="AF843" s="165"/>
      <c r="AG843" s="165"/>
      <c r="AH843" s="165"/>
      <c r="AI843" s="165"/>
      <c r="AJ843" s="165"/>
      <c r="AK843" s="165"/>
      <c r="AL843" s="165"/>
      <c r="AM843" s="165"/>
      <c r="AN843" s="165"/>
      <c r="AO843" s="165"/>
    </row>
    <row r="844" ht="15.75" customHeight="1">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c r="AE844" s="165"/>
      <c r="AF844" s="165"/>
      <c r="AG844" s="165"/>
      <c r="AH844" s="165"/>
      <c r="AI844" s="165"/>
      <c r="AJ844" s="165"/>
      <c r="AK844" s="165"/>
      <c r="AL844" s="165"/>
      <c r="AM844" s="165"/>
      <c r="AN844" s="165"/>
      <c r="AO844" s="165"/>
    </row>
    <row r="845" ht="15.75" customHeight="1">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c r="AE845" s="165"/>
      <c r="AF845" s="165"/>
      <c r="AG845" s="165"/>
      <c r="AH845" s="165"/>
      <c r="AI845" s="165"/>
      <c r="AJ845" s="165"/>
      <c r="AK845" s="165"/>
      <c r="AL845" s="165"/>
      <c r="AM845" s="165"/>
      <c r="AN845" s="165"/>
      <c r="AO845" s="165"/>
    </row>
    <row r="846" ht="15.75" customHeight="1">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c r="AE846" s="165"/>
      <c r="AF846" s="165"/>
      <c r="AG846" s="165"/>
      <c r="AH846" s="165"/>
      <c r="AI846" s="165"/>
      <c r="AJ846" s="165"/>
      <c r="AK846" s="165"/>
      <c r="AL846" s="165"/>
      <c r="AM846" s="165"/>
      <c r="AN846" s="165"/>
      <c r="AO846" s="165"/>
    </row>
    <row r="847" ht="15.75" customHeight="1">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c r="AE847" s="165"/>
      <c r="AF847" s="165"/>
      <c r="AG847" s="165"/>
      <c r="AH847" s="165"/>
      <c r="AI847" s="165"/>
      <c r="AJ847" s="165"/>
      <c r="AK847" s="165"/>
      <c r="AL847" s="165"/>
      <c r="AM847" s="165"/>
      <c r="AN847" s="165"/>
      <c r="AO847" s="165"/>
    </row>
    <row r="848" ht="15.75" customHeight="1">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c r="AE848" s="165"/>
      <c r="AF848" s="165"/>
      <c r="AG848" s="165"/>
      <c r="AH848" s="165"/>
      <c r="AI848" s="165"/>
      <c r="AJ848" s="165"/>
      <c r="AK848" s="165"/>
      <c r="AL848" s="165"/>
      <c r="AM848" s="165"/>
      <c r="AN848" s="165"/>
      <c r="AO848" s="165"/>
    </row>
    <row r="849" ht="15.75" customHeight="1">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c r="AE849" s="165"/>
      <c r="AF849" s="165"/>
      <c r="AG849" s="165"/>
      <c r="AH849" s="165"/>
      <c r="AI849" s="165"/>
      <c r="AJ849" s="165"/>
      <c r="AK849" s="165"/>
      <c r="AL849" s="165"/>
      <c r="AM849" s="165"/>
      <c r="AN849" s="165"/>
      <c r="AO849" s="165"/>
    </row>
    <row r="850" ht="15.75" customHeight="1">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c r="AE850" s="165"/>
      <c r="AF850" s="165"/>
      <c r="AG850" s="165"/>
      <c r="AH850" s="165"/>
      <c r="AI850" s="165"/>
      <c r="AJ850" s="165"/>
      <c r="AK850" s="165"/>
      <c r="AL850" s="165"/>
      <c r="AM850" s="165"/>
      <c r="AN850" s="165"/>
      <c r="AO850" s="165"/>
    </row>
    <row r="851" ht="15.75" customHeight="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c r="AE851" s="165"/>
      <c r="AF851" s="165"/>
      <c r="AG851" s="165"/>
      <c r="AH851" s="165"/>
      <c r="AI851" s="165"/>
      <c r="AJ851" s="165"/>
      <c r="AK851" s="165"/>
      <c r="AL851" s="165"/>
      <c r="AM851" s="165"/>
      <c r="AN851" s="165"/>
      <c r="AO851" s="165"/>
    </row>
    <row r="852" ht="15.75" customHeight="1">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c r="AE852" s="165"/>
      <c r="AF852" s="165"/>
      <c r="AG852" s="165"/>
      <c r="AH852" s="165"/>
      <c r="AI852" s="165"/>
      <c r="AJ852" s="165"/>
      <c r="AK852" s="165"/>
      <c r="AL852" s="165"/>
      <c r="AM852" s="165"/>
      <c r="AN852" s="165"/>
      <c r="AO852" s="165"/>
    </row>
    <row r="853" ht="15.75" customHeight="1">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c r="AE853" s="165"/>
      <c r="AF853" s="165"/>
      <c r="AG853" s="165"/>
      <c r="AH853" s="165"/>
      <c r="AI853" s="165"/>
      <c r="AJ853" s="165"/>
      <c r="AK853" s="165"/>
      <c r="AL853" s="165"/>
      <c r="AM853" s="165"/>
      <c r="AN853" s="165"/>
      <c r="AO853" s="165"/>
    </row>
    <row r="854" ht="15.75" customHeight="1">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c r="AE854" s="165"/>
      <c r="AF854" s="165"/>
      <c r="AG854" s="165"/>
      <c r="AH854" s="165"/>
      <c r="AI854" s="165"/>
      <c r="AJ854" s="165"/>
      <c r="AK854" s="165"/>
      <c r="AL854" s="165"/>
      <c r="AM854" s="165"/>
      <c r="AN854" s="165"/>
      <c r="AO854" s="165"/>
    </row>
    <row r="855" ht="15.75" customHeight="1">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c r="AE855" s="165"/>
      <c r="AF855" s="165"/>
      <c r="AG855" s="165"/>
      <c r="AH855" s="165"/>
      <c r="AI855" s="165"/>
      <c r="AJ855" s="165"/>
      <c r="AK855" s="165"/>
      <c r="AL855" s="165"/>
      <c r="AM855" s="165"/>
      <c r="AN855" s="165"/>
      <c r="AO855" s="165"/>
    </row>
    <row r="856" ht="15.75" customHeight="1">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c r="AE856" s="165"/>
      <c r="AF856" s="165"/>
      <c r="AG856" s="165"/>
      <c r="AH856" s="165"/>
      <c r="AI856" s="165"/>
      <c r="AJ856" s="165"/>
      <c r="AK856" s="165"/>
      <c r="AL856" s="165"/>
      <c r="AM856" s="165"/>
      <c r="AN856" s="165"/>
      <c r="AO856" s="165"/>
    </row>
    <row r="857" ht="15.75" customHeight="1">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c r="AE857" s="165"/>
      <c r="AF857" s="165"/>
      <c r="AG857" s="165"/>
      <c r="AH857" s="165"/>
      <c r="AI857" s="165"/>
      <c r="AJ857" s="165"/>
      <c r="AK857" s="165"/>
      <c r="AL857" s="165"/>
      <c r="AM857" s="165"/>
      <c r="AN857" s="165"/>
      <c r="AO857" s="165"/>
    </row>
    <row r="858" ht="15.75" customHeight="1">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c r="AE858" s="165"/>
      <c r="AF858" s="165"/>
      <c r="AG858" s="165"/>
      <c r="AH858" s="165"/>
      <c r="AI858" s="165"/>
      <c r="AJ858" s="165"/>
      <c r="AK858" s="165"/>
      <c r="AL858" s="165"/>
      <c r="AM858" s="165"/>
      <c r="AN858" s="165"/>
      <c r="AO858" s="165"/>
    </row>
    <row r="859" ht="15.75" customHeight="1">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c r="AE859" s="165"/>
      <c r="AF859" s="165"/>
      <c r="AG859" s="165"/>
      <c r="AH859" s="165"/>
      <c r="AI859" s="165"/>
      <c r="AJ859" s="165"/>
      <c r="AK859" s="165"/>
      <c r="AL859" s="165"/>
      <c r="AM859" s="165"/>
      <c r="AN859" s="165"/>
      <c r="AO859" s="165"/>
    </row>
    <row r="860" ht="15.75" customHeight="1">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c r="AE860" s="165"/>
      <c r="AF860" s="165"/>
      <c r="AG860" s="165"/>
      <c r="AH860" s="165"/>
      <c r="AI860" s="165"/>
      <c r="AJ860" s="165"/>
      <c r="AK860" s="165"/>
      <c r="AL860" s="165"/>
      <c r="AM860" s="165"/>
      <c r="AN860" s="165"/>
      <c r="AO860" s="165"/>
    </row>
    <row r="861" ht="15.75" customHeight="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c r="AE861" s="165"/>
      <c r="AF861" s="165"/>
      <c r="AG861" s="165"/>
      <c r="AH861" s="165"/>
      <c r="AI861" s="165"/>
      <c r="AJ861" s="165"/>
      <c r="AK861" s="165"/>
      <c r="AL861" s="165"/>
      <c r="AM861" s="165"/>
      <c r="AN861" s="165"/>
      <c r="AO861" s="165"/>
    </row>
    <row r="862" ht="15.75" customHeight="1">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c r="AE862" s="165"/>
      <c r="AF862" s="165"/>
      <c r="AG862" s="165"/>
      <c r="AH862" s="165"/>
      <c r="AI862" s="165"/>
      <c r="AJ862" s="165"/>
      <c r="AK862" s="165"/>
      <c r="AL862" s="165"/>
      <c r="AM862" s="165"/>
      <c r="AN862" s="165"/>
      <c r="AO862" s="165"/>
    </row>
    <row r="863" ht="15.75" customHeight="1">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c r="AE863" s="165"/>
      <c r="AF863" s="165"/>
      <c r="AG863" s="165"/>
      <c r="AH863" s="165"/>
      <c r="AI863" s="165"/>
      <c r="AJ863" s="165"/>
      <c r="AK863" s="165"/>
      <c r="AL863" s="165"/>
      <c r="AM863" s="165"/>
      <c r="AN863" s="165"/>
      <c r="AO863" s="165"/>
    </row>
    <row r="864" ht="15.75" customHeight="1">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c r="AE864" s="165"/>
      <c r="AF864" s="165"/>
      <c r="AG864" s="165"/>
      <c r="AH864" s="165"/>
      <c r="AI864" s="165"/>
      <c r="AJ864" s="165"/>
      <c r="AK864" s="165"/>
      <c r="AL864" s="165"/>
      <c r="AM864" s="165"/>
      <c r="AN864" s="165"/>
      <c r="AO864" s="165"/>
    </row>
    <row r="865" ht="15.75" customHeight="1">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c r="AE865" s="165"/>
      <c r="AF865" s="165"/>
      <c r="AG865" s="165"/>
      <c r="AH865" s="165"/>
      <c r="AI865" s="165"/>
      <c r="AJ865" s="165"/>
      <c r="AK865" s="165"/>
      <c r="AL865" s="165"/>
      <c r="AM865" s="165"/>
      <c r="AN865" s="165"/>
      <c r="AO865" s="165"/>
    </row>
    <row r="866" ht="15.75" customHeight="1">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c r="AE866" s="165"/>
      <c r="AF866" s="165"/>
      <c r="AG866" s="165"/>
      <c r="AH866" s="165"/>
      <c r="AI866" s="165"/>
      <c r="AJ866" s="165"/>
      <c r="AK866" s="165"/>
      <c r="AL866" s="165"/>
      <c r="AM866" s="165"/>
      <c r="AN866" s="165"/>
      <c r="AO866" s="165"/>
    </row>
    <row r="867" ht="15.75" customHeight="1">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c r="AE867" s="165"/>
      <c r="AF867" s="165"/>
      <c r="AG867" s="165"/>
      <c r="AH867" s="165"/>
      <c r="AI867" s="165"/>
      <c r="AJ867" s="165"/>
      <c r="AK867" s="165"/>
      <c r="AL867" s="165"/>
      <c r="AM867" s="165"/>
      <c r="AN867" s="165"/>
      <c r="AO867" s="165"/>
    </row>
    <row r="868" ht="15.75" customHeight="1">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c r="AE868" s="165"/>
      <c r="AF868" s="165"/>
      <c r="AG868" s="165"/>
      <c r="AH868" s="165"/>
      <c r="AI868" s="165"/>
      <c r="AJ868" s="165"/>
      <c r="AK868" s="165"/>
      <c r="AL868" s="165"/>
      <c r="AM868" s="165"/>
      <c r="AN868" s="165"/>
      <c r="AO868" s="165"/>
    </row>
    <row r="869" ht="15.75" customHeight="1">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c r="AE869" s="165"/>
      <c r="AF869" s="165"/>
      <c r="AG869" s="165"/>
      <c r="AH869" s="165"/>
      <c r="AI869" s="165"/>
      <c r="AJ869" s="165"/>
      <c r="AK869" s="165"/>
      <c r="AL869" s="165"/>
      <c r="AM869" s="165"/>
      <c r="AN869" s="165"/>
      <c r="AO869" s="165"/>
    </row>
    <row r="870" ht="15.75" customHeight="1">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c r="AE870" s="165"/>
      <c r="AF870" s="165"/>
      <c r="AG870" s="165"/>
      <c r="AH870" s="165"/>
      <c r="AI870" s="165"/>
      <c r="AJ870" s="165"/>
      <c r="AK870" s="165"/>
      <c r="AL870" s="165"/>
      <c r="AM870" s="165"/>
      <c r="AN870" s="165"/>
      <c r="AO870" s="165"/>
    </row>
    <row r="871" ht="15.75" customHeight="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c r="AE871" s="165"/>
      <c r="AF871" s="165"/>
      <c r="AG871" s="165"/>
      <c r="AH871" s="165"/>
      <c r="AI871" s="165"/>
      <c r="AJ871" s="165"/>
      <c r="AK871" s="165"/>
      <c r="AL871" s="165"/>
      <c r="AM871" s="165"/>
      <c r="AN871" s="165"/>
      <c r="AO871" s="165"/>
    </row>
    <row r="872" ht="15.75" customHeight="1">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c r="AE872" s="165"/>
      <c r="AF872" s="165"/>
      <c r="AG872" s="165"/>
      <c r="AH872" s="165"/>
      <c r="AI872" s="165"/>
      <c r="AJ872" s="165"/>
      <c r="AK872" s="165"/>
      <c r="AL872" s="165"/>
      <c r="AM872" s="165"/>
      <c r="AN872" s="165"/>
      <c r="AO872" s="165"/>
    </row>
    <row r="873" ht="15.75" customHeight="1">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c r="AE873" s="165"/>
      <c r="AF873" s="165"/>
      <c r="AG873" s="165"/>
      <c r="AH873" s="165"/>
      <c r="AI873" s="165"/>
      <c r="AJ873" s="165"/>
      <c r="AK873" s="165"/>
      <c r="AL873" s="165"/>
      <c r="AM873" s="165"/>
      <c r="AN873" s="165"/>
      <c r="AO873" s="165"/>
    </row>
    <row r="874" ht="15.75" customHeight="1">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c r="AE874" s="165"/>
      <c r="AF874" s="165"/>
      <c r="AG874" s="165"/>
      <c r="AH874" s="165"/>
      <c r="AI874" s="165"/>
      <c r="AJ874" s="165"/>
      <c r="AK874" s="165"/>
      <c r="AL874" s="165"/>
      <c r="AM874" s="165"/>
      <c r="AN874" s="165"/>
      <c r="AO874" s="165"/>
    </row>
    <row r="875" ht="15.75" customHeight="1">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c r="AE875" s="165"/>
      <c r="AF875" s="165"/>
      <c r="AG875" s="165"/>
      <c r="AH875" s="165"/>
      <c r="AI875" s="165"/>
      <c r="AJ875" s="165"/>
      <c r="AK875" s="165"/>
      <c r="AL875" s="165"/>
      <c r="AM875" s="165"/>
      <c r="AN875" s="165"/>
      <c r="AO875" s="165"/>
    </row>
    <row r="876" ht="15.75" customHeight="1">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c r="AE876" s="165"/>
      <c r="AF876" s="165"/>
      <c r="AG876" s="165"/>
      <c r="AH876" s="165"/>
      <c r="AI876" s="165"/>
      <c r="AJ876" s="165"/>
      <c r="AK876" s="165"/>
      <c r="AL876" s="165"/>
      <c r="AM876" s="165"/>
      <c r="AN876" s="165"/>
      <c r="AO876" s="165"/>
    </row>
    <row r="877" ht="15.75" customHeight="1">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c r="AE877" s="165"/>
      <c r="AF877" s="165"/>
      <c r="AG877" s="165"/>
      <c r="AH877" s="165"/>
      <c r="AI877" s="165"/>
      <c r="AJ877" s="165"/>
      <c r="AK877" s="165"/>
      <c r="AL877" s="165"/>
      <c r="AM877" s="165"/>
      <c r="AN877" s="165"/>
      <c r="AO877" s="165"/>
    </row>
    <row r="878" ht="15.75" customHeight="1">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c r="AE878" s="165"/>
      <c r="AF878" s="165"/>
      <c r="AG878" s="165"/>
      <c r="AH878" s="165"/>
      <c r="AI878" s="165"/>
      <c r="AJ878" s="165"/>
      <c r="AK878" s="165"/>
      <c r="AL878" s="165"/>
      <c r="AM878" s="165"/>
      <c r="AN878" s="165"/>
      <c r="AO878" s="165"/>
    </row>
    <row r="879" ht="15.75" customHeight="1">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c r="AE879" s="165"/>
      <c r="AF879" s="165"/>
      <c r="AG879" s="165"/>
      <c r="AH879" s="165"/>
      <c r="AI879" s="165"/>
      <c r="AJ879" s="165"/>
      <c r="AK879" s="165"/>
      <c r="AL879" s="165"/>
      <c r="AM879" s="165"/>
      <c r="AN879" s="165"/>
      <c r="AO879" s="165"/>
    </row>
    <row r="880" ht="15.75" customHeight="1">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c r="AE880" s="165"/>
      <c r="AF880" s="165"/>
      <c r="AG880" s="165"/>
      <c r="AH880" s="165"/>
      <c r="AI880" s="165"/>
      <c r="AJ880" s="165"/>
      <c r="AK880" s="165"/>
      <c r="AL880" s="165"/>
      <c r="AM880" s="165"/>
      <c r="AN880" s="165"/>
      <c r="AO880" s="165"/>
    </row>
    <row r="881" ht="15.75" customHeight="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c r="AE881" s="165"/>
      <c r="AF881" s="165"/>
      <c r="AG881" s="165"/>
      <c r="AH881" s="165"/>
      <c r="AI881" s="165"/>
      <c r="AJ881" s="165"/>
      <c r="AK881" s="165"/>
      <c r="AL881" s="165"/>
      <c r="AM881" s="165"/>
      <c r="AN881" s="165"/>
      <c r="AO881" s="165"/>
    </row>
    <row r="882" ht="15.75" customHeight="1">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c r="AE882" s="165"/>
      <c r="AF882" s="165"/>
      <c r="AG882" s="165"/>
      <c r="AH882" s="165"/>
      <c r="AI882" s="165"/>
      <c r="AJ882" s="165"/>
      <c r="AK882" s="165"/>
      <c r="AL882" s="165"/>
      <c r="AM882" s="165"/>
      <c r="AN882" s="165"/>
      <c r="AO882" s="165"/>
    </row>
    <row r="883" ht="15.75" customHeight="1">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c r="AE883" s="165"/>
      <c r="AF883" s="165"/>
      <c r="AG883" s="165"/>
      <c r="AH883" s="165"/>
      <c r="AI883" s="165"/>
      <c r="AJ883" s="165"/>
      <c r="AK883" s="165"/>
      <c r="AL883" s="165"/>
      <c r="AM883" s="165"/>
      <c r="AN883" s="165"/>
      <c r="AO883" s="165"/>
    </row>
    <row r="884" ht="15.75" customHeight="1">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c r="AE884" s="165"/>
      <c r="AF884" s="165"/>
      <c r="AG884" s="165"/>
      <c r="AH884" s="165"/>
      <c r="AI884" s="165"/>
      <c r="AJ884" s="165"/>
      <c r="AK884" s="165"/>
      <c r="AL884" s="165"/>
      <c r="AM884" s="165"/>
      <c r="AN884" s="165"/>
      <c r="AO884" s="165"/>
    </row>
    <row r="885" ht="15.75" customHeight="1">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c r="AE885" s="165"/>
      <c r="AF885" s="165"/>
      <c r="AG885" s="165"/>
      <c r="AH885" s="165"/>
      <c r="AI885" s="165"/>
      <c r="AJ885" s="165"/>
      <c r="AK885" s="165"/>
      <c r="AL885" s="165"/>
      <c r="AM885" s="165"/>
      <c r="AN885" s="165"/>
      <c r="AO885" s="165"/>
    </row>
    <row r="886" ht="15.75" customHeight="1">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c r="AE886" s="165"/>
      <c r="AF886" s="165"/>
      <c r="AG886" s="165"/>
      <c r="AH886" s="165"/>
      <c r="AI886" s="165"/>
      <c r="AJ886" s="165"/>
      <c r="AK886" s="165"/>
      <c r="AL886" s="165"/>
      <c r="AM886" s="165"/>
      <c r="AN886" s="165"/>
      <c r="AO886" s="165"/>
    </row>
    <row r="887" ht="15.75" customHeight="1">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c r="AE887" s="165"/>
      <c r="AF887" s="165"/>
      <c r="AG887" s="165"/>
      <c r="AH887" s="165"/>
      <c r="AI887" s="165"/>
      <c r="AJ887" s="165"/>
      <c r="AK887" s="165"/>
      <c r="AL887" s="165"/>
      <c r="AM887" s="165"/>
      <c r="AN887" s="165"/>
      <c r="AO887" s="165"/>
    </row>
    <row r="888" ht="15.75" customHeight="1">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c r="AE888" s="165"/>
      <c r="AF888" s="165"/>
      <c r="AG888" s="165"/>
      <c r="AH888" s="165"/>
      <c r="AI888" s="165"/>
      <c r="AJ888" s="165"/>
      <c r="AK888" s="165"/>
      <c r="AL888" s="165"/>
      <c r="AM888" s="165"/>
      <c r="AN888" s="165"/>
      <c r="AO888" s="165"/>
    </row>
    <row r="889" ht="15.75" customHeight="1">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c r="AE889" s="165"/>
      <c r="AF889" s="165"/>
      <c r="AG889" s="165"/>
      <c r="AH889" s="165"/>
      <c r="AI889" s="165"/>
      <c r="AJ889" s="165"/>
      <c r="AK889" s="165"/>
      <c r="AL889" s="165"/>
      <c r="AM889" s="165"/>
      <c r="AN889" s="165"/>
      <c r="AO889" s="165"/>
    </row>
    <row r="890" ht="15.75" customHeight="1">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c r="AE890" s="165"/>
      <c r="AF890" s="165"/>
      <c r="AG890" s="165"/>
      <c r="AH890" s="165"/>
      <c r="AI890" s="165"/>
      <c r="AJ890" s="165"/>
      <c r="AK890" s="165"/>
      <c r="AL890" s="165"/>
      <c r="AM890" s="165"/>
      <c r="AN890" s="165"/>
      <c r="AO890" s="165"/>
    </row>
    <row r="891" ht="15.75" customHeight="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c r="AE891" s="165"/>
      <c r="AF891" s="165"/>
      <c r="AG891" s="165"/>
      <c r="AH891" s="165"/>
      <c r="AI891" s="165"/>
      <c r="AJ891" s="165"/>
      <c r="AK891" s="165"/>
      <c r="AL891" s="165"/>
      <c r="AM891" s="165"/>
      <c r="AN891" s="165"/>
      <c r="AO891" s="165"/>
    </row>
    <row r="892" ht="15.75" customHeight="1">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c r="AE892" s="165"/>
      <c r="AF892" s="165"/>
      <c r="AG892" s="165"/>
      <c r="AH892" s="165"/>
      <c r="AI892" s="165"/>
      <c r="AJ892" s="165"/>
      <c r="AK892" s="165"/>
      <c r="AL892" s="165"/>
      <c r="AM892" s="165"/>
      <c r="AN892" s="165"/>
      <c r="AO892" s="165"/>
    </row>
    <row r="893" ht="15.75" customHeight="1">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c r="AE893" s="165"/>
      <c r="AF893" s="165"/>
      <c r="AG893" s="165"/>
      <c r="AH893" s="165"/>
      <c r="AI893" s="165"/>
      <c r="AJ893" s="165"/>
      <c r="AK893" s="165"/>
      <c r="AL893" s="165"/>
      <c r="AM893" s="165"/>
      <c r="AN893" s="165"/>
      <c r="AO893" s="165"/>
    </row>
    <row r="894" ht="15.75" customHeight="1">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c r="AE894" s="165"/>
      <c r="AF894" s="165"/>
      <c r="AG894" s="165"/>
      <c r="AH894" s="165"/>
      <c r="AI894" s="165"/>
      <c r="AJ894" s="165"/>
      <c r="AK894" s="165"/>
      <c r="AL894" s="165"/>
      <c r="AM894" s="165"/>
      <c r="AN894" s="165"/>
      <c r="AO894" s="165"/>
    </row>
    <row r="895" ht="15.75" customHeight="1">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c r="AE895" s="165"/>
      <c r="AF895" s="165"/>
      <c r="AG895" s="165"/>
      <c r="AH895" s="165"/>
      <c r="AI895" s="165"/>
      <c r="AJ895" s="165"/>
      <c r="AK895" s="165"/>
      <c r="AL895" s="165"/>
      <c r="AM895" s="165"/>
      <c r="AN895" s="165"/>
      <c r="AO895" s="165"/>
    </row>
    <row r="896" ht="15.75" customHeight="1">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c r="AE896" s="165"/>
      <c r="AF896" s="165"/>
      <c r="AG896" s="165"/>
      <c r="AH896" s="165"/>
      <c r="AI896" s="165"/>
      <c r="AJ896" s="165"/>
      <c r="AK896" s="165"/>
      <c r="AL896" s="165"/>
      <c r="AM896" s="165"/>
      <c r="AN896" s="165"/>
      <c r="AO896" s="165"/>
    </row>
    <row r="897" ht="15.75" customHeight="1">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c r="AE897" s="165"/>
      <c r="AF897" s="165"/>
      <c r="AG897" s="165"/>
      <c r="AH897" s="165"/>
      <c r="AI897" s="165"/>
      <c r="AJ897" s="165"/>
      <c r="AK897" s="165"/>
      <c r="AL897" s="165"/>
      <c r="AM897" s="165"/>
      <c r="AN897" s="165"/>
      <c r="AO897" s="165"/>
    </row>
    <row r="898" ht="15.75" customHeight="1">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c r="AE898" s="165"/>
      <c r="AF898" s="165"/>
      <c r="AG898" s="165"/>
      <c r="AH898" s="165"/>
      <c r="AI898" s="165"/>
      <c r="AJ898" s="165"/>
      <c r="AK898" s="165"/>
      <c r="AL898" s="165"/>
      <c r="AM898" s="165"/>
      <c r="AN898" s="165"/>
      <c r="AO898" s="165"/>
    </row>
    <row r="899" ht="15.75" customHeight="1">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c r="AE899" s="165"/>
      <c r="AF899" s="165"/>
      <c r="AG899" s="165"/>
      <c r="AH899" s="165"/>
      <c r="AI899" s="165"/>
      <c r="AJ899" s="165"/>
      <c r="AK899" s="165"/>
      <c r="AL899" s="165"/>
      <c r="AM899" s="165"/>
      <c r="AN899" s="165"/>
      <c r="AO899" s="165"/>
    </row>
    <row r="900" ht="15.75" customHeight="1">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c r="AE900" s="165"/>
      <c r="AF900" s="165"/>
      <c r="AG900" s="165"/>
      <c r="AH900" s="165"/>
      <c r="AI900" s="165"/>
      <c r="AJ900" s="165"/>
      <c r="AK900" s="165"/>
      <c r="AL900" s="165"/>
      <c r="AM900" s="165"/>
      <c r="AN900" s="165"/>
      <c r="AO900" s="165"/>
    </row>
    <row r="901" ht="15.75" customHeight="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c r="AE901" s="165"/>
      <c r="AF901" s="165"/>
      <c r="AG901" s="165"/>
      <c r="AH901" s="165"/>
      <c r="AI901" s="165"/>
      <c r="AJ901" s="165"/>
      <c r="AK901" s="165"/>
      <c r="AL901" s="165"/>
      <c r="AM901" s="165"/>
      <c r="AN901" s="165"/>
      <c r="AO901" s="165"/>
    </row>
    <row r="902" ht="15.75" customHeight="1">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c r="AE902" s="165"/>
      <c r="AF902" s="165"/>
      <c r="AG902" s="165"/>
      <c r="AH902" s="165"/>
      <c r="AI902" s="165"/>
      <c r="AJ902" s="165"/>
      <c r="AK902" s="165"/>
      <c r="AL902" s="165"/>
      <c r="AM902" s="165"/>
      <c r="AN902" s="165"/>
      <c r="AO902" s="165"/>
    </row>
    <row r="903" ht="15.75" customHeight="1">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c r="AE903" s="165"/>
      <c r="AF903" s="165"/>
      <c r="AG903" s="165"/>
      <c r="AH903" s="165"/>
      <c r="AI903" s="165"/>
      <c r="AJ903" s="165"/>
      <c r="AK903" s="165"/>
      <c r="AL903" s="165"/>
      <c r="AM903" s="165"/>
      <c r="AN903" s="165"/>
      <c r="AO903" s="165"/>
    </row>
    <row r="904" ht="15.75" customHeight="1">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c r="AE904" s="165"/>
      <c r="AF904" s="165"/>
      <c r="AG904" s="165"/>
      <c r="AH904" s="165"/>
      <c r="AI904" s="165"/>
      <c r="AJ904" s="165"/>
      <c r="AK904" s="165"/>
      <c r="AL904" s="165"/>
      <c r="AM904" s="165"/>
      <c r="AN904" s="165"/>
      <c r="AO904" s="165"/>
    </row>
    <row r="905" ht="15.75" customHeight="1">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c r="AE905" s="165"/>
      <c r="AF905" s="165"/>
      <c r="AG905" s="165"/>
      <c r="AH905" s="165"/>
      <c r="AI905" s="165"/>
      <c r="AJ905" s="165"/>
      <c r="AK905" s="165"/>
      <c r="AL905" s="165"/>
      <c r="AM905" s="165"/>
      <c r="AN905" s="165"/>
      <c r="AO905" s="165"/>
    </row>
    <row r="906" ht="15.75" customHeight="1">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c r="AE906" s="165"/>
      <c r="AF906" s="165"/>
      <c r="AG906" s="165"/>
      <c r="AH906" s="165"/>
      <c r="AI906" s="165"/>
      <c r="AJ906" s="165"/>
      <c r="AK906" s="165"/>
      <c r="AL906" s="165"/>
      <c r="AM906" s="165"/>
      <c r="AN906" s="165"/>
      <c r="AO906" s="165"/>
    </row>
    <row r="907" ht="15.75" customHeight="1">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c r="AE907" s="165"/>
      <c r="AF907" s="165"/>
      <c r="AG907" s="165"/>
      <c r="AH907" s="165"/>
      <c r="AI907" s="165"/>
      <c r="AJ907" s="165"/>
      <c r="AK907" s="165"/>
      <c r="AL907" s="165"/>
      <c r="AM907" s="165"/>
      <c r="AN907" s="165"/>
      <c r="AO907" s="165"/>
    </row>
    <row r="908" ht="15.75" customHeight="1">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c r="AE908" s="165"/>
      <c r="AF908" s="165"/>
      <c r="AG908" s="165"/>
      <c r="AH908" s="165"/>
      <c r="AI908" s="165"/>
      <c r="AJ908" s="165"/>
      <c r="AK908" s="165"/>
      <c r="AL908" s="165"/>
      <c r="AM908" s="165"/>
      <c r="AN908" s="165"/>
      <c r="AO908" s="165"/>
    </row>
    <row r="909" ht="15.75" customHeight="1">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c r="AE909" s="165"/>
      <c r="AF909" s="165"/>
      <c r="AG909" s="165"/>
      <c r="AH909" s="165"/>
      <c r="AI909" s="165"/>
      <c r="AJ909" s="165"/>
      <c r="AK909" s="165"/>
      <c r="AL909" s="165"/>
      <c r="AM909" s="165"/>
      <c r="AN909" s="165"/>
      <c r="AO909" s="165"/>
    </row>
    <row r="910" ht="15.75" customHeight="1">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c r="AE910" s="165"/>
      <c r="AF910" s="165"/>
      <c r="AG910" s="165"/>
      <c r="AH910" s="165"/>
      <c r="AI910" s="165"/>
      <c r="AJ910" s="165"/>
      <c r="AK910" s="165"/>
      <c r="AL910" s="165"/>
      <c r="AM910" s="165"/>
      <c r="AN910" s="165"/>
      <c r="AO910" s="165"/>
    </row>
    <row r="911" ht="15.75" customHeight="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c r="AE911" s="165"/>
      <c r="AF911" s="165"/>
      <c r="AG911" s="165"/>
      <c r="AH911" s="165"/>
      <c r="AI911" s="165"/>
      <c r="AJ911" s="165"/>
      <c r="AK911" s="165"/>
      <c r="AL911" s="165"/>
      <c r="AM911" s="165"/>
      <c r="AN911" s="165"/>
      <c r="AO911" s="165"/>
    </row>
    <row r="912" ht="15.75" customHeight="1">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c r="AE912" s="165"/>
      <c r="AF912" s="165"/>
      <c r="AG912" s="165"/>
      <c r="AH912" s="165"/>
      <c r="AI912" s="165"/>
      <c r="AJ912" s="165"/>
      <c r="AK912" s="165"/>
      <c r="AL912" s="165"/>
      <c r="AM912" s="165"/>
      <c r="AN912" s="165"/>
      <c r="AO912" s="165"/>
    </row>
    <row r="913" ht="15.75" customHeight="1">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c r="AE913" s="165"/>
      <c r="AF913" s="165"/>
      <c r="AG913" s="165"/>
      <c r="AH913" s="165"/>
      <c r="AI913" s="165"/>
      <c r="AJ913" s="165"/>
      <c r="AK913" s="165"/>
      <c r="AL913" s="165"/>
      <c r="AM913" s="165"/>
      <c r="AN913" s="165"/>
      <c r="AO913" s="165"/>
    </row>
    <row r="914" ht="15.75" customHeight="1">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c r="AE914" s="165"/>
      <c r="AF914" s="165"/>
      <c r="AG914" s="165"/>
      <c r="AH914" s="165"/>
      <c r="AI914" s="165"/>
      <c r="AJ914" s="165"/>
      <c r="AK914" s="165"/>
      <c r="AL914" s="165"/>
      <c r="AM914" s="165"/>
      <c r="AN914" s="165"/>
      <c r="AO914" s="165"/>
    </row>
    <row r="915" ht="15.75" customHeight="1">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c r="AE915" s="165"/>
      <c r="AF915" s="165"/>
      <c r="AG915" s="165"/>
      <c r="AH915" s="165"/>
      <c r="AI915" s="165"/>
      <c r="AJ915" s="165"/>
      <c r="AK915" s="165"/>
      <c r="AL915" s="165"/>
      <c r="AM915" s="165"/>
      <c r="AN915" s="165"/>
      <c r="AO915" s="165"/>
    </row>
    <row r="916" ht="15.75" customHeight="1">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c r="AE916" s="165"/>
      <c r="AF916" s="165"/>
      <c r="AG916" s="165"/>
      <c r="AH916" s="165"/>
      <c r="AI916" s="165"/>
      <c r="AJ916" s="165"/>
      <c r="AK916" s="165"/>
      <c r="AL916" s="165"/>
      <c r="AM916" s="165"/>
      <c r="AN916" s="165"/>
      <c r="AO916" s="165"/>
    </row>
    <row r="917" ht="15.75" customHeight="1">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c r="AE917" s="165"/>
      <c r="AF917" s="165"/>
      <c r="AG917" s="165"/>
      <c r="AH917" s="165"/>
      <c r="AI917" s="165"/>
      <c r="AJ917" s="165"/>
      <c r="AK917" s="165"/>
      <c r="AL917" s="165"/>
      <c r="AM917" s="165"/>
      <c r="AN917" s="165"/>
      <c r="AO917" s="165"/>
    </row>
    <row r="918" ht="15.75" customHeight="1">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c r="AE918" s="165"/>
      <c r="AF918" s="165"/>
      <c r="AG918" s="165"/>
      <c r="AH918" s="165"/>
      <c r="AI918" s="165"/>
      <c r="AJ918" s="165"/>
      <c r="AK918" s="165"/>
      <c r="AL918" s="165"/>
      <c r="AM918" s="165"/>
      <c r="AN918" s="165"/>
      <c r="AO918" s="165"/>
    </row>
    <row r="919" ht="15.75" customHeight="1">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c r="AE919" s="165"/>
      <c r="AF919" s="165"/>
      <c r="AG919" s="165"/>
      <c r="AH919" s="165"/>
      <c r="AI919" s="165"/>
      <c r="AJ919" s="165"/>
      <c r="AK919" s="165"/>
      <c r="AL919" s="165"/>
      <c r="AM919" s="165"/>
      <c r="AN919" s="165"/>
      <c r="AO919" s="165"/>
    </row>
    <row r="920" ht="15.75" customHeight="1">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c r="AE920" s="165"/>
      <c r="AF920" s="165"/>
      <c r="AG920" s="165"/>
      <c r="AH920" s="165"/>
      <c r="AI920" s="165"/>
      <c r="AJ920" s="165"/>
      <c r="AK920" s="165"/>
      <c r="AL920" s="165"/>
      <c r="AM920" s="165"/>
      <c r="AN920" s="165"/>
      <c r="AO920" s="165"/>
    </row>
    <row r="921" ht="15.75" customHeight="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c r="AE921" s="165"/>
      <c r="AF921" s="165"/>
      <c r="AG921" s="165"/>
      <c r="AH921" s="165"/>
      <c r="AI921" s="165"/>
      <c r="AJ921" s="165"/>
      <c r="AK921" s="165"/>
      <c r="AL921" s="165"/>
      <c r="AM921" s="165"/>
      <c r="AN921" s="165"/>
      <c r="AO921" s="165"/>
    </row>
    <row r="922" ht="15.75" customHeight="1">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c r="AE922" s="165"/>
      <c r="AF922" s="165"/>
      <c r="AG922" s="165"/>
      <c r="AH922" s="165"/>
      <c r="AI922" s="165"/>
      <c r="AJ922" s="165"/>
      <c r="AK922" s="165"/>
      <c r="AL922" s="165"/>
      <c r="AM922" s="165"/>
      <c r="AN922" s="165"/>
      <c r="AO922" s="165"/>
    </row>
    <row r="923" ht="15.75" customHeight="1">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c r="AE923" s="165"/>
      <c r="AF923" s="165"/>
      <c r="AG923" s="165"/>
      <c r="AH923" s="165"/>
      <c r="AI923" s="165"/>
      <c r="AJ923" s="165"/>
      <c r="AK923" s="165"/>
      <c r="AL923" s="165"/>
      <c r="AM923" s="165"/>
      <c r="AN923" s="165"/>
      <c r="AO923" s="165"/>
    </row>
    <row r="924" ht="15.75" customHeight="1">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c r="AE924" s="165"/>
      <c r="AF924" s="165"/>
      <c r="AG924" s="165"/>
      <c r="AH924" s="165"/>
      <c r="AI924" s="165"/>
      <c r="AJ924" s="165"/>
      <c r="AK924" s="165"/>
      <c r="AL924" s="165"/>
      <c r="AM924" s="165"/>
      <c r="AN924" s="165"/>
      <c r="AO924" s="165"/>
    </row>
    <row r="925" ht="15.75" customHeight="1">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c r="AE925" s="165"/>
      <c r="AF925" s="165"/>
      <c r="AG925" s="165"/>
      <c r="AH925" s="165"/>
      <c r="AI925" s="165"/>
      <c r="AJ925" s="165"/>
      <c r="AK925" s="165"/>
      <c r="AL925" s="165"/>
      <c r="AM925" s="165"/>
      <c r="AN925" s="165"/>
      <c r="AO925" s="165"/>
    </row>
    <row r="926" ht="15.75" customHeight="1">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c r="AE926" s="165"/>
      <c r="AF926" s="165"/>
      <c r="AG926" s="165"/>
      <c r="AH926" s="165"/>
      <c r="AI926" s="165"/>
      <c r="AJ926" s="165"/>
      <c r="AK926" s="165"/>
      <c r="AL926" s="165"/>
      <c r="AM926" s="165"/>
      <c r="AN926" s="165"/>
      <c r="AO926" s="165"/>
    </row>
    <row r="927" ht="15.75" customHeight="1">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c r="AE927" s="165"/>
      <c r="AF927" s="165"/>
      <c r="AG927" s="165"/>
      <c r="AH927" s="165"/>
      <c r="AI927" s="165"/>
      <c r="AJ927" s="165"/>
      <c r="AK927" s="165"/>
      <c r="AL927" s="165"/>
      <c r="AM927" s="165"/>
      <c r="AN927" s="165"/>
      <c r="AO927" s="165"/>
    </row>
    <row r="928" ht="15.75" customHeight="1">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c r="AE928" s="165"/>
      <c r="AF928" s="165"/>
      <c r="AG928" s="165"/>
      <c r="AH928" s="165"/>
      <c r="AI928" s="165"/>
      <c r="AJ928" s="165"/>
      <c r="AK928" s="165"/>
      <c r="AL928" s="165"/>
      <c r="AM928" s="165"/>
      <c r="AN928" s="165"/>
      <c r="AO928" s="165"/>
    </row>
    <row r="929" ht="15.75" customHeight="1">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c r="AE929" s="165"/>
      <c r="AF929" s="165"/>
      <c r="AG929" s="165"/>
      <c r="AH929" s="165"/>
      <c r="AI929" s="165"/>
      <c r="AJ929" s="165"/>
      <c r="AK929" s="165"/>
      <c r="AL929" s="165"/>
      <c r="AM929" s="165"/>
      <c r="AN929" s="165"/>
      <c r="AO929" s="165"/>
    </row>
    <row r="930" ht="15.75" customHeight="1">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c r="AE930" s="165"/>
      <c r="AF930" s="165"/>
      <c r="AG930" s="165"/>
      <c r="AH930" s="165"/>
      <c r="AI930" s="165"/>
      <c r="AJ930" s="165"/>
      <c r="AK930" s="165"/>
      <c r="AL930" s="165"/>
      <c r="AM930" s="165"/>
      <c r="AN930" s="165"/>
      <c r="AO930" s="165"/>
    </row>
    <row r="931" ht="15.75" customHeight="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c r="AE931" s="165"/>
      <c r="AF931" s="165"/>
      <c r="AG931" s="165"/>
      <c r="AH931" s="165"/>
      <c r="AI931" s="165"/>
      <c r="AJ931" s="165"/>
      <c r="AK931" s="165"/>
      <c r="AL931" s="165"/>
      <c r="AM931" s="165"/>
      <c r="AN931" s="165"/>
      <c r="AO931" s="165"/>
    </row>
    <row r="932" ht="15.75" customHeight="1">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c r="AE932" s="165"/>
      <c r="AF932" s="165"/>
      <c r="AG932" s="165"/>
      <c r="AH932" s="165"/>
      <c r="AI932" s="165"/>
      <c r="AJ932" s="165"/>
      <c r="AK932" s="165"/>
      <c r="AL932" s="165"/>
      <c r="AM932" s="165"/>
      <c r="AN932" s="165"/>
      <c r="AO932" s="165"/>
    </row>
    <row r="933" ht="15.75" customHeight="1">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c r="AE933" s="165"/>
      <c r="AF933" s="165"/>
      <c r="AG933" s="165"/>
      <c r="AH933" s="165"/>
      <c r="AI933" s="165"/>
      <c r="AJ933" s="165"/>
      <c r="AK933" s="165"/>
      <c r="AL933" s="165"/>
      <c r="AM933" s="165"/>
      <c r="AN933" s="165"/>
      <c r="AO933" s="165"/>
    </row>
    <row r="934" ht="15.75" customHeight="1">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c r="AE934" s="165"/>
      <c r="AF934" s="165"/>
      <c r="AG934" s="165"/>
      <c r="AH934" s="165"/>
      <c r="AI934" s="165"/>
      <c r="AJ934" s="165"/>
      <c r="AK934" s="165"/>
      <c r="AL934" s="165"/>
      <c r="AM934" s="165"/>
      <c r="AN934" s="165"/>
      <c r="AO934" s="165"/>
    </row>
    <row r="935" ht="15.75" customHeight="1">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c r="AE935" s="165"/>
      <c r="AF935" s="165"/>
      <c r="AG935" s="165"/>
      <c r="AH935" s="165"/>
      <c r="AI935" s="165"/>
      <c r="AJ935" s="165"/>
      <c r="AK935" s="165"/>
      <c r="AL935" s="165"/>
      <c r="AM935" s="165"/>
      <c r="AN935" s="165"/>
      <c r="AO935" s="165"/>
    </row>
    <row r="936" ht="15.75" customHeight="1">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c r="AE936" s="165"/>
      <c r="AF936" s="165"/>
      <c r="AG936" s="165"/>
      <c r="AH936" s="165"/>
      <c r="AI936" s="165"/>
      <c r="AJ936" s="165"/>
      <c r="AK936" s="165"/>
      <c r="AL936" s="165"/>
      <c r="AM936" s="165"/>
      <c r="AN936" s="165"/>
      <c r="AO936" s="165"/>
    </row>
    <row r="937" ht="15.75" customHeight="1">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c r="AE937" s="165"/>
      <c r="AF937" s="165"/>
      <c r="AG937" s="165"/>
      <c r="AH937" s="165"/>
      <c r="AI937" s="165"/>
      <c r="AJ937" s="165"/>
      <c r="AK937" s="165"/>
      <c r="AL937" s="165"/>
      <c r="AM937" s="165"/>
      <c r="AN937" s="165"/>
      <c r="AO937" s="165"/>
    </row>
    <row r="938" ht="15.75" customHeight="1">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c r="AE938" s="165"/>
      <c r="AF938" s="165"/>
      <c r="AG938" s="165"/>
      <c r="AH938" s="165"/>
      <c r="AI938" s="165"/>
      <c r="AJ938" s="165"/>
      <c r="AK938" s="165"/>
      <c r="AL938" s="165"/>
      <c r="AM938" s="165"/>
      <c r="AN938" s="165"/>
      <c r="AO938" s="165"/>
    </row>
    <row r="939" ht="15.75" customHeight="1">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c r="AE939" s="165"/>
      <c r="AF939" s="165"/>
      <c r="AG939" s="165"/>
      <c r="AH939" s="165"/>
      <c r="AI939" s="165"/>
      <c r="AJ939" s="165"/>
      <c r="AK939" s="165"/>
      <c r="AL939" s="165"/>
      <c r="AM939" s="165"/>
      <c r="AN939" s="165"/>
      <c r="AO939" s="165"/>
    </row>
    <row r="940" ht="15.75" customHeight="1">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c r="AE940" s="165"/>
      <c r="AF940" s="165"/>
      <c r="AG940" s="165"/>
      <c r="AH940" s="165"/>
      <c r="AI940" s="165"/>
      <c r="AJ940" s="165"/>
      <c r="AK940" s="165"/>
      <c r="AL940" s="165"/>
      <c r="AM940" s="165"/>
      <c r="AN940" s="165"/>
      <c r="AO940" s="165"/>
    </row>
    <row r="941" ht="15.75" customHeight="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c r="AE941" s="165"/>
      <c r="AF941" s="165"/>
      <c r="AG941" s="165"/>
      <c r="AH941" s="165"/>
      <c r="AI941" s="165"/>
      <c r="AJ941" s="165"/>
      <c r="AK941" s="165"/>
      <c r="AL941" s="165"/>
      <c r="AM941" s="165"/>
      <c r="AN941" s="165"/>
      <c r="AO941" s="165"/>
    </row>
    <row r="942" ht="15.75" customHeight="1">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c r="AE942" s="165"/>
      <c r="AF942" s="165"/>
      <c r="AG942" s="165"/>
      <c r="AH942" s="165"/>
      <c r="AI942" s="165"/>
      <c r="AJ942" s="165"/>
      <c r="AK942" s="165"/>
      <c r="AL942" s="165"/>
      <c r="AM942" s="165"/>
      <c r="AN942" s="165"/>
      <c r="AO942" s="165"/>
    </row>
    <row r="943" ht="15.75" customHeight="1">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c r="AE943" s="165"/>
      <c r="AF943" s="165"/>
      <c r="AG943" s="165"/>
      <c r="AH943" s="165"/>
      <c r="AI943" s="165"/>
      <c r="AJ943" s="165"/>
      <c r="AK943" s="165"/>
      <c r="AL943" s="165"/>
      <c r="AM943" s="165"/>
      <c r="AN943" s="165"/>
      <c r="AO943" s="165"/>
    </row>
    <row r="944" ht="15.75" customHeight="1">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c r="AE944" s="165"/>
      <c r="AF944" s="165"/>
      <c r="AG944" s="165"/>
      <c r="AH944" s="165"/>
      <c r="AI944" s="165"/>
      <c r="AJ944" s="165"/>
      <c r="AK944" s="165"/>
      <c r="AL944" s="165"/>
      <c r="AM944" s="165"/>
      <c r="AN944" s="165"/>
      <c r="AO944" s="165"/>
    </row>
    <row r="945" ht="15.75" customHeight="1">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c r="AE945" s="165"/>
      <c r="AF945" s="165"/>
      <c r="AG945" s="165"/>
      <c r="AH945" s="165"/>
      <c r="AI945" s="165"/>
      <c r="AJ945" s="165"/>
      <c r="AK945" s="165"/>
      <c r="AL945" s="165"/>
      <c r="AM945" s="165"/>
      <c r="AN945" s="165"/>
      <c r="AO945" s="165"/>
    </row>
    <row r="946" ht="15.75" customHeight="1">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c r="AE946" s="165"/>
      <c r="AF946" s="165"/>
      <c r="AG946" s="165"/>
      <c r="AH946" s="165"/>
      <c r="AI946" s="165"/>
      <c r="AJ946" s="165"/>
      <c r="AK946" s="165"/>
      <c r="AL946" s="165"/>
      <c r="AM946" s="165"/>
      <c r="AN946" s="165"/>
      <c r="AO946" s="165"/>
    </row>
    <row r="947" ht="15.75" customHeight="1">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c r="AE947" s="165"/>
      <c r="AF947" s="165"/>
      <c r="AG947" s="165"/>
      <c r="AH947" s="165"/>
      <c r="AI947" s="165"/>
      <c r="AJ947" s="165"/>
      <c r="AK947" s="165"/>
      <c r="AL947" s="165"/>
      <c r="AM947" s="165"/>
      <c r="AN947" s="165"/>
      <c r="AO947" s="165"/>
    </row>
    <row r="948" ht="15.75" customHeight="1">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c r="AE948" s="165"/>
      <c r="AF948" s="165"/>
      <c r="AG948" s="165"/>
      <c r="AH948" s="165"/>
      <c r="AI948" s="165"/>
      <c r="AJ948" s="165"/>
      <c r="AK948" s="165"/>
      <c r="AL948" s="165"/>
      <c r="AM948" s="165"/>
      <c r="AN948" s="165"/>
      <c r="AO948" s="165"/>
    </row>
    <row r="949" ht="15.75" customHeight="1">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c r="AE949" s="165"/>
      <c r="AF949" s="165"/>
      <c r="AG949" s="165"/>
      <c r="AH949" s="165"/>
      <c r="AI949" s="165"/>
      <c r="AJ949" s="165"/>
      <c r="AK949" s="165"/>
      <c r="AL949" s="165"/>
      <c r="AM949" s="165"/>
      <c r="AN949" s="165"/>
      <c r="AO949" s="165"/>
    </row>
    <row r="950" ht="15.75" customHeight="1">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c r="AE950" s="165"/>
      <c r="AF950" s="165"/>
      <c r="AG950" s="165"/>
      <c r="AH950" s="165"/>
      <c r="AI950" s="165"/>
      <c r="AJ950" s="165"/>
      <c r="AK950" s="165"/>
      <c r="AL950" s="165"/>
      <c r="AM950" s="165"/>
      <c r="AN950" s="165"/>
      <c r="AO950" s="165"/>
    </row>
    <row r="951" ht="15.75" customHeight="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c r="AE951" s="165"/>
      <c r="AF951" s="165"/>
      <c r="AG951" s="165"/>
      <c r="AH951" s="165"/>
      <c r="AI951" s="165"/>
      <c r="AJ951" s="165"/>
      <c r="AK951" s="165"/>
      <c r="AL951" s="165"/>
      <c r="AM951" s="165"/>
      <c r="AN951" s="165"/>
      <c r="AO951" s="165"/>
    </row>
    <row r="952" ht="15.75" customHeight="1">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c r="AE952" s="165"/>
      <c r="AF952" s="165"/>
      <c r="AG952" s="165"/>
      <c r="AH952" s="165"/>
      <c r="AI952" s="165"/>
      <c r="AJ952" s="165"/>
      <c r="AK952" s="165"/>
      <c r="AL952" s="165"/>
      <c r="AM952" s="165"/>
      <c r="AN952" s="165"/>
      <c r="AO952" s="165"/>
    </row>
    <row r="953" ht="15.75" customHeight="1">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c r="AE953" s="165"/>
      <c r="AF953" s="165"/>
      <c r="AG953" s="165"/>
      <c r="AH953" s="165"/>
      <c r="AI953" s="165"/>
      <c r="AJ953" s="165"/>
      <c r="AK953" s="165"/>
      <c r="AL953" s="165"/>
      <c r="AM953" s="165"/>
      <c r="AN953" s="165"/>
      <c r="AO953" s="165"/>
    </row>
    <row r="954" ht="15.75" customHeight="1">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c r="AE954" s="165"/>
      <c r="AF954" s="165"/>
      <c r="AG954" s="165"/>
      <c r="AH954" s="165"/>
      <c r="AI954" s="165"/>
      <c r="AJ954" s="165"/>
      <c r="AK954" s="165"/>
      <c r="AL954" s="165"/>
      <c r="AM954" s="165"/>
      <c r="AN954" s="165"/>
      <c r="AO954" s="165"/>
    </row>
    <row r="955" ht="15.75" customHeight="1">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c r="AE955" s="165"/>
      <c r="AF955" s="165"/>
      <c r="AG955" s="165"/>
      <c r="AH955" s="165"/>
      <c r="AI955" s="165"/>
      <c r="AJ955" s="165"/>
      <c r="AK955" s="165"/>
      <c r="AL955" s="165"/>
      <c r="AM955" s="165"/>
      <c r="AN955" s="165"/>
      <c r="AO955" s="165"/>
    </row>
    <row r="956" ht="15.75" customHeight="1">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c r="AE956" s="165"/>
      <c r="AF956" s="165"/>
      <c r="AG956" s="165"/>
      <c r="AH956" s="165"/>
      <c r="AI956" s="165"/>
      <c r="AJ956" s="165"/>
      <c r="AK956" s="165"/>
      <c r="AL956" s="165"/>
      <c r="AM956" s="165"/>
      <c r="AN956" s="165"/>
      <c r="AO956" s="165"/>
    </row>
    <row r="957" ht="15.75" customHeight="1">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c r="AE957" s="165"/>
      <c r="AF957" s="165"/>
      <c r="AG957" s="165"/>
      <c r="AH957" s="165"/>
      <c r="AI957" s="165"/>
      <c r="AJ957" s="165"/>
      <c r="AK957" s="165"/>
      <c r="AL957" s="165"/>
      <c r="AM957" s="165"/>
      <c r="AN957" s="165"/>
      <c r="AO957" s="165"/>
    </row>
    <row r="958" ht="15.75" customHeight="1">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c r="AE958" s="165"/>
      <c r="AF958" s="165"/>
      <c r="AG958" s="165"/>
      <c r="AH958" s="165"/>
      <c r="AI958" s="165"/>
      <c r="AJ958" s="165"/>
      <c r="AK958" s="165"/>
      <c r="AL958" s="165"/>
      <c r="AM958" s="165"/>
      <c r="AN958" s="165"/>
      <c r="AO958" s="165"/>
    </row>
    <row r="959" ht="15.75" customHeight="1">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c r="AE959" s="165"/>
      <c r="AF959" s="165"/>
      <c r="AG959" s="165"/>
      <c r="AH959" s="165"/>
      <c r="AI959" s="165"/>
      <c r="AJ959" s="165"/>
      <c r="AK959" s="165"/>
      <c r="AL959" s="165"/>
      <c r="AM959" s="165"/>
      <c r="AN959" s="165"/>
      <c r="AO959" s="165"/>
    </row>
    <row r="960" ht="15.75" customHeight="1">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c r="AE960" s="165"/>
      <c r="AF960" s="165"/>
      <c r="AG960" s="165"/>
      <c r="AH960" s="165"/>
      <c r="AI960" s="165"/>
      <c r="AJ960" s="165"/>
      <c r="AK960" s="165"/>
      <c r="AL960" s="165"/>
      <c r="AM960" s="165"/>
      <c r="AN960" s="165"/>
      <c r="AO960" s="165"/>
    </row>
    <row r="961" ht="15.75" customHeight="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c r="AE961" s="165"/>
      <c r="AF961" s="165"/>
      <c r="AG961" s="165"/>
      <c r="AH961" s="165"/>
      <c r="AI961" s="165"/>
      <c r="AJ961" s="165"/>
      <c r="AK961" s="165"/>
      <c r="AL961" s="165"/>
      <c r="AM961" s="165"/>
      <c r="AN961" s="165"/>
      <c r="AO961" s="165"/>
    </row>
    <row r="962" ht="15.75" customHeight="1">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c r="AE962" s="165"/>
      <c r="AF962" s="165"/>
      <c r="AG962" s="165"/>
      <c r="AH962" s="165"/>
      <c r="AI962" s="165"/>
      <c r="AJ962" s="165"/>
      <c r="AK962" s="165"/>
      <c r="AL962" s="165"/>
      <c r="AM962" s="165"/>
      <c r="AN962" s="165"/>
      <c r="AO962" s="165"/>
    </row>
    <row r="963" ht="15.75" customHeight="1">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c r="AE963" s="165"/>
      <c r="AF963" s="165"/>
      <c r="AG963" s="165"/>
      <c r="AH963" s="165"/>
      <c r="AI963" s="165"/>
      <c r="AJ963" s="165"/>
      <c r="AK963" s="165"/>
      <c r="AL963" s="165"/>
      <c r="AM963" s="165"/>
      <c r="AN963" s="165"/>
      <c r="AO963" s="165"/>
    </row>
    <row r="964" ht="15.75" customHeight="1">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c r="AE964" s="165"/>
      <c r="AF964" s="165"/>
      <c r="AG964" s="165"/>
      <c r="AH964" s="165"/>
      <c r="AI964" s="165"/>
      <c r="AJ964" s="165"/>
      <c r="AK964" s="165"/>
      <c r="AL964" s="165"/>
      <c r="AM964" s="165"/>
      <c r="AN964" s="165"/>
      <c r="AO964" s="165"/>
    </row>
    <row r="965" ht="15.75" customHeight="1">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c r="AE965" s="165"/>
      <c r="AF965" s="165"/>
      <c r="AG965" s="165"/>
      <c r="AH965" s="165"/>
      <c r="AI965" s="165"/>
      <c r="AJ965" s="165"/>
      <c r="AK965" s="165"/>
      <c r="AL965" s="165"/>
      <c r="AM965" s="165"/>
      <c r="AN965" s="165"/>
      <c r="AO965" s="165"/>
    </row>
    <row r="966" ht="15.75" customHeight="1">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c r="AE966" s="165"/>
      <c r="AF966" s="165"/>
      <c r="AG966" s="165"/>
      <c r="AH966" s="165"/>
      <c r="AI966" s="165"/>
      <c r="AJ966" s="165"/>
      <c r="AK966" s="165"/>
      <c r="AL966" s="165"/>
      <c r="AM966" s="165"/>
      <c r="AN966" s="165"/>
      <c r="AO966" s="165"/>
    </row>
    <row r="967" ht="15.75" customHeight="1">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c r="AE967" s="165"/>
      <c r="AF967" s="165"/>
      <c r="AG967" s="165"/>
      <c r="AH967" s="165"/>
      <c r="AI967" s="165"/>
      <c r="AJ967" s="165"/>
      <c r="AK967" s="165"/>
      <c r="AL967" s="165"/>
      <c r="AM967" s="165"/>
      <c r="AN967" s="165"/>
      <c r="AO967" s="165"/>
    </row>
    <row r="968" ht="15.75" customHeight="1">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c r="AE968" s="165"/>
      <c r="AF968" s="165"/>
      <c r="AG968" s="165"/>
      <c r="AH968" s="165"/>
      <c r="AI968" s="165"/>
      <c r="AJ968" s="165"/>
      <c r="AK968" s="165"/>
      <c r="AL968" s="165"/>
      <c r="AM968" s="165"/>
      <c r="AN968" s="165"/>
      <c r="AO968" s="165"/>
    </row>
    <row r="969" ht="15.75" customHeight="1">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c r="AE969" s="165"/>
      <c r="AF969" s="165"/>
      <c r="AG969" s="165"/>
      <c r="AH969" s="165"/>
      <c r="AI969" s="165"/>
      <c r="AJ969" s="165"/>
      <c r="AK969" s="165"/>
      <c r="AL969" s="165"/>
      <c r="AM969" s="165"/>
      <c r="AN969" s="165"/>
      <c r="AO969" s="165"/>
    </row>
    <row r="970" ht="15.75" customHeight="1">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c r="AE970" s="165"/>
      <c r="AF970" s="165"/>
      <c r="AG970" s="165"/>
      <c r="AH970" s="165"/>
      <c r="AI970" s="165"/>
      <c r="AJ970" s="165"/>
      <c r="AK970" s="165"/>
      <c r="AL970" s="165"/>
      <c r="AM970" s="165"/>
      <c r="AN970" s="165"/>
      <c r="AO970" s="165"/>
    </row>
    <row r="971" ht="15.75" customHeight="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c r="AE971" s="165"/>
      <c r="AF971" s="165"/>
      <c r="AG971" s="165"/>
      <c r="AH971" s="165"/>
      <c r="AI971" s="165"/>
      <c r="AJ971" s="165"/>
      <c r="AK971" s="165"/>
      <c r="AL971" s="165"/>
      <c r="AM971" s="165"/>
      <c r="AN971" s="165"/>
      <c r="AO971" s="165"/>
    </row>
    <row r="972" ht="15.75" customHeight="1">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c r="AE972" s="165"/>
      <c r="AF972" s="165"/>
      <c r="AG972" s="165"/>
      <c r="AH972" s="165"/>
      <c r="AI972" s="165"/>
      <c r="AJ972" s="165"/>
      <c r="AK972" s="165"/>
      <c r="AL972" s="165"/>
      <c r="AM972" s="165"/>
      <c r="AN972" s="165"/>
      <c r="AO972" s="165"/>
    </row>
    <row r="973" ht="15.75" customHeight="1">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c r="AE973" s="165"/>
      <c r="AF973" s="165"/>
      <c r="AG973" s="165"/>
      <c r="AH973" s="165"/>
      <c r="AI973" s="165"/>
      <c r="AJ973" s="165"/>
      <c r="AK973" s="165"/>
      <c r="AL973" s="165"/>
      <c r="AM973" s="165"/>
      <c r="AN973" s="165"/>
      <c r="AO973" s="165"/>
    </row>
    <row r="974" ht="15.75" customHeight="1">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c r="AE974" s="165"/>
      <c r="AF974" s="165"/>
      <c r="AG974" s="165"/>
      <c r="AH974" s="165"/>
      <c r="AI974" s="165"/>
      <c r="AJ974" s="165"/>
      <c r="AK974" s="165"/>
      <c r="AL974" s="165"/>
      <c r="AM974" s="165"/>
      <c r="AN974" s="165"/>
      <c r="AO974" s="165"/>
    </row>
    <row r="975" ht="15.75" customHeight="1">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c r="AE975" s="165"/>
      <c r="AF975" s="165"/>
      <c r="AG975" s="165"/>
      <c r="AH975" s="165"/>
      <c r="AI975" s="165"/>
      <c r="AJ975" s="165"/>
      <c r="AK975" s="165"/>
      <c r="AL975" s="165"/>
      <c r="AM975" s="165"/>
      <c r="AN975" s="165"/>
      <c r="AO975" s="165"/>
    </row>
    <row r="976" ht="15.75" customHeight="1">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c r="AE976" s="165"/>
      <c r="AF976" s="165"/>
      <c r="AG976" s="165"/>
      <c r="AH976" s="165"/>
      <c r="AI976" s="165"/>
      <c r="AJ976" s="165"/>
      <c r="AK976" s="165"/>
      <c r="AL976" s="165"/>
      <c r="AM976" s="165"/>
      <c r="AN976" s="165"/>
      <c r="AO976" s="165"/>
    </row>
    <row r="977" ht="15.75" customHeight="1">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c r="AE977" s="165"/>
      <c r="AF977" s="165"/>
      <c r="AG977" s="165"/>
      <c r="AH977" s="165"/>
      <c r="AI977" s="165"/>
      <c r="AJ977" s="165"/>
      <c r="AK977" s="165"/>
      <c r="AL977" s="165"/>
      <c r="AM977" s="165"/>
      <c r="AN977" s="165"/>
      <c r="AO977" s="165"/>
    </row>
    <row r="978" ht="15.75" customHeight="1">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c r="AE978" s="165"/>
      <c r="AF978" s="165"/>
      <c r="AG978" s="165"/>
      <c r="AH978" s="165"/>
      <c r="AI978" s="165"/>
      <c r="AJ978" s="165"/>
      <c r="AK978" s="165"/>
      <c r="AL978" s="165"/>
      <c r="AM978" s="165"/>
      <c r="AN978" s="165"/>
      <c r="AO978" s="165"/>
    </row>
    <row r="979" ht="15.75" customHeight="1">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c r="AE979" s="165"/>
      <c r="AF979" s="165"/>
      <c r="AG979" s="165"/>
      <c r="AH979" s="165"/>
      <c r="AI979" s="165"/>
      <c r="AJ979" s="165"/>
      <c r="AK979" s="165"/>
      <c r="AL979" s="165"/>
      <c r="AM979" s="165"/>
      <c r="AN979" s="165"/>
      <c r="AO979" s="165"/>
    </row>
    <row r="980" ht="15.75" customHeight="1">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c r="AE980" s="165"/>
      <c r="AF980" s="165"/>
      <c r="AG980" s="165"/>
      <c r="AH980" s="165"/>
      <c r="AI980" s="165"/>
      <c r="AJ980" s="165"/>
      <c r="AK980" s="165"/>
      <c r="AL980" s="165"/>
      <c r="AM980" s="165"/>
      <c r="AN980" s="165"/>
      <c r="AO980" s="165"/>
    </row>
    <row r="981" ht="15.75" customHeight="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c r="AE981" s="165"/>
      <c r="AF981" s="165"/>
      <c r="AG981" s="165"/>
      <c r="AH981" s="165"/>
      <c r="AI981" s="165"/>
      <c r="AJ981" s="165"/>
      <c r="AK981" s="165"/>
      <c r="AL981" s="165"/>
      <c r="AM981" s="165"/>
      <c r="AN981" s="165"/>
      <c r="AO981" s="165"/>
    </row>
    <row r="982" ht="15.75" customHeight="1">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c r="AE982" s="165"/>
      <c r="AF982" s="165"/>
      <c r="AG982" s="165"/>
      <c r="AH982" s="165"/>
      <c r="AI982" s="165"/>
      <c r="AJ982" s="165"/>
      <c r="AK982" s="165"/>
      <c r="AL982" s="165"/>
      <c r="AM982" s="165"/>
      <c r="AN982" s="165"/>
      <c r="AO982" s="165"/>
    </row>
    <row r="983" ht="15.75" customHeight="1">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c r="AE983" s="165"/>
      <c r="AF983" s="165"/>
      <c r="AG983" s="165"/>
      <c r="AH983" s="165"/>
      <c r="AI983" s="165"/>
      <c r="AJ983" s="165"/>
      <c r="AK983" s="165"/>
      <c r="AL983" s="165"/>
      <c r="AM983" s="165"/>
      <c r="AN983" s="165"/>
      <c r="AO983" s="165"/>
    </row>
    <row r="984" ht="15.75" customHeight="1">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c r="AE984" s="165"/>
      <c r="AF984" s="165"/>
      <c r="AG984" s="165"/>
      <c r="AH984" s="165"/>
      <c r="AI984" s="165"/>
      <c r="AJ984" s="165"/>
      <c r="AK984" s="165"/>
      <c r="AL984" s="165"/>
      <c r="AM984" s="165"/>
      <c r="AN984" s="165"/>
      <c r="AO984" s="165"/>
    </row>
    <row r="985" ht="15.75" customHeight="1">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c r="AE985" s="165"/>
      <c r="AF985" s="165"/>
      <c r="AG985" s="165"/>
      <c r="AH985" s="165"/>
      <c r="AI985" s="165"/>
      <c r="AJ985" s="165"/>
      <c r="AK985" s="165"/>
      <c r="AL985" s="165"/>
      <c r="AM985" s="165"/>
      <c r="AN985" s="165"/>
      <c r="AO985" s="165"/>
    </row>
    <row r="986" ht="15.75" customHeight="1">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c r="AE986" s="165"/>
      <c r="AF986" s="165"/>
      <c r="AG986" s="165"/>
      <c r="AH986" s="165"/>
      <c r="AI986" s="165"/>
      <c r="AJ986" s="165"/>
      <c r="AK986" s="165"/>
      <c r="AL986" s="165"/>
      <c r="AM986" s="165"/>
      <c r="AN986" s="165"/>
      <c r="AO986" s="165"/>
    </row>
    <row r="987" ht="15.75" customHeight="1">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c r="AE987" s="165"/>
      <c r="AF987" s="165"/>
      <c r="AG987" s="165"/>
      <c r="AH987" s="165"/>
      <c r="AI987" s="165"/>
      <c r="AJ987" s="165"/>
      <c r="AK987" s="165"/>
      <c r="AL987" s="165"/>
      <c r="AM987" s="165"/>
      <c r="AN987" s="165"/>
      <c r="AO987" s="165"/>
    </row>
    <row r="988" ht="15.75" customHeight="1">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c r="AE988" s="165"/>
      <c r="AF988" s="165"/>
      <c r="AG988" s="165"/>
      <c r="AH988" s="165"/>
      <c r="AI988" s="165"/>
      <c r="AJ988" s="165"/>
      <c r="AK988" s="165"/>
      <c r="AL988" s="165"/>
      <c r="AM988" s="165"/>
      <c r="AN988" s="165"/>
      <c r="AO988" s="165"/>
    </row>
    <row r="989" ht="15.75" customHeight="1">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c r="AE989" s="165"/>
      <c r="AF989" s="165"/>
      <c r="AG989" s="165"/>
      <c r="AH989" s="165"/>
      <c r="AI989" s="165"/>
      <c r="AJ989" s="165"/>
      <c r="AK989" s="165"/>
      <c r="AL989" s="165"/>
      <c r="AM989" s="165"/>
      <c r="AN989" s="165"/>
      <c r="AO989" s="165"/>
    </row>
    <row r="990" ht="15.75" customHeight="1">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c r="AE990" s="165"/>
      <c r="AF990" s="165"/>
      <c r="AG990" s="165"/>
      <c r="AH990" s="165"/>
      <c r="AI990" s="165"/>
      <c r="AJ990" s="165"/>
      <c r="AK990" s="165"/>
      <c r="AL990" s="165"/>
      <c r="AM990" s="165"/>
      <c r="AN990" s="165"/>
      <c r="AO990" s="165"/>
    </row>
    <row r="991" ht="15.75" customHeight="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c r="AE991" s="165"/>
      <c r="AF991" s="165"/>
      <c r="AG991" s="165"/>
      <c r="AH991" s="165"/>
      <c r="AI991" s="165"/>
      <c r="AJ991" s="165"/>
      <c r="AK991" s="165"/>
      <c r="AL991" s="165"/>
      <c r="AM991" s="165"/>
      <c r="AN991" s="165"/>
      <c r="AO991" s="165"/>
    </row>
    <row r="992" ht="15.75" customHeight="1">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c r="AE992" s="165"/>
      <c r="AF992" s="165"/>
      <c r="AG992" s="165"/>
      <c r="AH992" s="165"/>
      <c r="AI992" s="165"/>
      <c r="AJ992" s="165"/>
      <c r="AK992" s="165"/>
      <c r="AL992" s="165"/>
      <c r="AM992" s="165"/>
      <c r="AN992" s="165"/>
      <c r="AO992" s="165"/>
    </row>
    <row r="993" ht="15.75" customHeight="1">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c r="AE993" s="165"/>
      <c r="AF993" s="165"/>
      <c r="AG993" s="165"/>
      <c r="AH993" s="165"/>
      <c r="AI993" s="165"/>
      <c r="AJ993" s="165"/>
      <c r="AK993" s="165"/>
      <c r="AL993" s="165"/>
      <c r="AM993" s="165"/>
      <c r="AN993" s="165"/>
      <c r="AO993" s="165"/>
    </row>
    <row r="994" ht="15.75" customHeight="1">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c r="AE994" s="165"/>
      <c r="AF994" s="165"/>
      <c r="AG994" s="165"/>
      <c r="AH994" s="165"/>
      <c r="AI994" s="165"/>
      <c r="AJ994" s="165"/>
      <c r="AK994" s="165"/>
      <c r="AL994" s="165"/>
      <c r="AM994" s="165"/>
      <c r="AN994" s="165"/>
      <c r="AO994" s="165"/>
    </row>
    <row r="995" ht="15.75" customHeight="1">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c r="AE995" s="165"/>
      <c r="AF995" s="165"/>
      <c r="AG995" s="165"/>
      <c r="AH995" s="165"/>
      <c r="AI995" s="165"/>
      <c r="AJ995" s="165"/>
      <c r="AK995" s="165"/>
      <c r="AL995" s="165"/>
      <c r="AM995" s="165"/>
      <c r="AN995" s="165"/>
      <c r="AO995" s="165"/>
    </row>
    <row r="996" ht="15.75" customHeight="1">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c r="AE996" s="165"/>
      <c r="AF996" s="165"/>
      <c r="AG996" s="165"/>
      <c r="AH996" s="165"/>
      <c r="AI996" s="165"/>
      <c r="AJ996" s="165"/>
      <c r="AK996" s="165"/>
      <c r="AL996" s="165"/>
      <c r="AM996" s="165"/>
      <c r="AN996" s="165"/>
      <c r="AO996" s="165"/>
    </row>
  </sheetData>
  <mergeCells count="6">
    <mergeCell ref="C2:Y2"/>
    <mergeCell ref="B3:I4"/>
    <mergeCell ref="J3:O4"/>
    <mergeCell ref="P3:T4"/>
    <mergeCell ref="U3:X4"/>
    <mergeCell ref="Y3:Y4"/>
  </mergeCells>
  <dataValidations>
    <dataValidation type="list" allowBlank="1" sqref="M5">
      <formula1>'Energia CEMIG'!$A$2:$A$5</formula1>
    </dataValidation>
  </dataValidations>
  <printOptions/>
  <pageMargins bottom="0.7874015750000001" footer="0.0" header="0.0" left="0.511811024" right="0.511811024" top="0.7874015750000001"/>
  <pageSetup paperSize="9" scale="60"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43"/>
    <col customWidth="1" min="2" max="2" width="68.43"/>
    <col customWidth="1" min="3" max="3" width="20.57"/>
    <col customWidth="1" min="4" max="4" width="23.43"/>
    <col customWidth="1" min="5" max="5" width="15.0"/>
    <col customWidth="1" min="6" max="6" width="14.0"/>
    <col customWidth="1" min="7" max="7" width="15.86"/>
    <col customWidth="1" min="8" max="8" width="14.43"/>
    <col customWidth="1" min="9" max="9" width="23.0"/>
    <col customWidth="1" min="10" max="10" width="23.86"/>
    <col customWidth="1" min="11" max="11" width="12.29"/>
    <col customWidth="1" min="12" max="12" width="19.57"/>
    <col customWidth="1" min="13" max="13" width="24.71"/>
    <col customWidth="1" min="14" max="14" width="16.86"/>
    <col customWidth="1" min="15" max="15" width="17.14"/>
    <col customWidth="1" min="16" max="16" width="50.29"/>
    <col customWidth="1" min="17" max="17" width="15.71"/>
    <col customWidth="1" min="18" max="18" width="16.86"/>
    <col customWidth="1" min="19" max="19" width="14.43"/>
    <col customWidth="1" min="20" max="20" width="17.0"/>
  </cols>
  <sheetData>
    <row r="1">
      <c r="A1" s="315"/>
      <c r="B1" s="275"/>
      <c r="C1" s="275"/>
      <c r="D1" s="275"/>
      <c r="E1" s="275"/>
      <c r="F1" s="275"/>
      <c r="G1" s="275"/>
      <c r="H1" s="316" t="s">
        <v>346</v>
      </c>
      <c r="I1" s="259"/>
      <c r="J1" s="259"/>
      <c r="K1" s="259"/>
      <c r="L1" s="112"/>
      <c r="M1" s="317" t="s">
        <v>347</v>
      </c>
      <c r="N1" s="259"/>
      <c r="O1" s="112"/>
      <c r="P1" s="318" t="s">
        <v>348</v>
      </c>
      <c r="Q1" s="259"/>
      <c r="R1" s="259"/>
      <c r="S1" s="112"/>
      <c r="T1" s="283" t="s">
        <v>349</v>
      </c>
    </row>
    <row r="2">
      <c r="A2" s="315"/>
      <c r="B2" s="275" t="s">
        <v>488</v>
      </c>
      <c r="C2" s="275" t="s">
        <v>489</v>
      </c>
      <c r="D2" s="275" t="s">
        <v>129</v>
      </c>
      <c r="E2" s="275" t="s">
        <v>490</v>
      </c>
      <c r="F2" s="275" t="s">
        <v>170</v>
      </c>
      <c r="G2" s="275" t="s">
        <v>491</v>
      </c>
      <c r="H2" s="319" t="s">
        <v>492</v>
      </c>
      <c r="I2" s="319" t="s">
        <v>493</v>
      </c>
      <c r="J2" s="320" t="s">
        <v>358</v>
      </c>
      <c r="K2" s="321" t="s">
        <v>359</v>
      </c>
      <c r="L2" s="319" t="s">
        <v>360</v>
      </c>
      <c r="M2" s="322" t="s">
        <v>362</v>
      </c>
      <c r="N2" s="323" t="s">
        <v>364</v>
      </c>
      <c r="O2" s="322" t="s">
        <v>494</v>
      </c>
      <c r="P2" s="283" t="s">
        <v>495</v>
      </c>
      <c r="Q2" s="283" t="s">
        <v>367</v>
      </c>
      <c r="R2" s="283" t="s">
        <v>368</v>
      </c>
      <c r="S2" s="324" t="s">
        <v>496</v>
      </c>
      <c r="T2" s="325" t="s">
        <v>497</v>
      </c>
    </row>
    <row r="3">
      <c r="A3" s="326"/>
      <c r="B3" s="327" t="s">
        <v>498</v>
      </c>
      <c r="C3" s="328" t="s">
        <v>499</v>
      </c>
      <c r="D3" s="328" t="s">
        <v>91</v>
      </c>
      <c r="E3" s="329">
        <f>180000*'Parâmetros'!H13</f>
        <v>963000</v>
      </c>
      <c r="F3" s="328">
        <v>1.0</v>
      </c>
      <c r="G3" s="330">
        <f t="shared" ref="G3:G6" si="1">IF(E3=0,"",F3*E3)</f>
        <v>963000</v>
      </c>
      <c r="H3" s="328">
        <v>1.0</v>
      </c>
      <c r="I3" s="328">
        <v>1.5</v>
      </c>
      <c r="J3" s="331">
        <f t="shared" ref="J3:J23" si="2">H3*I3</f>
        <v>1.5</v>
      </c>
      <c r="K3" s="332">
        <f>VLOOKUP($K$2,'Energia CEMIG'!$A$2:$C$5,3,0)</f>
        <v>0.8573579</v>
      </c>
      <c r="L3" s="333">
        <f t="shared" ref="L3:L23" si="3">J3*K3</f>
        <v>1.28603685</v>
      </c>
      <c r="M3" s="328">
        <v>15.0</v>
      </c>
      <c r="N3" s="329">
        <f t="shared" ref="N3:N20" si="4">IFERROR(1/M3*G3,0)</f>
        <v>64200</v>
      </c>
      <c r="O3" s="334">
        <f t="shared" ref="O3:O23" si="5">IF(N3/365=0,0,N3/(365*8)*I3)</f>
        <v>32.97945205</v>
      </c>
      <c r="P3" s="335" t="s">
        <v>500</v>
      </c>
      <c r="Q3" s="328" t="s">
        <v>18</v>
      </c>
      <c r="R3" s="329">
        <v>0.0</v>
      </c>
      <c r="S3" s="330">
        <f t="shared" ref="S3:S7" si="6">R3/(365*8)*I3</f>
        <v>0</v>
      </c>
      <c r="T3" s="330">
        <f t="shared" ref="T3:T23" si="7">SUM(L3,O3,S3)</f>
        <v>34.2654889</v>
      </c>
    </row>
    <row r="4">
      <c r="A4" s="326"/>
      <c r="B4" s="217" t="s">
        <v>501</v>
      </c>
      <c r="C4" s="328" t="s">
        <v>499</v>
      </c>
      <c r="D4" s="328" t="s">
        <v>90</v>
      </c>
      <c r="E4" s="336">
        <v>61694.92</v>
      </c>
      <c r="F4" s="328">
        <v>1.0</v>
      </c>
      <c r="G4" s="333">
        <f t="shared" si="1"/>
        <v>61694.92</v>
      </c>
      <c r="H4" s="328">
        <v>4.0</v>
      </c>
      <c r="I4" s="328">
        <f>1*5</f>
        <v>5</v>
      </c>
      <c r="J4" s="331">
        <f t="shared" si="2"/>
        <v>20</v>
      </c>
      <c r="K4" s="332">
        <f>VLOOKUP($K$2,'Energia CEMIG'!$A$2:$C$5,3,0)</f>
        <v>0.8573579</v>
      </c>
      <c r="L4" s="333">
        <f t="shared" si="3"/>
        <v>17.147158</v>
      </c>
      <c r="M4" s="328">
        <v>10.0</v>
      </c>
      <c r="N4" s="329">
        <f t="shared" si="4"/>
        <v>6169.492</v>
      </c>
      <c r="O4" s="334">
        <f t="shared" si="5"/>
        <v>10.56419863</v>
      </c>
      <c r="P4" s="328" t="s">
        <v>502</v>
      </c>
      <c r="Q4" s="328" t="s">
        <v>18</v>
      </c>
      <c r="R4" s="329">
        <v>0.0</v>
      </c>
      <c r="S4" s="330">
        <f t="shared" si="6"/>
        <v>0</v>
      </c>
      <c r="T4" s="330">
        <f t="shared" si="7"/>
        <v>27.71135663</v>
      </c>
    </row>
    <row r="5">
      <c r="A5" s="326"/>
      <c r="B5" s="217" t="s">
        <v>503</v>
      </c>
      <c r="C5" s="328" t="s">
        <v>499</v>
      </c>
      <c r="D5" s="328" t="s">
        <v>90</v>
      </c>
      <c r="E5" s="336">
        <v>2900.0</v>
      </c>
      <c r="F5" s="328">
        <v>1.0</v>
      </c>
      <c r="G5" s="333">
        <f t="shared" si="1"/>
        <v>2900</v>
      </c>
      <c r="H5" s="328">
        <v>0.007</v>
      </c>
      <c r="I5" s="328">
        <v>5.0</v>
      </c>
      <c r="J5" s="331">
        <f t="shared" si="2"/>
        <v>0.035</v>
      </c>
      <c r="K5" s="332">
        <f>VLOOKUP($K$2,'Energia CEMIG'!$A$2:$C$5,3,0)</f>
        <v>0.8573579</v>
      </c>
      <c r="L5" s="333">
        <f t="shared" si="3"/>
        <v>0.0300075265</v>
      </c>
      <c r="M5" s="328">
        <v>10.0</v>
      </c>
      <c r="N5" s="329">
        <f t="shared" si="4"/>
        <v>290</v>
      </c>
      <c r="O5" s="334">
        <f t="shared" si="5"/>
        <v>0.4965753425</v>
      </c>
      <c r="P5" s="335" t="s">
        <v>504</v>
      </c>
      <c r="Q5" s="335">
        <v>365.0</v>
      </c>
      <c r="R5" s="329">
        <v>66.12</v>
      </c>
      <c r="S5" s="330">
        <f t="shared" si="6"/>
        <v>0.1132191781</v>
      </c>
      <c r="T5" s="330">
        <f t="shared" si="7"/>
        <v>0.639802047</v>
      </c>
    </row>
    <row r="6">
      <c r="A6" s="326"/>
      <c r="B6" s="217" t="s">
        <v>505</v>
      </c>
      <c r="C6" s="328" t="s">
        <v>499</v>
      </c>
      <c r="D6" s="328" t="s">
        <v>90</v>
      </c>
      <c r="E6" s="336">
        <v>3070.73</v>
      </c>
      <c r="F6" s="328">
        <v>1.0</v>
      </c>
      <c r="G6" s="333">
        <f t="shared" si="1"/>
        <v>3070.73</v>
      </c>
      <c r="H6" s="328">
        <v>0.16</v>
      </c>
      <c r="I6" s="328">
        <v>3.0</v>
      </c>
      <c r="J6" s="331">
        <f t="shared" si="2"/>
        <v>0.48</v>
      </c>
      <c r="K6" s="332">
        <f>VLOOKUP($K$2,'Energia CEMIG'!$A$2:$C$5,3,0)</f>
        <v>0.8573579</v>
      </c>
      <c r="L6" s="333">
        <f t="shared" si="3"/>
        <v>0.411531792</v>
      </c>
      <c r="M6" s="328">
        <v>10.0</v>
      </c>
      <c r="N6" s="329">
        <f t="shared" si="4"/>
        <v>307.073</v>
      </c>
      <c r="O6" s="334">
        <f t="shared" si="5"/>
        <v>0.3154859589</v>
      </c>
      <c r="P6" s="328" t="s">
        <v>506</v>
      </c>
      <c r="Q6" s="328">
        <v>365.0</v>
      </c>
      <c r="R6" s="329"/>
      <c r="S6" s="330">
        <f t="shared" si="6"/>
        <v>0</v>
      </c>
      <c r="T6" s="330">
        <f t="shared" si="7"/>
        <v>0.7270177509</v>
      </c>
    </row>
    <row r="7">
      <c r="A7" s="326"/>
      <c r="B7" s="217" t="s">
        <v>507</v>
      </c>
      <c r="C7" s="337" t="s">
        <v>508</v>
      </c>
      <c r="D7" s="337" t="s">
        <v>90</v>
      </c>
      <c r="E7" s="231">
        <v>209.5</v>
      </c>
      <c r="F7" s="328">
        <v>1.0</v>
      </c>
      <c r="G7" s="333">
        <f t="shared" ref="G7:G9" si="8">E7*F7</f>
        <v>209.5</v>
      </c>
      <c r="H7" s="328">
        <v>0.0</v>
      </c>
      <c r="I7" s="328">
        <v>0.1</v>
      </c>
      <c r="J7" s="331">
        <f t="shared" si="2"/>
        <v>0</v>
      </c>
      <c r="K7" s="332">
        <f>VLOOKUP($K$2,'Energia CEMIG'!$A$2:$C$5,3,0)</f>
        <v>0.8573579</v>
      </c>
      <c r="L7" s="333">
        <f t="shared" si="3"/>
        <v>0</v>
      </c>
      <c r="M7" s="328">
        <v>5.0</v>
      </c>
      <c r="N7" s="329">
        <f t="shared" si="4"/>
        <v>41.9</v>
      </c>
      <c r="O7" s="334">
        <f t="shared" si="5"/>
        <v>0.001434931507</v>
      </c>
      <c r="P7" s="328" t="s">
        <v>509</v>
      </c>
      <c r="Q7" s="328">
        <v>365.0</v>
      </c>
      <c r="R7" s="329">
        <v>30.45</v>
      </c>
      <c r="S7" s="330">
        <f t="shared" si="6"/>
        <v>0.001042808219</v>
      </c>
      <c r="T7" s="330">
        <f t="shared" si="7"/>
        <v>0.002477739726</v>
      </c>
    </row>
    <row r="8">
      <c r="A8" s="326"/>
      <c r="B8" s="217" t="s">
        <v>510</v>
      </c>
      <c r="C8" s="337" t="s">
        <v>508</v>
      </c>
      <c r="D8" s="337" t="s">
        <v>90</v>
      </c>
      <c r="E8" s="248">
        <v>1425.0</v>
      </c>
      <c r="F8" s="328">
        <v>1.0</v>
      </c>
      <c r="G8" s="333">
        <f t="shared" si="8"/>
        <v>1425</v>
      </c>
      <c r="H8" s="328">
        <v>0.0</v>
      </c>
      <c r="I8" s="328">
        <v>4.0</v>
      </c>
      <c r="J8" s="331">
        <f t="shared" si="2"/>
        <v>0</v>
      </c>
      <c r="K8" s="332">
        <f>VLOOKUP($K$2,'Energia CEMIG'!$A$2:$C$5,3,0)</f>
        <v>0.8573579</v>
      </c>
      <c r="L8" s="333">
        <f t="shared" si="3"/>
        <v>0</v>
      </c>
      <c r="M8" s="328">
        <v>20.0</v>
      </c>
      <c r="N8" s="329">
        <f t="shared" si="4"/>
        <v>71.25</v>
      </c>
      <c r="O8" s="334">
        <f t="shared" si="5"/>
        <v>0.09760273973</v>
      </c>
      <c r="P8" s="328" t="s">
        <v>511</v>
      </c>
      <c r="Q8" s="328">
        <v>1460.0</v>
      </c>
      <c r="R8" s="329">
        <v>12.5</v>
      </c>
      <c r="S8" s="330">
        <f>R8/(1460*8)*I8</f>
        <v>0.004280821918</v>
      </c>
      <c r="T8" s="330">
        <f t="shared" si="7"/>
        <v>0.1018835616</v>
      </c>
    </row>
    <row r="9">
      <c r="A9" s="326"/>
      <c r="B9" s="234" t="s">
        <v>512</v>
      </c>
      <c r="C9" s="337" t="s">
        <v>499</v>
      </c>
      <c r="D9" s="328" t="s">
        <v>90</v>
      </c>
      <c r="E9" s="329">
        <f>99886*'Parâmetros'!H13</f>
        <v>534390.1</v>
      </c>
      <c r="F9" s="328">
        <v>1.0</v>
      </c>
      <c r="G9" s="333">
        <f t="shared" si="8"/>
        <v>534390.1</v>
      </c>
      <c r="H9" s="328">
        <v>4.0</v>
      </c>
      <c r="I9" s="328">
        <v>5.0</v>
      </c>
      <c r="J9" s="331">
        <f t="shared" si="2"/>
        <v>20</v>
      </c>
      <c r="K9" s="332">
        <f>VLOOKUP($K$2,'Energia CEMIG'!$A$2:$C$5,3,0)</f>
        <v>0.8573579</v>
      </c>
      <c r="L9" s="333">
        <f t="shared" si="3"/>
        <v>17.147158</v>
      </c>
      <c r="M9" s="328">
        <v>10.0</v>
      </c>
      <c r="N9" s="329">
        <f t="shared" si="4"/>
        <v>53439.01</v>
      </c>
      <c r="O9" s="334">
        <f t="shared" si="5"/>
        <v>91.50515411</v>
      </c>
      <c r="P9" s="328" t="s">
        <v>513</v>
      </c>
      <c r="Q9" s="328">
        <v>365.0</v>
      </c>
      <c r="R9" s="329">
        <v>28546.0</v>
      </c>
      <c r="S9" s="330">
        <f t="shared" ref="S9:S18" si="9">R9/(365*8)*I9</f>
        <v>48.88013699</v>
      </c>
      <c r="T9" s="330">
        <f t="shared" si="7"/>
        <v>157.5324491</v>
      </c>
    </row>
    <row r="10">
      <c r="A10" s="326"/>
      <c r="B10" s="217" t="s">
        <v>514</v>
      </c>
      <c r="C10" s="337" t="s">
        <v>508</v>
      </c>
      <c r="D10" s="337" t="s">
        <v>89</v>
      </c>
      <c r="E10" s="336">
        <v>6200.0</v>
      </c>
      <c r="F10" s="328">
        <v>1.0</v>
      </c>
      <c r="G10" s="333">
        <f t="shared" ref="G10:G20" si="10">IF(E10=0,"",F10*E10)</f>
        <v>6200</v>
      </c>
      <c r="H10" s="328"/>
      <c r="I10" s="328"/>
      <c r="J10" s="331">
        <f t="shared" si="2"/>
        <v>0</v>
      </c>
      <c r="K10" s="332">
        <f>VLOOKUP($K$2,'Energia CEMIG'!$A$2:$C$5,3,0)</f>
        <v>0.8573579</v>
      </c>
      <c r="L10" s="333">
        <f t="shared" si="3"/>
        <v>0</v>
      </c>
      <c r="M10" s="328">
        <v>10.0</v>
      </c>
      <c r="N10" s="329">
        <f t="shared" si="4"/>
        <v>620</v>
      </c>
      <c r="O10" s="334">
        <f t="shared" si="5"/>
        <v>0</v>
      </c>
      <c r="P10" s="328" t="s">
        <v>504</v>
      </c>
      <c r="Q10" s="328">
        <v>365.0</v>
      </c>
      <c r="R10" s="329">
        <v>150.0</v>
      </c>
      <c r="S10" s="330">
        <f t="shared" si="9"/>
        <v>0</v>
      </c>
      <c r="T10" s="330">
        <f t="shared" si="7"/>
        <v>0</v>
      </c>
    </row>
    <row r="11">
      <c r="A11" s="326"/>
      <c r="B11" s="217" t="s">
        <v>515</v>
      </c>
      <c r="C11" s="337" t="s">
        <v>508</v>
      </c>
      <c r="D11" s="337" t="s">
        <v>89</v>
      </c>
      <c r="E11" s="336">
        <v>21030.34</v>
      </c>
      <c r="F11" s="328">
        <v>1.0</v>
      </c>
      <c r="G11" s="333">
        <f t="shared" si="10"/>
        <v>21030.34</v>
      </c>
      <c r="H11" s="328">
        <v>3.3</v>
      </c>
      <c r="I11" s="328"/>
      <c r="J11" s="331">
        <f t="shared" si="2"/>
        <v>0</v>
      </c>
      <c r="K11" s="332">
        <f>VLOOKUP($K$2,'Energia CEMIG'!$A$2:$C$5,3,0)</f>
        <v>0.8573579</v>
      </c>
      <c r="L11" s="333">
        <f t="shared" si="3"/>
        <v>0</v>
      </c>
      <c r="M11" s="328">
        <v>10.0</v>
      </c>
      <c r="N11" s="329">
        <f t="shared" si="4"/>
        <v>2103.034</v>
      </c>
      <c r="O11" s="334">
        <f t="shared" si="5"/>
        <v>0</v>
      </c>
      <c r="P11" s="328" t="s">
        <v>516</v>
      </c>
      <c r="Q11" s="328">
        <v>365.0</v>
      </c>
      <c r="R11" s="329">
        <v>262.0</v>
      </c>
      <c r="S11" s="330">
        <f t="shared" si="9"/>
        <v>0</v>
      </c>
      <c r="T11" s="330">
        <f t="shared" si="7"/>
        <v>0</v>
      </c>
    </row>
    <row r="12">
      <c r="A12" s="326"/>
      <c r="B12" s="217" t="s">
        <v>517</v>
      </c>
      <c r="C12" s="337" t="s">
        <v>508</v>
      </c>
      <c r="D12" s="337" t="s">
        <v>89</v>
      </c>
      <c r="E12" s="338">
        <v>2250.0</v>
      </c>
      <c r="F12" s="328">
        <v>1.0</v>
      </c>
      <c r="G12" s="333">
        <f t="shared" si="10"/>
        <v>2250</v>
      </c>
      <c r="H12" s="328">
        <v>0.4</v>
      </c>
      <c r="I12" s="328">
        <v>12.0</v>
      </c>
      <c r="J12" s="331">
        <f t="shared" si="2"/>
        <v>4.8</v>
      </c>
      <c r="K12" s="332">
        <f>VLOOKUP($K$2,'Energia CEMIG'!$A$2:$C$5,3,0)</f>
        <v>0.8573579</v>
      </c>
      <c r="L12" s="333">
        <f t="shared" si="3"/>
        <v>4.11531792</v>
      </c>
      <c r="M12" s="328">
        <v>10.0</v>
      </c>
      <c r="N12" s="329">
        <f t="shared" si="4"/>
        <v>225</v>
      </c>
      <c r="O12" s="334">
        <f t="shared" si="5"/>
        <v>0.9246575342</v>
      </c>
      <c r="P12" s="328" t="s">
        <v>516</v>
      </c>
      <c r="Q12" s="328">
        <v>365.0</v>
      </c>
      <c r="R12" s="329">
        <v>84.0</v>
      </c>
      <c r="S12" s="330">
        <f t="shared" si="9"/>
        <v>0.3452054795</v>
      </c>
      <c r="T12" s="330">
        <f t="shared" si="7"/>
        <v>5.385180934</v>
      </c>
    </row>
    <row r="13">
      <c r="A13" s="326"/>
      <c r="B13" s="217" t="s">
        <v>518</v>
      </c>
      <c r="C13" s="337" t="s">
        <v>499</v>
      </c>
      <c r="D13" s="337" t="s">
        <v>92</v>
      </c>
      <c r="E13" s="329">
        <f>575000*'Parâmetros'!H13</f>
        <v>3076250</v>
      </c>
      <c r="F13" s="328">
        <v>1.0</v>
      </c>
      <c r="G13" s="330">
        <f t="shared" si="10"/>
        <v>3076250</v>
      </c>
      <c r="H13" s="328">
        <f>(4+2+1.5)</f>
        <v>7.5</v>
      </c>
      <c r="I13" s="328">
        <v>1.0</v>
      </c>
      <c r="J13" s="331">
        <f t="shared" si="2"/>
        <v>7.5</v>
      </c>
      <c r="K13" s="332">
        <f>VLOOKUP($K$2,'Energia CEMIG'!$A$2:$C$5,3,0)</f>
        <v>0.8573579</v>
      </c>
      <c r="L13" s="333">
        <f t="shared" si="3"/>
        <v>6.43018425</v>
      </c>
      <c r="M13" s="328">
        <v>15.0</v>
      </c>
      <c r="N13" s="329">
        <f t="shared" si="4"/>
        <v>205083.3333</v>
      </c>
      <c r="O13" s="334">
        <f t="shared" si="5"/>
        <v>70.23401826</v>
      </c>
      <c r="P13" s="328" t="s">
        <v>519</v>
      </c>
      <c r="Q13" s="328">
        <v>365.0</v>
      </c>
      <c r="R13" s="329">
        <v>38000.0</v>
      </c>
      <c r="S13" s="339">
        <f t="shared" si="9"/>
        <v>13.01369863</v>
      </c>
      <c r="T13" s="330">
        <f t="shared" si="7"/>
        <v>89.67790114</v>
      </c>
    </row>
    <row r="14">
      <c r="A14" s="326"/>
      <c r="B14" s="217" t="s">
        <v>520</v>
      </c>
      <c r="C14" s="328" t="s">
        <v>499</v>
      </c>
      <c r="D14" s="328" t="s">
        <v>87</v>
      </c>
      <c r="E14" s="336">
        <v>1136351.0</v>
      </c>
      <c r="F14" s="328">
        <v>1.0</v>
      </c>
      <c r="G14" s="333">
        <f t="shared" si="10"/>
        <v>1136351</v>
      </c>
      <c r="H14" s="335">
        <v>0.0</v>
      </c>
      <c r="I14" s="328">
        <f t="shared" ref="I14:I16" si="11">3*0.5</f>
        <v>1.5</v>
      </c>
      <c r="J14" s="331">
        <f t="shared" si="2"/>
        <v>0</v>
      </c>
      <c r="K14" s="332">
        <f>VLOOKUP($K$2,'Energia CEMIG'!$A$2:$C$5,3,0)</f>
        <v>0.8573579</v>
      </c>
      <c r="L14" s="333">
        <f t="shared" si="3"/>
        <v>0</v>
      </c>
      <c r="M14" s="328">
        <v>10.0</v>
      </c>
      <c r="N14" s="329">
        <f t="shared" si="4"/>
        <v>113635.1</v>
      </c>
      <c r="O14" s="334">
        <f t="shared" si="5"/>
        <v>58.37419521</v>
      </c>
      <c r="P14" s="328" t="s">
        <v>521</v>
      </c>
      <c r="Q14" s="335">
        <v>365.0</v>
      </c>
      <c r="R14" s="329">
        <v>5848.0</v>
      </c>
      <c r="S14" s="330">
        <f t="shared" si="9"/>
        <v>3.004109589</v>
      </c>
      <c r="T14" s="330">
        <f t="shared" si="7"/>
        <v>61.37830479</v>
      </c>
    </row>
    <row r="15">
      <c r="A15" s="326"/>
      <c r="B15" s="217" t="s">
        <v>522</v>
      </c>
      <c r="C15" s="328" t="s">
        <v>499</v>
      </c>
      <c r="D15" s="328" t="s">
        <v>87</v>
      </c>
      <c r="E15" s="336">
        <v>134161.0</v>
      </c>
      <c r="F15" s="328">
        <v>1.0</v>
      </c>
      <c r="G15" s="333">
        <f t="shared" si="10"/>
        <v>134161</v>
      </c>
      <c r="H15" s="328">
        <v>0.2</v>
      </c>
      <c r="I15" s="328">
        <f t="shared" si="11"/>
        <v>1.5</v>
      </c>
      <c r="J15" s="331">
        <f t="shared" si="2"/>
        <v>0.3</v>
      </c>
      <c r="K15" s="332">
        <f>VLOOKUP($K$2,'Energia CEMIG'!$A$2:$C$5,3,0)</f>
        <v>0.8573579</v>
      </c>
      <c r="L15" s="333">
        <f t="shared" si="3"/>
        <v>0.25720737</v>
      </c>
      <c r="M15" s="328">
        <v>10.0</v>
      </c>
      <c r="N15" s="329">
        <f t="shared" si="4"/>
        <v>13416.1</v>
      </c>
      <c r="O15" s="334">
        <f t="shared" si="5"/>
        <v>6.891832192</v>
      </c>
      <c r="P15" s="328" t="s">
        <v>523</v>
      </c>
      <c r="Q15" s="328" t="s">
        <v>18</v>
      </c>
      <c r="R15" s="329">
        <v>0.0</v>
      </c>
      <c r="S15" s="330">
        <f t="shared" si="9"/>
        <v>0</v>
      </c>
      <c r="T15" s="330">
        <f t="shared" si="7"/>
        <v>7.149039562</v>
      </c>
    </row>
    <row r="16">
      <c r="A16" s="326"/>
      <c r="B16" s="217" t="s">
        <v>524</v>
      </c>
      <c r="C16" s="328" t="s">
        <v>499</v>
      </c>
      <c r="D16" s="328" t="s">
        <v>87</v>
      </c>
      <c r="E16" s="336">
        <v>134161.0</v>
      </c>
      <c r="F16" s="328">
        <v>1.0</v>
      </c>
      <c r="G16" s="333">
        <f t="shared" si="10"/>
        <v>134161</v>
      </c>
      <c r="H16" s="328">
        <v>0.0</v>
      </c>
      <c r="I16" s="328">
        <f t="shared" si="11"/>
        <v>1.5</v>
      </c>
      <c r="J16" s="331">
        <f t="shared" si="2"/>
        <v>0</v>
      </c>
      <c r="K16" s="332">
        <f>VLOOKUP($K$2,'Energia CEMIG'!$A$2:$C$5,3,0)</f>
        <v>0.8573579</v>
      </c>
      <c r="L16" s="333">
        <f t="shared" si="3"/>
        <v>0</v>
      </c>
      <c r="M16" s="328">
        <v>10.0</v>
      </c>
      <c r="N16" s="329">
        <f t="shared" si="4"/>
        <v>13416.1</v>
      </c>
      <c r="O16" s="334">
        <f t="shared" si="5"/>
        <v>6.891832192</v>
      </c>
      <c r="P16" s="328" t="s">
        <v>523</v>
      </c>
      <c r="Q16" s="335" t="s">
        <v>18</v>
      </c>
      <c r="R16" s="329">
        <v>0.0</v>
      </c>
      <c r="S16" s="330">
        <f t="shared" si="9"/>
        <v>0</v>
      </c>
      <c r="T16" s="330">
        <f t="shared" si="7"/>
        <v>6.891832192</v>
      </c>
    </row>
    <row r="17">
      <c r="A17" s="326"/>
      <c r="B17" s="217" t="s">
        <v>525</v>
      </c>
      <c r="C17" s="328" t="s">
        <v>499</v>
      </c>
      <c r="D17" s="328" t="s">
        <v>87</v>
      </c>
      <c r="E17" s="336">
        <v>4500.0</v>
      </c>
      <c r="F17" s="328">
        <v>1.0</v>
      </c>
      <c r="G17" s="333">
        <f t="shared" si="10"/>
        <v>4500</v>
      </c>
      <c r="H17" s="328">
        <v>0.13</v>
      </c>
      <c r="I17" s="328">
        <v>1.5</v>
      </c>
      <c r="J17" s="331">
        <f t="shared" si="2"/>
        <v>0.195</v>
      </c>
      <c r="K17" s="332">
        <f>VLOOKUP($K$2,'Energia CEMIG'!$A$2:$C$5,3,0)</f>
        <v>0.8573579</v>
      </c>
      <c r="L17" s="333">
        <f t="shared" si="3"/>
        <v>0.1671847905</v>
      </c>
      <c r="M17" s="328">
        <v>5.0</v>
      </c>
      <c r="N17" s="329">
        <f t="shared" si="4"/>
        <v>900</v>
      </c>
      <c r="O17" s="334">
        <f t="shared" si="5"/>
        <v>0.4623287671</v>
      </c>
      <c r="P17" s="335" t="s">
        <v>523</v>
      </c>
      <c r="Q17" s="328" t="s">
        <v>18</v>
      </c>
      <c r="R17" s="329">
        <v>0.0</v>
      </c>
      <c r="S17" s="330">
        <f t="shared" si="9"/>
        <v>0</v>
      </c>
      <c r="T17" s="330">
        <f t="shared" si="7"/>
        <v>0.6295135576</v>
      </c>
    </row>
    <row r="18">
      <c r="A18" s="326"/>
      <c r="B18" s="217" t="s">
        <v>526</v>
      </c>
      <c r="C18" s="328" t="s">
        <v>499</v>
      </c>
      <c r="D18" s="328" t="s">
        <v>87</v>
      </c>
      <c r="E18" s="336">
        <v>4370.0</v>
      </c>
      <c r="F18" s="328">
        <v>1.0</v>
      </c>
      <c r="G18" s="333">
        <f t="shared" si="10"/>
        <v>4370</v>
      </c>
      <c r="H18" s="328">
        <v>0.045</v>
      </c>
      <c r="I18" s="328">
        <v>1.5</v>
      </c>
      <c r="J18" s="331">
        <f t="shared" si="2"/>
        <v>0.0675</v>
      </c>
      <c r="K18" s="332">
        <f>VLOOKUP($K$2,'Energia CEMIG'!$A$2:$C$5,3,0)</f>
        <v>0.8573579</v>
      </c>
      <c r="L18" s="333">
        <f t="shared" si="3"/>
        <v>0.05787165825</v>
      </c>
      <c r="M18" s="328">
        <v>5.0</v>
      </c>
      <c r="N18" s="329">
        <f t="shared" si="4"/>
        <v>874</v>
      </c>
      <c r="O18" s="334">
        <f t="shared" si="5"/>
        <v>0.4489726027</v>
      </c>
      <c r="P18" s="328" t="s">
        <v>523</v>
      </c>
      <c r="Q18" s="328" t="s">
        <v>18</v>
      </c>
      <c r="R18" s="329">
        <v>0.0</v>
      </c>
      <c r="S18" s="330">
        <f t="shared" si="9"/>
        <v>0</v>
      </c>
      <c r="T18" s="330">
        <f t="shared" si="7"/>
        <v>0.506844261</v>
      </c>
    </row>
    <row r="19" ht="15.75" customHeight="1">
      <c r="A19" s="326"/>
      <c r="B19" s="217" t="s">
        <v>527</v>
      </c>
      <c r="C19" s="328" t="s">
        <v>499</v>
      </c>
      <c r="D19" s="328" t="s">
        <v>87</v>
      </c>
      <c r="E19" s="336">
        <v>1000.0</v>
      </c>
      <c r="F19" s="328">
        <v>1.0</v>
      </c>
      <c r="G19" s="333">
        <f t="shared" si="10"/>
        <v>1000</v>
      </c>
      <c r="H19" s="328">
        <v>0.33</v>
      </c>
      <c r="I19" s="328">
        <v>0.167</v>
      </c>
      <c r="J19" s="331">
        <f t="shared" si="2"/>
        <v>0.05511</v>
      </c>
      <c r="K19" s="332">
        <f>VLOOKUP($K$2,'Energia CEMIG'!$A$2:$C$5,3,0)</f>
        <v>0.8573579</v>
      </c>
      <c r="L19" s="333">
        <f t="shared" si="3"/>
        <v>0.04724899387</v>
      </c>
      <c r="M19" s="328">
        <v>10.0</v>
      </c>
      <c r="N19" s="329">
        <f t="shared" si="4"/>
        <v>100</v>
      </c>
      <c r="O19" s="334">
        <f t="shared" si="5"/>
        <v>0.005719178082</v>
      </c>
      <c r="P19" s="335" t="s">
        <v>528</v>
      </c>
      <c r="Q19" s="335" t="s">
        <v>18</v>
      </c>
      <c r="R19" s="329">
        <f>IFERROR(1/Q19*K19,0)</f>
        <v>0</v>
      </c>
      <c r="S19" s="334">
        <f>IF(R19/365=0,0,R19/(365*8)*M19)</f>
        <v>0</v>
      </c>
      <c r="T19" s="330">
        <f t="shared" si="7"/>
        <v>0.05296817195</v>
      </c>
    </row>
    <row r="20" ht="15.75" customHeight="1">
      <c r="A20" s="326"/>
      <c r="B20" s="217" t="s">
        <v>529</v>
      </c>
      <c r="C20" s="328" t="s">
        <v>499</v>
      </c>
      <c r="D20" s="328" t="s">
        <v>87</v>
      </c>
      <c r="E20" s="336">
        <v>15000.0</v>
      </c>
      <c r="F20" s="328">
        <v>1.0</v>
      </c>
      <c r="G20" s="333">
        <f t="shared" si="10"/>
        <v>15000</v>
      </c>
      <c r="H20" s="328">
        <v>2.7</v>
      </c>
      <c r="I20" s="328">
        <v>1.5</v>
      </c>
      <c r="J20" s="331">
        <f t="shared" si="2"/>
        <v>4.05</v>
      </c>
      <c r="K20" s="332">
        <f>VLOOKUP($K$2,'Energia CEMIG'!$A$2:$C$5,3,0)</f>
        <v>0.8573579</v>
      </c>
      <c r="L20" s="333">
        <f t="shared" si="3"/>
        <v>3.472299495</v>
      </c>
      <c r="M20" s="328">
        <v>5.0</v>
      </c>
      <c r="N20" s="329">
        <f t="shared" si="4"/>
        <v>3000</v>
      </c>
      <c r="O20" s="334">
        <f t="shared" si="5"/>
        <v>1.54109589</v>
      </c>
      <c r="P20" s="328" t="s">
        <v>523</v>
      </c>
      <c r="Q20" s="328" t="s">
        <v>18</v>
      </c>
      <c r="R20" s="329">
        <v>0.0</v>
      </c>
      <c r="S20" s="330">
        <f t="shared" ref="S20:S23" si="12">R20/(365*8)*I20</f>
        <v>0</v>
      </c>
      <c r="T20" s="330">
        <f t="shared" si="7"/>
        <v>5.013395385</v>
      </c>
    </row>
    <row r="21" ht="15.75" customHeight="1">
      <c r="A21" s="326"/>
      <c r="B21" s="217" t="s">
        <v>530</v>
      </c>
      <c r="C21" s="328" t="s">
        <v>499</v>
      </c>
      <c r="D21" s="328" t="s">
        <v>88</v>
      </c>
      <c r="E21" s="231">
        <v>533625.92</v>
      </c>
      <c r="F21" s="328">
        <v>1.0</v>
      </c>
      <c r="G21" s="333">
        <v>533625.92</v>
      </c>
      <c r="H21" s="328">
        <v>1.2</v>
      </c>
      <c r="I21" s="328">
        <v>3.5</v>
      </c>
      <c r="J21" s="331">
        <f t="shared" si="2"/>
        <v>4.2</v>
      </c>
      <c r="K21" s="332">
        <f>VLOOKUP($K$2,'Energia CEMIG'!$A$2:$C$5,3,0)</f>
        <v>0.8573579</v>
      </c>
      <c r="L21" s="333">
        <f t="shared" si="3"/>
        <v>3.60090318</v>
      </c>
      <c r="M21" s="328">
        <v>15.0</v>
      </c>
      <c r="N21" s="329">
        <f>E21*11%</f>
        <v>58698.8512</v>
      </c>
      <c r="O21" s="334">
        <f t="shared" si="5"/>
        <v>70.35821205</v>
      </c>
      <c r="P21" s="328" t="s">
        <v>531</v>
      </c>
      <c r="Q21" s="328">
        <v>365.0</v>
      </c>
      <c r="R21" s="329">
        <v>20000.0</v>
      </c>
      <c r="S21" s="330">
        <f t="shared" si="12"/>
        <v>23.97260274</v>
      </c>
      <c r="T21" s="330">
        <f t="shared" si="7"/>
        <v>97.93171797</v>
      </c>
    </row>
    <row r="22" ht="15.75" customHeight="1">
      <c r="A22" s="326"/>
      <c r="B22" s="217" t="s">
        <v>525</v>
      </c>
      <c r="C22" s="328" t="s">
        <v>499</v>
      </c>
      <c r="D22" s="328" t="s">
        <v>88</v>
      </c>
      <c r="E22" s="336">
        <v>4500.0</v>
      </c>
      <c r="F22" s="328">
        <v>1.0</v>
      </c>
      <c r="G22" s="333">
        <f t="shared" ref="G22:G23" si="13">IF(E22=0,"",F22*E22)</f>
        <v>4500</v>
      </c>
      <c r="H22" s="328">
        <v>0.13</v>
      </c>
      <c r="I22" s="328">
        <v>0.33</v>
      </c>
      <c r="J22" s="331">
        <f t="shared" si="2"/>
        <v>0.0429</v>
      </c>
      <c r="K22" s="332">
        <f>VLOOKUP($K$2,'Energia CEMIG'!$A$2:$C$5,3,0)</f>
        <v>0.8573579</v>
      </c>
      <c r="L22" s="333">
        <f t="shared" si="3"/>
        <v>0.03678065391</v>
      </c>
      <c r="M22" s="328">
        <v>5.0</v>
      </c>
      <c r="N22" s="329">
        <f>IFERROR(1/M22*G22,0)</f>
        <v>900</v>
      </c>
      <c r="O22" s="334">
        <f t="shared" si="5"/>
        <v>0.1017123288</v>
      </c>
      <c r="P22" s="328" t="s">
        <v>532</v>
      </c>
      <c r="Q22" s="328">
        <v>365.0</v>
      </c>
      <c r="R22" s="329">
        <v>40.0</v>
      </c>
      <c r="S22" s="330">
        <f t="shared" si="12"/>
        <v>0.004520547945</v>
      </c>
      <c r="T22" s="330">
        <f t="shared" si="7"/>
        <v>0.1430135306</v>
      </c>
    </row>
    <row r="23" ht="15.75" customHeight="1">
      <c r="A23" s="326"/>
      <c r="B23" s="217" t="s">
        <v>517</v>
      </c>
      <c r="C23" s="337" t="s">
        <v>508</v>
      </c>
      <c r="D23" s="337" t="s">
        <v>88</v>
      </c>
      <c r="E23" s="338">
        <v>2250.0</v>
      </c>
      <c r="F23" s="328">
        <v>1.0</v>
      </c>
      <c r="G23" s="333">
        <f t="shared" si="13"/>
        <v>2250</v>
      </c>
      <c r="H23" s="328">
        <v>0.4</v>
      </c>
      <c r="I23" s="328">
        <v>12.0</v>
      </c>
      <c r="J23" s="331">
        <f t="shared" si="2"/>
        <v>4.8</v>
      </c>
      <c r="K23" s="332">
        <f>VLOOKUP($K$2,'Energia CEMIG'!$A$2:$C$5,3,0)</f>
        <v>0.8573579</v>
      </c>
      <c r="L23" s="333">
        <f t="shared" si="3"/>
        <v>4.11531792</v>
      </c>
      <c r="M23" s="328">
        <v>10.0</v>
      </c>
      <c r="N23" s="329">
        <v>225.0</v>
      </c>
      <c r="O23" s="334">
        <f t="shared" si="5"/>
        <v>0.9246575342</v>
      </c>
      <c r="P23" s="328" t="s">
        <v>516</v>
      </c>
      <c r="Q23" s="328">
        <v>365.0</v>
      </c>
      <c r="R23" s="329">
        <v>84.0</v>
      </c>
      <c r="S23" s="330">
        <f t="shared" si="12"/>
        <v>0.3452054795</v>
      </c>
      <c r="T23" s="330">
        <f t="shared" si="7"/>
        <v>5.385180934</v>
      </c>
    </row>
    <row r="24" ht="15.75" customHeight="1">
      <c r="A24" s="326"/>
      <c r="B24" s="234"/>
      <c r="C24" s="337"/>
      <c r="D24" s="328"/>
      <c r="E24" s="219"/>
      <c r="F24" s="328"/>
      <c r="G24" s="333"/>
      <c r="H24" s="328"/>
      <c r="I24" s="328"/>
      <c r="J24" s="331"/>
      <c r="K24" s="332"/>
      <c r="L24" s="333"/>
      <c r="M24" s="328"/>
      <c r="N24" s="329"/>
      <c r="O24" s="334"/>
      <c r="P24" s="328"/>
      <c r="Q24" s="328"/>
      <c r="R24" s="329"/>
      <c r="S24" s="330"/>
      <c r="T24" s="330"/>
    </row>
    <row r="25" ht="15.75" customHeight="1">
      <c r="A25" s="326"/>
      <c r="B25" s="217"/>
      <c r="C25" s="328"/>
      <c r="D25" s="328"/>
      <c r="E25" s="336"/>
      <c r="F25" s="328"/>
      <c r="G25" s="333"/>
      <c r="H25" s="328"/>
      <c r="I25" s="328"/>
      <c r="J25" s="331"/>
      <c r="K25" s="332"/>
      <c r="L25" s="333"/>
      <c r="M25" s="328"/>
      <c r="N25" s="329"/>
      <c r="O25" s="334"/>
      <c r="P25" s="328"/>
      <c r="Q25" s="328"/>
      <c r="R25" s="329"/>
      <c r="S25" s="330"/>
      <c r="T25" s="330"/>
    </row>
    <row r="26" ht="15.75" customHeight="1">
      <c r="A26" s="326"/>
      <c r="B26" s="217"/>
      <c r="C26" s="328"/>
      <c r="D26" s="328"/>
      <c r="E26" s="336"/>
      <c r="F26" s="328"/>
      <c r="G26" s="333"/>
      <c r="H26" s="328"/>
      <c r="I26" s="328"/>
      <c r="J26" s="331"/>
      <c r="K26" s="332"/>
      <c r="L26" s="333"/>
      <c r="M26" s="328"/>
      <c r="N26" s="329"/>
      <c r="O26" s="334"/>
      <c r="P26" s="328"/>
      <c r="Q26" s="328"/>
      <c r="R26" s="329"/>
      <c r="S26" s="330"/>
      <c r="T26" s="330"/>
    </row>
    <row r="27" ht="15.75" customHeight="1">
      <c r="A27" s="326"/>
      <c r="B27" s="217"/>
      <c r="C27" s="328"/>
      <c r="D27" s="328"/>
      <c r="E27" s="336"/>
      <c r="F27" s="328"/>
      <c r="G27" s="333"/>
      <c r="H27" s="328"/>
      <c r="I27" s="328"/>
      <c r="J27" s="331"/>
      <c r="K27" s="332"/>
      <c r="L27" s="333"/>
      <c r="M27" s="328"/>
      <c r="N27" s="329"/>
      <c r="O27" s="334"/>
      <c r="P27" s="328"/>
      <c r="Q27" s="328"/>
      <c r="R27" s="329"/>
      <c r="S27" s="330"/>
      <c r="T27" s="330"/>
    </row>
    <row r="28" ht="15.75" customHeight="1">
      <c r="A28" s="326"/>
      <c r="B28" s="217"/>
      <c r="C28" s="337"/>
      <c r="D28" s="328"/>
      <c r="E28" s="336"/>
      <c r="F28" s="328"/>
      <c r="G28" s="333"/>
      <c r="H28" s="328"/>
      <c r="I28" s="328"/>
      <c r="J28" s="331"/>
      <c r="K28" s="332"/>
      <c r="L28" s="333"/>
      <c r="M28" s="328"/>
      <c r="N28" s="329"/>
      <c r="O28" s="334"/>
      <c r="P28" s="328"/>
      <c r="Q28" s="328"/>
      <c r="R28" s="329"/>
      <c r="S28" s="330"/>
      <c r="T28" s="330"/>
    </row>
    <row r="29" ht="15.75" customHeight="1">
      <c r="A29" s="17"/>
      <c r="B29" s="217"/>
      <c r="C29" s="337"/>
      <c r="D29" s="337"/>
      <c r="E29" s="336"/>
      <c r="F29" s="328"/>
      <c r="G29" s="333"/>
      <c r="H29" s="328"/>
      <c r="I29" s="328"/>
      <c r="J29" s="331"/>
      <c r="K29" s="332"/>
      <c r="L29" s="333"/>
      <c r="M29" s="328"/>
      <c r="N29" s="329"/>
      <c r="O29" s="334"/>
      <c r="P29" s="328"/>
      <c r="Q29" s="328"/>
      <c r="R29" s="329"/>
      <c r="S29" s="330"/>
      <c r="T29" s="330"/>
    </row>
    <row r="30" ht="15.75" customHeight="1">
      <c r="A30" s="17"/>
      <c r="B30" s="217"/>
      <c r="C30" s="340"/>
      <c r="D30" s="340"/>
      <c r="E30" s="336"/>
      <c r="F30" s="328"/>
      <c r="G30" s="333"/>
      <c r="H30" s="328"/>
      <c r="I30" s="328"/>
      <c r="J30" s="331"/>
      <c r="K30" s="332"/>
      <c r="L30" s="333"/>
      <c r="M30" s="328"/>
      <c r="N30" s="329"/>
      <c r="O30" s="334"/>
      <c r="P30" s="328"/>
      <c r="Q30" s="328"/>
      <c r="R30" s="329"/>
      <c r="S30" s="330"/>
      <c r="T30" s="330"/>
    </row>
    <row r="31" ht="15.75" customHeight="1">
      <c r="A31" s="17"/>
      <c r="B31" s="217"/>
      <c r="C31" s="340"/>
      <c r="D31" s="340"/>
      <c r="E31" s="336"/>
      <c r="F31" s="328"/>
      <c r="G31" s="333"/>
      <c r="H31" s="328"/>
      <c r="I31" s="328"/>
      <c r="J31" s="331"/>
      <c r="K31" s="332"/>
      <c r="L31" s="333"/>
      <c r="M31" s="328"/>
      <c r="N31" s="329"/>
      <c r="O31" s="334"/>
      <c r="P31" s="328"/>
      <c r="Q31" s="328"/>
      <c r="R31" s="329"/>
      <c r="S31" s="330"/>
      <c r="T31" s="330"/>
    </row>
    <row r="32" ht="15.75" customHeight="1">
      <c r="A32" s="17"/>
      <c r="B32" s="217"/>
      <c r="C32" s="340"/>
      <c r="D32" s="340"/>
      <c r="E32" s="338"/>
      <c r="F32" s="328"/>
      <c r="G32" s="333"/>
      <c r="H32" s="328"/>
      <c r="I32" s="328"/>
      <c r="J32" s="331"/>
      <c r="K32" s="332"/>
      <c r="L32" s="333"/>
      <c r="M32" s="328"/>
      <c r="N32" s="329"/>
      <c r="O32" s="334"/>
      <c r="P32" s="328"/>
      <c r="Q32" s="328"/>
      <c r="R32" s="329"/>
      <c r="S32" s="330"/>
      <c r="T32" s="330"/>
    </row>
    <row r="33" ht="15.75" customHeight="1">
      <c r="A33" s="17"/>
      <c r="B33" s="217"/>
      <c r="C33" s="340"/>
      <c r="D33" s="340"/>
      <c r="E33" s="329"/>
      <c r="F33" s="328"/>
      <c r="G33" s="330"/>
      <c r="H33" s="328"/>
      <c r="I33" s="328"/>
      <c r="J33" s="331"/>
      <c r="K33" s="332"/>
      <c r="L33" s="333"/>
      <c r="M33" s="328"/>
      <c r="N33" s="329"/>
      <c r="O33" s="334"/>
      <c r="P33" s="328"/>
      <c r="Q33" s="328"/>
      <c r="R33" s="341"/>
      <c r="S33" s="330"/>
      <c r="T33" s="330"/>
    </row>
    <row r="34" ht="15.75" customHeight="1">
      <c r="A34" s="17"/>
      <c r="B34" s="234"/>
      <c r="C34" s="340"/>
      <c r="D34" s="340"/>
      <c r="E34" s="329"/>
      <c r="F34" s="328"/>
      <c r="G34" s="330"/>
      <c r="H34" s="328"/>
      <c r="I34" s="328"/>
      <c r="J34" s="331"/>
      <c r="K34" s="332"/>
      <c r="L34" s="333"/>
      <c r="M34" s="328"/>
      <c r="N34" s="329"/>
      <c r="O34" s="334"/>
      <c r="P34" s="328"/>
      <c r="Q34" s="328"/>
      <c r="R34" s="329"/>
      <c r="S34" s="330"/>
      <c r="T34" s="330"/>
    </row>
    <row r="35" ht="15.75" customHeight="1">
      <c r="A35" s="17"/>
      <c r="B35" s="217"/>
      <c r="C35" s="340"/>
      <c r="D35" s="340"/>
      <c r="E35" s="329"/>
      <c r="F35" s="328"/>
      <c r="G35" s="330"/>
      <c r="H35" s="328"/>
      <c r="I35" s="328"/>
      <c r="J35" s="331"/>
      <c r="K35" s="332"/>
      <c r="L35" s="333"/>
      <c r="M35" s="328"/>
      <c r="N35" s="329"/>
      <c r="O35" s="334"/>
      <c r="P35" s="328"/>
      <c r="Q35" s="328"/>
      <c r="R35" s="329"/>
      <c r="S35" s="339"/>
      <c r="T35" s="330"/>
    </row>
    <row r="36" ht="15.75" customHeight="1">
      <c r="A36" s="17"/>
      <c r="B36" s="217"/>
      <c r="C36" s="342"/>
      <c r="D36" s="342"/>
      <c r="E36" s="329"/>
      <c r="F36" s="328"/>
      <c r="G36" s="330"/>
      <c r="H36" s="328"/>
      <c r="I36" s="328"/>
      <c r="J36" s="331"/>
      <c r="K36" s="332"/>
      <c r="L36" s="333"/>
      <c r="M36" s="328"/>
      <c r="N36" s="329"/>
      <c r="O36" s="334"/>
      <c r="P36" s="328"/>
      <c r="Q36" s="328"/>
      <c r="R36" s="329"/>
      <c r="S36" s="330"/>
      <c r="T36" s="330"/>
    </row>
    <row r="37" ht="15.75" customHeight="1">
      <c r="A37" s="17"/>
      <c r="B37" s="217"/>
      <c r="C37" s="342"/>
      <c r="D37" s="342"/>
      <c r="E37" s="336"/>
      <c r="F37" s="328"/>
      <c r="G37" s="333"/>
      <c r="H37" s="328"/>
      <c r="I37" s="328"/>
      <c r="J37" s="331"/>
      <c r="K37" s="332"/>
      <c r="L37" s="333"/>
      <c r="M37" s="328"/>
      <c r="N37" s="329"/>
      <c r="O37" s="334"/>
      <c r="P37" s="328"/>
      <c r="Q37" s="328"/>
      <c r="R37" s="329"/>
      <c r="S37" s="330"/>
      <c r="T37" s="330"/>
    </row>
    <row r="38" ht="15.75" customHeight="1">
      <c r="A38" s="17"/>
      <c r="B38" s="217"/>
      <c r="C38" s="342"/>
      <c r="D38" s="342"/>
      <c r="E38" s="336"/>
      <c r="F38" s="328"/>
      <c r="G38" s="333"/>
      <c r="H38" s="328"/>
      <c r="I38" s="328"/>
      <c r="J38" s="331"/>
      <c r="K38" s="332"/>
      <c r="L38" s="333"/>
      <c r="M38" s="328"/>
      <c r="N38" s="329"/>
      <c r="O38" s="334"/>
      <c r="P38" s="328"/>
      <c r="Q38" s="139"/>
      <c r="R38" s="341"/>
      <c r="S38" s="330"/>
      <c r="T38" s="330"/>
    </row>
    <row r="39" ht="15.75" customHeight="1">
      <c r="A39" s="17"/>
      <c r="B39" s="217"/>
      <c r="C39" s="342"/>
      <c r="D39" s="342"/>
      <c r="E39" s="336"/>
      <c r="F39" s="328"/>
      <c r="G39" s="333"/>
      <c r="H39" s="328"/>
      <c r="I39" s="328"/>
      <c r="J39" s="331"/>
      <c r="K39" s="332"/>
      <c r="L39" s="333"/>
      <c r="M39" s="328"/>
      <c r="N39" s="329"/>
      <c r="O39" s="334"/>
      <c r="P39" s="328"/>
      <c r="Q39" s="139"/>
      <c r="R39" s="341"/>
      <c r="S39" s="330"/>
      <c r="T39" s="330"/>
    </row>
    <row r="40" ht="15.75" customHeight="1">
      <c r="A40" s="17"/>
      <c r="B40" s="217"/>
      <c r="C40" s="342"/>
      <c r="D40" s="342"/>
      <c r="E40" s="336"/>
      <c r="F40" s="328"/>
      <c r="G40" s="333"/>
      <c r="H40" s="328"/>
      <c r="I40" s="328"/>
      <c r="J40" s="331"/>
      <c r="K40" s="332"/>
      <c r="L40" s="333"/>
      <c r="M40" s="328"/>
      <c r="N40" s="329"/>
      <c r="O40" s="334"/>
      <c r="P40" s="328"/>
      <c r="Q40" s="139"/>
      <c r="R40" s="341"/>
      <c r="S40" s="330"/>
      <c r="T40" s="330"/>
    </row>
    <row r="41" ht="15.75" customHeight="1">
      <c r="A41" s="17"/>
      <c r="B41" s="217"/>
      <c r="C41" s="342"/>
      <c r="D41" s="342"/>
      <c r="E41" s="336"/>
      <c r="F41" s="328"/>
      <c r="G41" s="333"/>
      <c r="H41" s="328"/>
      <c r="I41" s="328"/>
      <c r="J41" s="331"/>
      <c r="K41" s="332"/>
      <c r="L41" s="333"/>
      <c r="M41" s="328"/>
      <c r="N41" s="329"/>
      <c r="O41" s="334"/>
      <c r="P41" s="328"/>
      <c r="Q41" s="139"/>
      <c r="R41" s="341"/>
      <c r="S41" s="330"/>
      <c r="T41" s="330"/>
    </row>
    <row r="42" ht="15.75" customHeight="1">
      <c r="A42" s="17"/>
      <c r="B42" s="217"/>
      <c r="C42" s="342"/>
      <c r="D42" s="342"/>
      <c r="E42" s="336"/>
      <c r="F42" s="328"/>
      <c r="G42" s="333"/>
      <c r="H42" s="328"/>
      <c r="I42" s="328"/>
      <c r="J42" s="331"/>
      <c r="K42" s="332"/>
      <c r="L42" s="333"/>
      <c r="M42" s="328"/>
      <c r="N42" s="329"/>
      <c r="O42" s="334"/>
      <c r="P42" s="328"/>
      <c r="Q42" s="328"/>
      <c r="R42" s="329"/>
      <c r="S42" s="334"/>
      <c r="T42" s="330"/>
    </row>
    <row r="43" ht="15.75" customHeight="1">
      <c r="A43" s="17"/>
      <c r="B43" s="217"/>
      <c r="C43" s="342"/>
      <c r="D43" s="342"/>
      <c r="E43" s="336"/>
      <c r="F43" s="328"/>
      <c r="G43" s="333"/>
      <c r="H43" s="328"/>
      <c r="I43" s="328"/>
      <c r="J43" s="331"/>
      <c r="K43" s="332"/>
      <c r="L43" s="333"/>
      <c r="M43" s="328"/>
      <c r="N43" s="329"/>
      <c r="O43" s="334"/>
      <c r="P43" s="328"/>
      <c r="Q43" s="328"/>
      <c r="R43" s="329"/>
      <c r="S43" s="330"/>
      <c r="T43" s="330"/>
    </row>
    <row r="44" ht="15.75" customHeight="1">
      <c r="A44" s="17"/>
      <c r="B44" s="217"/>
      <c r="C44" s="342"/>
      <c r="D44" s="342"/>
      <c r="E44" s="231"/>
      <c r="F44" s="328"/>
      <c r="G44" s="333"/>
      <c r="H44" s="328"/>
      <c r="I44" s="328"/>
      <c r="J44" s="331"/>
      <c r="K44" s="332"/>
      <c r="L44" s="333"/>
      <c r="M44" s="328"/>
      <c r="N44" s="329"/>
      <c r="O44" s="334"/>
      <c r="P44" s="328"/>
      <c r="Q44" s="328"/>
      <c r="R44" s="329"/>
      <c r="S44" s="330"/>
      <c r="T44" s="330"/>
    </row>
    <row r="45" ht="15.75" customHeight="1">
      <c r="A45" s="17"/>
      <c r="B45" s="217"/>
      <c r="C45" s="342"/>
      <c r="D45" s="342"/>
      <c r="E45" s="336"/>
      <c r="F45" s="328"/>
      <c r="G45" s="333"/>
      <c r="H45" s="328"/>
      <c r="I45" s="328"/>
      <c r="J45" s="331"/>
      <c r="K45" s="332"/>
      <c r="L45" s="333"/>
      <c r="M45" s="328"/>
      <c r="N45" s="329"/>
      <c r="O45" s="334"/>
      <c r="P45" s="139"/>
      <c r="Q45" s="139"/>
      <c r="R45" s="341"/>
      <c r="S45" s="330"/>
      <c r="T45" s="330"/>
    </row>
    <row r="46" ht="15.75" customHeight="1">
      <c r="A46" s="17"/>
      <c r="B46" s="217"/>
      <c r="C46" s="340"/>
      <c r="D46" s="340"/>
      <c r="E46" s="338"/>
      <c r="F46" s="328"/>
      <c r="G46" s="333"/>
      <c r="H46" s="328"/>
      <c r="I46" s="328"/>
      <c r="J46" s="331"/>
      <c r="K46" s="332"/>
      <c r="L46" s="333"/>
      <c r="M46" s="328"/>
      <c r="N46" s="329"/>
      <c r="O46" s="334"/>
      <c r="P46" s="328"/>
      <c r="Q46" s="328"/>
      <c r="R46" s="329"/>
      <c r="S46" s="330"/>
      <c r="T46" s="330"/>
    </row>
    <row r="47" ht="15.75" customHeight="1">
      <c r="A47" s="17"/>
      <c r="B47" s="217"/>
      <c r="C47" s="342"/>
      <c r="D47" s="342"/>
      <c r="E47" s="336"/>
      <c r="F47" s="328"/>
      <c r="G47" s="333"/>
      <c r="H47" s="328"/>
      <c r="I47" s="328"/>
      <c r="J47" s="331"/>
      <c r="K47" s="332"/>
      <c r="L47" s="333"/>
      <c r="M47" s="328"/>
      <c r="N47" s="329"/>
      <c r="O47" s="334"/>
      <c r="P47" s="139"/>
      <c r="Q47" s="139"/>
      <c r="R47" s="341"/>
      <c r="S47" s="330"/>
      <c r="T47" s="330"/>
    </row>
    <row r="48" ht="15.75" customHeight="1">
      <c r="A48" s="17"/>
      <c r="B48" s="217"/>
      <c r="C48" s="340"/>
      <c r="D48" s="342"/>
      <c r="E48" s="336"/>
      <c r="F48" s="328"/>
      <c r="G48" s="333"/>
      <c r="H48" s="343"/>
      <c r="I48" s="328"/>
      <c r="J48" s="331"/>
      <c r="K48" s="332"/>
      <c r="L48" s="333"/>
      <c r="M48" s="328"/>
      <c r="N48" s="329"/>
      <c r="O48" s="334"/>
      <c r="P48" s="328"/>
      <c r="Q48" s="328"/>
      <c r="R48" s="329"/>
      <c r="S48" s="330"/>
      <c r="T48" s="330"/>
    </row>
    <row r="49" ht="15.75" customHeight="1">
      <c r="A49" s="17"/>
      <c r="B49" s="217"/>
      <c r="C49" s="340"/>
      <c r="D49" s="342"/>
      <c r="E49" s="336"/>
      <c r="F49" s="328"/>
      <c r="G49" s="333"/>
      <c r="H49" s="328"/>
      <c r="I49" s="328"/>
      <c r="J49" s="331"/>
      <c r="K49" s="332"/>
      <c r="L49" s="333"/>
      <c r="M49" s="328"/>
      <c r="N49" s="329"/>
      <c r="O49" s="334"/>
      <c r="P49" s="328"/>
      <c r="Q49" s="328"/>
      <c r="R49" s="329"/>
      <c r="S49" s="330"/>
      <c r="T49" s="330"/>
    </row>
    <row r="50" ht="15.75" customHeight="1">
      <c r="A50" s="17"/>
      <c r="B50" s="217"/>
      <c r="C50" s="340"/>
      <c r="D50" s="342"/>
      <c r="E50" s="336"/>
      <c r="F50" s="328"/>
      <c r="G50" s="333"/>
      <c r="H50" s="328"/>
      <c r="I50" s="328"/>
      <c r="J50" s="331"/>
      <c r="K50" s="332"/>
      <c r="L50" s="333"/>
      <c r="M50" s="328"/>
      <c r="N50" s="329"/>
      <c r="O50" s="334"/>
      <c r="P50" s="328"/>
      <c r="Q50" s="328"/>
      <c r="R50" s="329"/>
      <c r="S50" s="330"/>
      <c r="T50" s="330"/>
    </row>
    <row r="51" ht="15.75" customHeight="1">
      <c r="A51" s="17"/>
      <c r="B51" s="217"/>
      <c r="C51" s="340"/>
      <c r="D51" s="342"/>
      <c r="E51" s="336"/>
      <c r="F51" s="328"/>
      <c r="G51" s="333"/>
      <c r="H51" s="328"/>
      <c r="I51" s="328"/>
      <c r="J51" s="331"/>
      <c r="K51" s="332"/>
      <c r="L51" s="333"/>
      <c r="M51" s="328"/>
      <c r="N51" s="329"/>
      <c r="O51" s="334"/>
      <c r="P51" s="328"/>
      <c r="Q51" s="328"/>
      <c r="R51" s="329"/>
      <c r="S51" s="330"/>
      <c r="T51" s="330"/>
    </row>
    <row r="52" ht="15.75" customHeight="1">
      <c r="A52" s="17"/>
      <c r="B52" s="217"/>
      <c r="C52" s="342"/>
      <c r="D52" s="342"/>
      <c r="E52" s="336"/>
      <c r="F52" s="328"/>
      <c r="G52" s="333"/>
      <c r="H52" s="328"/>
      <c r="I52" s="328"/>
      <c r="J52" s="331"/>
      <c r="K52" s="332"/>
      <c r="L52" s="333"/>
      <c r="M52" s="328"/>
      <c r="N52" s="329"/>
      <c r="O52" s="334"/>
      <c r="P52" s="328"/>
      <c r="Q52" s="328"/>
      <c r="R52" s="329"/>
      <c r="S52" s="330"/>
      <c r="T52" s="330"/>
    </row>
    <row r="53" ht="15.75" customHeight="1">
      <c r="A53" s="17"/>
      <c r="B53" s="217"/>
      <c r="C53" s="340"/>
      <c r="D53" s="342"/>
      <c r="E53" s="219"/>
      <c r="F53" s="328"/>
      <c r="G53" s="333"/>
      <c r="H53" s="328"/>
      <c r="I53" s="328"/>
      <c r="J53" s="331"/>
      <c r="K53" s="332"/>
      <c r="L53" s="333"/>
      <c r="M53" s="328"/>
      <c r="N53" s="329"/>
      <c r="O53" s="334"/>
      <c r="P53" s="328"/>
      <c r="Q53" s="328"/>
      <c r="R53" s="329"/>
      <c r="S53" s="330"/>
      <c r="T53" s="330"/>
    </row>
    <row r="54" ht="15.75" customHeight="1">
      <c r="A54" s="17"/>
      <c r="B54" s="217"/>
      <c r="C54" s="340"/>
      <c r="D54" s="342"/>
      <c r="E54" s="219"/>
      <c r="F54" s="328"/>
      <c r="G54" s="333"/>
      <c r="H54" s="328"/>
      <c r="I54" s="328"/>
      <c r="J54" s="331"/>
      <c r="K54" s="332"/>
      <c r="L54" s="333"/>
      <c r="M54" s="328"/>
      <c r="N54" s="329"/>
      <c r="O54" s="334"/>
      <c r="P54" s="328"/>
      <c r="Q54" s="328"/>
      <c r="R54" s="329"/>
      <c r="S54" s="330"/>
      <c r="T54" s="330"/>
    </row>
    <row r="55" ht="15.75" customHeight="1">
      <c r="A55" s="17"/>
      <c r="B55" s="217"/>
      <c r="C55" s="342"/>
      <c r="D55" s="342"/>
      <c r="E55" s="336"/>
      <c r="F55" s="328"/>
      <c r="G55" s="333"/>
      <c r="H55" s="328"/>
      <c r="I55" s="328"/>
      <c r="J55" s="331"/>
      <c r="K55" s="332"/>
      <c r="L55" s="333"/>
      <c r="M55" s="328"/>
      <c r="N55" s="329"/>
      <c r="O55" s="334"/>
      <c r="P55" s="328"/>
      <c r="Q55" s="328"/>
      <c r="R55" s="329"/>
      <c r="S55" s="330"/>
      <c r="T55" s="330"/>
    </row>
    <row r="56" ht="15.75" customHeight="1">
      <c r="A56" s="17"/>
      <c r="B56" s="217"/>
      <c r="C56" s="342"/>
      <c r="D56" s="342"/>
      <c r="E56" s="336"/>
      <c r="F56" s="328"/>
      <c r="G56" s="333"/>
      <c r="H56" s="328"/>
      <c r="I56" s="328"/>
      <c r="J56" s="331"/>
      <c r="K56" s="332"/>
      <c r="L56" s="333"/>
      <c r="M56" s="328"/>
      <c r="N56" s="329"/>
      <c r="O56" s="334"/>
      <c r="P56" s="139"/>
      <c r="Q56" s="139"/>
      <c r="R56" s="341"/>
      <c r="S56" s="330"/>
      <c r="T56" s="330"/>
    </row>
    <row r="57" ht="15.75" customHeight="1">
      <c r="B57" s="344"/>
      <c r="C57" s="340"/>
      <c r="D57" s="342"/>
      <c r="E57" s="336"/>
      <c r="F57" s="342"/>
      <c r="G57" s="333"/>
      <c r="H57" s="345"/>
      <c r="I57" s="342"/>
      <c r="J57" s="346"/>
      <c r="K57" s="332"/>
      <c r="L57" s="333"/>
      <c r="M57" s="342"/>
      <c r="N57" s="329"/>
      <c r="O57" s="334"/>
      <c r="P57" s="342"/>
      <c r="Q57" s="342"/>
      <c r="R57" s="329"/>
      <c r="S57" s="330"/>
      <c r="T57" s="330"/>
    </row>
    <row r="58" ht="15.75" customHeight="1">
      <c r="B58" s="344"/>
      <c r="C58" s="340"/>
      <c r="D58" s="342"/>
      <c r="E58" s="336"/>
      <c r="F58" s="342"/>
      <c r="G58" s="333"/>
      <c r="H58" s="342"/>
      <c r="I58" s="342"/>
      <c r="J58" s="346"/>
      <c r="K58" s="332"/>
      <c r="L58" s="333"/>
      <c r="M58" s="342"/>
      <c r="N58" s="329"/>
      <c r="O58" s="334"/>
      <c r="P58" s="342"/>
      <c r="Q58" s="342"/>
      <c r="R58" s="329"/>
      <c r="S58" s="330"/>
      <c r="T58" s="330"/>
    </row>
    <row r="59" ht="15.75" customHeight="1">
      <c r="B59" s="344"/>
      <c r="C59" s="340"/>
      <c r="D59" s="342"/>
      <c r="E59" s="336"/>
      <c r="F59" s="342"/>
      <c r="G59" s="333"/>
      <c r="H59" s="342"/>
      <c r="I59" s="342"/>
      <c r="J59" s="346"/>
      <c r="K59" s="332"/>
      <c r="L59" s="333"/>
      <c r="M59" s="342"/>
      <c r="N59" s="329"/>
      <c r="O59" s="334"/>
      <c r="P59" s="342"/>
      <c r="Q59" s="342"/>
      <c r="R59" s="329"/>
      <c r="S59" s="330"/>
      <c r="T59" s="330"/>
    </row>
    <row r="60" ht="15.75" customHeight="1">
      <c r="B60" s="344"/>
      <c r="C60" s="340"/>
      <c r="D60" s="342"/>
      <c r="E60" s="336"/>
      <c r="F60" s="342"/>
      <c r="G60" s="333"/>
      <c r="H60" s="342"/>
      <c r="I60" s="342"/>
      <c r="J60" s="346"/>
      <c r="K60" s="332"/>
      <c r="L60" s="333"/>
      <c r="M60" s="342"/>
      <c r="N60" s="329"/>
      <c r="O60" s="334"/>
      <c r="P60" s="342"/>
      <c r="Q60" s="342"/>
      <c r="R60" s="329"/>
      <c r="S60" s="330"/>
      <c r="T60" s="330"/>
    </row>
    <row r="61" ht="15.75" customHeight="1">
      <c r="B61" s="252"/>
      <c r="C61" s="340"/>
      <c r="D61" s="342"/>
      <c r="E61" s="219"/>
      <c r="F61" s="342"/>
      <c r="G61" s="333"/>
      <c r="H61" s="342"/>
      <c r="I61" s="342"/>
      <c r="J61" s="346"/>
      <c r="K61" s="332"/>
      <c r="L61" s="333"/>
      <c r="M61" s="342"/>
      <c r="N61" s="329"/>
      <c r="O61" s="334"/>
      <c r="P61" s="342"/>
      <c r="Q61" s="342"/>
      <c r="R61" s="329"/>
      <c r="S61" s="330"/>
      <c r="T61" s="330"/>
    </row>
    <row r="62" ht="15.75" customHeight="1">
      <c r="B62" s="252"/>
      <c r="C62" s="340"/>
      <c r="D62" s="342"/>
      <c r="E62" s="219"/>
      <c r="F62" s="342"/>
      <c r="G62" s="333"/>
      <c r="H62" s="342"/>
      <c r="I62" s="342"/>
      <c r="J62" s="346"/>
      <c r="K62" s="332"/>
      <c r="L62" s="333"/>
      <c r="M62" s="342"/>
      <c r="N62" s="329"/>
      <c r="O62" s="334"/>
      <c r="P62" s="342"/>
      <c r="Q62" s="342"/>
      <c r="R62" s="329"/>
      <c r="S62" s="330"/>
      <c r="T62" s="330"/>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U$62"/>
  <mergeCells count="3">
    <mergeCell ref="H1:L1"/>
    <mergeCell ref="M1:O1"/>
    <mergeCell ref="P1:S1"/>
  </mergeCells>
  <dataValidations>
    <dataValidation type="list" allowBlank="1" sqref="K2">
      <formula1>'Energia CEMIG'!$A$2:$A$5</formula1>
    </dataValidation>
  </dataValidations>
  <printOptions/>
  <pageMargins bottom="0.7874015750000001" footer="0.0" header="0.0" left="0.511811024" right="0.511811024" top="0.7874015750000001"/>
  <pageSetup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9.14"/>
    <col customWidth="1" min="2" max="6" width="14.43"/>
    <col customWidth="1" min="13" max="16" width="14.43"/>
  </cols>
  <sheetData>
    <row r="1" ht="15.0" customHeight="1">
      <c r="A1" s="347" t="s">
        <v>533</v>
      </c>
      <c r="B1" s="259"/>
      <c r="C1" s="259"/>
      <c r="D1" s="259"/>
      <c r="E1" s="259"/>
      <c r="F1" s="259"/>
      <c r="G1" s="259"/>
      <c r="H1" s="259"/>
      <c r="I1" s="259"/>
      <c r="J1" s="259"/>
      <c r="K1" s="259"/>
      <c r="L1" s="259"/>
      <c r="M1" s="259"/>
      <c r="N1" s="259"/>
      <c r="O1" s="259"/>
      <c r="P1" s="259"/>
      <c r="Q1" s="112"/>
    </row>
    <row r="2">
      <c r="A2" s="261" t="s">
        <v>534</v>
      </c>
      <c r="B2" s="262"/>
      <c r="C2" s="262"/>
      <c r="D2" s="263"/>
      <c r="E2" s="264" t="s">
        <v>346</v>
      </c>
      <c r="F2" s="262"/>
      <c r="G2" s="262"/>
      <c r="H2" s="262"/>
      <c r="I2" s="263"/>
      <c r="J2" s="265" t="s">
        <v>347</v>
      </c>
      <c r="K2" s="262"/>
      <c r="L2" s="263"/>
      <c r="M2" s="348" t="s">
        <v>348</v>
      </c>
      <c r="N2" s="262"/>
      <c r="O2" s="262"/>
      <c r="P2" s="263"/>
      <c r="Q2" s="267" t="s">
        <v>349</v>
      </c>
    </row>
    <row r="3">
      <c r="A3" s="269"/>
      <c r="B3" s="270"/>
      <c r="C3" s="270"/>
      <c r="D3" s="271"/>
      <c r="E3" s="269"/>
      <c r="F3" s="270"/>
      <c r="G3" s="270"/>
      <c r="H3" s="270"/>
      <c r="I3" s="271"/>
      <c r="J3" s="269"/>
      <c r="K3" s="270"/>
      <c r="L3" s="271"/>
      <c r="M3" s="269"/>
      <c r="N3" s="270"/>
      <c r="O3" s="270"/>
      <c r="P3" s="271"/>
      <c r="Q3" s="272"/>
    </row>
    <row r="4">
      <c r="A4" s="349" t="s">
        <v>535</v>
      </c>
      <c r="B4" s="350" t="s">
        <v>202</v>
      </c>
      <c r="C4" s="349" t="s">
        <v>354</v>
      </c>
      <c r="D4" s="350" t="s">
        <v>491</v>
      </c>
      <c r="E4" s="321" t="s">
        <v>356</v>
      </c>
      <c r="F4" s="321" t="s">
        <v>357</v>
      </c>
      <c r="G4" s="351" t="s">
        <v>358</v>
      </c>
      <c r="H4" s="321" t="s">
        <v>359</v>
      </c>
      <c r="I4" s="321" t="s">
        <v>360</v>
      </c>
      <c r="J4" s="352" t="s">
        <v>362</v>
      </c>
      <c r="K4" s="353" t="s">
        <v>364</v>
      </c>
      <c r="L4" s="352" t="s">
        <v>360</v>
      </c>
      <c r="M4" s="354" t="s">
        <v>495</v>
      </c>
      <c r="N4" s="354" t="s">
        <v>367</v>
      </c>
      <c r="O4" s="354" t="s">
        <v>368</v>
      </c>
      <c r="P4" s="354" t="s">
        <v>360</v>
      </c>
      <c r="Q4" s="354" t="s">
        <v>369</v>
      </c>
    </row>
    <row r="5">
      <c r="A5" s="189" t="s">
        <v>536</v>
      </c>
      <c r="B5" s="329">
        <v>3400.0</v>
      </c>
      <c r="C5" s="355">
        <v>1.0</v>
      </c>
      <c r="D5" s="356">
        <f t="shared" ref="D5:D15" si="1">B5*C5</f>
        <v>3400</v>
      </c>
      <c r="E5" s="357">
        <v>0.0</v>
      </c>
      <c r="F5" s="358">
        <v>24.0</v>
      </c>
      <c r="G5" s="359">
        <f t="shared" ref="G5:G15" si="2">E5*F5</f>
        <v>0</v>
      </c>
      <c r="H5" s="360">
        <f>'Energia CEMIG'!$C$2</f>
        <v>0.8573579</v>
      </c>
      <c r="I5" s="361">
        <f t="shared" ref="I5:I15" si="3">G5*H5*C5</f>
        <v>0</v>
      </c>
      <c r="J5" s="357">
        <v>10.0</v>
      </c>
      <c r="K5" s="356">
        <f t="shared" ref="K5:K15" si="4">D5/J5</f>
        <v>340</v>
      </c>
      <c r="L5" s="361">
        <f t="shared" ref="L5:L15" si="5">K5/(365*8)*F5</f>
        <v>2.794520548</v>
      </c>
      <c r="M5" s="344" t="s">
        <v>537</v>
      </c>
      <c r="N5" s="357">
        <v>365.0</v>
      </c>
      <c r="O5" s="356">
        <v>25.0</v>
      </c>
      <c r="P5" s="361">
        <f t="shared" ref="P5:P15" si="6">O5/(365*8)*F5</f>
        <v>0.2054794521</v>
      </c>
      <c r="Q5" s="361">
        <f t="shared" ref="Q5:Q15" si="7">P5+L5+I5</f>
        <v>3</v>
      </c>
    </row>
    <row r="6">
      <c r="A6" s="344" t="s">
        <v>538</v>
      </c>
      <c r="B6" s="329">
        <v>2360.0</v>
      </c>
      <c r="C6" s="355">
        <v>2.0</v>
      </c>
      <c r="D6" s="356">
        <f t="shared" si="1"/>
        <v>4720</v>
      </c>
      <c r="E6" s="357">
        <v>0.0</v>
      </c>
      <c r="F6" s="357">
        <v>24.0</v>
      </c>
      <c r="G6" s="359">
        <f t="shared" si="2"/>
        <v>0</v>
      </c>
      <c r="H6" s="360">
        <f>'Energia CEMIG'!$C$2</f>
        <v>0.8573579</v>
      </c>
      <c r="I6" s="361">
        <f t="shared" si="3"/>
        <v>0</v>
      </c>
      <c r="J6" s="357">
        <v>10.0</v>
      </c>
      <c r="K6" s="356">
        <f t="shared" si="4"/>
        <v>472</v>
      </c>
      <c r="L6" s="361">
        <f t="shared" si="5"/>
        <v>3.879452055</v>
      </c>
      <c r="M6" s="344" t="s">
        <v>539</v>
      </c>
      <c r="N6" s="357">
        <v>90.0</v>
      </c>
      <c r="O6" s="356">
        <v>0.0</v>
      </c>
      <c r="P6" s="361">
        <f t="shared" si="6"/>
        <v>0</v>
      </c>
      <c r="Q6" s="361">
        <f t="shared" si="7"/>
        <v>3.879452055</v>
      </c>
    </row>
    <row r="7">
      <c r="A7" s="344" t="s">
        <v>540</v>
      </c>
      <c r="B7" s="329">
        <v>6000.0</v>
      </c>
      <c r="C7" s="355">
        <v>1.0</v>
      </c>
      <c r="D7" s="356">
        <f t="shared" si="1"/>
        <v>6000</v>
      </c>
      <c r="E7" s="357">
        <v>0.0</v>
      </c>
      <c r="F7" s="357">
        <v>24.0</v>
      </c>
      <c r="G7" s="359">
        <f t="shared" si="2"/>
        <v>0</v>
      </c>
      <c r="H7" s="360">
        <f>'Energia CEMIG'!$C$2</f>
        <v>0.8573579</v>
      </c>
      <c r="I7" s="361">
        <f t="shared" si="3"/>
        <v>0</v>
      </c>
      <c r="J7" s="357">
        <v>10.0</v>
      </c>
      <c r="K7" s="356">
        <f t="shared" si="4"/>
        <v>600</v>
      </c>
      <c r="L7" s="361">
        <f t="shared" si="5"/>
        <v>4.931506849</v>
      </c>
      <c r="M7" s="344" t="s">
        <v>537</v>
      </c>
      <c r="N7" s="357">
        <v>365.0</v>
      </c>
      <c r="O7" s="356">
        <v>25.0</v>
      </c>
      <c r="P7" s="361">
        <f t="shared" si="6"/>
        <v>0.2054794521</v>
      </c>
      <c r="Q7" s="361">
        <f t="shared" si="7"/>
        <v>5.136986301</v>
      </c>
    </row>
    <row r="8">
      <c r="A8" s="344" t="s">
        <v>541</v>
      </c>
      <c r="B8" s="329">
        <v>500.0</v>
      </c>
      <c r="C8" s="355">
        <v>2.0</v>
      </c>
      <c r="D8" s="356">
        <f t="shared" si="1"/>
        <v>1000</v>
      </c>
      <c r="E8" s="357">
        <v>0.75</v>
      </c>
      <c r="F8" s="357">
        <v>8.0</v>
      </c>
      <c r="G8" s="359">
        <f t="shared" si="2"/>
        <v>6</v>
      </c>
      <c r="H8" s="360">
        <f>'Energia CEMIG'!$C$2</f>
        <v>0.8573579</v>
      </c>
      <c r="I8" s="361">
        <f t="shared" si="3"/>
        <v>10.2882948</v>
      </c>
      <c r="J8" s="357">
        <v>10.0</v>
      </c>
      <c r="K8" s="356">
        <f t="shared" si="4"/>
        <v>100</v>
      </c>
      <c r="L8" s="361">
        <f t="shared" si="5"/>
        <v>0.2739726027</v>
      </c>
      <c r="M8" s="344" t="s">
        <v>539</v>
      </c>
      <c r="N8" s="357">
        <v>90.0</v>
      </c>
      <c r="O8" s="356">
        <v>0.0</v>
      </c>
      <c r="P8" s="361">
        <f t="shared" si="6"/>
        <v>0</v>
      </c>
      <c r="Q8" s="361">
        <f t="shared" si="7"/>
        <v>10.5622674</v>
      </c>
    </row>
    <row r="9">
      <c r="A9" s="344" t="s">
        <v>542</v>
      </c>
      <c r="B9" s="329">
        <v>40000.0</v>
      </c>
      <c r="C9" s="355">
        <v>1.0</v>
      </c>
      <c r="D9" s="356">
        <f t="shared" si="1"/>
        <v>40000</v>
      </c>
      <c r="E9" s="357">
        <v>0.0</v>
      </c>
      <c r="F9" s="357">
        <v>24.0</v>
      </c>
      <c r="G9" s="359">
        <f t="shared" si="2"/>
        <v>0</v>
      </c>
      <c r="H9" s="360">
        <f>'Energia CEMIG'!$C$2</f>
        <v>0.8573579</v>
      </c>
      <c r="I9" s="361">
        <f t="shared" si="3"/>
        <v>0</v>
      </c>
      <c r="J9" s="357">
        <v>10.0</v>
      </c>
      <c r="K9" s="356">
        <f t="shared" si="4"/>
        <v>4000</v>
      </c>
      <c r="L9" s="361">
        <f t="shared" si="5"/>
        <v>32.87671233</v>
      </c>
      <c r="M9" s="344" t="s">
        <v>543</v>
      </c>
      <c r="N9" s="357">
        <v>720.0</v>
      </c>
      <c r="O9" s="356">
        <v>400.0</v>
      </c>
      <c r="P9" s="361">
        <f t="shared" si="6"/>
        <v>3.287671233</v>
      </c>
      <c r="Q9" s="361">
        <f t="shared" si="7"/>
        <v>36.16438356</v>
      </c>
    </row>
    <row r="10">
      <c r="A10" s="252" t="s">
        <v>544</v>
      </c>
      <c r="B10" s="362">
        <v>10.0</v>
      </c>
      <c r="C10" s="342">
        <v>2.0</v>
      </c>
      <c r="D10" s="356">
        <f t="shared" si="1"/>
        <v>20</v>
      </c>
      <c r="E10" s="357">
        <v>0.0</v>
      </c>
      <c r="F10" s="357">
        <v>24.0</v>
      </c>
      <c r="G10" s="359">
        <f t="shared" si="2"/>
        <v>0</v>
      </c>
      <c r="H10" s="360">
        <f>'Energia CEMIG'!$C$2</f>
        <v>0.8573579</v>
      </c>
      <c r="I10" s="361">
        <f t="shared" si="3"/>
        <v>0</v>
      </c>
      <c r="J10" s="357">
        <v>10.0</v>
      </c>
      <c r="K10" s="356">
        <f t="shared" si="4"/>
        <v>2</v>
      </c>
      <c r="L10" s="361">
        <f t="shared" si="5"/>
        <v>0.01643835616</v>
      </c>
      <c r="M10" s="344" t="s">
        <v>400</v>
      </c>
      <c r="N10" s="357">
        <v>30.0</v>
      </c>
      <c r="O10" s="356">
        <v>0.0</v>
      </c>
      <c r="P10" s="361">
        <f t="shared" si="6"/>
        <v>0</v>
      </c>
      <c r="Q10" s="361">
        <f t="shared" si="7"/>
        <v>0.01643835616</v>
      </c>
    </row>
    <row r="11">
      <c r="A11" s="344" t="s">
        <v>545</v>
      </c>
      <c r="B11" s="362">
        <v>800.0</v>
      </c>
      <c r="C11" s="253">
        <v>2.0</v>
      </c>
      <c r="D11" s="356">
        <f t="shared" si="1"/>
        <v>1600</v>
      </c>
      <c r="E11" s="363">
        <v>0.0</v>
      </c>
      <c r="F11" s="357">
        <v>24.0</v>
      </c>
      <c r="G11" s="359">
        <f t="shared" si="2"/>
        <v>0</v>
      </c>
      <c r="H11" s="360">
        <f>'Energia CEMIG'!$C$2</f>
        <v>0.8573579</v>
      </c>
      <c r="I11" s="361">
        <f t="shared" si="3"/>
        <v>0</v>
      </c>
      <c r="J11" s="357">
        <v>10.0</v>
      </c>
      <c r="K11" s="356">
        <f t="shared" si="4"/>
        <v>160</v>
      </c>
      <c r="L11" s="361">
        <f t="shared" si="5"/>
        <v>1.315068493</v>
      </c>
      <c r="M11" s="344" t="s">
        <v>400</v>
      </c>
      <c r="N11" s="364">
        <v>30.0</v>
      </c>
      <c r="O11" s="365">
        <v>0.0</v>
      </c>
      <c r="P11" s="361">
        <f t="shared" si="6"/>
        <v>0</v>
      </c>
      <c r="Q11" s="361">
        <f t="shared" si="7"/>
        <v>1.315068493</v>
      </c>
    </row>
    <row r="12">
      <c r="A12" s="344" t="s">
        <v>546</v>
      </c>
      <c r="B12" s="362">
        <v>500.0</v>
      </c>
      <c r="C12" s="253">
        <v>1.0</v>
      </c>
      <c r="D12" s="356">
        <f t="shared" si="1"/>
        <v>500</v>
      </c>
      <c r="E12" s="363">
        <v>0.0</v>
      </c>
      <c r="F12" s="357">
        <v>24.0</v>
      </c>
      <c r="G12" s="359">
        <f t="shared" si="2"/>
        <v>0</v>
      </c>
      <c r="H12" s="360">
        <f>'Energia CEMIG'!$C$2</f>
        <v>0.8573579</v>
      </c>
      <c r="I12" s="361">
        <f t="shared" si="3"/>
        <v>0</v>
      </c>
      <c r="J12" s="357">
        <v>10.0</v>
      </c>
      <c r="K12" s="356">
        <f t="shared" si="4"/>
        <v>50</v>
      </c>
      <c r="L12" s="361">
        <f t="shared" si="5"/>
        <v>0.4109589041</v>
      </c>
      <c r="M12" s="344" t="s">
        <v>400</v>
      </c>
      <c r="N12" s="364">
        <v>30.0</v>
      </c>
      <c r="O12" s="365">
        <v>0.0</v>
      </c>
      <c r="P12" s="361">
        <f t="shared" si="6"/>
        <v>0</v>
      </c>
      <c r="Q12" s="361">
        <f t="shared" si="7"/>
        <v>0.4109589041</v>
      </c>
    </row>
    <row r="13">
      <c r="A13" s="344" t="s">
        <v>547</v>
      </c>
      <c r="B13" s="362">
        <v>50.0</v>
      </c>
      <c r="C13" s="342">
        <v>6.0</v>
      </c>
      <c r="D13" s="356">
        <f t="shared" si="1"/>
        <v>300</v>
      </c>
      <c r="E13" s="357">
        <v>0.0</v>
      </c>
      <c r="F13" s="357">
        <v>8.0</v>
      </c>
      <c r="G13" s="359">
        <f t="shared" si="2"/>
        <v>0</v>
      </c>
      <c r="H13" s="360">
        <f>'Energia CEMIG'!$C$2</f>
        <v>0.8573579</v>
      </c>
      <c r="I13" s="361">
        <f t="shared" si="3"/>
        <v>0</v>
      </c>
      <c r="J13" s="357">
        <v>10.0</v>
      </c>
      <c r="K13" s="356">
        <f t="shared" si="4"/>
        <v>30</v>
      </c>
      <c r="L13" s="361">
        <f t="shared" si="5"/>
        <v>0.08219178082</v>
      </c>
      <c r="M13" s="344" t="s">
        <v>400</v>
      </c>
      <c r="N13" s="357">
        <v>30.0</v>
      </c>
      <c r="O13" s="356">
        <v>0.0</v>
      </c>
      <c r="P13" s="361">
        <f t="shared" si="6"/>
        <v>0</v>
      </c>
      <c r="Q13" s="361">
        <f t="shared" si="7"/>
        <v>0.08219178082</v>
      </c>
    </row>
    <row r="14">
      <c r="A14" s="137" t="s">
        <v>548</v>
      </c>
      <c r="B14" s="362">
        <v>55.0</v>
      </c>
      <c r="C14" s="345">
        <v>4.0</v>
      </c>
      <c r="D14" s="356">
        <f t="shared" si="1"/>
        <v>220</v>
      </c>
      <c r="E14" s="364">
        <v>0.0</v>
      </c>
      <c r="F14" s="364">
        <v>16.0</v>
      </c>
      <c r="G14" s="359">
        <f t="shared" si="2"/>
        <v>0</v>
      </c>
      <c r="H14" s="360">
        <f>'Energia CEMIG'!$C$2</f>
        <v>0.8573579</v>
      </c>
      <c r="I14" s="361">
        <f t="shared" si="3"/>
        <v>0</v>
      </c>
      <c r="J14" s="357">
        <v>5.0</v>
      </c>
      <c r="K14" s="356">
        <f t="shared" si="4"/>
        <v>44</v>
      </c>
      <c r="L14" s="361">
        <f t="shared" si="5"/>
        <v>0.2410958904</v>
      </c>
      <c r="M14" s="344" t="s">
        <v>549</v>
      </c>
      <c r="N14" s="364">
        <v>180.0</v>
      </c>
      <c r="O14" s="365">
        <v>250.0</v>
      </c>
      <c r="P14" s="361">
        <f t="shared" si="6"/>
        <v>1.369863014</v>
      </c>
      <c r="Q14" s="361">
        <f t="shared" si="7"/>
        <v>1.610958904</v>
      </c>
    </row>
    <row r="15">
      <c r="A15" s="137" t="s">
        <v>550</v>
      </c>
      <c r="B15" s="362">
        <v>7600.0</v>
      </c>
      <c r="C15" s="345">
        <v>1.0</v>
      </c>
      <c r="D15" s="356">
        <f t="shared" si="1"/>
        <v>7600</v>
      </c>
      <c r="E15" s="364">
        <v>0.02</v>
      </c>
      <c r="F15" s="364">
        <v>24.0</v>
      </c>
      <c r="G15" s="359">
        <f t="shared" si="2"/>
        <v>0.48</v>
      </c>
      <c r="H15" s="360">
        <f>'Energia CEMIG'!$C$2</f>
        <v>0.8573579</v>
      </c>
      <c r="I15" s="361">
        <f t="shared" si="3"/>
        <v>0.411531792</v>
      </c>
      <c r="J15" s="357">
        <v>10.0</v>
      </c>
      <c r="K15" s="356">
        <f t="shared" si="4"/>
        <v>760</v>
      </c>
      <c r="L15" s="361">
        <f t="shared" si="5"/>
        <v>6.246575342</v>
      </c>
      <c r="M15" s="137" t="s">
        <v>551</v>
      </c>
      <c r="N15" s="364">
        <v>730.0</v>
      </c>
      <c r="O15" s="365">
        <v>50.0</v>
      </c>
      <c r="P15" s="361">
        <f t="shared" si="6"/>
        <v>0.4109589041</v>
      </c>
      <c r="Q15" s="361">
        <f t="shared" si="7"/>
        <v>7.069066039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Q1"/>
    <mergeCell ref="A2:D3"/>
    <mergeCell ref="E2:I3"/>
    <mergeCell ref="J2:L3"/>
    <mergeCell ref="M2:P3"/>
    <mergeCell ref="Q2:Q3"/>
  </mergeCells>
  <dataValidations>
    <dataValidation type="list" allowBlank="1" sqref="H4">
      <formula1>'Energia CEMIG'!$A$2:$A$5</formula1>
    </dataValidation>
  </dataValidations>
  <printOptions/>
  <pageMargins bottom="0.7519685039370079" footer="0.0" header="0.0" left="0.7007874015748032" right="0.7007874015748032" top="0.7519685039370079"/>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4.43" defaultRowHeight="15.0"/>
  <cols>
    <col customWidth="1" min="1" max="1" width="3.14"/>
    <col customWidth="1" hidden="1" min="2" max="2" width="10.71"/>
    <col customWidth="1" hidden="1" min="3" max="3" width="14.29"/>
    <col customWidth="1" hidden="1" min="4" max="4" width="22.86"/>
    <col customWidth="1" min="5" max="5" width="36.29"/>
    <col customWidth="1" min="6" max="6" width="24.29"/>
    <col customWidth="1" min="7" max="8" width="14.43"/>
    <col customWidth="1" hidden="1" min="9" max="9" width="15.71"/>
    <col customWidth="1" min="10" max="10" width="6.14"/>
    <col customWidth="1" min="11" max="11" width="15.86"/>
    <col customWidth="1" min="12" max="12" width="13.57"/>
    <col customWidth="1" min="13" max="13" width="12.71"/>
    <col customWidth="1" min="14" max="14" width="14.29"/>
    <col customWidth="1" min="15" max="16" width="12.14"/>
    <col customWidth="1" min="17" max="17" width="14.57"/>
    <col customWidth="1" min="18" max="19" width="11.14"/>
    <col customWidth="1" min="20" max="21" width="11.71"/>
    <col customWidth="1" min="22" max="22" width="12.14"/>
    <col customWidth="1" min="23" max="23" width="31.57"/>
    <col customWidth="1" min="24" max="24" width="15.71"/>
    <col customWidth="1" min="25" max="25" width="16.86"/>
    <col customWidth="1" min="26" max="43" width="14.43"/>
  </cols>
  <sheetData>
    <row r="1" ht="27.0" customHeight="1">
      <c r="A1" s="366"/>
      <c r="B1" s="347" t="s">
        <v>552</v>
      </c>
      <c r="C1" s="259"/>
      <c r="D1" s="259"/>
      <c r="E1" s="259"/>
      <c r="F1" s="259"/>
      <c r="G1" s="259"/>
      <c r="H1" s="259"/>
      <c r="I1" s="259"/>
      <c r="J1" s="259"/>
      <c r="K1" s="259"/>
      <c r="L1" s="259"/>
      <c r="M1" s="259"/>
      <c r="N1" s="259"/>
      <c r="O1" s="259"/>
      <c r="P1" s="259"/>
      <c r="Q1" s="259"/>
      <c r="R1" s="259"/>
      <c r="S1" s="259"/>
      <c r="T1" s="259"/>
      <c r="U1" s="259"/>
      <c r="V1" s="259"/>
      <c r="W1" s="259"/>
      <c r="X1" s="259"/>
      <c r="Y1" s="259"/>
      <c r="Z1" s="259"/>
      <c r="AA1" s="112"/>
      <c r="AB1" s="367"/>
      <c r="AC1" s="367"/>
      <c r="AD1" s="367" t="s">
        <v>553</v>
      </c>
      <c r="AE1" s="367" t="s">
        <v>554</v>
      </c>
      <c r="AF1" s="367"/>
      <c r="AG1" s="367"/>
      <c r="AH1" s="367"/>
      <c r="AI1" s="367"/>
      <c r="AJ1" s="367"/>
      <c r="AK1" s="367"/>
      <c r="AL1" s="367"/>
      <c r="AM1" s="367"/>
      <c r="AN1" s="367"/>
      <c r="AO1" s="367"/>
      <c r="AP1" s="367"/>
      <c r="AQ1" s="367"/>
    </row>
    <row r="2">
      <c r="A2" s="366"/>
      <c r="B2" s="261" t="s">
        <v>534</v>
      </c>
      <c r="C2" s="262"/>
      <c r="D2" s="262"/>
      <c r="E2" s="262"/>
      <c r="F2" s="262"/>
      <c r="G2" s="262"/>
      <c r="H2" s="262"/>
      <c r="I2" s="262"/>
      <c r="J2" s="262"/>
      <c r="K2" s="263"/>
      <c r="L2" s="264" t="s">
        <v>346</v>
      </c>
      <c r="M2" s="262"/>
      <c r="N2" s="262"/>
      <c r="O2" s="262"/>
      <c r="P2" s="262"/>
      <c r="Q2" s="263"/>
      <c r="R2" s="265" t="s">
        <v>347</v>
      </c>
      <c r="S2" s="262"/>
      <c r="T2" s="262"/>
      <c r="U2" s="262"/>
      <c r="V2" s="263"/>
      <c r="W2" s="348" t="s">
        <v>348</v>
      </c>
      <c r="X2" s="262"/>
      <c r="Y2" s="262"/>
      <c r="Z2" s="263"/>
      <c r="AA2" s="368" t="s">
        <v>349</v>
      </c>
      <c r="AB2" s="367"/>
      <c r="AC2" s="367"/>
      <c r="AD2" s="367" t="s">
        <v>76</v>
      </c>
      <c r="AE2" s="369">
        <f>SUM(U5:U24)</f>
        <v>240.4087708</v>
      </c>
      <c r="AF2" s="367"/>
      <c r="AG2" s="367"/>
      <c r="AH2" s="367"/>
      <c r="AI2" s="367"/>
      <c r="AJ2" s="367"/>
      <c r="AK2" s="367"/>
      <c r="AL2" s="367"/>
      <c r="AM2" s="367"/>
      <c r="AN2" s="367"/>
      <c r="AO2" s="367"/>
      <c r="AP2" s="367"/>
      <c r="AQ2" s="367"/>
    </row>
    <row r="3">
      <c r="A3" s="366"/>
      <c r="B3" s="269"/>
      <c r="C3" s="270"/>
      <c r="D3" s="270"/>
      <c r="E3" s="270"/>
      <c r="F3" s="270"/>
      <c r="G3" s="270"/>
      <c r="H3" s="270"/>
      <c r="I3" s="270"/>
      <c r="J3" s="270"/>
      <c r="K3" s="271"/>
      <c r="L3" s="269"/>
      <c r="M3" s="270"/>
      <c r="N3" s="270"/>
      <c r="O3" s="270"/>
      <c r="P3" s="270"/>
      <c r="Q3" s="271"/>
      <c r="R3" s="269"/>
      <c r="S3" s="270"/>
      <c r="T3" s="270"/>
      <c r="U3" s="270"/>
      <c r="V3" s="271"/>
      <c r="W3" s="269"/>
      <c r="X3" s="270"/>
      <c r="Y3" s="270"/>
      <c r="Z3" s="271"/>
      <c r="AA3" s="272"/>
      <c r="AB3" s="367"/>
      <c r="AC3" s="367"/>
      <c r="AD3" s="367" t="s">
        <v>55</v>
      </c>
      <c r="AE3" s="369">
        <f>SUM(P5:P24)</f>
        <v>307.5277414</v>
      </c>
      <c r="AF3" s="367"/>
      <c r="AG3" s="367"/>
      <c r="AH3" s="367"/>
      <c r="AI3" s="367"/>
      <c r="AJ3" s="367"/>
      <c r="AK3" s="367"/>
      <c r="AL3" s="367"/>
      <c r="AM3" s="367"/>
      <c r="AN3" s="367"/>
      <c r="AO3" s="367"/>
      <c r="AP3" s="367"/>
      <c r="AQ3" s="367"/>
    </row>
    <row r="4">
      <c r="A4" s="256"/>
      <c r="B4" s="349" t="s">
        <v>535</v>
      </c>
      <c r="C4" s="349" t="s">
        <v>184</v>
      </c>
      <c r="D4" s="349" t="s">
        <v>555</v>
      </c>
      <c r="E4" s="349" t="s">
        <v>351</v>
      </c>
      <c r="F4" s="349" t="s">
        <v>352</v>
      </c>
      <c r="G4" s="349" t="s">
        <v>353</v>
      </c>
      <c r="H4" s="350" t="s">
        <v>202</v>
      </c>
      <c r="I4" s="350" t="s">
        <v>202</v>
      </c>
      <c r="J4" s="349" t="s">
        <v>354</v>
      </c>
      <c r="K4" s="350" t="s">
        <v>491</v>
      </c>
      <c r="L4" s="321" t="s">
        <v>356</v>
      </c>
      <c r="M4" s="321" t="s">
        <v>357</v>
      </c>
      <c r="N4" s="351" t="s">
        <v>358</v>
      </c>
      <c r="O4" s="321" t="s">
        <v>359</v>
      </c>
      <c r="P4" s="321" t="s">
        <v>360</v>
      </c>
      <c r="Q4" s="321" t="s">
        <v>556</v>
      </c>
      <c r="R4" s="352" t="s">
        <v>362</v>
      </c>
      <c r="S4" s="352" t="s">
        <v>363</v>
      </c>
      <c r="T4" s="353" t="s">
        <v>364</v>
      </c>
      <c r="U4" s="352" t="s">
        <v>360</v>
      </c>
      <c r="V4" s="352" t="s">
        <v>365</v>
      </c>
      <c r="W4" s="354" t="s">
        <v>557</v>
      </c>
      <c r="X4" s="354" t="s">
        <v>367</v>
      </c>
      <c r="Y4" s="354" t="s">
        <v>368</v>
      </c>
      <c r="Z4" s="354" t="s">
        <v>360</v>
      </c>
      <c r="AA4" s="370" t="s">
        <v>369</v>
      </c>
      <c r="AB4" s="260"/>
      <c r="AC4" s="260"/>
      <c r="AD4" s="260" t="s">
        <v>59</v>
      </c>
      <c r="AE4" s="260"/>
      <c r="AF4" s="260"/>
      <c r="AG4" s="260"/>
      <c r="AH4" s="260"/>
      <c r="AI4" s="260"/>
      <c r="AJ4" s="260"/>
      <c r="AK4" s="260"/>
      <c r="AL4" s="260"/>
      <c r="AM4" s="260"/>
      <c r="AN4" s="260"/>
      <c r="AO4" s="260"/>
      <c r="AP4" s="260"/>
      <c r="AQ4" s="260"/>
    </row>
    <row r="5" ht="39.75" customHeight="1">
      <c r="A5" s="367"/>
      <c r="B5" s="371">
        <v>1.0</v>
      </c>
      <c r="C5" s="372" t="s">
        <v>1</v>
      </c>
      <c r="D5" s="373" t="s">
        <v>558</v>
      </c>
      <c r="E5" s="372" t="s">
        <v>559</v>
      </c>
      <c r="F5" s="374" t="s">
        <v>560</v>
      </c>
      <c r="G5" s="371" t="s">
        <v>561</v>
      </c>
      <c r="H5" s="375">
        <v>23775.0</v>
      </c>
      <c r="I5" s="375">
        <v>161289.25</v>
      </c>
      <c r="J5" s="371">
        <v>1.0</v>
      </c>
      <c r="K5" s="376">
        <f>IF(I5=0,"",J5*I5)</f>
        <v>161289.25</v>
      </c>
      <c r="L5" s="371">
        <f>4*0.8</f>
        <v>3.2</v>
      </c>
      <c r="M5" s="371">
        <v>24.0</v>
      </c>
      <c r="N5" s="377">
        <f t="shared" ref="N5:N13" si="1">L5*M5</f>
        <v>76.8</v>
      </c>
      <c r="O5" s="378">
        <f>VLOOKUP($O$4,'Energia CEMIG'!$A$2:$C$5,3,0)</f>
        <v>0.8573579</v>
      </c>
      <c r="P5" s="376">
        <f t="shared" ref="P5:P44" si="2">N5*O5*J5</f>
        <v>65.84508672</v>
      </c>
      <c r="Q5" s="376">
        <f t="shared" ref="Q5:Q44" si="3">IFERROR(P5/J5," ")</f>
        <v>65.84508672</v>
      </c>
      <c r="R5" s="371">
        <v>10.0</v>
      </c>
      <c r="S5" s="371">
        <v>2017.0</v>
      </c>
      <c r="T5" s="379">
        <f t="shared" ref="T5:T6" si="4">(K5-(0.1*K5))/R5</f>
        <v>14516.0325</v>
      </c>
      <c r="U5" s="379">
        <f t="shared" ref="U5:U14" si="5">IF(T5/365=0,0,T5/(365*8)*M5)</f>
        <v>119.3098562</v>
      </c>
      <c r="V5" s="379">
        <f t="shared" ref="V5:V44" si="6">IFERROR(U5/J5," ")</f>
        <v>119.3098562</v>
      </c>
      <c r="W5" s="380"/>
      <c r="X5" s="370"/>
      <c r="Y5" s="315"/>
      <c r="Z5" s="381"/>
      <c r="AA5" s="382">
        <f t="shared" ref="AA5:AA44" si="7">SUM(Q5,V5,Z5)</f>
        <v>185.1549429</v>
      </c>
      <c r="AB5" s="383">
        <f>(K5-(0.1*K5))/R5</f>
        <v>14516.0325</v>
      </c>
      <c r="AC5" s="17"/>
      <c r="AD5" s="17"/>
      <c r="AE5" s="17"/>
      <c r="AF5" s="17" t="s">
        <v>184</v>
      </c>
      <c r="AG5" s="17" t="s">
        <v>555</v>
      </c>
      <c r="AH5" s="17"/>
      <c r="AI5" s="17"/>
      <c r="AJ5" s="17"/>
      <c r="AK5" s="17"/>
      <c r="AL5" s="17"/>
      <c r="AM5" s="17"/>
      <c r="AN5" s="17"/>
      <c r="AO5" s="17"/>
      <c r="AP5" s="17"/>
      <c r="AQ5" s="17"/>
    </row>
    <row r="6">
      <c r="A6" s="367"/>
      <c r="B6" s="371">
        <v>2.0</v>
      </c>
      <c r="C6" s="372" t="s">
        <v>1</v>
      </c>
      <c r="D6" s="326" t="s">
        <v>562</v>
      </c>
      <c r="E6" s="372" t="s">
        <v>372</v>
      </c>
      <c r="F6" s="371" t="s">
        <v>373</v>
      </c>
      <c r="G6" s="371" t="s">
        <v>374</v>
      </c>
      <c r="H6" s="376">
        <v>16660.21</v>
      </c>
      <c r="I6" s="376">
        <v>16660.21</v>
      </c>
      <c r="J6" s="371">
        <v>1.0</v>
      </c>
      <c r="K6" s="376">
        <f t="shared" ref="K6:K10" si="8">IF(I6=0,"",J6*H6)</f>
        <v>16660.21</v>
      </c>
      <c r="L6" s="371">
        <v>0.5</v>
      </c>
      <c r="M6" s="371">
        <v>3.0</v>
      </c>
      <c r="N6" s="377">
        <f t="shared" si="1"/>
        <v>1.5</v>
      </c>
      <c r="O6" s="378">
        <f>VLOOKUP($O$4,'Energia CEMIG'!$A$2:$C$5,3,0)</f>
        <v>0.8573579</v>
      </c>
      <c r="P6" s="376">
        <f t="shared" si="2"/>
        <v>1.28603685</v>
      </c>
      <c r="Q6" s="376">
        <f t="shared" si="3"/>
        <v>1.28603685</v>
      </c>
      <c r="R6" s="371">
        <v>10.0</v>
      </c>
      <c r="S6" s="371">
        <v>2018.0</v>
      </c>
      <c r="T6" s="379">
        <f t="shared" si="4"/>
        <v>1499.4189</v>
      </c>
      <c r="U6" s="379">
        <f t="shared" si="5"/>
        <v>1.54049887</v>
      </c>
      <c r="V6" s="379">
        <f t="shared" si="6"/>
        <v>1.54049887</v>
      </c>
      <c r="W6" s="372" t="s">
        <v>375</v>
      </c>
      <c r="X6" s="370">
        <v>548.0</v>
      </c>
      <c r="Y6" s="384">
        <v>7718.91</v>
      </c>
      <c r="Z6" s="384">
        <f>IFERROR((Y6/X6)," ")</f>
        <v>14.08560219</v>
      </c>
      <c r="AA6" s="385">
        <f t="shared" si="7"/>
        <v>16.91213791</v>
      </c>
      <c r="AB6" s="17"/>
      <c r="AC6" s="17"/>
      <c r="AD6" s="17"/>
      <c r="AE6" s="17"/>
      <c r="AF6" s="17" t="s">
        <v>1</v>
      </c>
      <c r="AG6" s="17" t="s">
        <v>562</v>
      </c>
      <c r="AH6" s="17"/>
      <c r="AI6" s="17"/>
      <c r="AJ6" s="17"/>
      <c r="AK6" s="17"/>
      <c r="AL6" s="17"/>
      <c r="AM6" s="17"/>
      <c r="AN6" s="17"/>
      <c r="AO6" s="17"/>
      <c r="AP6" s="17"/>
      <c r="AQ6" s="17"/>
    </row>
    <row r="7">
      <c r="A7" s="367"/>
      <c r="B7" s="371">
        <v>4.0</v>
      </c>
      <c r="C7" s="372" t="s">
        <v>1</v>
      </c>
      <c r="D7" s="326" t="s">
        <v>562</v>
      </c>
      <c r="E7" s="372" t="s">
        <v>377</v>
      </c>
      <c r="F7" s="371" t="s">
        <v>378</v>
      </c>
      <c r="G7" s="371" t="s">
        <v>379</v>
      </c>
      <c r="H7" s="376">
        <v>6900.0</v>
      </c>
      <c r="I7" s="376">
        <v>6900.0</v>
      </c>
      <c r="J7" s="371">
        <v>1.0</v>
      </c>
      <c r="K7" s="376">
        <f t="shared" si="8"/>
        <v>6900</v>
      </c>
      <c r="L7" s="371">
        <v>0.0</v>
      </c>
      <c r="M7" s="371">
        <v>0.5</v>
      </c>
      <c r="N7" s="377">
        <f t="shared" si="1"/>
        <v>0</v>
      </c>
      <c r="O7" s="378">
        <f>VLOOKUP($O$4,'Energia CEMIG'!$A$2:$C$5,3,0)</f>
        <v>0.8573579</v>
      </c>
      <c r="P7" s="376">
        <f t="shared" si="2"/>
        <v>0</v>
      </c>
      <c r="Q7" s="376">
        <f t="shared" si="3"/>
        <v>0</v>
      </c>
      <c r="R7" s="371">
        <v>10.0</v>
      </c>
      <c r="S7" s="371">
        <v>2017.0</v>
      </c>
      <c r="T7" s="379">
        <f t="shared" ref="T7:T14" si="9">IFERROR(1/R7*K7,0)</f>
        <v>690</v>
      </c>
      <c r="U7" s="379">
        <f t="shared" si="5"/>
        <v>0.1181506849</v>
      </c>
      <c r="V7" s="379">
        <f t="shared" si="6"/>
        <v>0.1181506849</v>
      </c>
      <c r="W7" s="380" t="s">
        <v>380</v>
      </c>
      <c r="X7" s="370">
        <v>183.0</v>
      </c>
      <c r="Y7" s="386">
        <v>110.0</v>
      </c>
      <c r="Z7" s="384">
        <f t="shared" ref="Z7:Z8" si="10">IFERROR(Y7/(X7*8)*M7," ")</f>
        <v>0.03756830601</v>
      </c>
      <c r="AA7" s="382">
        <f t="shared" si="7"/>
        <v>0.1557189909</v>
      </c>
      <c r="AB7" s="17"/>
      <c r="AC7" s="17"/>
      <c r="AD7" s="17"/>
      <c r="AE7" s="17"/>
      <c r="AF7" s="17" t="s">
        <v>2</v>
      </c>
      <c r="AG7" s="17" t="s">
        <v>563</v>
      </c>
      <c r="AH7" s="17"/>
      <c r="AI7" s="17"/>
      <c r="AJ7" s="17"/>
      <c r="AK7" s="17"/>
      <c r="AL7" s="17"/>
      <c r="AM7" s="17"/>
      <c r="AN7" s="17"/>
      <c r="AO7" s="17"/>
      <c r="AP7" s="17"/>
      <c r="AQ7" s="17"/>
    </row>
    <row r="8">
      <c r="A8" s="367"/>
      <c r="B8" s="371">
        <v>5.0</v>
      </c>
      <c r="C8" s="372" t="s">
        <v>2</v>
      </c>
      <c r="D8" s="373" t="s">
        <v>564</v>
      </c>
      <c r="E8" s="372" t="s">
        <v>430</v>
      </c>
      <c r="F8" s="371" t="s">
        <v>431</v>
      </c>
      <c r="G8" s="371" t="s">
        <v>379</v>
      </c>
      <c r="H8" s="376">
        <v>3247.0</v>
      </c>
      <c r="I8" s="376">
        <v>2144.0</v>
      </c>
      <c r="J8" s="371">
        <v>1.0</v>
      </c>
      <c r="K8" s="376">
        <f t="shared" si="8"/>
        <v>3247</v>
      </c>
      <c r="L8" s="371">
        <v>7.5E-4</v>
      </c>
      <c r="M8" s="371">
        <v>0.5</v>
      </c>
      <c r="N8" s="377">
        <f t="shared" si="1"/>
        <v>0.000375</v>
      </c>
      <c r="O8" s="378">
        <f>VLOOKUP($O$4,'Energia CEMIG'!$A$2:$C$5,3,0)</f>
        <v>0.8573579</v>
      </c>
      <c r="P8" s="376">
        <f t="shared" si="2"/>
        <v>0.0003215092125</v>
      </c>
      <c r="Q8" s="376">
        <f t="shared" si="3"/>
        <v>0.0003215092125</v>
      </c>
      <c r="R8" s="371">
        <v>10.0</v>
      </c>
      <c r="S8" s="371">
        <v>2018.0</v>
      </c>
      <c r="T8" s="379">
        <f t="shared" si="9"/>
        <v>324.7</v>
      </c>
      <c r="U8" s="379">
        <f t="shared" si="5"/>
        <v>0.05559931507</v>
      </c>
      <c r="V8" s="379">
        <f t="shared" si="6"/>
        <v>0.05559931507</v>
      </c>
      <c r="W8" s="380" t="s">
        <v>380</v>
      </c>
      <c r="X8" s="370">
        <v>183.0</v>
      </c>
      <c r="Y8" s="386">
        <v>110.0</v>
      </c>
      <c r="Z8" s="384">
        <f t="shared" si="10"/>
        <v>0.03756830601</v>
      </c>
      <c r="AA8" s="382">
        <f t="shared" si="7"/>
        <v>0.09348913029</v>
      </c>
      <c r="AB8" s="17"/>
      <c r="AC8" s="17"/>
      <c r="AD8" s="17"/>
      <c r="AE8" s="17"/>
      <c r="AF8" s="17" t="s">
        <v>3</v>
      </c>
      <c r="AG8" s="17" t="s">
        <v>565</v>
      </c>
      <c r="AH8" s="17"/>
      <c r="AI8" s="17"/>
      <c r="AJ8" s="17"/>
      <c r="AK8" s="17"/>
      <c r="AL8" s="17"/>
      <c r="AM8" s="17"/>
      <c r="AN8" s="17"/>
      <c r="AO8" s="17"/>
      <c r="AP8" s="17"/>
      <c r="AQ8" s="17"/>
    </row>
    <row r="9">
      <c r="A9" s="367"/>
      <c r="B9" s="387">
        <v>6.0</v>
      </c>
      <c r="C9" s="372" t="s">
        <v>1</v>
      </c>
      <c r="D9" s="326" t="s">
        <v>562</v>
      </c>
      <c r="E9" s="388" t="s">
        <v>566</v>
      </c>
      <c r="F9" s="389" t="s">
        <v>382</v>
      </c>
      <c r="G9" s="389" t="s">
        <v>383</v>
      </c>
      <c r="H9" s="390">
        <v>15100.56</v>
      </c>
      <c r="I9" s="391">
        <v>4380.0</v>
      </c>
      <c r="J9" s="389">
        <v>1.0</v>
      </c>
      <c r="K9" s="392">
        <f t="shared" si="8"/>
        <v>15100.56</v>
      </c>
      <c r="L9" s="389">
        <v>3.2</v>
      </c>
      <c r="M9" s="389">
        <v>24.0</v>
      </c>
      <c r="N9" s="393">
        <f t="shared" si="1"/>
        <v>76.8</v>
      </c>
      <c r="O9" s="394">
        <f>VLOOKUP($O$4,'Energia CEMIG'!$A$2:$C$5,3,0)</f>
        <v>0.8573579</v>
      </c>
      <c r="P9" s="392">
        <f t="shared" si="2"/>
        <v>65.84508672</v>
      </c>
      <c r="Q9" s="392">
        <f t="shared" si="3"/>
        <v>65.84508672</v>
      </c>
      <c r="R9" s="389">
        <v>10.0</v>
      </c>
      <c r="S9" s="389">
        <v>2017.0</v>
      </c>
      <c r="T9" s="395">
        <f t="shared" si="9"/>
        <v>1510.056</v>
      </c>
      <c r="U9" s="395">
        <f t="shared" si="5"/>
        <v>12.41141918</v>
      </c>
      <c r="V9" s="395">
        <f t="shared" si="6"/>
        <v>12.41141918</v>
      </c>
      <c r="W9" s="388" t="s">
        <v>384</v>
      </c>
      <c r="X9" s="370">
        <v>365.0</v>
      </c>
      <c r="Y9" s="391">
        <v>805.0</v>
      </c>
      <c r="Z9" s="396" t="str">
        <f t="shared" ref="Z9:Z10" si="11">IFERROR((Y9*'Custo final'!$D$2)/(X9*8)*M9," ")</f>
        <v> </v>
      </c>
      <c r="AA9" s="397">
        <f t="shared" si="7"/>
        <v>78.2565059</v>
      </c>
      <c r="AB9" s="17"/>
      <c r="AC9" s="17"/>
      <c r="AD9" s="17"/>
      <c r="AE9" s="17"/>
      <c r="AF9" s="17" t="s">
        <v>18</v>
      </c>
      <c r="AG9" s="3" t="s">
        <v>567</v>
      </c>
      <c r="AH9" s="17"/>
      <c r="AI9" s="17"/>
      <c r="AJ9" s="17"/>
      <c r="AK9" s="17"/>
      <c r="AL9" s="17"/>
      <c r="AM9" s="17"/>
      <c r="AN9" s="17"/>
      <c r="AO9" s="17"/>
      <c r="AP9" s="17"/>
      <c r="AQ9" s="17"/>
    </row>
    <row r="10">
      <c r="A10" s="367"/>
      <c r="B10" s="371">
        <v>7.0</v>
      </c>
      <c r="C10" s="372" t="s">
        <v>1</v>
      </c>
      <c r="D10" s="398" t="s">
        <v>558</v>
      </c>
      <c r="E10" s="372" t="s">
        <v>381</v>
      </c>
      <c r="F10" s="371" t="s">
        <v>382</v>
      </c>
      <c r="G10" s="371" t="s">
        <v>383</v>
      </c>
      <c r="H10" s="399">
        <v>18600.0</v>
      </c>
      <c r="I10" s="375">
        <v>5100.0</v>
      </c>
      <c r="J10" s="371">
        <v>1.0</v>
      </c>
      <c r="K10" s="376">
        <f t="shared" si="8"/>
        <v>18600</v>
      </c>
      <c r="L10" s="371">
        <v>3.2</v>
      </c>
      <c r="M10" s="371">
        <v>24.0</v>
      </c>
      <c r="N10" s="377">
        <f t="shared" si="1"/>
        <v>76.8</v>
      </c>
      <c r="O10" s="378">
        <f>VLOOKUP($O$4,'Energia CEMIG'!$A$2:$C$5,3,0)</f>
        <v>0.8573579</v>
      </c>
      <c r="P10" s="376">
        <f t="shared" si="2"/>
        <v>65.84508672</v>
      </c>
      <c r="Q10" s="376">
        <f t="shared" si="3"/>
        <v>65.84508672</v>
      </c>
      <c r="R10" s="371">
        <v>10.0</v>
      </c>
      <c r="S10" s="371">
        <v>2018.0</v>
      </c>
      <c r="T10" s="379">
        <f t="shared" si="9"/>
        <v>1860</v>
      </c>
      <c r="U10" s="379">
        <f t="shared" si="5"/>
        <v>15.28767123</v>
      </c>
      <c r="V10" s="379">
        <f t="shared" si="6"/>
        <v>15.28767123</v>
      </c>
      <c r="W10" s="380" t="s">
        <v>568</v>
      </c>
      <c r="X10" s="370">
        <v>365.0</v>
      </c>
      <c r="Y10" s="375">
        <v>280.0</v>
      </c>
      <c r="Z10" s="384" t="str">
        <f t="shared" si="11"/>
        <v> </v>
      </c>
      <c r="AA10" s="382">
        <f t="shared" si="7"/>
        <v>81.13275795</v>
      </c>
      <c r="AB10" s="17"/>
      <c r="AC10" s="17"/>
      <c r="AD10" s="17"/>
      <c r="AE10" s="17"/>
      <c r="AF10" s="17"/>
      <c r="AG10" s="3" t="s">
        <v>459</v>
      </c>
      <c r="AH10" s="17"/>
      <c r="AI10" s="17"/>
      <c r="AJ10" s="17"/>
      <c r="AK10" s="17"/>
      <c r="AL10" s="17"/>
      <c r="AM10" s="17"/>
      <c r="AN10" s="17"/>
      <c r="AO10" s="17"/>
      <c r="AP10" s="17"/>
      <c r="AQ10" s="17"/>
    </row>
    <row r="11">
      <c r="A11" s="367"/>
      <c r="B11" s="371">
        <v>8.0</v>
      </c>
      <c r="C11" s="372" t="s">
        <v>1</v>
      </c>
      <c r="D11" s="373" t="s">
        <v>564</v>
      </c>
      <c r="E11" s="372" t="s">
        <v>386</v>
      </c>
      <c r="F11" s="371" t="s">
        <v>387</v>
      </c>
      <c r="G11" s="371" t="s">
        <v>388</v>
      </c>
      <c r="H11" s="376">
        <v>1119.3</v>
      </c>
      <c r="I11" s="376">
        <v>3442.18</v>
      </c>
      <c r="J11" s="371">
        <v>1.0</v>
      </c>
      <c r="K11" s="376">
        <f t="shared" ref="K11:K12" si="12">IF(I11=0,"",J11*I11)</f>
        <v>3442.18</v>
      </c>
      <c r="L11" s="371">
        <v>0.0</v>
      </c>
      <c r="M11" s="371">
        <v>24.0</v>
      </c>
      <c r="N11" s="377">
        <f t="shared" si="1"/>
        <v>0</v>
      </c>
      <c r="O11" s="378">
        <f>VLOOKUP($O$4,'Energia CEMIG'!$A$2:$C$5,3,0)</f>
        <v>0.8573579</v>
      </c>
      <c r="P11" s="376">
        <f t="shared" si="2"/>
        <v>0</v>
      </c>
      <c r="Q11" s="376">
        <f t="shared" si="3"/>
        <v>0</v>
      </c>
      <c r="R11" s="371">
        <v>10.0</v>
      </c>
      <c r="S11" s="371">
        <v>2018.0</v>
      </c>
      <c r="T11" s="379">
        <f t="shared" si="9"/>
        <v>344.218</v>
      </c>
      <c r="U11" s="379">
        <f t="shared" si="5"/>
        <v>2.829189041</v>
      </c>
      <c r="V11" s="379">
        <f t="shared" si="6"/>
        <v>2.829189041</v>
      </c>
      <c r="W11" s="380" t="s">
        <v>389</v>
      </c>
      <c r="X11" s="370">
        <v>365.0</v>
      </c>
      <c r="Y11" s="315" t="s">
        <v>18</v>
      </c>
      <c r="Z11" s="384" t="str">
        <f t="shared" ref="Z11:Z44" si="13">IFERROR(Y11/(365*8)*M11," ")</f>
        <v> </v>
      </c>
      <c r="AA11" s="382">
        <f t="shared" si="7"/>
        <v>2.829189041</v>
      </c>
      <c r="AB11" s="17"/>
      <c r="AC11" s="17"/>
      <c r="AD11" s="17">
        <f>1650/3</f>
        <v>550</v>
      </c>
      <c r="AE11" s="17"/>
      <c r="AF11" s="17"/>
      <c r="AG11" s="3" t="s">
        <v>22</v>
      </c>
      <c r="AH11" s="17"/>
      <c r="AI11" s="17"/>
      <c r="AJ11" s="17"/>
      <c r="AK11" s="17"/>
      <c r="AL11" s="17"/>
      <c r="AM11" s="17"/>
      <c r="AN11" s="17"/>
      <c r="AO11" s="17"/>
      <c r="AP11" s="17"/>
      <c r="AQ11" s="17"/>
    </row>
    <row r="12" ht="45.0" customHeight="1">
      <c r="A12" s="367"/>
      <c r="B12" s="371">
        <v>9.0</v>
      </c>
      <c r="C12" s="372" t="s">
        <v>1</v>
      </c>
      <c r="D12" s="373" t="s">
        <v>564</v>
      </c>
      <c r="E12" s="372" t="s">
        <v>390</v>
      </c>
      <c r="F12" s="371" t="s">
        <v>391</v>
      </c>
      <c r="G12" s="371" t="s">
        <v>392</v>
      </c>
      <c r="H12" s="376">
        <v>342.0</v>
      </c>
      <c r="I12" s="376">
        <v>342.0</v>
      </c>
      <c r="J12" s="371">
        <v>2.0</v>
      </c>
      <c r="K12" s="376">
        <f t="shared" si="12"/>
        <v>684</v>
      </c>
      <c r="L12" s="371">
        <v>0.0</v>
      </c>
      <c r="M12" s="371">
        <v>24.0</v>
      </c>
      <c r="N12" s="377">
        <f t="shared" si="1"/>
        <v>0</v>
      </c>
      <c r="O12" s="378">
        <f>VLOOKUP($O$4,'Energia CEMIG'!$A$2:$C$5,3,0)</f>
        <v>0.8573579</v>
      </c>
      <c r="P12" s="376">
        <f t="shared" si="2"/>
        <v>0</v>
      </c>
      <c r="Q12" s="376">
        <f t="shared" si="3"/>
        <v>0</v>
      </c>
      <c r="R12" s="371">
        <v>10.0</v>
      </c>
      <c r="S12" s="371"/>
      <c r="T12" s="379">
        <f t="shared" si="9"/>
        <v>68.4</v>
      </c>
      <c r="U12" s="379">
        <f t="shared" si="5"/>
        <v>0.5621917808</v>
      </c>
      <c r="V12" s="379">
        <f t="shared" si="6"/>
        <v>0.2810958904</v>
      </c>
      <c r="W12" s="400" t="s">
        <v>380</v>
      </c>
      <c r="X12" s="370">
        <v>365.0</v>
      </c>
      <c r="Y12" s="315" t="s">
        <v>18</v>
      </c>
      <c r="Z12" s="384" t="str">
        <f t="shared" si="13"/>
        <v> </v>
      </c>
      <c r="AA12" s="382">
        <f t="shared" si="7"/>
        <v>0.2810958904</v>
      </c>
      <c r="AB12" s="17"/>
      <c r="AC12" s="17"/>
      <c r="AD12" s="17"/>
      <c r="AE12" s="17"/>
      <c r="AF12" s="17"/>
      <c r="AG12" s="3" t="s">
        <v>569</v>
      </c>
      <c r="AH12" s="17"/>
      <c r="AI12" s="17"/>
      <c r="AJ12" s="17"/>
      <c r="AK12" s="17"/>
      <c r="AL12" s="17"/>
      <c r="AM12" s="17"/>
      <c r="AN12" s="17"/>
      <c r="AO12" s="17"/>
      <c r="AP12" s="17"/>
      <c r="AQ12" s="17"/>
    </row>
    <row r="13">
      <c r="A13" s="367"/>
      <c r="B13" s="371">
        <v>10.0</v>
      </c>
      <c r="C13" s="372" t="s">
        <v>1</v>
      </c>
      <c r="D13" s="373" t="s">
        <v>564</v>
      </c>
      <c r="E13" s="372" t="s">
        <v>394</v>
      </c>
      <c r="F13" s="371" t="s">
        <v>395</v>
      </c>
      <c r="G13" s="371" t="s">
        <v>396</v>
      </c>
      <c r="H13" s="376">
        <v>1831.4</v>
      </c>
      <c r="I13" s="376">
        <v>1800.15</v>
      </c>
      <c r="J13" s="371">
        <v>2.0</v>
      </c>
      <c r="K13" s="376">
        <f>IF(I13=0,"",J13*H13)</f>
        <v>3662.8</v>
      </c>
      <c r="L13" s="371">
        <v>0.0</v>
      </c>
      <c r="M13" s="371">
        <v>24.0</v>
      </c>
      <c r="N13" s="377">
        <f t="shared" si="1"/>
        <v>0</v>
      </c>
      <c r="O13" s="378">
        <f>VLOOKUP($O$4,'Energia CEMIG'!$A$2:$C$5,3,0)</f>
        <v>0.8573579</v>
      </c>
      <c r="P13" s="376">
        <f t="shared" si="2"/>
        <v>0</v>
      </c>
      <c r="Q13" s="376">
        <f t="shared" si="3"/>
        <v>0</v>
      </c>
      <c r="R13" s="371">
        <v>10.0</v>
      </c>
      <c r="S13" s="371">
        <v>2018.0</v>
      </c>
      <c r="T13" s="379">
        <f t="shared" si="9"/>
        <v>366.28</v>
      </c>
      <c r="U13" s="379">
        <f t="shared" si="5"/>
        <v>3.010520548</v>
      </c>
      <c r="V13" s="379">
        <f t="shared" si="6"/>
        <v>1.505260274</v>
      </c>
      <c r="W13" s="400" t="s">
        <v>380</v>
      </c>
      <c r="X13" s="370">
        <v>365.0</v>
      </c>
      <c r="Y13" s="315" t="s">
        <v>18</v>
      </c>
      <c r="Z13" s="384" t="str">
        <f t="shared" si="13"/>
        <v> </v>
      </c>
      <c r="AA13" s="382">
        <f t="shared" si="7"/>
        <v>1.505260274</v>
      </c>
      <c r="AB13" s="17"/>
      <c r="AC13" s="17"/>
      <c r="AD13" s="17"/>
      <c r="AE13" s="17"/>
      <c r="AF13" s="17"/>
      <c r="AG13" s="3" t="s">
        <v>564</v>
      </c>
      <c r="AH13" s="17"/>
      <c r="AI13" s="17"/>
      <c r="AJ13" s="17"/>
      <c r="AK13" s="17"/>
      <c r="AL13" s="17"/>
      <c r="AM13" s="17"/>
      <c r="AN13" s="17"/>
      <c r="AO13" s="17"/>
      <c r="AP13" s="17"/>
      <c r="AQ13" s="17"/>
    </row>
    <row r="14">
      <c r="A14" s="367"/>
      <c r="B14" s="371">
        <v>11.0</v>
      </c>
      <c r="C14" s="372" t="s">
        <v>1</v>
      </c>
      <c r="D14" s="373" t="s">
        <v>564</v>
      </c>
      <c r="E14" s="372" t="s">
        <v>570</v>
      </c>
      <c r="F14" s="371" t="s">
        <v>398</v>
      </c>
      <c r="G14" s="371" t="s">
        <v>399</v>
      </c>
      <c r="H14" s="376">
        <v>2900.0</v>
      </c>
      <c r="I14" s="376">
        <v>2900.0</v>
      </c>
      <c r="J14" s="371">
        <v>1.0</v>
      </c>
      <c r="K14" s="376">
        <f t="shared" ref="K14:K44" si="14">IF(H14=0,"",J14*H14)</f>
        <v>2900</v>
      </c>
      <c r="L14" s="371">
        <v>0.0</v>
      </c>
      <c r="M14" s="371">
        <v>24.0</v>
      </c>
      <c r="N14" s="377">
        <v>0.008</v>
      </c>
      <c r="O14" s="378">
        <f>VLOOKUP($O$4,'Energia CEMIG'!$A$2:$C$5,3,0)</f>
        <v>0.8573579</v>
      </c>
      <c r="P14" s="376">
        <f t="shared" si="2"/>
        <v>0.0068588632</v>
      </c>
      <c r="Q14" s="376">
        <f t="shared" si="3"/>
        <v>0.0068588632</v>
      </c>
      <c r="R14" s="371">
        <v>10.0</v>
      </c>
      <c r="S14" s="371">
        <v>2018.0</v>
      </c>
      <c r="T14" s="379">
        <f t="shared" si="9"/>
        <v>290</v>
      </c>
      <c r="U14" s="379">
        <f t="shared" si="5"/>
        <v>2.383561644</v>
      </c>
      <c r="V14" s="379">
        <f t="shared" si="6"/>
        <v>2.383561644</v>
      </c>
      <c r="W14" s="380" t="s">
        <v>400</v>
      </c>
      <c r="X14" s="370">
        <v>365.0</v>
      </c>
      <c r="Y14" s="315" t="s">
        <v>18</v>
      </c>
      <c r="Z14" s="384" t="str">
        <f t="shared" si="13"/>
        <v> </v>
      </c>
      <c r="AA14" s="382">
        <f t="shared" si="7"/>
        <v>2.390420507</v>
      </c>
      <c r="AB14" s="17"/>
      <c r="AC14" s="17"/>
      <c r="AD14" s="17"/>
      <c r="AE14" s="17"/>
      <c r="AF14" s="17"/>
      <c r="AG14" s="3" t="s">
        <v>571</v>
      </c>
      <c r="AH14" s="17"/>
      <c r="AI14" s="17"/>
      <c r="AJ14" s="17"/>
      <c r="AK14" s="17"/>
      <c r="AL14" s="17"/>
      <c r="AM14" s="17"/>
      <c r="AN14" s="17"/>
      <c r="AO14" s="17"/>
      <c r="AP14" s="17"/>
      <c r="AQ14" s="17"/>
    </row>
    <row r="15" ht="41.25" customHeight="1">
      <c r="A15" s="367"/>
      <c r="B15" s="387">
        <v>12.0</v>
      </c>
      <c r="C15" s="372" t="s">
        <v>1</v>
      </c>
      <c r="D15" s="326" t="s">
        <v>562</v>
      </c>
      <c r="E15" s="401" t="s">
        <v>572</v>
      </c>
      <c r="F15" s="387"/>
      <c r="G15" s="387" t="s">
        <v>573</v>
      </c>
      <c r="H15" s="402">
        <v>15068.9</v>
      </c>
      <c r="I15" s="402"/>
      <c r="J15" s="387">
        <v>3.0</v>
      </c>
      <c r="K15" s="376">
        <f t="shared" si="14"/>
        <v>45206.7</v>
      </c>
      <c r="L15" s="387">
        <v>0.25</v>
      </c>
      <c r="M15" s="387">
        <v>24.0</v>
      </c>
      <c r="N15" s="377">
        <f t="shared" ref="N15:N44" si="15">L15*M15</f>
        <v>6</v>
      </c>
      <c r="O15" s="378">
        <f>VLOOKUP($O$4,'Energia CEMIG'!$A$2:$C$5,3,0)</f>
        <v>0.8573579</v>
      </c>
      <c r="P15" s="376">
        <f t="shared" si="2"/>
        <v>15.4324422</v>
      </c>
      <c r="Q15" s="376">
        <f t="shared" si="3"/>
        <v>5.1441474</v>
      </c>
      <c r="R15" s="387">
        <v>10.0</v>
      </c>
      <c r="S15" s="387">
        <v>2017.0</v>
      </c>
      <c r="T15" s="403"/>
      <c r="U15" s="403"/>
      <c r="V15" s="379">
        <f t="shared" si="6"/>
        <v>0</v>
      </c>
      <c r="W15" s="404" t="s">
        <v>400</v>
      </c>
      <c r="X15" s="405">
        <v>365.0</v>
      </c>
      <c r="Y15" s="406" t="s">
        <v>18</v>
      </c>
      <c r="Z15" s="384" t="str">
        <f t="shared" si="13"/>
        <v> </v>
      </c>
      <c r="AA15" s="407">
        <f t="shared" si="7"/>
        <v>5.1441474</v>
      </c>
      <c r="AB15" s="17"/>
      <c r="AC15" s="17"/>
      <c r="AD15" s="17"/>
      <c r="AE15" s="17"/>
      <c r="AF15" s="17"/>
      <c r="AG15" s="3" t="s">
        <v>558</v>
      </c>
      <c r="AH15" s="17"/>
      <c r="AI15" s="17"/>
      <c r="AJ15" s="17"/>
      <c r="AK15" s="17"/>
      <c r="AL15" s="17"/>
      <c r="AM15" s="17"/>
      <c r="AN15" s="17"/>
      <c r="AO15" s="17"/>
      <c r="AP15" s="17"/>
      <c r="AQ15" s="17"/>
    </row>
    <row r="16">
      <c r="A16" s="367"/>
      <c r="B16" s="371">
        <v>13.0</v>
      </c>
      <c r="C16" s="372" t="s">
        <v>1</v>
      </c>
      <c r="D16" s="373" t="s">
        <v>571</v>
      </c>
      <c r="E16" s="377" t="s">
        <v>401</v>
      </c>
      <c r="F16" s="371" t="s">
        <v>402</v>
      </c>
      <c r="G16" s="371" t="s">
        <v>403</v>
      </c>
      <c r="H16" s="375">
        <v>3200.0</v>
      </c>
      <c r="I16" s="375">
        <v>3200.0</v>
      </c>
      <c r="J16" s="371">
        <v>2.0</v>
      </c>
      <c r="K16" s="376">
        <f t="shared" si="14"/>
        <v>6400</v>
      </c>
      <c r="L16" s="371">
        <v>0.75</v>
      </c>
      <c r="M16" s="371">
        <v>24.0</v>
      </c>
      <c r="N16" s="377">
        <f t="shared" si="15"/>
        <v>18</v>
      </c>
      <c r="O16" s="378">
        <f>VLOOKUP($O$4,'Energia CEMIG'!$A$2:$C$5,3,0)</f>
        <v>0.8573579</v>
      </c>
      <c r="P16" s="376">
        <f t="shared" si="2"/>
        <v>30.8648844</v>
      </c>
      <c r="Q16" s="376">
        <f t="shared" si="3"/>
        <v>15.4324422</v>
      </c>
      <c r="R16" s="371">
        <v>10.0</v>
      </c>
      <c r="S16" s="371">
        <v>2018.0</v>
      </c>
      <c r="T16" s="379">
        <f t="shared" ref="T16:T27" si="16">IFERROR(1/R16*K16,0)</f>
        <v>640</v>
      </c>
      <c r="U16" s="379">
        <f t="shared" ref="U16:U27" si="17">IF(T16/365=0,0,T16/(365*8)*M16)</f>
        <v>5.260273973</v>
      </c>
      <c r="V16" s="379">
        <f t="shared" si="6"/>
        <v>2.630136986</v>
      </c>
      <c r="W16" s="400" t="s">
        <v>400</v>
      </c>
      <c r="X16" s="370">
        <v>365.0</v>
      </c>
      <c r="Y16" s="315" t="s">
        <v>18</v>
      </c>
      <c r="Z16" s="384" t="str">
        <f t="shared" si="13"/>
        <v> </v>
      </c>
      <c r="AA16" s="382">
        <f t="shared" si="7"/>
        <v>18.06257919</v>
      </c>
      <c r="AB16" s="17"/>
      <c r="AC16" s="17"/>
      <c r="AD16" s="17"/>
      <c r="AE16" s="17"/>
      <c r="AF16" s="17"/>
      <c r="AG16" s="3" t="s">
        <v>18</v>
      </c>
      <c r="AH16" s="17"/>
      <c r="AI16" s="17"/>
      <c r="AJ16" s="17"/>
      <c r="AK16" s="17"/>
      <c r="AL16" s="17"/>
      <c r="AM16" s="17"/>
      <c r="AN16" s="17"/>
      <c r="AO16" s="17"/>
      <c r="AP16" s="17"/>
      <c r="AQ16" s="17"/>
    </row>
    <row r="17" ht="82.5" customHeight="1">
      <c r="A17" s="367"/>
      <c r="B17" s="371">
        <v>14.0</v>
      </c>
      <c r="C17" s="372" t="s">
        <v>1</v>
      </c>
      <c r="D17" s="373" t="s">
        <v>564</v>
      </c>
      <c r="E17" s="377" t="s">
        <v>413</v>
      </c>
      <c r="F17" s="371" t="s">
        <v>414</v>
      </c>
      <c r="G17" s="371" t="s">
        <v>415</v>
      </c>
      <c r="H17" s="386">
        <v>40100.0</v>
      </c>
      <c r="I17" s="386">
        <v>40100.0</v>
      </c>
      <c r="J17" s="371">
        <v>1.0</v>
      </c>
      <c r="K17" s="376">
        <f t="shared" si="14"/>
        <v>40100</v>
      </c>
      <c r="L17" s="371">
        <v>3.8</v>
      </c>
      <c r="M17" s="371">
        <v>12.0</v>
      </c>
      <c r="N17" s="377">
        <f t="shared" si="15"/>
        <v>45.6</v>
      </c>
      <c r="O17" s="378">
        <f>VLOOKUP($O$4,'Energia CEMIG'!$A$2:$C$5,3,0)</f>
        <v>0.8573579</v>
      </c>
      <c r="P17" s="376">
        <f t="shared" si="2"/>
        <v>39.09552024</v>
      </c>
      <c r="Q17" s="376">
        <f t="shared" si="3"/>
        <v>39.09552024</v>
      </c>
      <c r="R17" s="371">
        <v>5.0</v>
      </c>
      <c r="S17" s="371">
        <v>2019.0</v>
      </c>
      <c r="T17" s="379">
        <f t="shared" si="16"/>
        <v>8020</v>
      </c>
      <c r="U17" s="379">
        <f t="shared" si="17"/>
        <v>32.95890411</v>
      </c>
      <c r="V17" s="379">
        <f t="shared" si="6"/>
        <v>32.95890411</v>
      </c>
      <c r="W17" s="372" t="s">
        <v>574</v>
      </c>
      <c r="X17" s="370">
        <v>60.0</v>
      </c>
      <c r="Y17" s="315" t="s">
        <v>18</v>
      </c>
      <c r="Z17" s="384" t="str">
        <f t="shared" si="13"/>
        <v> </v>
      </c>
      <c r="AA17" s="382">
        <f t="shared" si="7"/>
        <v>72.05442435</v>
      </c>
      <c r="AB17" s="17"/>
      <c r="AC17" s="17"/>
      <c r="AD17" s="17"/>
      <c r="AE17" s="17"/>
      <c r="AF17" s="17"/>
      <c r="AG17" s="17"/>
      <c r="AH17" s="17"/>
      <c r="AI17" s="17"/>
      <c r="AJ17" s="17"/>
      <c r="AK17" s="17"/>
      <c r="AL17" s="17"/>
      <c r="AM17" s="17"/>
      <c r="AN17" s="17"/>
      <c r="AO17" s="17"/>
      <c r="AP17" s="17"/>
      <c r="AQ17" s="17"/>
    </row>
    <row r="18">
      <c r="A18" s="367"/>
      <c r="B18" s="371">
        <v>16.0</v>
      </c>
      <c r="C18" s="372" t="s">
        <v>1</v>
      </c>
      <c r="D18" s="373" t="s">
        <v>564</v>
      </c>
      <c r="E18" s="377" t="s">
        <v>417</v>
      </c>
      <c r="F18" s="371" t="s">
        <v>418</v>
      </c>
      <c r="G18" s="371" t="s">
        <v>419</v>
      </c>
      <c r="H18" s="376">
        <v>6800.0</v>
      </c>
      <c r="I18" s="376">
        <v>6800.0</v>
      </c>
      <c r="J18" s="371">
        <v>4.0</v>
      </c>
      <c r="K18" s="376">
        <f t="shared" si="14"/>
        <v>27200</v>
      </c>
      <c r="L18" s="371">
        <v>0.152</v>
      </c>
      <c r="M18" s="371">
        <v>24.0</v>
      </c>
      <c r="N18" s="377">
        <f t="shared" si="15"/>
        <v>3.648</v>
      </c>
      <c r="O18" s="378">
        <f>VLOOKUP($O$4,'Energia CEMIG'!$A$2:$C$5,3,0)</f>
        <v>0.8573579</v>
      </c>
      <c r="P18" s="376">
        <f t="shared" si="2"/>
        <v>12.51056648</v>
      </c>
      <c r="Q18" s="376">
        <f t="shared" si="3"/>
        <v>3.127641619</v>
      </c>
      <c r="R18" s="371">
        <v>10.0</v>
      </c>
      <c r="S18" s="371">
        <v>2018.0</v>
      </c>
      <c r="T18" s="379">
        <f t="shared" si="16"/>
        <v>2720</v>
      </c>
      <c r="U18" s="379">
        <f t="shared" si="17"/>
        <v>22.35616438</v>
      </c>
      <c r="V18" s="379">
        <f t="shared" si="6"/>
        <v>5.589041096</v>
      </c>
      <c r="W18" s="400" t="s">
        <v>420</v>
      </c>
      <c r="X18" s="370">
        <v>365.0</v>
      </c>
      <c r="Y18" s="408">
        <v>200.0</v>
      </c>
      <c r="Z18" s="384">
        <f t="shared" si="13"/>
        <v>1.643835616</v>
      </c>
      <c r="AA18" s="382">
        <f t="shared" si="7"/>
        <v>10.36051833</v>
      </c>
      <c r="AB18" s="17"/>
      <c r="AC18" s="17"/>
      <c r="AD18" s="17"/>
      <c r="AE18" s="17"/>
      <c r="AF18" s="17"/>
      <c r="AG18" s="17"/>
      <c r="AH18" s="17"/>
      <c r="AI18" s="17"/>
      <c r="AJ18" s="17"/>
      <c r="AK18" s="17"/>
      <c r="AL18" s="17"/>
      <c r="AM18" s="17"/>
      <c r="AN18" s="17"/>
      <c r="AO18" s="17"/>
      <c r="AP18" s="17"/>
      <c r="AQ18" s="17"/>
    </row>
    <row r="19">
      <c r="A19" s="367"/>
      <c r="B19" s="371">
        <v>17.0</v>
      </c>
      <c r="C19" s="372" t="s">
        <v>1</v>
      </c>
      <c r="D19" s="373" t="s">
        <v>564</v>
      </c>
      <c r="E19" s="372" t="s">
        <v>421</v>
      </c>
      <c r="F19" s="371" t="s">
        <v>422</v>
      </c>
      <c r="G19" s="371" t="s">
        <v>379</v>
      </c>
      <c r="H19" s="399">
        <v>1970.0</v>
      </c>
      <c r="I19" s="375">
        <v>531.35</v>
      </c>
      <c r="J19" s="371">
        <v>1.0</v>
      </c>
      <c r="K19" s="376">
        <f t="shared" si="14"/>
        <v>1970</v>
      </c>
      <c r="L19" s="371">
        <v>0.0</v>
      </c>
      <c r="M19" s="371">
        <v>24.0</v>
      </c>
      <c r="N19" s="377">
        <f t="shared" si="15"/>
        <v>0</v>
      </c>
      <c r="O19" s="378">
        <f>VLOOKUP($O$4,'Energia CEMIG'!$A$2:$C$5,3,0)</f>
        <v>0.8573579</v>
      </c>
      <c r="P19" s="376">
        <f t="shared" si="2"/>
        <v>0</v>
      </c>
      <c r="Q19" s="376">
        <f t="shared" si="3"/>
        <v>0</v>
      </c>
      <c r="R19" s="371">
        <v>2.0</v>
      </c>
      <c r="S19" s="371">
        <v>2018.0</v>
      </c>
      <c r="T19" s="379">
        <f t="shared" si="16"/>
        <v>985</v>
      </c>
      <c r="U19" s="379">
        <f t="shared" si="17"/>
        <v>8.095890411</v>
      </c>
      <c r="V19" s="379">
        <f t="shared" si="6"/>
        <v>8.095890411</v>
      </c>
      <c r="W19" s="400" t="s">
        <v>380</v>
      </c>
      <c r="X19" s="370">
        <v>1.0</v>
      </c>
      <c r="Y19" s="315" t="s">
        <v>18</v>
      </c>
      <c r="Z19" s="384" t="str">
        <f t="shared" si="13"/>
        <v> </v>
      </c>
      <c r="AA19" s="382">
        <f t="shared" si="7"/>
        <v>8.095890411</v>
      </c>
      <c r="AB19" s="17"/>
      <c r="AC19" s="17"/>
      <c r="AD19" s="17"/>
      <c r="AE19" s="17"/>
      <c r="AF19" s="17"/>
      <c r="AG19" s="17"/>
      <c r="AH19" s="17"/>
      <c r="AI19" s="17"/>
      <c r="AJ19" s="17"/>
      <c r="AK19" s="17"/>
      <c r="AL19" s="17"/>
      <c r="AM19" s="17"/>
      <c r="AN19" s="17"/>
      <c r="AO19" s="17"/>
      <c r="AP19" s="17"/>
      <c r="AQ19" s="17"/>
    </row>
    <row r="20">
      <c r="A20" s="367"/>
      <c r="B20" s="371">
        <v>18.0</v>
      </c>
      <c r="C20" s="372" t="s">
        <v>1</v>
      </c>
      <c r="D20" s="373" t="s">
        <v>564</v>
      </c>
      <c r="E20" s="372" t="s">
        <v>423</v>
      </c>
      <c r="F20" s="371" t="s">
        <v>424</v>
      </c>
      <c r="G20" s="371" t="s">
        <v>379</v>
      </c>
      <c r="H20" s="399">
        <v>4840.0</v>
      </c>
      <c r="I20" s="375">
        <v>1306.55</v>
      </c>
      <c r="J20" s="371">
        <v>1.0</v>
      </c>
      <c r="K20" s="376">
        <f t="shared" si="14"/>
        <v>4840</v>
      </c>
      <c r="L20" s="371">
        <v>0.0</v>
      </c>
      <c r="M20" s="371">
        <v>24.0</v>
      </c>
      <c r="N20" s="377">
        <f t="shared" si="15"/>
        <v>0</v>
      </c>
      <c r="O20" s="378">
        <f>VLOOKUP($O$4,'Energia CEMIG'!$A$2:$C$5,3,0)</f>
        <v>0.8573579</v>
      </c>
      <c r="P20" s="376">
        <f t="shared" si="2"/>
        <v>0</v>
      </c>
      <c r="Q20" s="376">
        <f t="shared" si="3"/>
        <v>0</v>
      </c>
      <c r="R20" s="371">
        <v>10.0</v>
      </c>
      <c r="S20" s="371">
        <v>2018.0</v>
      </c>
      <c r="T20" s="379">
        <f t="shared" si="16"/>
        <v>484</v>
      </c>
      <c r="U20" s="379">
        <f t="shared" si="17"/>
        <v>3.978082192</v>
      </c>
      <c r="V20" s="379">
        <f t="shared" si="6"/>
        <v>3.978082192</v>
      </c>
      <c r="W20" s="400" t="s">
        <v>380</v>
      </c>
      <c r="X20" s="370">
        <v>365.0</v>
      </c>
      <c r="Y20" s="315" t="s">
        <v>18</v>
      </c>
      <c r="Z20" s="384" t="str">
        <f t="shared" si="13"/>
        <v> </v>
      </c>
      <c r="AA20" s="382">
        <f t="shared" si="7"/>
        <v>3.978082192</v>
      </c>
      <c r="AB20" s="17"/>
      <c r="AC20" s="17"/>
      <c r="AD20" s="17"/>
      <c r="AE20" s="17"/>
      <c r="AF20" s="17"/>
      <c r="AG20" s="17"/>
      <c r="AH20" s="17"/>
      <c r="AI20" s="17"/>
      <c r="AJ20" s="17"/>
      <c r="AK20" s="17"/>
      <c r="AL20" s="17"/>
      <c r="AM20" s="17"/>
      <c r="AN20" s="17"/>
      <c r="AO20" s="17"/>
      <c r="AP20" s="17"/>
      <c r="AQ20" s="17"/>
    </row>
    <row r="21" ht="15.75" customHeight="1">
      <c r="A21" s="367"/>
      <c r="B21" s="371"/>
      <c r="C21" s="372" t="s">
        <v>1</v>
      </c>
      <c r="D21" s="373" t="s">
        <v>564</v>
      </c>
      <c r="E21" s="372" t="s">
        <v>425</v>
      </c>
      <c r="F21" s="371" t="s">
        <v>426</v>
      </c>
      <c r="G21" s="371" t="s">
        <v>427</v>
      </c>
      <c r="H21" s="399">
        <v>1924.71</v>
      </c>
      <c r="I21" s="409">
        <v>518.7</v>
      </c>
      <c r="J21" s="371">
        <v>1.0</v>
      </c>
      <c r="K21" s="376">
        <f t="shared" si="14"/>
        <v>1924.71</v>
      </c>
      <c r="L21" s="371">
        <v>0.0</v>
      </c>
      <c r="M21" s="371">
        <v>24.0</v>
      </c>
      <c r="N21" s="377">
        <f t="shared" si="15"/>
        <v>0</v>
      </c>
      <c r="O21" s="378">
        <f>VLOOKUP($O$4,'Energia CEMIG'!$A$2:$C$5,3,0)</f>
        <v>0.8573579</v>
      </c>
      <c r="P21" s="376">
        <f t="shared" si="2"/>
        <v>0</v>
      </c>
      <c r="Q21" s="376">
        <f t="shared" si="3"/>
        <v>0</v>
      </c>
      <c r="R21" s="371">
        <v>10.0</v>
      </c>
      <c r="S21" s="371">
        <v>2018.0</v>
      </c>
      <c r="T21" s="379">
        <f t="shared" si="16"/>
        <v>192.471</v>
      </c>
      <c r="U21" s="379">
        <f t="shared" si="17"/>
        <v>1.581953425</v>
      </c>
      <c r="V21" s="379">
        <f t="shared" si="6"/>
        <v>1.581953425</v>
      </c>
      <c r="W21" s="400" t="s">
        <v>380</v>
      </c>
      <c r="X21" s="370">
        <v>365.0</v>
      </c>
      <c r="Y21" s="315" t="s">
        <v>18</v>
      </c>
      <c r="Z21" s="384" t="str">
        <f t="shared" si="13"/>
        <v> </v>
      </c>
      <c r="AA21" s="382">
        <f t="shared" si="7"/>
        <v>1.581953425</v>
      </c>
      <c r="AB21" s="17"/>
      <c r="AC21" s="17"/>
      <c r="AD21" s="17"/>
      <c r="AE21" s="17"/>
      <c r="AF21" s="17"/>
      <c r="AG21" s="17"/>
      <c r="AH21" s="17"/>
      <c r="AI21" s="17"/>
      <c r="AJ21" s="17"/>
      <c r="AK21" s="17"/>
      <c r="AL21" s="17"/>
      <c r="AM21" s="17"/>
      <c r="AN21" s="17"/>
      <c r="AO21" s="17"/>
      <c r="AP21" s="17"/>
      <c r="AQ21" s="17"/>
    </row>
    <row r="22" ht="28.5" customHeight="1">
      <c r="A22" s="367"/>
      <c r="B22" s="371">
        <v>19.0</v>
      </c>
      <c r="C22" s="372" t="s">
        <v>1</v>
      </c>
      <c r="D22" s="373" t="s">
        <v>564</v>
      </c>
      <c r="E22" s="372" t="s">
        <v>428</v>
      </c>
      <c r="F22" s="371" t="s">
        <v>429</v>
      </c>
      <c r="G22" s="371" t="s">
        <v>379</v>
      </c>
      <c r="H22" s="399">
        <v>8208.3</v>
      </c>
      <c r="I22" s="375">
        <v>2213.7</v>
      </c>
      <c r="J22" s="371">
        <v>1.0</v>
      </c>
      <c r="K22" s="376">
        <f t="shared" si="14"/>
        <v>8208.3</v>
      </c>
      <c r="L22" s="371">
        <v>0.0</v>
      </c>
      <c r="M22" s="371">
        <v>24.0</v>
      </c>
      <c r="N22" s="377">
        <f t="shared" si="15"/>
        <v>0</v>
      </c>
      <c r="O22" s="378">
        <f>VLOOKUP($O$4,'Energia CEMIG'!$A$2:$C$5,3,0)</f>
        <v>0.8573579</v>
      </c>
      <c r="P22" s="376">
        <f t="shared" si="2"/>
        <v>0</v>
      </c>
      <c r="Q22" s="376">
        <f t="shared" si="3"/>
        <v>0</v>
      </c>
      <c r="R22" s="371">
        <v>10.0</v>
      </c>
      <c r="S22" s="371">
        <v>2018.0</v>
      </c>
      <c r="T22" s="379">
        <f t="shared" si="16"/>
        <v>820.83</v>
      </c>
      <c r="U22" s="379">
        <f t="shared" si="17"/>
        <v>6.746547945</v>
      </c>
      <c r="V22" s="379">
        <f t="shared" si="6"/>
        <v>6.746547945</v>
      </c>
      <c r="W22" s="380" t="s">
        <v>400</v>
      </c>
      <c r="X22" s="370">
        <v>365.0</v>
      </c>
      <c r="Y22" s="315" t="s">
        <v>18</v>
      </c>
      <c r="Z22" s="384" t="str">
        <f t="shared" si="13"/>
        <v> </v>
      </c>
      <c r="AA22" s="382">
        <f t="shared" si="7"/>
        <v>6.746547945</v>
      </c>
      <c r="AB22" s="17"/>
      <c r="AC22" s="17"/>
      <c r="AD22" s="17"/>
      <c r="AE22" s="17"/>
      <c r="AF22" s="17"/>
      <c r="AG22" s="17"/>
      <c r="AH22" s="17"/>
      <c r="AI22" s="17"/>
      <c r="AJ22" s="17"/>
      <c r="AK22" s="17"/>
      <c r="AL22" s="17"/>
      <c r="AM22" s="17"/>
      <c r="AN22" s="17"/>
      <c r="AO22" s="17"/>
      <c r="AP22" s="17"/>
      <c r="AQ22" s="17"/>
    </row>
    <row r="23" ht="28.5" customHeight="1">
      <c r="A23" s="367"/>
      <c r="B23" s="371">
        <v>20.0</v>
      </c>
      <c r="C23" s="372" t="s">
        <v>1</v>
      </c>
      <c r="D23" s="373" t="s">
        <v>564</v>
      </c>
      <c r="E23" s="377" t="s">
        <v>575</v>
      </c>
      <c r="F23" s="371" t="s">
        <v>18</v>
      </c>
      <c r="G23" s="371" t="s">
        <v>18</v>
      </c>
      <c r="H23" s="399">
        <v>740.23</v>
      </c>
      <c r="I23" s="376">
        <v>1000.0</v>
      </c>
      <c r="J23" s="371">
        <v>2.0</v>
      </c>
      <c r="K23" s="376">
        <f t="shared" si="14"/>
        <v>1480.46</v>
      </c>
      <c r="L23" s="371">
        <v>0.25</v>
      </c>
      <c r="M23" s="410">
        <v>24.0</v>
      </c>
      <c r="N23" s="377">
        <f t="shared" si="15"/>
        <v>6</v>
      </c>
      <c r="O23" s="378">
        <f>VLOOKUP($O$4,'Energia CEMIG'!$A$2:$C$5,3,0)</f>
        <v>0.8573579</v>
      </c>
      <c r="P23" s="376">
        <f t="shared" si="2"/>
        <v>10.2882948</v>
      </c>
      <c r="Q23" s="376">
        <f t="shared" si="3"/>
        <v>5.1441474</v>
      </c>
      <c r="R23" s="371">
        <v>10.0</v>
      </c>
      <c r="S23" s="371">
        <v>2020.0</v>
      </c>
      <c r="T23" s="379">
        <f t="shared" si="16"/>
        <v>148.046</v>
      </c>
      <c r="U23" s="379">
        <f t="shared" si="17"/>
        <v>1.216816438</v>
      </c>
      <c r="V23" s="379">
        <f t="shared" si="6"/>
        <v>0.6084082192</v>
      </c>
      <c r="W23" s="380" t="s">
        <v>576</v>
      </c>
      <c r="X23" s="370">
        <v>183.0</v>
      </c>
      <c r="Y23" s="315" t="s">
        <v>18</v>
      </c>
      <c r="Z23" s="384" t="str">
        <f t="shared" si="13"/>
        <v> </v>
      </c>
      <c r="AA23" s="382">
        <f t="shared" si="7"/>
        <v>5.752555619</v>
      </c>
      <c r="AB23" s="17"/>
      <c r="AC23" s="17"/>
      <c r="AD23" s="17"/>
      <c r="AE23" s="17"/>
      <c r="AF23" s="17"/>
      <c r="AG23" s="17"/>
      <c r="AH23" s="17"/>
      <c r="AI23" s="17"/>
      <c r="AJ23" s="17"/>
      <c r="AK23" s="17"/>
      <c r="AL23" s="17"/>
      <c r="AM23" s="17"/>
      <c r="AN23" s="17"/>
      <c r="AO23" s="17"/>
      <c r="AP23" s="17"/>
      <c r="AQ23" s="17"/>
    </row>
    <row r="24" ht="36.0" customHeight="1">
      <c r="A24" s="367"/>
      <c r="B24" s="371">
        <v>21.0</v>
      </c>
      <c r="C24" s="372" t="s">
        <v>2</v>
      </c>
      <c r="D24" s="373" t="s">
        <v>564</v>
      </c>
      <c r="E24" s="326" t="s">
        <v>432</v>
      </c>
      <c r="F24" s="371" t="s">
        <v>433</v>
      </c>
      <c r="G24" s="371" t="s">
        <v>419</v>
      </c>
      <c r="H24" s="376">
        <v>10300.0</v>
      </c>
      <c r="I24" s="376">
        <v>11000.0</v>
      </c>
      <c r="J24" s="315">
        <v>2.0</v>
      </c>
      <c r="K24" s="376">
        <f t="shared" si="14"/>
        <v>20600</v>
      </c>
      <c r="L24" s="315">
        <f>0.37*0.8</f>
        <v>0.296</v>
      </c>
      <c r="M24" s="315">
        <v>1.0</v>
      </c>
      <c r="N24" s="377">
        <f t="shared" si="15"/>
        <v>0.296</v>
      </c>
      <c r="O24" s="378">
        <f>VLOOKUP($O$4,'Energia CEMIG'!$A$2:$C$5,3,0)</f>
        <v>0.8573579</v>
      </c>
      <c r="P24" s="376">
        <f t="shared" si="2"/>
        <v>0.5075558768</v>
      </c>
      <c r="Q24" s="376">
        <f t="shared" si="3"/>
        <v>0.2537779384</v>
      </c>
      <c r="R24" s="315">
        <v>10.0</v>
      </c>
      <c r="S24" s="315">
        <v>2018.0</v>
      </c>
      <c r="T24" s="379">
        <f t="shared" si="16"/>
        <v>2060</v>
      </c>
      <c r="U24" s="379">
        <f t="shared" si="17"/>
        <v>0.7054794521</v>
      </c>
      <c r="V24" s="379">
        <f t="shared" si="6"/>
        <v>0.352739726</v>
      </c>
      <c r="W24" s="380" t="s">
        <v>577</v>
      </c>
      <c r="X24" s="370">
        <f>365*5</f>
        <v>1825</v>
      </c>
      <c r="Y24" s="384">
        <v>500.0</v>
      </c>
      <c r="Z24" s="384">
        <f t="shared" si="13"/>
        <v>0.1712328767</v>
      </c>
      <c r="AA24" s="382">
        <f t="shared" si="7"/>
        <v>0.7777505411</v>
      </c>
      <c r="AB24" s="17"/>
      <c r="AC24" s="17"/>
      <c r="AD24" s="17"/>
      <c r="AE24" s="17"/>
      <c r="AF24" s="17"/>
      <c r="AG24" s="17"/>
      <c r="AH24" s="17"/>
      <c r="AI24" s="17"/>
      <c r="AJ24" s="17"/>
      <c r="AK24" s="17"/>
      <c r="AL24" s="17"/>
      <c r="AM24" s="17"/>
      <c r="AN24" s="17"/>
      <c r="AO24" s="17"/>
      <c r="AP24" s="17"/>
      <c r="AQ24" s="17"/>
    </row>
    <row r="25" ht="15.75" customHeight="1">
      <c r="A25" s="367"/>
      <c r="B25" s="371">
        <v>22.0</v>
      </c>
      <c r="C25" s="372" t="s">
        <v>2</v>
      </c>
      <c r="D25" s="373" t="s">
        <v>564</v>
      </c>
      <c r="E25" s="377" t="s">
        <v>578</v>
      </c>
      <c r="F25" s="371" t="s">
        <v>579</v>
      </c>
      <c r="G25" s="371" t="s">
        <v>403</v>
      </c>
      <c r="H25" s="399">
        <v>1052.7</v>
      </c>
      <c r="I25" s="375">
        <v>870.0</v>
      </c>
      <c r="J25" s="315">
        <v>2.0</v>
      </c>
      <c r="K25" s="376">
        <f t="shared" si="14"/>
        <v>2105.4</v>
      </c>
      <c r="L25" s="315">
        <v>0.0</v>
      </c>
      <c r="M25" s="315">
        <v>24.0</v>
      </c>
      <c r="N25" s="377">
        <f t="shared" si="15"/>
        <v>0</v>
      </c>
      <c r="O25" s="378">
        <f>VLOOKUP($O$4,'Energia CEMIG'!$A$2:$C$5,3,0)</f>
        <v>0.8573579</v>
      </c>
      <c r="P25" s="376">
        <f t="shared" si="2"/>
        <v>0</v>
      </c>
      <c r="Q25" s="376">
        <f t="shared" si="3"/>
        <v>0</v>
      </c>
      <c r="R25" s="315">
        <v>10.0</v>
      </c>
      <c r="S25" s="315">
        <v>2018.0</v>
      </c>
      <c r="T25" s="379">
        <f t="shared" si="16"/>
        <v>210.54</v>
      </c>
      <c r="U25" s="379">
        <f t="shared" si="17"/>
        <v>1.730465753</v>
      </c>
      <c r="V25" s="379">
        <f t="shared" si="6"/>
        <v>0.8652328767</v>
      </c>
      <c r="W25" s="400" t="s">
        <v>400</v>
      </c>
      <c r="X25" s="370">
        <v>365.0</v>
      </c>
      <c r="Y25" s="315" t="s">
        <v>18</v>
      </c>
      <c r="Z25" s="384" t="str">
        <f t="shared" si="13"/>
        <v> </v>
      </c>
      <c r="AA25" s="382">
        <f t="shared" si="7"/>
        <v>0.8652328767</v>
      </c>
      <c r="AB25" s="17"/>
      <c r="AC25" s="17"/>
      <c r="AD25" s="17"/>
      <c r="AE25" s="17"/>
      <c r="AF25" s="17"/>
      <c r="AG25" s="17"/>
      <c r="AH25" s="17"/>
      <c r="AI25" s="17"/>
      <c r="AJ25" s="17"/>
      <c r="AK25" s="17"/>
      <c r="AL25" s="17"/>
      <c r="AM25" s="17"/>
      <c r="AN25" s="17"/>
      <c r="AO25" s="17"/>
      <c r="AP25" s="17"/>
      <c r="AQ25" s="17"/>
    </row>
    <row r="26" ht="36.0" customHeight="1">
      <c r="A26" s="367"/>
      <c r="B26" s="371">
        <v>23.0</v>
      </c>
      <c r="C26" s="372" t="s">
        <v>2</v>
      </c>
      <c r="D26" s="373" t="s">
        <v>564</v>
      </c>
      <c r="E26" s="377" t="s">
        <v>435</v>
      </c>
      <c r="F26" s="371" t="s">
        <v>436</v>
      </c>
      <c r="G26" s="371" t="s">
        <v>403</v>
      </c>
      <c r="H26" s="411">
        <v>4356.0</v>
      </c>
      <c r="I26" s="375">
        <v>1700.0</v>
      </c>
      <c r="J26" s="315">
        <v>1.0</v>
      </c>
      <c r="K26" s="376">
        <f t="shared" si="14"/>
        <v>4356</v>
      </c>
      <c r="L26" s="315">
        <v>0.6</v>
      </c>
      <c r="M26" s="315">
        <v>96.0</v>
      </c>
      <c r="N26" s="377">
        <f t="shared" si="15"/>
        <v>57.6</v>
      </c>
      <c r="O26" s="378">
        <f>VLOOKUP($O$4,'Energia CEMIG'!$A$2:$C$5,3,0)</f>
        <v>0.8573579</v>
      </c>
      <c r="P26" s="376">
        <f t="shared" si="2"/>
        <v>49.38381504</v>
      </c>
      <c r="Q26" s="376">
        <f t="shared" si="3"/>
        <v>49.38381504</v>
      </c>
      <c r="R26" s="315">
        <v>10.0</v>
      </c>
      <c r="S26" s="315">
        <v>2018.0</v>
      </c>
      <c r="T26" s="379">
        <f t="shared" si="16"/>
        <v>435.6</v>
      </c>
      <c r="U26" s="379">
        <f t="shared" si="17"/>
        <v>14.32109589</v>
      </c>
      <c r="V26" s="379">
        <f t="shared" si="6"/>
        <v>14.32109589</v>
      </c>
      <c r="W26" s="400" t="s">
        <v>400</v>
      </c>
      <c r="X26" s="370">
        <v>365.0</v>
      </c>
      <c r="Y26" s="315" t="s">
        <v>18</v>
      </c>
      <c r="Z26" s="384" t="str">
        <f t="shared" si="13"/>
        <v> </v>
      </c>
      <c r="AA26" s="382">
        <f t="shared" si="7"/>
        <v>63.70491093</v>
      </c>
      <c r="AB26" s="17"/>
      <c r="AC26" s="17"/>
      <c r="AD26" s="17"/>
      <c r="AE26" s="17"/>
      <c r="AF26" s="17"/>
      <c r="AG26" s="17"/>
      <c r="AH26" s="17"/>
      <c r="AI26" s="17"/>
      <c r="AJ26" s="17"/>
      <c r="AK26" s="17"/>
      <c r="AL26" s="17"/>
      <c r="AM26" s="17"/>
      <c r="AN26" s="17"/>
      <c r="AO26" s="17"/>
      <c r="AP26" s="17"/>
      <c r="AQ26" s="17"/>
    </row>
    <row r="27" ht="36.0" customHeight="1">
      <c r="A27" s="367"/>
      <c r="B27" s="371">
        <v>24.0</v>
      </c>
      <c r="C27" s="372" t="s">
        <v>2</v>
      </c>
      <c r="D27" s="373" t="s">
        <v>558</v>
      </c>
      <c r="E27" s="326" t="s">
        <v>580</v>
      </c>
      <c r="F27" s="371" t="s">
        <v>581</v>
      </c>
      <c r="G27" s="371" t="s">
        <v>457</v>
      </c>
      <c r="H27" s="376">
        <v>7800.0</v>
      </c>
      <c r="I27" s="376">
        <v>7800.0</v>
      </c>
      <c r="J27" s="315">
        <v>1.0</v>
      </c>
      <c r="K27" s="376">
        <f t="shared" si="14"/>
        <v>7800</v>
      </c>
      <c r="L27" s="315">
        <v>0.75</v>
      </c>
      <c r="M27" s="315">
        <v>2.0</v>
      </c>
      <c r="N27" s="377">
        <f t="shared" si="15"/>
        <v>1.5</v>
      </c>
      <c r="O27" s="378">
        <f>VLOOKUP($O$4,'Energia CEMIG'!$A$2:$C$5,3,0)</f>
        <v>0.8573579</v>
      </c>
      <c r="P27" s="376">
        <f t="shared" si="2"/>
        <v>1.28603685</v>
      </c>
      <c r="Q27" s="376">
        <f t="shared" si="3"/>
        <v>1.28603685</v>
      </c>
      <c r="R27" s="315">
        <v>10.0</v>
      </c>
      <c r="S27" s="315"/>
      <c r="T27" s="379">
        <f t="shared" si="16"/>
        <v>780</v>
      </c>
      <c r="U27" s="379">
        <f t="shared" si="17"/>
        <v>0.5342465753</v>
      </c>
      <c r="V27" s="379">
        <f t="shared" si="6"/>
        <v>0.5342465753</v>
      </c>
      <c r="W27" s="380" t="s">
        <v>450</v>
      </c>
      <c r="X27" s="370">
        <v>365.0</v>
      </c>
      <c r="Y27" s="315" t="s">
        <v>18</v>
      </c>
      <c r="Z27" s="384" t="str">
        <f t="shared" si="13"/>
        <v> </v>
      </c>
      <c r="AA27" s="382">
        <f t="shared" si="7"/>
        <v>1.820283425</v>
      </c>
      <c r="AB27" s="17"/>
      <c r="AC27" s="17"/>
      <c r="AD27" s="17"/>
      <c r="AE27" s="17"/>
      <c r="AF27" s="17"/>
      <c r="AG27" s="17"/>
      <c r="AH27" s="17"/>
      <c r="AI27" s="17"/>
      <c r="AJ27" s="17"/>
      <c r="AK27" s="17"/>
      <c r="AL27" s="17"/>
      <c r="AM27" s="17"/>
      <c r="AN27" s="17"/>
      <c r="AO27" s="17"/>
      <c r="AP27" s="17"/>
      <c r="AQ27" s="17"/>
    </row>
    <row r="28" ht="15.75" customHeight="1">
      <c r="A28" s="367"/>
      <c r="B28" s="387">
        <v>25.0</v>
      </c>
      <c r="C28" s="372" t="s">
        <v>2</v>
      </c>
      <c r="D28" s="326" t="s">
        <v>565</v>
      </c>
      <c r="E28" s="412" t="s">
        <v>455</v>
      </c>
      <c r="F28" s="387"/>
      <c r="G28" s="387" t="s">
        <v>457</v>
      </c>
      <c r="H28" s="402">
        <v>6500.0</v>
      </c>
      <c r="I28" s="402"/>
      <c r="J28" s="406"/>
      <c r="K28" s="376">
        <f t="shared" si="14"/>
        <v>0</v>
      </c>
      <c r="L28" s="406">
        <v>0.55</v>
      </c>
      <c r="M28" s="406">
        <v>2.5</v>
      </c>
      <c r="N28" s="377">
        <f t="shared" si="15"/>
        <v>1.375</v>
      </c>
      <c r="O28" s="378">
        <f>VLOOKUP($O$4,'Energia CEMIG'!$A$2:$C$5,3,0)</f>
        <v>0.8573579</v>
      </c>
      <c r="P28" s="376">
        <f t="shared" si="2"/>
        <v>0</v>
      </c>
      <c r="Q28" s="376" t="str">
        <f t="shared" si="3"/>
        <v> </v>
      </c>
      <c r="R28" s="406">
        <v>10.0</v>
      </c>
      <c r="S28" s="406">
        <v>2018.0</v>
      </c>
      <c r="T28" s="403"/>
      <c r="U28" s="403"/>
      <c r="V28" s="379" t="str">
        <f t="shared" si="6"/>
        <v> </v>
      </c>
      <c r="W28" s="413" t="s">
        <v>458</v>
      </c>
      <c r="X28" s="405">
        <v>365.0</v>
      </c>
      <c r="Y28" s="406" t="s">
        <v>18</v>
      </c>
      <c r="Z28" s="384" t="str">
        <f t="shared" si="13"/>
        <v> </v>
      </c>
      <c r="AA28" s="407">
        <f t="shared" si="7"/>
        <v>0</v>
      </c>
      <c r="AB28" s="17"/>
      <c r="AC28" s="17"/>
      <c r="AD28" s="17"/>
      <c r="AE28" s="17"/>
      <c r="AF28" s="17"/>
      <c r="AG28" s="17"/>
      <c r="AH28" s="17"/>
      <c r="AI28" s="17"/>
      <c r="AJ28" s="17"/>
      <c r="AK28" s="17"/>
      <c r="AL28" s="17"/>
      <c r="AM28" s="17"/>
      <c r="AN28" s="17"/>
      <c r="AO28" s="17"/>
      <c r="AP28" s="17"/>
      <c r="AQ28" s="17"/>
    </row>
    <row r="29" ht="33.0" customHeight="1">
      <c r="A29" s="367"/>
      <c r="B29" s="371">
        <v>26.0</v>
      </c>
      <c r="C29" s="372" t="s">
        <v>2</v>
      </c>
      <c r="D29" s="326" t="s">
        <v>565</v>
      </c>
      <c r="E29" s="326" t="s">
        <v>451</v>
      </c>
      <c r="F29" s="371" t="s">
        <v>452</v>
      </c>
      <c r="G29" s="371" t="s">
        <v>582</v>
      </c>
      <c r="H29" s="386">
        <v>26000.0</v>
      </c>
      <c r="I29" s="376">
        <v>26000.0</v>
      </c>
      <c r="J29" s="315">
        <v>1.0</v>
      </c>
      <c r="K29" s="376">
        <f t="shared" si="14"/>
        <v>26000</v>
      </c>
      <c r="L29" s="315">
        <f>1.1*0.8</f>
        <v>0.88</v>
      </c>
      <c r="M29" s="315">
        <v>2.5</v>
      </c>
      <c r="N29" s="377">
        <f t="shared" si="15"/>
        <v>2.2</v>
      </c>
      <c r="O29" s="378">
        <f>VLOOKUP($O$4,'Energia CEMIG'!$A$2:$C$5,3,0)</f>
        <v>0.8573579</v>
      </c>
      <c r="P29" s="376">
        <f t="shared" si="2"/>
        <v>1.88618738</v>
      </c>
      <c r="Q29" s="376">
        <f t="shared" si="3"/>
        <v>1.88618738</v>
      </c>
      <c r="R29" s="315">
        <v>10.0</v>
      </c>
      <c r="S29" s="315">
        <v>2017.0</v>
      </c>
      <c r="T29" s="379">
        <f t="shared" ref="T29:T44" si="18">IFERROR(1/R29*K29,0)</f>
        <v>2600</v>
      </c>
      <c r="U29" s="379">
        <f>IF(T29/365=0,0,T29/(365*8)*M29)</f>
        <v>2.226027397</v>
      </c>
      <c r="V29" s="379">
        <f t="shared" si="6"/>
        <v>2.226027397</v>
      </c>
      <c r="W29" s="372" t="s">
        <v>454</v>
      </c>
      <c r="X29" s="370">
        <v>365.0</v>
      </c>
      <c r="Y29" s="386">
        <v>200.0</v>
      </c>
      <c r="Z29" s="384">
        <f t="shared" si="13"/>
        <v>0.1712328767</v>
      </c>
      <c r="AA29" s="382">
        <f t="shared" si="7"/>
        <v>4.283447654</v>
      </c>
      <c r="AB29" s="17"/>
      <c r="AC29" s="17"/>
      <c r="AD29" s="17"/>
      <c r="AE29" s="17"/>
      <c r="AF29" s="17"/>
      <c r="AG29" s="17"/>
      <c r="AH29" s="17"/>
      <c r="AI29" s="17"/>
      <c r="AJ29" s="17"/>
      <c r="AK29" s="17"/>
      <c r="AL29" s="17"/>
      <c r="AM29" s="17"/>
      <c r="AN29" s="17"/>
      <c r="AO29" s="17"/>
      <c r="AP29" s="17"/>
      <c r="AQ29" s="17"/>
    </row>
    <row r="30" ht="46.5" customHeight="1">
      <c r="A30" s="367"/>
      <c r="B30" s="387">
        <v>27.0</v>
      </c>
      <c r="C30" s="372" t="s">
        <v>2</v>
      </c>
      <c r="D30" s="326" t="s">
        <v>558</v>
      </c>
      <c r="E30" s="412" t="s">
        <v>583</v>
      </c>
      <c r="F30" s="387"/>
      <c r="G30" s="387" t="s">
        <v>453</v>
      </c>
      <c r="H30" s="414">
        <v>50000.0</v>
      </c>
      <c r="I30" s="414">
        <v>50000.0</v>
      </c>
      <c r="J30" s="406">
        <v>1.0</v>
      </c>
      <c r="K30" s="376">
        <f t="shared" si="14"/>
        <v>50000</v>
      </c>
      <c r="L30" s="406"/>
      <c r="M30" s="406"/>
      <c r="N30" s="377">
        <f t="shared" si="15"/>
        <v>0</v>
      </c>
      <c r="O30" s="378">
        <f>VLOOKUP($O$4,'Energia CEMIG'!$A$2:$C$5,3,0)</f>
        <v>0.8573579</v>
      </c>
      <c r="P30" s="376">
        <f t="shared" si="2"/>
        <v>0</v>
      </c>
      <c r="Q30" s="376">
        <f t="shared" si="3"/>
        <v>0</v>
      </c>
      <c r="R30" s="406">
        <v>10.0</v>
      </c>
      <c r="S30" s="406"/>
      <c r="T30" s="403">
        <f t="shared" si="18"/>
        <v>5000</v>
      </c>
      <c r="U30" s="403"/>
      <c r="V30" s="379">
        <f t="shared" si="6"/>
        <v>0</v>
      </c>
      <c r="W30" s="413"/>
      <c r="X30" s="405"/>
      <c r="Y30" s="406"/>
      <c r="Z30" s="384">
        <f t="shared" si="13"/>
        <v>0</v>
      </c>
      <c r="AA30" s="407">
        <f t="shared" si="7"/>
        <v>0</v>
      </c>
      <c r="AB30" s="17"/>
      <c r="AC30" s="17"/>
      <c r="AD30" s="17"/>
      <c r="AE30" s="17"/>
      <c r="AF30" s="17"/>
      <c r="AG30" s="17"/>
      <c r="AH30" s="17"/>
      <c r="AI30" s="17"/>
      <c r="AJ30" s="17"/>
      <c r="AK30" s="17"/>
      <c r="AL30" s="17"/>
      <c r="AM30" s="17"/>
      <c r="AN30" s="17"/>
      <c r="AO30" s="17"/>
      <c r="AP30" s="17"/>
      <c r="AQ30" s="17"/>
    </row>
    <row r="31" ht="15.75" customHeight="1">
      <c r="A31" s="367"/>
      <c r="B31" s="371">
        <v>28.0</v>
      </c>
      <c r="C31" s="372" t="s">
        <v>2</v>
      </c>
      <c r="D31" s="326" t="s">
        <v>565</v>
      </c>
      <c r="E31" s="326" t="s">
        <v>584</v>
      </c>
      <c r="F31" s="371" t="s">
        <v>585</v>
      </c>
      <c r="G31" s="371" t="s">
        <v>388</v>
      </c>
      <c r="H31" s="375">
        <v>700.0</v>
      </c>
      <c r="I31" s="375">
        <v>700.0</v>
      </c>
      <c r="J31" s="315">
        <v>2.0</v>
      </c>
      <c r="K31" s="376">
        <f t="shared" si="14"/>
        <v>1400</v>
      </c>
      <c r="L31" s="315">
        <v>0.0</v>
      </c>
      <c r="M31" s="315">
        <v>2.5</v>
      </c>
      <c r="N31" s="377">
        <f t="shared" si="15"/>
        <v>0</v>
      </c>
      <c r="O31" s="378">
        <f>VLOOKUP($O$4,'Energia CEMIG'!$A$2:$C$5,3,0)</f>
        <v>0.8573579</v>
      </c>
      <c r="P31" s="376">
        <f t="shared" si="2"/>
        <v>0</v>
      </c>
      <c r="Q31" s="376">
        <f t="shared" si="3"/>
        <v>0</v>
      </c>
      <c r="R31" s="315">
        <v>10.0</v>
      </c>
      <c r="S31" s="315"/>
      <c r="T31" s="379">
        <f t="shared" si="18"/>
        <v>140</v>
      </c>
      <c r="U31" s="379"/>
      <c r="V31" s="379">
        <f t="shared" si="6"/>
        <v>0</v>
      </c>
      <c r="W31" s="380" t="s">
        <v>400</v>
      </c>
      <c r="X31" s="370">
        <v>365.0</v>
      </c>
      <c r="Y31" s="315" t="s">
        <v>18</v>
      </c>
      <c r="Z31" s="384" t="str">
        <f t="shared" si="13"/>
        <v> </v>
      </c>
      <c r="AA31" s="382">
        <f t="shared" si="7"/>
        <v>0</v>
      </c>
      <c r="AB31" s="17"/>
      <c r="AC31" s="17"/>
      <c r="AD31" s="17"/>
      <c r="AE31" s="17"/>
      <c r="AF31" s="17"/>
      <c r="AG31" s="17"/>
      <c r="AH31" s="17"/>
      <c r="AI31" s="17"/>
      <c r="AJ31" s="17"/>
      <c r="AK31" s="17"/>
      <c r="AL31" s="17"/>
      <c r="AM31" s="17"/>
      <c r="AN31" s="17"/>
      <c r="AO31" s="17"/>
      <c r="AP31" s="17"/>
      <c r="AQ31" s="17"/>
    </row>
    <row r="32" ht="15.75" customHeight="1">
      <c r="A32" s="367"/>
      <c r="B32" s="371"/>
      <c r="C32" s="372" t="s">
        <v>2</v>
      </c>
      <c r="D32" s="326" t="s">
        <v>563</v>
      </c>
      <c r="E32" s="326" t="s">
        <v>586</v>
      </c>
      <c r="F32" s="371" t="s">
        <v>444</v>
      </c>
      <c r="G32" s="371" t="s">
        <v>445</v>
      </c>
      <c r="H32" s="376">
        <v>211058.7</v>
      </c>
      <c r="I32" s="376">
        <v>211058.7</v>
      </c>
      <c r="J32" s="315">
        <v>1.0</v>
      </c>
      <c r="K32" s="376">
        <f t="shared" si="14"/>
        <v>211058.7</v>
      </c>
      <c r="L32" s="371">
        <f t="shared" ref="L32:L33" si="19">0.8*7</f>
        <v>5.6</v>
      </c>
      <c r="M32" s="371">
        <v>6.5</v>
      </c>
      <c r="N32" s="377">
        <f t="shared" si="15"/>
        <v>36.4</v>
      </c>
      <c r="O32" s="378">
        <f>VLOOKUP($O$4,'Energia CEMIG'!$A$2:$C$5,3,0)</f>
        <v>0.8573579</v>
      </c>
      <c r="P32" s="376">
        <f t="shared" si="2"/>
        <v>31.20782756</v>
      </c>
      <c r="Q32" s="376">
        <f t="shared" si="3"/>
        <v>31.20782756</v>
      </c>
      <c r="R32" s="315">
        <v>10.0</v>
      </c>
      <c r="S32" s="315">
        <v>2018.0</v>
      </c>
      <c r="T32" s="379">
        <f t="shared" si="18"/>
        <v>21105.87</v>
      </c>
      <c r="U32" s="379">
        <f t="shared" ref="U32:U33" si="20">IF(T32/365=0,0,T32/(365*8)*M32)</f>
        <v>46.98224486</v>
      </c>
      <c r="V32" s="379">
        <f t="shared" si="6"/>
        <v>46.98224486</v>
      </c>
      <c r="W32" s="372" t="s">
        <v>446</v>
      </c>
      <c r="X32" s="370">
        <v>178.0</v>
      </c>
      <c r="Y32" s="399">
        <v>160.0</v>
      </c>
      <c r="Z32" s="384">
        <f t="shared" si="13"/>
        <v>0.3561643836</v>
      </c>
      <c r="AA32" s="382">
        <f t="shared" si="7"/>
        <v>78.54623681</v>
      </c>
      <c r="AB32" s="17"/>
      <c r="AC32" s="17"/>
      <c r="AD32" s="17"/>
      <c r="AE32" s="17"/>
      <c r="AF32" s="17"/>
      <c r="AG32" s="17"/>
      <c r="AH32" s="17"/>
      <c r="AI32" s="17"/>
      <c r="AJ32" s="17"/>
      <c r="AK32" s="17"/>
      <c r="AL32" s="17"/>
      <c r="AM32" s="17"/>
      <c r="AN32" s="17"/>
      <c r="AO32" s="17"/>
      <c r="AP32" s="17"/>
      <c r="AQ32" s="17"/>
    </row>
    <row r="33" ht="38.25" customHeight="1">
      <c r="A33" s="367"/>
      <c r="B33" s="371">
        <v>29.0</v>
      </c>
      <c r="C33" s="372" t="s">
        <v>2</v>
      </c>
      <c r="D33" s="326" t="s">
        <v>563</v>
      </c>
      <c r="E33" s="326" t="s">
        <v>24</v>
      </c>
      <c r="F33" s="371" t="s">
        <v>444</v>
      </c>
      <c r="G33" s="371" t="s">
        <v>445</v>
      </c>
      <c r="H33" s="399">
        <v>211058.7</v>
      </c>
      <c r="I33" s="376">
        <v>211058.7</v>
      </c>
      <c r="J33" s="315">
        <v>1.0</v>
      </c>
      <c r="K33" s="376">
        <f t="shared" si="14"/>
        <v>211058.7</v>
      </c>
      <c r="L33" s="371">
        <f t="shared" si="19"/>
        <v>5.6</v>
      </c>
      <c r="M33" s="371">
        <v>24.0</v>
      </c>
      <c r="N33" s="377">
        <f t="shared" si="15"/>
        <v>134.4</v>
      </c>
      <c r="O33" s="378">
        <f>VLOOKUP($O$4,'Energia CEMIG'!$A$2:$C$5,3,0)</f>
        <v>0.8573579</v>
      </c>
      <c r="P33" s="376">
        <f t="shared" si="2"/>
        <v>115.2289018</v>
      </c>
      <c r="Q33" s="376">
        <f t="shared" si="3"/>
        <v>115.2289018</v>
      </c>
      <c r="R33" s="315">
        <v>10.0</v>
      </c>
      <c r="S33" s="315">
        <v>2018.0</v>
      </c>
      <c r="T33" s="379">
        <f t="shared" si="18"/>
        <v>21105.87</v>
      </c>
      <c r="U33" s="379">
        <f t="shared" si="20"/>
        <v>173.4729041</v>
      </c>
      <c r="V33" s="379">
        <f t="shared" si="6"/>
        <v>173.4729041</v>
      </c>
      <c r="W33" s="372" t="s">
        <v>446</v>
      </c>
      <c r="X33" s="370">
        <v>178.0</v>
      </c>
      <c r="Y33" s="399">
        <v>160.0</v>
      </c>
      <c r="Z33" s="384">
        <f t="shared" si="13"/>
        <v>1.315068493</v>
      </c>
      <c r="AA33" s="382">
        <f t="shared" si="7"/>
        <v>290.0168744</v>
      </c>
      <c r="AB33" s="17"/>
      <c r="AC33" s="17"/>
      <c r="AD33" s="17"/>
      <c r="AE33" s="17"/>
      <c r="AF33" s="17"/>
      <c r="AG33" s="17"/>
      <c r="AH33" s="17"/>
      <c r="AI33" s="17"/>
      <c r="AJ33" s="17"/>
      <c r="AK33" s="17"/>
      <c r="AL33" s="17"/>
      <c r="AM33" s="17"/>
      <c r="AN33" s="17"/>
      <c r="AO33" s="17"/>
      <c r="AP33" s="17"/>
      <c r="AQ33" s="17"/>
    </row>
    <row r="34" ht="15.75" customHeight="1">
      <c r="A34" s="367"/>
      <c r="B34" s="371">
        <v>30.0</v>
      </c>
      <c r="C34" s="372" t="s">
        <v>2</v>
      </c>
      <c r="D34" s="326" t="s">
        <v>563</v>
      </c>
      <c r="E34" s="326" t="s">
        <v>447</v>
      </c>
      <c r="F34" s="371" t="s">
        <v>448</v>
      </c>
      <c r="G34" s="371" t="s">
        <v>449</v>
      </c>
      <c r="H34" s="399">
        <v>2950.0</v>
      </c>
      <c r="I34" s="376">
        <v>2950.0</v>
      </c>
      <c r="J34" s="315">
        <v>1.0</v>
      </c>
      <c r="K34" s="376">
        <f t="shared" si="14"/>
        <v>2950</v>
      </c>
      <c r="L34" s="415">
        <v>0.67</v>
      </c>
      <c r="M34" s="371">
        <v>12.5</v>
      </c>
      <c r="N34" s="377">
        <f t="shared" si="15"/>
        <v>8.375</v>
      </c>
      <c r="O34" s="378">
        <f>VLOOKUP($O$4,'Energia CEMIG'!$A$2:$C$5,3,0)</f>
        <v>0.8573579</v>
      </c>
      <c r="P34" s="376">
        <f t="shared" si="2"/>
        <v>7.180372413</v>
      </c>
      <c r="Q34" s="376">
        <f t="shared" si="3"/>
        <v>7.180372413</v>
      </c>
      <c r="R34" s="315">
        <v>10.0</v>
      </c>
      <c r="S34" s="315">
        <v>2018.0</v>
      </c>
      <c r="T34" s="379">
        <f t="shared" si="18"/>
        <v>295</v>
      </c>
      <c r="U34" s="379"/>
      <c r="V34" s="379">
        <f t="shared" si="6"/>
        <v>0</v>
      </c>
      <c r="W34" s="380" t="s">
        <v>450</v>
      </c>
      <c r="X34" s="370">
        <v>365.0</v>
      </c>
      <c r="Y34" s="315" t="s">
        <v>18</v>
      </c>
      <c r="Z34" s="384" t="str">
        <f t="shared" si="13"/>
        <v> </v>
      </c>
      <c r="AA34" s="382">
        <f t="shared" si="7"/>
        <v>7.180372413</v>
      </c>
      <c r="AB34" s="17"/>
      <c r="AC34" s="17"/>
      <c r="AD34" s="17"/>
      <c r="AE34" s="17"/>
      <c r="AF34" s="17"/>
      <c r="AG34" s="17"/>
      <c r="AH34" s="17"/>
      <c r="AI34" s="17"/>
      <c r="AJ34" s="17"/>
      <c r="AK34" s="17"/>
      <c r="AL34" s="17"/>
      <c r="AM34" s="17"/>
      <c r="AN34" s="17"/>
      <c r="AO34" s="17"/>
      <c r="AP34" s="17"/>
      <c r="AQ34" s="17"/>
    </row>
    <row r="35" ht="15.75" customHeight="1">
      <c r="A35" s="367"/>
      <c r="B35" s="371">
        <v>31.0</v>
      </c>
      <c r="C35" s="372" t="s">
        <v>3</v>
      </c>
      <c r="D35" s="326" t="s">
        <v>22</v>
      </c>
      <c r="E35" s="326" t="s">
        <v>587</v>
      </c>
      <c r="F35" s="416" t="s">
        <v>588</v>
      </c>
      <c r="G35" s="371" t="s">
        <v>589</v>
      </c>
      <c r="H35" s="399">
        <v>110500.0</v>
      </c>
      <c r="I35" s="376">
        <v>110500.0</v>
      </c>
      <c r="J35" s="315">
        <v>1.0</v>
      </c>
      <c r="K35" s="376">
        <f t="shared" si="14"/>
        <v>110500</v>
      </c>
      <c r="L35" s="315">
        <v>4.0</v>
      </c>
      <c r="M35" s="315">
        <v>130.0</v>
      </c>
      <c r="N35" s="377">
        <f t="shared" si="15"/>
        <v>520</v>
      </c>
      <c r="O35" s="378">
        <f>VLOOKUP($O$4,'Energia CEMIG'!$A$2:$C$5,3,0)</f>
        <v>0.8573579</v>
      </c>
      <c r="P35" s="376">
        <f t="shared" si="2"/>
        <v>445.826108</v>
      </c>
      <c r="Q35" s="376">
        <f t="shared" si="3"/>
        <v>445.826108</v>
      </c>
      <c r="R35" s="315">
        <v>10.0</v>
      </c>
      <c r="S35" s="315">
        <v>2019.0</v>
      </c>
      <c r="T35" s="379">
        <f t="shared" si="18"/>
        <v>11050</v>
      </c>
      <c r="U35" s="379">
        <f t="shared" ref="U35:U44" si="21">IF(T35/365=0,0,T35/(365*8)*M35)</f>
        <v>491.9520548</v>
      </c>
      <c r="V35" s="379">
        <f t="shared" si="6"/>
        <v>491.9520548</v>
      </c>
      <c r="W35" s="380" t="s">
        <v>400</v>
      </c>
      <c r="X35" s="370">
        <v>365.0</v>
      </c>
      <c r="Y35" s="315" t="s">
        <v>18</v>
      </c>
      <c r="Z35" s="384" t="str">
        <f t="shared" si="13"/>
        <v> </v>
      </c>
      <c r="AA35" s="382">
        <f t="shared" si="7"/>
        <v>937.7781628</v>
      </c>
      <c r="AB35" s="17"/>
      <c r="AC35" s="17"/>
      <c r="AD35" s="17"/>
      <c r="AE35" s="17"/>
      <c r="AF35" s="17"/>
      <c r="AG35" s="17"/>
      <c r="AH35" s="17"/>
      <c r="AI35" s="17"/>
      <c r="AJ35" s="17"/>
      <c r="AK35" s="17"/>
      <c r="AL35" s="17"/>
      <c r="AM35" s="17"/>
      <c r="AN35" s="17"/>
      <c r="AO35" s="17"/>
      <c r="AP35" s="17"/>
      <c r="AQ35" s="17"/>
    </row>
    <row r="36" ht="45.0" customHeight="1">
      <c r="A36" s="367"/>
      <c r="B36" s="371">
        <v>32.0</v>
      </c>
      <c r="C36" s="372" t="s">
        <v>3</v>
      </c>
      <c r="D36" s="326" t="s">
        <v>459</v>
      </c>
      <c r="E36" s="326" t="s">
        <v>482</v>
      </c>
      <c r="F36" s="416" t="s">
        <v>590</v>
      </c>
      <c r="G36" s="371" t="s">
        <v>484</v>
      </c>
      <c r="H36" s="399">
        <v>76000.0</v>
      </c>
      <c r="I36" s="376">
        <v>76000.0</v>
      </c>
      <c r="J36" s="315">
        <v>1.0</v>
      </c>
      <c r="K36" s="376">
        <f t="shared" si="14"/>
        <v>76000</v>
      </c>
      <c r="L36" s="417">
        <v>1.2</v>
      </c>
      <c r="M36" s="315">
        <v>180.0</v>
      </c>
      <c r="N36" s="377">
        <f t="shared" si="15"/>
        <v>216</v>
      </c>
      <c r="O36" s="378">
        <f>VLOOKUP($O$4,'Energia CEMIG'!$A$2:$C$5,3,0)</f>
        <v>0.8573579</v>
      </c>
      <c r="P36" s="376">
        <f t="shared" si="2"/>
        <v>185.1893064</v>
      </c>
      <c r="Q36" s="376">
        <f t="shared" si="3"/>
        <v>185.1893064</v>
      </c>
      <c r="R36" s="315">
        <v>10.0</v>
      </c>
      <c r="S36" s="315">
        <v>2019.0</v>
      </c>
      <c r="T36" s="379">
        <f t="shared" si="18"/>
        <v>7600</v>
      </c>
      <c r="U36" s="379">
        <f t="shared" si="21"/>
        <v>468.4931507</v>
      </c>
      <c r="V36" s="379">
        <f t="shared" si="6"/>
        <v>468.4931507</v>
      </c>
      <c r="W36" s="372" t="s">
        <v>464</v>
      </c>
      <c r="X36" s="370">
        <v>365.0</v>
      </c>
      <c r="Y36" s="315" t="s">
        <v>18</v>
      </c>
      <c r="Z36" s="384" t="str">
        <f t="shared" si="13"/>
        <v> </v>
      </c>
      <c r="AA36" s="382">
        <f t="shared" si="7"/>
        <v>653.6824571</v>
      </c>
      <c r="AB36" s="17"/>
      <c r="AC36" s="17"/>
      <c r="AD36" s="17"/>
      <c r="AE36" s="17"/>
      <c r="AF36" s="17"/>
      <c r="AG36" s="17"/>
      <c r="AH36" s="17"/>
      <c r="AI36" s="17"/>
      <c r="AJ36" s="17"/>
      <c r="AK36" s="17"/>
      <c r="AL36" s="17"/>
      <c r="AM36" s="17"/>
      <c r="AN36" s="17"/>
      <c r="AO36" s="17"/>
      <c r="AP36" s="17"/>
      <c r="AQ36" s="17"/>
    </row>
    <row r="37" ht="33.75" customHeight="1">
      <c r="A37" s="367"/>
      <c r="B37" s="387"/>
      <c r="C37" s="372" t="s">
        <v>3</v>
      </c>
      <c r="D37" s="326" t="s">
        <v>459</v>
      </c>
      <c r="E37" s="412" t="s">
        <v>465</v>
      </c>
      <c r="F37" s="418"/>
      <c r="G37" s="387"/>
      <c r="H37" s="419"/>
      <c r="I37" s="402"/>
      <c r="J37" s="406"/>
      <c r="K37" s="376" t="str">
        <f t="shared" si="14"/>
        <v/>
      </c>
      <c r="L37" s="406">
        <v>0.75</v>
      </c>
      <c r="M37" s="406">
        <v>180.0</v>
      </c>
      <c r="N37" s="377">
        <f t="shared" si="15"/>
        <v>135</v>
      </c>
      <c r="O37" s="378">
        <f>VLOOKUP($O$4,'Energia CEMIG'!$A$2:$C$5,3,0)</f>
        <v>0.8573579</v>
      </c>
      <c r="P37" s="376">
        <f t="shared" si="2"/>
        <v>0</v>
      </c>
      <c r="Q37" s="376" t="str">
        <f t="shared" si="3"/>
        <v> </v>
      </c>
      <c r="R37" s="406">
        <v>10.0</v>
      </c>
      <c r="S37" s="406">
        <v>2019.0</v>
      </c>
      <c r="T37" s="379">
        <f t="shared" si="18"/>
        <v>0</v>
      </c>
      <c r="U37" s="379">
        <f t="shared" si="21"/>
        <v>0</v>
      </c>
      <c r="V37" s="379" t="str">
        <f t="shared" si="6"/>
        <v> </v>
      </c>
      <c r="W37" s="388" t="s">
        <v>468</v>
      </c>
      <c r="X37" s="370">
        <v>365.0</v>
      </c>
      <c r="Y37" s="315"/>
      <c r="Z37" s="384">
        <f t="shared" si="13"/>
        <v>0</v>
      </c>
      <c r="AA37" s="382">
        <f t="shared" si="7"/>
        <v>0</v>
      </c>
      <c r="AB37" s="17"/>
      <c r="AC37" s="17"/>
      <c r="AD37" s="17"/>
      <c r="AE37" s="17"/>
      <c r="AF37" s="17"/>
      <c r="AG37" s="17"/>
      <c r="AH37" s="17"/>
      <c r="AI37" s="17"/>
      <c r="AJ37" s="17"/>
      <c r="AK37" s="17"/>
      <c r="AL37" s="17"/>
      <c r="AM37" s="17"/>
      <c r="AN37" s="17"/>
      <c r="AO37" s="17"/>
      <c r="AP37" s="17"/>
      <c r="AQ37" s="17"/>
    </row>
    <row r="38" ht="15.75" customHeight="1">
      <c r="A38" s="367"/>
      <c r="B38" s="371">
        <v>33.0</v>
      </c>
      <c r="C38" s="372" t="s">
        <v>3</v>
      </c>
      <c r="D38" s="326" t="s">
        <v>459</v>
      </c>
      <c r="E38" s="326" t="s">
        <v>485</v>
      </c>
      <c r="F38" s="371"/>
      <c r="G38" s="371" t="s">
        <v>484</v>
      </c>
      <c r="H38" s="399">
        <v>16000.0</v>
      </c>
      <c r="I38" s="376">
        <v>16000.0</v>
      </c>
      <c r="J38" s="315">
        <v>1.0</v>
      </c>
      <c r="K38" s="376">
        <f t="shared" si="14"/>
        <v>16000</v>
      </c>
      <c r="L38" s="315">
        <v>0.45</v>
      </c>
      <c r="M38" s="315">
        <v>180.0</v>
      </c>
      <c r="N38" s="377">
        <f t="shared" si="15"/>
        <v>81</v>
      </c>
      <c r="O38" s="378">
        <f>VLOOKUP($O$4,'Energia CEMIG'!$A$2:$C$5,3,0)</f>
        <v>0.8573579</v>
      </c>
      <c r="P38" s="376">
        <f t="shared" si="2"/>
        <v>69.4459899</v>
      </c>
      <c r="Q38" s="376">
        <f t="shared" si="3"/>
        <v>69.4459899</v>
      </c>
      <c r="R38" s="315">
        <v>10.0</v>
      </c>
      <c r="S38" s="315">
        <v>2019.0</v>
      </c>
      <c r="T38" s="379">
        <f t="shared" si="18"/>
        <v>1600</v>
      </c>
      <c r="U38" s="379">
        <f t="shared" si="21"/>
        <v>98.63013699</v>
      </c>
      <c r="V38" s="379">
        <f t="shared" si="6"/>
        <v>98.63013699</v>
      </c>
      <c r="W38" s="380" t="s">
        <v>450</v>
      </c>
      <c r="X38" s="370">
        <v>365.0</v>
      </c>
      <c r="Y38" s="315" t="s">
        <v>18</v>
      </c>
      <c r="Z38" s="384" t="str">
        <f t="shared" si="13"/>
        <v> </v>
      </c>
      <c r="AA38" s="382">
        <f t="shared" si="7"/>
        <v>168.0761269</v>
      </c>
      <c r="AB38" s="17"/>
      <c r="AC38" s="17"/>
      <c r="AD38" s="17"/>
      <c r="AE38" s="17"/>
      <c r="AF38" s="17"/>
      <c r="AG38" s="17"/>
      <c r="AH38" s="17"/>
      <c r="AI38" s="17"/>
      <c r="AJ38" s="17"/>
      <c r="AK38" s="17"/>
      <c r="AL38" s="17"/>
      <c r="AM38" s="17"/>
      <c r="AN38" s="17"/>
      <c r="AO38" s="17"/>
      <c r="AP38" s="17"/>
      <c r="AQ38" s="17"/>
    </row>
    <row r="39" ht="15.75" customHeight="1">
      <c r="A39" s="367"/>
      <c r="B39" s="371">
        <v>34.0</v>
      </c>
      <c r="C39" s="372" t="s">
        <v>3</v>
      </c>
      <c r="D39" s="326"/>
      <c r="E39" s="420" t="s">
        <v>591</v>
      </c>
      <c r="F39" s="421"/>
      <c r="G39" s="421"/>
      <c r="H39" s="422">
        <v>15000.0</v>
      </c>
      <c r="I39" s="423">
        <v>15000.0</v>
      </c>
      <c r="J39" s="368">
        <v>1.0</v>
      </c>
      <c r="K39" s="376">
        <f t="shared" si="14"/>
        <v>15000</v>
      </c>
      <c r="L39" s="368">
        <v>0.55</v>
      </c>
      <c r="M39" s="371">
        <v>12.0</v>
      </c>
      <c r="N39" s="377">
        <f t="shared" si="15"/>
        <v>6.6</v>
      </c>
      <c r="O39" s="378">
        <f>VLOOKUP($O$4,'Energia CEMIG'!$A$2:$C$5,3,0)</f>
        <v>0.8573579</v>
      </c>
      <c r="P39" s="376">
        <f t="shared" si="2"/>
        <v>5.65856214</v>
      </c>
      <c r="Q39" s="376">
        <f t="shared" si="3"/>
        <v>5.65856214</v>
      </c>
      <c r="R39" s="368">
        <v>10.0</v>
      </c>
      <c r="S39" s="368"/>
      <c r="T39" s="424">
        <f t="shared" si="18"/>
        <v>1500</v>
      </c>
      <c r="U39" s="424">
        <f t="shared" si="21"/>
        <v>6.164383562</v>
      </c>
      <c r="V39" s="379">
        <f t="shared" si="6"/>
        <v>6.164383562</v>
      </c>
      <c r="W39" s="380" t="s">
        <v>450</v>
      </c>
      <c r="X39" s="370">
        <v>365.0</v>
      </c>
      <c r="Y39" s="315" t="s">
        <v>18</v>
      </c>
      <c r="Z39" s="384" t="str">
        <f t="shared" si="13"/>
        <v> </v>
      </c>
      <c r="AA39" s="382">
        <f t="shared" si="7"/>
        <v>11.8229457</v>
      </c>
      <c r="AB39" s="17"/>
      <c r="AC39" s="17"/>
      <c r="AD39" s="17"/>
      <c r="AE39" s="17"/>
      <c r="AF39" s="17"/>
      <c r="AG39" s="17"/>
      <c r="AH39" s="17"/>
      <c r="AI39" s="17"/>
      <c r="AJ39" s="17"/>
      <c r="AK39" s="17"/>
      <c r="AL39" s="17"/>
      <c r="AM39" s="17"/>
      <c r="AN39" s="17"/>
      <c r="AO39" s="17"/>
      <c r="AP39" s="17"/>
      <c r="AQ39" s="17"/>
    </row>
    <row r="40" ht="15.75" customHeight="1">
      <c r="A40" s="367"/>
      <c r="B40" s="387">
        <v>35.0</v>
      </c>
      <c r="C40" s="372" t="s">
        <v>3</v>
      </c>
      <c r="D40" s="326"/>
      <c r="E40" s="425" t="s">
        <v>592</v>
      </c>
      <c r="F40" s="387" t="s">
        <v>593</v>
      </c>
      <c r="G40" s="387" t="s">
        <v>594</v>
      </c>
      <c r="H40" s="419">
        <v>65000.0</v>
      </c>
      <c r="I40" s="419">
        <v>65000.0</v>
      </c>
      <c r="J40" s="425">
        <v>1.0</v>
      </c>
      <c r="K40" s="376">
        <f t="shared" si="14"/>
        <v>65000</v>
      </c>
      <c r="L40" s="368">
        <v>2.0</v>
      </c>
      <c r="M40" s="425"/>
      <c r="N40" s="377">
        <f t="shared" si="15"/>
        <v>0</v>
      </c>
      <c r="O40" s="378">
        <f>VLOOKUP($O$4,'Energia CEMIG'!$A$2:$C$5,3,0)</f>
        <v>0.8573579</v>
      </c>
      <c r="P40" s="376">
        <f t="shared" si="2"/>
        <v>0</v>
      </c>
      <c r="Q40" s="376">
        <f t="shared" si="3"/>
        <v>0</v>
      </c>
      <c r="R40" s="406">
        <v>10.0</v>
      </c>
      <c r="S40" s="387">
        <v>2019.0</v>
      </c>
      <c r="T40" s="424">
        <f t="shared" si="18"/>
        <v>6500</v>
      </c>
      <c r="U40" s="424">
        <f t="shared" si="21"/>
        <v>0</v>
      </c>
      <c r="V40" s="379">
        <f t="shared" si="6"/>
        <v>0</v>
      </c>
      <c r="W40" s="413"/>
      <c r="X40" s="405"/>
      <c r="Y40" s="406"/>
      <c r="Z40" s="384">
        <f t="shared" si="13"/>
        <v>0</v>
      </c>
      <c r="AA40" s="407">
        <f t="shared" si="7"/>
        <v>0</v>
      </c>
      <c r="AB40" s="17"/>
      <c r="AC40" s="17"/>
      <c r="AD40" s="17"/>
      <c r="AE40" s="17"/>
      <c r="AF40" s="17"/>
      <c r="AG40" s="17"/>
      <c r="AH40" s="17"/>
      <c r="AI40" s="17"/>
      <c r="AJ40" s="17"/>
      <c r="AK40" s="17"/>
      <c r="AL40" s="17"/>
      <c r="AM40" s="17"/>
      <c r="AN40" s="17"/>
      <c r="AO40" s="17"/>
      <c r="AP40" s="17"/>
      <c r="AQ40" s="17"/>
    </row>
    <row r="41" ht="30.75" customHeight="1">
      <c r="A41" s="367"/>
      <c r="B41" s="387">
        <v>36.0</v>
      </c>
      <c r="C41" s="372" t="s">
        <v>3</v>
      </c>
      <c r="D41" s="326" t="s">
        <v>569</v>
      </c>
      <c r="E41" s="425" t="s">
        <v>477</v>
      </c>
      <c r="F41" s="387" t="s">
        <v>595</v>
      </c>
      <c r="G41" s="387" t="s">
        <v>594</v>
      </c>
      <c r="H41" s="419">
        <v>307800.0</v>
      </c>
      <c r="I41" s="419">
        <v>307800.0</v>
      </c>
      <c r="J41" s="425">
        <v>1.0</v>
      </c>
      <c r="K41" s="376">
        <f t="shared" si="14"/>
        <v>307800</v>
      </c>
      <c r="L41" s="368">
        <v>8.0</v>
      </c>
      <c r="M41" s="425"/>
      <c r="N41" s="377">
        <f t="shared" si="15"/>
        <v>0</v>
      </c>
      <c r="O41" s="378">
        <f>VLOOKUP($O$4,'Energia CEMIG'!$A$2:$C$5,3,0)</f>
        <v>0.8573579</v>
      </c>
      <c r="P41" s="376">
        <f t="shared" si="2"/>
        <v>0</v>
      </c>
      <c r="Q41" s="376">
        <f t="shared" si="3"/>
        <v>0</v>
      </c>
      <c r="R41" s="406">
        <v>10.0</v>
      </c>
      <c r="S41" s="387">
        <v>2018.0</v>
      </c>
      <c r="T41" s="424">
        <f t="shared" si="18"/>
        <v>30780</v>
      </c>
      <c r="U41" s="424">
        <f t="shared" si="21"/>
        <v>0</v>
      </c>
      <c r="V41" s="379">
        <f t="shared" si="6"/>
        <v>0</v>
      </c>
      <c r="W41" s="413"/>
      <c r="X41" s="405"/>
      <c r="Y41" s="406"/>
      <c r="Z41" s="384">
        <f t="shared" si="13"/>
        <v>0</v>
      </c>
      <c r="AA41" s="407">
        <f t="shared" si="7"/>
        <v>0</v>
      </c>
      <c r="AB41" s="17"/>
      <c r="AC41" s="17"/>
      <c r="AD41" s="17"/>
      <c r="AE41" s="17"/>
      <c r="AF41" s="17"/>
      <c r="AG41" s="17"/>
      <c r="AH41" s="17"/>
      <c r="AI41" s="17"/>
      <c r="AJ41" s="17"/>
      <c r="AK41" s="17"/>
      <c r="AL41" s="17"/>
      <c r="AM41" s="17"/>
      <c r="AN41" s="17"/>
      <c r="AO41" s="17"/>
      <c r="AP41" s="17"/>
      <c r="AQ41" s="17"/>
    </row>
    <row r="42" ht="39.0" customHeight="1">
      <c r="A42" s="367"/>
      <c r="B42" s="387">
        <v>37.0</v>
      </c>
      <c r="C42" s="372" t="s">
        <v>3</v>
      </c>
      <c r="D42" s="326" t="s">
        <v>569</v>
      </c>
      <c r="E42" s="425" t="s">
        <v>596</v>
      </c>
      <c r="F42" s="387" t="s">
        <v>597</v>
      </c>
      <c r="G42" s="387" t="s">
        <v>598</v>
      </c>
      <c r="H42" s="419">
        <v>55360.0</v>
      </c>
      <c r="I42" s="419">
        <v>58630.0</v>
      </c>
      <c r="J42" s="425">
        <v>1.0</v>
      </c>
      <c r="K42" s="376">
        <f t="shared" si="14"/>
        <v>55360</v>
      </c>
      <c r="L42" s="425"/>
      <c r="M42" s="425"/>
      <c r="N42" s="377">
        <f t="shared" si="15"/>
        <v>0</v>
      </c>
      <c r="O42" s="378">
        <f>VLOOKUP($O$4,'Energia CEMIG'!$A$2:$C$5,3,0)</f>
        <v>0.8573579</v>
      </c>
      <c r="P42" s="376">
        <f t="shared" si="2"/>
        <v>0</v>
      </c>
      <c r="Q42" s="376">
        <f t="shared" si="3"/>
        <v>0</v>
      </c>
      <c r="R42" s="406">
        <v>10.0</v>
      </c>
      <c r="S42" s="387">
        <v>2019.0</v>
      </c>
      <c r="T42" s="424">
        <f t="shared" si="18"/>
        <v>5536</v>
      </c>
      <c r="U42" s="424">
        <f t="shared" si="21"/>
        <v>0</v>
      </c>
      <c r="V42" s="379">
        <f t="shared" si="6"/>
        <v>0</v>
      </c>
      <c r="W42" s="413"/>
      <c r="X42" s="405"/>
      <c r="Y42" s="406"/>
      <c r="Z42" s="384">
        <f t="shared" si="13"/>
        <v>0</v>
      </c>
      <c r="AA42" s="407">
        <f t="shared" si="7"/>
        <v>0</v>
      </c>
      <c r="AB42" s="17"/>
      <c r="AC42" s="17"/>
      <c r="AD42" s="17"/>
      <c r="AE42" s="17"/>
      <c r="AF42" s="17"/>
      <c r="AG42" s="17"/>
      <c r="AH42" s="17"/>
      <c r="AI42" s="17"/>
      <c r="AJ42" s="17"/>
      <c r="AK42" s="17"/>
      <c r="AL42" s="17"/>
      <c r="AM42" s="17"/>
      <c r="AN42" s="17"/>
      <c r="AO42" s="17"/>
      <c r="AP42" s="17"/>
      <c r="AQ42" s="17"/>
    </row>
    <row r="43" ht="15.75" customHeight="1">
      <c r="A43" s="367"/>
      <c r="B43" s="387">
        <v>38.0</v>
      </c>
      <c r="C43" s="372" t="s">
        <v>3</v>
      </c>
      <c r="D43" s="326"/>
      <c r="E43" s="425" t="s">
        <v>599</v>
      </c>
      <c r="F43" s="387" t="s">
        <v>600</v>
      </c>
      <c r="G43" s="387" t="s">
        <v>601</v>
      </c>
      <c r="H43" s="426">
        <v>30500.0</v>
      </c>
      <c r="I43" s="426">
        <v>31420.0</v>
      </c>
      <c r="J43" s="425">
        <v>1.0</v>
      </c>
      <c r="K43" s="376">
        <f t="shared" si="14"/>
        <v>30500</v>
      </c>
      <c r="L43" s="425"/>
      <c r="M43" s="425"/>
      <c r="N43" s="377">
        <f t="shared" si="15"/>
        <v>0</v>
      </c>
      <c r="O43" s="378">
        <f>VLOOKUP($O$4,'Energia CEMIG'!$A$2:$C$5,3,0)</f>
        <v>0.8573579</v>
      </c>
      <c r="P43" s="376">
        <f t="shared" si="2"/>
        <v>0</v>
      </c>
      <c r="Q43" s="376">
        <f t="shared" si="3"/>
        <v>0</v>
      </c>
      <c r="R43" s="406">
        <v>10.0</v>
      </c>
      <c r="S43" s="387">
        <v>2017.0</v>
      </c>
      <c r="T43" s="424">
        <f t="shared" si="18"/>
        <v>3050</v>
      </c>
      <c r="U43" s="424">
        <f t="shared" si="21"/>
        <v>0</v>
      </c>
      <c r="V43" s="379">
        <f t="shared" si="6"/>
        <v>0</v>
      </c>
      <c r="W43" s="413"/>
      <c r="X43" s="405"/>
      <c r="Y43" s="406"/>
      <c r="Z43" s="384">
        <f t="shared" si="13"/>
        <v>0</v>
      </c>
      <c r="AA43" s="407">
        <f t="shared" si="7"/>
        <v>0</v>
      </c>
      <c r="AB43" s="17"/>
      <c r="AC43" s="17"/>
      <c r="AD43" s="17"/>
      <c r="AE43" s="17"/>
      <c r="AF43" s="17"/>
      <c r="AG43" s="17"/>
      <c r="AH43" s="17"/>
      <c r="AI43" s="17"/>
      <c r="AJ43" s="17"/>
      <c r="AK43" s="17"/>
      <c r="AL43" s="17"/>
      <c r="AM43" s="17"/>
      <c r="AN43" s="17"/>
      <c r="AO43" s="17"/>
      <c r="AP43" s="17"/>
      <c r="AQ43" s="17"/>
    </row>
    <row r="44" ht="29.25" customHeight="1">
      <c r="A44" s="367"/>
      <c r="B44" s="387">
        <v>39.0</v>
      </c>
      <c r="C44" s="372" t="s">
        <v>3</v>
      </c>
      <c r="D44" s="326"/>
      <c r="E44" s="425" t="s">
        <v>602</v>
      </c>
      <c r="F44" s="387" t="s">
        <v>603</v>
      </c>
      <c r="G44" s="387" t="s">
        <v>604</v>
      </c>
      <c r="H44" s="419">
        <v>31895.36</v>
      </c>
      <c r="I44" s="427">
        <v>5370.0</v>
      </c>
      <c r="J44" s="425">
        <v>1.0</v>
      </c>
      <c r="K44" s="376">
        <f t="shared" si="14"/>
        <v>31895.36</v>
      </c>
      <c r="L44" s="425"/>
      <c r="M44" s="425"/>
      <c r="N44" s="377">
        <f t="shared" si="15"/>
        <v>0</v>
      </c>
      <c r="O44" s="378">
        <f>VLOOKUP($O$4,'Energia CEMIG'!$A$2:$C$5,3,0)</f>
        <v>0.8573579</v>
      </c>
      <c r="P44" s="376">
        <f t="shared" si="2"/>
        <v>0</v>
      </c>
      <c r="Q44" s="376">
        <f t="shared" si="3"/>
        <v>0</v>
      </c>
      <c r="R44" s="406">
        <v>10.0</v>
      </c>
      <c r="S44" s="387">
        <v>2019.0</v>
      </c>
      <c r="T44" s="379">
        <f t="shared" si="18"/>
        <v>3189.536</v>
      </c>
      <c r="U44" s="379">
        <f t="shared" si="21"/>
        <v>0</v>
      </c>
      <c r="V44" s="379">
        <f t="shared" si="6"/>
        <v>0</v>
      </c>
      <c r="W44" s="413"/>
      <c r="X44" s="405"/>
      <c r="Y44" s="406"/>
      <c r="Z44" s="384">
        <f t="shared" si="13"/>
        <v>0</v>
      </c>
      <c r="AA44" s="407">
        <f t="shared" si="7"/>
        <v>0</v>
      </c>
      <c r="AB44" s="17"/>
      <c r="AC44" s="17"/>
      <c r="AD44" s="17"/>
      <c r="AE44" s="17"/>
      <c r="AF44" s="17"/>
      <c r="AG44" s="17"/>
      <c r="AH44" s="17"/>
      <c r="AI44" s="17"/>
      <c r="AJ44" s="17"/>
      <c r="AK44" s="17"/>
      <c r="AL44" s="17"/>
      <c r="AM44" s="17"/>
      <c r="AN44" s="17"/>
      <c r="AO44" s="17"/>
      <c r="AP44" s="17"/>
      <c r="AQ44" s="17"/>
    </row>
    <row r="45" ht="15.75" customHeight="1">
      <c r="A45" s="367"/>
      <c r="B45" s="428"/>
      <c r="C45" s="429"/>
      <c r="D45" s="429"/>
      <c r="E45" s="429"/>
      <c r="F45" s="428"/>
      <c r="G45" s="428"/>
      <c r="H45" s="428"/>
      <c r="I45" s="367"/>
      <c r="J45" s="429"/>
      <c r="K45" s="367"/>
      <c r="L45" s="429"/>
      <c r="M45" s="429"/>
      <c r="N45" s="429"/>
      <c r="O45" s="429"/>
      <c r="P45" s="429"/>
      <c r="Q45" s="429"/>
      <c r="R45" s="428"/>
      <c r="S45" s="428"/>
      <c r="T45" s="17"/>
      <c r="U45" s="17"/>
      <c r="V45" s="17"/>
      <c r="W45" s="430"/>
      <c r="X45" s="260"/>
      <c r="Y45" s="367"/>
      <c r="Z45" s="431"/>
      <c r="AA45" s="17"/>
      <c r="AB45" s="17"/>
      <c r="AC45" s="17"/>
      <c r="AD45" s="17"/>
      <c r="AE45" s="17"/>
      <c r="AF45" s="17"/>
      <c r="AG45" s="17"/>
      <c r="AH45" s="17"/>
      <c r="AI45" s="17"/>
      <c r="AJ45" s="17"/>
      <c r="AK45" s="17"/>
      <c r="AL45" s="17"/>
      <c r="AM45" s="17"/>
      <c r="AN45" s="17"/>
      <c r="AO45" s="17"/>
      <c r="AP45" s="17"/>
      <c r="AQ45" s="17"/>
    </row>
    <row r="46" ht="15.75" customHeight="1">
      <c r="A46" s="367"/>
      <c r="B46" s="428"/>
      <c r="C46" s="429"/>
      <c r="D46" s="429"/>
      <c r="E46" s="429"/>
      <c r="F46" s="428"/>
      <c r="G46" s="428"/>
      <c r="H46" s="428"/>
      <c r="I46" s="367"/>
      <c r="J46" s="429"/>
      <c r="K46" s="367"/>
      <c r="L46" s="429"/>
      <c r="M46" s="429"/>
      <c r="N46" s="429"/>
      <c r="O46" s="429"/>
      <c r="P46" s="429"/>
      <c r="Q46" s="429"/>
      <c r="R46" s="428"/>
      <c r="S46" s="428"/>
      <c r="T46" s="17"/>
      <c r="U46" s="17"/>
      <c r="V46" s="17"/>
      <c r="W46" s="430"/>
      <c r="X46" s="260"/>
      <c r="Y46" s="367"/>
      <c r="Z46" s="431"/>
      <c r="AA46" s="17"/>
      <c r="AB46" s="17"/>
      <c r="AC46" s="17"/>
      <c r="AD46" s="17"/>
      <c r="AE46" s="17"/>
      <c r="AF46" s="17"/>
      <c r="AG46" s="17"/>
      <c r="AH46" s="17"/>
      <c r="AI46" s="17"/>
      <c r="AJ46" s="17"/>
      <c r="AK46" s="17"/>
      <c r="AL46" s="17"/>
      <c r="AM46" s="17"/>
      <c r="AN46" s="17"/>
      <c r="AO46" s="17"/>
      <c r="AP46" s="17"/>
      <c r="AQ46" s="17"/>
    </row>
    <row r="47" ht="15.75" customHeight="1">
      <c r="A47" s="367"/>
      <c r="B47" s="428"/>
      <c r="C47" s="429"/>
      <c r="D47" s="429"/>
      <c r="E47" s="429"/>
      <c r="F47" s="428"/>
      <c r="G47" s="428"/>
      <c r="H47" s="428"/>
      <c r="I47" s="367"/>
      <c r="J47" s="429"/>
      <c r="K47" s="367"/>
      <c r="L47" s="429"/>
      <c r="M47" s="429"/>
      <c r="N47" s="429"/>
      <c r="O47" s="429"/>
      <c r="P47" s="429"/>
      <c r="Q47" s="429"/>
      <c r="R47" s="428"/>
      <c r="S47" s="428"/>
      <c r="T47" s="17"/>
      <c r="U47" s="17"/>
      <c r="V47" s="17"/>
      <c r="W47" s="430"/>
      <c r="X47" s="260"/>
      <c r="Y47" s="367"/>
      <c r="Z47" s="431"/>
      <c r="AA47" s="17"/>
      <c r="AB47" s="17"/>
      <c r="AC47" s="17"/>
      <c r="AD47" s="17"/>
      <c r="AE47" s="17"/>
      <c r="AF47" s="17"/>
      <c r="AG47" s="17"/>
      <c r="AH47" s="17"/>
      <c r="AI47" s="17"/>
      <c r="AJ47" s="17"/>
      <c r="AK47" s="17"/>
      <c r="AL47" s="17"/>
      <c r="AM47" s="17"/>
      <c r="AN47" s="17"/>
      <c r="AO47" s="17"/>
      <c r="AP47" s="17"/>
      <c r="AQ47" s="17"/>
    </row>
    <row r="48" ht="15.75" customHeight="1">
      <c r="A48" s="367"/>
      <c r="B48" s="428"/>
      <c r="C48" s="429"/>
      <c r="D48" s="429"/>
      <c r="E48" s="429"/>
      <c r="F48" s="428"/>
      <c r="G48" s="428"/>
      <c r="H48" s="428"/>
      <c r="I48" s="367"/>
      <c r="J48" s="429"/>
      <c r="K48" s="367"/>
      <c r="L48" s="429"/>
      <c r="M48" s="429"/>
      <c r="N48" s="429"/>
      <c r="O48" s="429"/>
      <c r="P48" s="429"/>
      <c r="Q48" s="429"/>
      <c r="R48" s="428"/>
      <c r="S48" s="428"/>
      <c r="T48" s="17"/>
      <c r="U48" s="17"/>
      <c r="V48" s="17"/>
      <c r="W48" s="430"/>
      <c r="X48" s="260"/>
      <c r="Y48" s="367"/>
      <c r="Z48" s="431"/>
      <c r="AA48" s="17"/>
      <c r="AB48" s="17"/>
      <c r="AC48" s="17"/>
      <c r="AD48" s="17"/>
      <c r="AE48" s="17"/>
      <c r="AF48" s="17"/>
      <c r="AG48" s="17"/>
      <c r="AH48" s="17"/>
      <c r="AI48" s="17"/>
      <c r="AJ48" s="17"/>
      <c r="AK48" s="17"/>
      <c r="AL48" s="17"/>
      <c r="AM48" s="17"/>
      <c r="AN48" s="17"/>
      <c r="AO48" s="17"/>
      <c r="AP48" s="17"/>
      <c r="AQ48" s="17"/>
    </row>
    <row r="49" ht="15.75" customHeight="1">
      <c r="A49" s="367"/>
      <c r="B49" s="428"/>
      <c r="C49" s="429"/>
      <c r="D49" s="429"/>
      <c r="E49" s="429"/>
      <c r="F49" s="428"/>
      <c r="G49" s="428"/>
      <c r="H49" s="428"/>
      <c r="I49" s="367"/>
      <c r="J49" s="429"/>
      <c r="K49" s="367"/>
      <c r="L49" s="429"/>
      <c r="M49" s="429"/>
      <c r="N49" s="429"/>
      <c r="O49" s="429"/>
      <c r="P49" s="429"/>
      <c r="Q49" s="429"/>
      <c r="R49" s="428"/>
      <c r="S49" s="428"/>
      <c r="T49" s="17"/>
      <c r="U49" s="17"/>
      <c r="V49" s="17"/>
      <c r="W49" s="430"/>
      <c r="X49" s="260"/>
      <c r="Y49" s="367"/>
      <c r="Z49" s="431"/>
      <c r="AA49" s="17"/>
      <c r="AB49" s="17"/>
      <c r="AC49" s="17"/>
      <c r="AD49" s="17"/>
      <c r="AE49" s="17"/>
      <c r="AF49" s="17"/>
      <c r="AG49" s="17"/>
      <c r="AH49" s="17"/>
      <c r="AI49" s="17"/>
      <c r="AJ49" s="17"/>
      <c r="AK49" s="17"/>
      <c r="AL49" s="17"/>
      <c r="AM49" s="17"/>
      <c r="AN49" s="17"/>
      <c r="AO49" s="17"/>
      <c r="AP49" s="17"/>
      <c r="AQ49" s="17"/>
    </row>
    <row r="50" ht="15.75" customHeight="1">
      <c r="A50" s="367"/>
      <c r="B50" s="428"/>
      <c r="C50" s="429"/>
      <c r="D50" s="429"/>
      <c r="E50" s="429"/>
      <c r="F50" s="428"/>
      <c r="G50" s="428"/>
      <c r="H50" s="428"/>
      <c r="I50" s="367"/>
      <c r="J50" s="429"/>
      <c r="K50" s="367"/>
      <c r="L50" s="429"/>
      <c r="M50" s="429"/>
      <c r="N50" s="429"/>
      <c r="O50" s="429"/>
      <c r="P50" s="429"/>
      <c r="Q50" s="429"/>
      <c r="R50" s="428"/>
      <c r="S50" s="428"/>
      <c r="T50" s="17"/>
      <c r="U50" s="17"/>
      <c r="V50" s="17"/>
      <c r="W50" s="430"/>
      <c r="X50" s="260"/>
      <c r="Y50" s="367"/>
      <c r="Z50" s="431"/>
      <c r="AA50" s="17"/>
      <c r="AB50" s="17"/>
      <c r="AC50" s="17"/>
      <c r="AD50" s="17"/>
      <c r="AE50" s="17"/>
      <c r="AF50" s="17"/>
      <c r="AG50" s="17"/>
      <c r="AH50" s="17"/>
      <c r="AI50" s="17"/>
      <c r="AJ50" s="17"/>
      <c r="AK50" s="17"/>
      <c r="AL50" s="17"/>
      <c r="AM50" s="17"/>
      <c r="AN50" s="17"/>
      <c r="AO50" s="17"/>
      <c r="AP50" s="17"/>
      <c r="AQ50" s="17"/>
    </row>
    <row r="51" ht="15.75" customHeight="1">
      <c r="A51" s="367"/>
      <c r="B51" s="428"/>
      <c r="C51" s="429"/>
      <c r="D51" s="429"/>
      <c r="E51" s="429"/>
      <c r="F51" s="428"/>
      <c r="G51" s="428"/>
      <c r="H51" s="428"/>
      <c r="I51" s="367"/>
      <c r="J51" s="429"/>
      <c r="K51" s="367"/>
      <c r="L51" s="429"/>
      <c r="M51" s="429"/>
      <c r="N51" s="429"/>
      <c r="O51" s="429"/>
      <c r="P51" s="429"/>
      <c r="Q51" s="429"/>
      <c r="R51" s="428"/>
      <c r="S51" s="428"/>
      <c r="T51" s="17"/>
      <c r="U51" s="17"/>
      <c r="V51" s="17"/>
      <c r="W51" s="430"/>
      <c r="X51" s="260"/>
      <c r="Y51" s="367"/>
      <c r="Z51" s="431"/>
      <c r="AA51" s="17"/>
      <c r="AB51" s="17"/>
      <c r="AC51" s="17"/>
      <c r="AD51" s="17"/>
      <c r="AE51" s="17"/>
      <c r="AF51" s="17"/>
      <c r="AG51" s="17"/>
      <c r="AH51" s="17"/>
      <c r="AI51" s="17"/>
      <c r="AJ51" s="17"/>
      <c r="AK51" s="17"/>
      <c r="AL51" s="17"/>
      <c r="AM51" s="17"/>
      <c r="AN51" s="17"/>
      <c r="AO51" s="17"/>
      <c r="AP51" s="17"/>
      <c r="AQ51" s="17"/>
    </row>
    <row r="52" ht="15.75" customHeight="1">
      <c r="A52" s="367"/>
      <c r="B52" s="428"/>
      <c r="C52" s="429"/>
      <c r="D52" s="429"/>
      <c r="E52" s="429"/>
      <c r="F52" s="428"/>
      <c r="G52" s="428"/>
      <c r="H52" s="428"/>
      <c r="I52" s="367"/>
      <c r="J52" s="429"/>
      <c r="K52" s="367"/>
      <c r="L52" s="429"/>
      <c r="M52" s="429"/>
      <c r="N52" s="429"/>
      <c r="O52" s="429"/>
      <c r="P52" s="429"/>
      <c r="Q52" s="429"/>
      <c r="R52" s="428"/>
      <c r="S52" s="428"/>
      <c r="T52" s="17"/>
      <c r="U52" s="17"/>
      <c r="V52" s="17"/>
      <c r="W52" s="430"/>
      <c r="X52" s="260"/>
      <c r="Y52" s="367"/>
      <c r="Z52" s="431"/>
      <c r="AA52" s="17"/>
      <c r="AB52" s="17"/>
      <c r="AC52" s="17"/>
      <c r="AD52" s="17"/>
      <c r="AE52" s="17"/>
      <c r="AF52" s="17"/>
      <c r="AG52" s="17"/>
      <c r="AH52" s="17"/>
      <c r="AI52" s="17"/>
      <c r="AJ52" s="17"/>
      <c r="AK52" s="17"/>
      <c r="AL52" s="17"/>
      <c r="AM52" s="17"/>
      <c r="AN52" s="17"/>
      <c r="AO52" s="17"/>
      <c r="AP52" s="17"/>
      <c r="AQ52" s="17"/>
    </row>
    <row r="53" ht="15.75" customHeight="1">
      <c r="A53" s="367"/>
      <c r="B53" s="428"/>
      <c r="C53" s="429"/>
      <c r="D53" s="429"/>
      <c r="E53" s="429"/>
      <c r="F53" s="428"/>
      <c r="G53" s="428"/>
      <c r="H53" s="428"/>
      <c r="I53" s="367"/>
      <c r="J53" s="429"/>
      <c r="K53" s="367"/>
      <c r="L53" s="429"/>
      <c r="M53" s="429"/>
      <c r="N53" s="429"/>
      <c r="O53" s="429"/>
      <c r="P53" s="429"/>
      <c r="Q53" s="429"/>
      <c r="R53" s="428"/>
      <c r="S53" s="428"/>
      <c r="T53" s="17"/>
      <c r="U53" s="17"/>
      <c r="V53" s="17"/>
      <c r="W53" s="430"/>
      <c r="X53" s="260"/>
      <c r="Y53" s="367"/>
      <c r="Z53" s="431"/>
      <c r="AA53" s="17"/>
      <c r="AB53" s="17"/>
      <c r="AC53" s="17"/>
      <c r="AD53" s="17"/>
      <c r="AE53" s="17"/>
      <c r="AF53" s="17"/>
      <c r="AG53" s="17"/>
      <c r="AH53" s="17"/>
      <c r="AI53" s="17"/>
      <c r="AJ53" s="17"/>
      <c r="AK53" s="17"/>
      <c r="AL53" s="17"/>
      <c r="AM53" s="17"/>
      <c r="AN53" s="17"/>
      <c r="AO53" s="17"/>
      <c r="AP53" s="17"/>
      <c r="AQ53" s="17"/>
    </row>
    <row r="54" ht="15.75" customHeight="1">
      <c r="A54" s="367"/>
      <c r="B54" s="428"/>
      <c r="C54" s="429"/>
      <c r="D54" s="429"/>
      <c r="E54" s="429"/>
      <c r="F54" s="428"/>
      <c r="G54" s="428"/>
      <c r="H54" s="428"/>
      <c r="I54" s="367"/>
      <c r="J54" s="429"/>
      <c r="K54" s="367"/>
      <c r="L54" s="429"/>
      <c r="M54" s="429"/>
      <c r="N54" s="429"/>
      <c r="O54" s="429"/>
      <c r="P54" s="429"/>
      <c r="Q54" s="429"/>
      <c r="R54" s="428"/>
      <c r="S54" s="428"/>
      <c r="T54" s="17"/>
      <c r="U54" s="17"/>
      <c r="V54" s="17"/>
      <c r="W54" s="430"/>
      <c r="X54" s="260"/>
      <c r="Y54" s="367"/>
      <c r="Z54" s="431"/>
      <c r="AA54" s="17"/>
      <c r="AB54" s="17"/>
      <c r="AC54" s="17"/>
      <c r="AD54" s="17"/>
      <c r="AE54" s="17"/>
      <c r="AF54" s="17"/>
      <c r="AG54" s="17"/>
      <c r="AH54" s="17"/>
      <c r="AI54" s="17"/>
      <c r="AJ54" s="17"/>
      <c r="AK54" s="17"/>
      <c r="AL54" s="17"/>
      <c r="AM54" s="17"/>
      <c r="AN54" s="17"/>
      <c r="AO54" s="17"/>
      <c r="AP54" s="17"/>
      <c r="AQ54" s="17"/>
    </row>
    <row r="55" ht="15.75" customHeight="1">
      <c r="A55" s="367"/>
      <c r="B55" s="428"/>
      <c r="C55" s="429"/>
      <c r="D55" s="429"/>
      <c r="E55" s="429"/>
      <c r="F55" s="428"/>
      <c r="G55" s="428"/>
      <c r="H55" s="428"/>
      <c r="I55" s="367"/>
      <c r="J55" s="429"/>
      <c r="K55" s="367"/>
      <c r="L55" s="429"/>
      <c r="M55" s="429"/>
      <c r="N55" s="429"/>
      <c r="O55" s="429"/>
      <c r="P55" s="429"/>
      <c r="Q55" s="429"/>
      <c r="R55" s="428"/>
      <c r="S55" s="428"/>
      <c r="T55" s="17"/>
      <c r="U55" s="17"/>
      <c r="V55" s="17"/>
      <c r="W55" s="430"/>
      <c r="X55" s="260"/>
      <c r="Y55" s="367"/>
      <c r="Z55" s="431"/>
      <c r="AA55" s="17"/>
      <c r="AB55" s="17"/>
      <c r="AC55" s="17"/>
      <c r="AD55" s="17"/>
      <c r="AE55" s="17"/>
      <c r="AF55" s="17"/>
      <c r="AG55" s="17"/>
      <c r="AH55" s="17"/>
      <c r="AI55" s="17"/>
      <c r="AJ55" s="17"/>
      <c r="AK55" s="17"/>
      <c r="AL55" s="17"/>
      <c r="AM55" s="17"/>
      <c r="AN55" s="17"/>
      <c r="AO55" s="17"/>
      <c r="AP55" s="17"/>
      <c r="AQ55" s="17"/>
    </row>
    <row r="56" ht="15.75" customHeight="1">
      <c r="A56" s="367"/>
      <c r="B56" s="428"/>
      <c r="C56" s="429"/>
      <c r="D56" s="429"/>
      <c r="E56" s="429"/>
      <c r="F56" s="428"/>
      <c r="G56" s="428"/>
      <c r="H56" s="428"/>
      <c r="I56" s="367"/>
      <c r="J56" s="429"/>
      <c r="K56" s="367"/>
      <c r="L56" s="429"/>
      <c r="M56" s="429"/>
      <c r="N56" s="429"/>
      <c r="O56" s="429"/>
      <c r="P56" s="429"/>
      <c r="Q56" s="429"/>
      <c r="R56" s="428"/>
      <c r="S56" s="428"/>
      <c r="T56" s="17"/>
      <c r="U56" s="17"/>
      <c r="V56" s="17"/>
      <c r="W56" s="430"/>
      <c r="X56" s="260"/>
      <c r="Y56" s="367"/>
      <c r="Z56" s="431"/>
      <c r="AA56" s="17"/>
      <c r="AB56" s="17"/>
      <c r="AC56" s="17"/>
      <c r="AD56" s="17"/>
      <c r="AE56" s="17"/>
      <c r="AF56" s="17"/>
      <c r="AG56" s="17"/>
      <c r="AH56" s="17"/>
      <c r="AI56" s="17"/>
      <c r="AJ56" s="17"/>
      <c r="AK56" s="17"/>
      <c r="AL56" s="17"/>
      <c r="AM56" s="17"/>
      <c r="AN56" s="17"/>
      <c r="AO56" s="17"/>
      <c r="AP56" s="17"/>
      <c r="AQ56" s="17"/>
    </row>
    <row r="57" ht="15.75" customHeight="1">
      <c r="A57" s="367"/>
      <c r="B57" s="428"/>
      <c r="C57" s="429"/>
      <c r="D57" s="429"/>
      <c r="E57" s="429"/>
      <c r="F57" s="428"/>
      <c r="G57" s="428"/>
      <c r="H57" s="428"/>
      <c r="I57" s="367"/>
      <c r="J57" s="429"/>
      <c r="K57" s="367"/>
      <c r="L57" s="429"/>
      <c r="M57" s="429"/>
      <c r="N57" s="429"/>
      <c r="O57" s="429"/>
      <c r="P57" s="429"/>
      <c r="Q57" s="429"/>
      <c r="R57" s="428"/>
      <c r="S57" s="428"/>
      <c r="T57" s="17"/>
      <c r="U57" s="17"/>
      <c r="V57" s="17"/>
      <c r="W57" s="430"/>
      <c r="X57" s="260"/>
      <c r="Y57" s="367"/>
      <c r="Z57" s="431"/>
      <c r="AA57" s="17"/>
      <c r="AB57" s="17"/>
      <c r="AC57" s="17"/>
      <c r="AD57" s="17"/>
      <c r="AE57" s="17"/>
      <c r="AF57" s="17"/>
      <c r="AG57" s="17"/>
      <c r="AH57" s="17"/>
      <c r="AI57" s="17"/>
      <c r="AJ57" s="17"/>
      <c r="AK57" s="17"/>
      <c r="AL57" s="17"/>
      <c r="AM57" s="17"/>
      <c r="AN57" s="17"/>
      <c r="AO57" s="17"/>
      <c r="AP57" s="17"/>
      <c r="AQ57" s="17"/>
    </row>
    <row r="58" ht="15.75" customHeight="1">
      <c r="A58" s="367"/>
      <c r="B58" s="428"/>
      <c r="C58" s="429"/>
      <c r="D58" s="429"/>
      <c r="E58" s="429"/>
      <c r="F58" s="428"/>
      <c r="G58" s="428"/>
      <c r="H58" s="428"/>
      <c r="I58" s="367"/>
      <c r="J58" s="429"/>
      <c r="K58" s="367"/>
      <c r="L58" s="429"/>
      <c r="M58" s="429"/>
      <c r="N58" s="429"/>
      <c r="O58" s="429"/>
      <c r="P58" s="429"/>
      <c r="Q58" s="429"/>
      <c r="R58" s="428"/>
      <c r="S58" s="428"/>
      <c r="T58" s="17"/>
      <c r="U58" s="17"/>
      <c r="V58" s="17"/>
      <c r="W58" s="430"/>
      <c r="X58" s="260"/>
      <c r="Y58" s="367"/>
      <c r="Z58" s="431"/>
      <c r="AA58" s="17"/>
      <c r="AB58" s="17"/>
      <c r="AC58" s="17"/>
      <c r="AD58" s="17"/>
      <c r="AE58" s="17"/>
      <c r="AF58" s="17"/>
      <c r="AG58" s="17"/>
      <c r="AH58" s="17"/>
      <c r="AI58" s="17"/>
      <c r="AJ58" s="17"/>
      <c r="AK58" s="17"/>
      <c r="AL58" s="17"/>
      <c r="AM58" s="17"/>
      <c r="AN58" s="17"/>
      <c r="AO58" s="17"/>
      <c r="AP58" s="17"/>
      <c r="AQ58" s="17"/>
    </row>
    <row r="59" ht="15.75" customHeight="1">
      <c r="A59" s="367"/>
      <c r="B59" s="428"/>
      <c r="C59" s="429"/>
      <c r="D59" s="429"/>
      <c r="E59" s="429"/>
      <c r="F59" s="428"/>
      <c r="G59" s="428"/>
      <c r="H59" s="428"/>
      <c r="I59" s="367"/>
      <c r="J59" s="429"/>
      <c r="K59" s="367"/>
      <c r="L59" s="429"/>
      <c r="M59" s="429"/>
      <c r="N59" s="429"/>
      <c r="O59" s="429"/>
      <c r="P59" s="429"/>
      <c r="Q59" s="429"/>
      <c r="R59" s="428"/>
      <c r="S59" s="428"/>
      <c r="T59" s="17"/>
      <c r="U59" s="17"/>
      <c r="V59" s="17"/>
      <c r="W59" s="430"/>
      <c r="X59" s="260"/>
      <c r="Y59" s="367"/>
      <c r="Z59" s="431"/>
      <c r="AA59" s="17"/>
      <c r="AB59" s="17"/>
      <c r="AC59" s="17"/>
      <c r="AD59" s="17"/>
      <c r="AE59" s="17"/>
      <c r="AF59" s="17"/>
      <c r="AG59" s="17"/>
      <c r="AH59" s="17"/>
      <c r="AI59" s="17"/>
      <c r="AJ59" s="17"/>
      <c r="AK59" s="17"/>
      <c r="AL59" s="17"/>
      <c r="AM59" s="17"/>
      <c r="AN59" s="17"/>
      <c r="AO59" s="17"/>
      <c r="AP59" s="17"/>
      <c r="AQ59" s="17"/>
    </row>
    <row r="60" ht="15.75" customHeight="1">
      <c r="A60" s="367"/>
      <c r="B60" s="428"/>
      <c r="C60" s="429"/>
      <c r="D60" s="429"/>
      <c r="E60" s="429"/>
      <c r="F60" s="428"/>
      <c r="G60" s="428"/>
      <c r="H60" s="428"/>
      <c r="I60" s="367"/>
      <c r="J60" s="429"/>
      <c r="K60" s="367"/>
      <c r="L60" s="429"/>
      <c r="M60" s="429"/>
      <c r="N60" s="429"/>
      <c r="O60" s="429"/>
      <c r="P60" s="429"/>
      <c r="Q60" s="429"/>
      <c r="R60" s="428"/>
      <c r="S60" s="428"/>
      <c r="T60" s="17"/>
      <c r="U60" s="17"/>
      <c r="V60" s="17"/>
      <c r="W60" s="430"/>
      <c r="X60" s="260"/>
      <c r="Y60" s="367"/>
      <c r="Z60" s="431"/>
      <c r="AA60" s="17"/>
      <c r="AB60" s="17"/>
      <c r="AC60" s="17"/>
      <c r="AD60" s="17"/>
      <c r="AE60" s="17"/>
      <c r="AF60" s="17"/>
      <c r="AG60" s="17"/>
      <c r="AH60" s="17"/>
      <c r="AI60" s="17"/>
      <c r="AJ60" s="17"/>
      <c r="AK60" s="17"/>
      <c r="AL60" s="17"/>
      <c r="AM60" s="17"/>
      <c r="AN60" s="17"/>
      <c r="AO60" s="17"/>
      <c r="AP60" s="17"/>
      <c r="AQ60" s="17"/>
    </row>
    <row r="61" ht="15.75" customHeight="1">
      <c r="A61" s="367"/>
      <c r="B61" s="428"/>
      <c r="C61" s="429"/>
      <c r="D61" s="429"/>
      <c r="E61" s="429"/>
      <c r="F61" s="428"/>
      <c r="G61" s="428"/>
      <c r="H61" s="428"/>
      <c r="I61" s="367"/>
      <c r="J61" s="429"/>
      <c r="K61" s="367"/>
      <c r="L61" s="429"/>
      <c r="M61" s="429"/>
      <c r="N61" s="429"/>
      <c r="O61" s="429"/>
      <c r="P61" s="429"/>
      <c r="Q61" s="429"/>
      <c r="R61" s="428"/>
      <c r="S61" s="428"/>
      <c r="T61" s="17"/>
      <c r="U61" s="17"/>
      <c r="V61" s="17"/>
      <c r="W61" s="430"/>
      <c r="X61" s="260"/>
      <c r="Y61" s="367"/>
      <c r="Z61" s="431"/>
      <c r="AA61" s="17"/>
      <c r="AB61" s="17"/>
      <c r="AC61" s="17"/>
      <c r="AD61" s="17"/>
      <c r="AE61" s="17"/>
      <c r="AF61" s="17"/>
      <c r="AG61" s="17"/>
      <c r="AH61" s="17"/>
      <c r="AI61" s="17"/>
      <c r="AJ61" s="17"/>
      <c r="AK61" s="17"/>
      <c r="AL61" s="17"/>
      <c r="AM61" s="17"/>
      <c r="AN61" s="17"/>
      <c r="AO61" s="17"/>
      <c r="AP61" s="17"/>
      <c r="AQ61" s="17"/>
    </row>
    <row r="62" ht="15.75" customHeight="1">
      <c r="A62" s="367"/>
      <c r="B62" s="428"/>
      <c r="C62" s="429"/>
      <c r="D62" s="429"/>
      <c r="E62" s="429"/>
      <c r="F62" s="428"/>
      <c r="G62" s="428"/>
      <c r="H62" s="428"/>
      <c r="I62" s="367"/>
      <c r="J62" s="429"/>
      <c r="K62" s="367"/>
      <c r="L62" s="429"/>
      <c r="M62" s="429"/>
      <c r="N62" s="429"/>
      <c r="O62" s="429"/>
      <c r="P62" s="429"/>
      <c r="Q62" s="429"/>
      <c r="R62" s="428"/>
      <c r="S62" s="428"/>
      <c r="T62" s="17"/>
      <c r="U62" s="17"/>
      <c r="V62" s="17"/>
      <c r="W62" s="430"/>
      <c r="X62" s="260"/>
      <c r="Y62" s="367"/>
      <c r="Z62" s="431"/>
      <c r="AA62" s="17"/>
      <c r="AB62" s="17"/>
      <c r="AC62" s="17"/>
      <c r="AD62" s="17"/>
      <c r="AE62" s="17"/>
      <c r="AF62" s="17"/>
      <c r="AG62" s="17"/>
      <c r="AH62" s="17"/>
      <c r="AI62" s="17"/>
      <c r="AJ62" s="17"/>
      <c r="AK62" s="17"/>
      <c r="AL62" s="17"/>
      <c r="AM62" s="17"/>
      <c r="AN62" s="17"/>
      <c r="AO62" s="17"/>
      <c r="AP62" s="17"/>
      <c r="AQ62" s="17"/>
    </row>
    <row r="63" ht="15.75" customHeight="1">
      <c r="A63" s="367"/>
      <c r="B63" s="428"/>
      <c r="C63" s="429"/>
      <c r="D63" s="429"/>
      <c r="E63" s="429"/>
      <c r="F63" s="428"/>
      <c r="G63" s="428"/>
      <c r="H63" s="428"/>
      <c r="I63" s="367"/>
      <c r="J63" s="429"/>
      <c r="K63" s="367"/>
      <c r="L63" s="429"/>
      <c r="M63" s="429"/>
      <c r="N63" s="429"/>
      <c r="O63" s="429"/>
      <c r="P63" s="429"/>
      <c r="Q63" s="429"/>
      <c r="R63" s="428"/>
      <c r="S63" s="428"/>
      <c r="T63" s="17"/>
      <c r="U63" s="17"/>
      <c r="V63" s="17"/>
      <c r="W63" s="430"/>
      <c r="X63" s="260"/>
      <c r="Y63" s="367"/>
      <c r="Z63" s="431"/>
      <c r="AA63" s="17"/>
      <c r="AB63" s="17"/>
      <c r="AC63" s="17"/>
      <c r="AD63" s="17"/>
      <c r="AE63" s="17"/>
      <c r="AF63" s="17"/>
      <c r="AG63" s="17"/>
      <c r="AH63" s="17"/>
      <c r="AI63" s="17"/>
      <c r="AJ63" s="17"/>
      <c r="AK63" s="17"/>
      <c r="AL63" s="17"/>
      <c r="AM63" s="17"/>
      <c r="AN63" s="17"/>
      <c r="AO63" s="17"/>
      <c r="AP63" s="17"/>
      <c r="AQ63" s="17"/>
    </row>
    <row r="64" ht="15.75" customHeight="1">
      <c r="A64" s="367"/>
      <c r="B64" s="428"/>
      <c r="C64" s="429"/>
      <c r="D64" s="429"/>
      <c r="E64" s="429"/>
      <c r="F64" s="428"/>
      <c r="G64" s="428"/>
      <c r="H64" s="428"/>
      <c r="I64" s="367"/>
      <c r="J64" s="429"/>
      <c r="K64" s="367"/>
      <c r="L64" s="429"/>
      <c r="M64" s="429"/>
      <c r="N64" s="429"/>
      <c r="O64" s="429"/>
      <c r="P64" s="429"/>
      <c r="Q64" s="429"/>
      <c r="R64" s="428"/>
      <c r="S64" s="428"/>
      <c r="T64" s="17"/>
      <c r="U64" s="17"/>
      <c r="V64" s="17"/>
      <c r="W64" s="430"/>
      <c r="X64" s="260"/>
      <c r="Y64" s="367"/>
      <c r="Z64" s="431"/>
      <c r="AA64" s="17"/>
      <c r="AB64" s="17"/>
      <c r="AC64" s="17"/>
      <c r="AD64" s="17"/>
      <c r="AE64" s="17"/>
      <c r="AF64" s="17"/>
      <c r="AG64" s="17"/>
      <c r="AH64" s="17"/>
      <c r="AI64" s="17"/>
      <c r="AJ64" s="17"/>
      <c r="AK64" s="17"/>
      <c r="AL64" s="17"/>
      <c r="AM64" s="17"/>
      <c r="AN64" s="17"/>
      <c r="AO64" s="17"/>
      <c r="AP64" s="17"/>
      <c r="AQ64" s="17"/>
    </row>
    <row r="65" ht="15.75" customHeight="1">
      <c r="A65" s="367"/>
      <c r="B65" s="428"/>
      <c r="C65" s="429"/>
      <c r="D65" s="429"/>
      <c r="E65" s="429"/>
      <c r="F65" s="428"/>
      <c r="G65" s="428"/>
      <c r="H65" s="428"/>
      <c r="I65" s="367"/>
      <c r="J65" s="429"/>
      <c r="K65" s="367"/>
      <c r="L65" s="429"/>
      <c r="M65" s="429"/>
      <c r="N65" s="429"/>
      <c r="O65" s="429"/>
      <c r="P65" s="429"/>
      <c r="Q65" s="429"/>
      <c r="R65" s="428"/>
      <c r="S65" s="428"/>
      <c r="T65" s="17"/>
      <c r="U65" s="17"/>
      <c r="V65" s="17"/>
      <c r="W65" s="430"/>
      <c r="X65" s="260"/>
      <c r="Y65" s="367"/>
      <c r="Z65" s="431"/>
      <c r="AA65" s="17"/>
      <c r="AB65" s="17"/>
      <c r="AC65" s="17"/>
      <c r="AD65" s="17"/>
      <c r="AE65" s="17"/>
      <c r="AF65" s="17"/>
      <c r="AG65" s="17"/>
      <c r="AH65" s="17"/>
      <c r="AI65" s="17"/>
      <c r="AJ65" s="17"/>
      <c r="AK65" s="17"/>
      <c r="AL65" s="17"/>
      <c r="AM65" s="17"/>
      <c r="AN65" s="17"/>
      <c r="AO65" s="17"/>
      <c r="AP65" s="17"/>
      <c r="AQ65" s="17"/>
    </row>
    <row r="66" ht="15.75" customHeight="1">
      <c r="A66" s="367"/>
      <c r="B66" s="428"/>
      <c r="C66" s="429"/>
      <c r="D66" s="429"/>
      <c r="E66" s="429"/>
      <c r="F66" s="428"/>
      <c r="G66" s="428"/>
      <c r="H66" s="428"/>
      <c r="I66" s="367"/>
      <c r="J66" s="429"/>
      <c r="K66" s="367"/>
      <c r="L66" s="429"/>
      <c r="M66" s="429"/>
      <c r="N66" s="429"/>
      <c r="O66" s="429"/>
      <c r="P66" s="429"/>
      <c r="Q66" s="429"/>
      <c r="R66" s="428"/>
      <c r="S66" s="428"/>
      <c r="T66" s="17"/>
      <c r="U66" s="17"/>
      <c r="V66" s="17"/>
      <c r="W66" s="430"/>
      <c r="X66" s="260"/>
      <c r="Y66" s="367"/>
      <c r="Z66" s="431"/>
      <c r="AA66" s="17"/>
      <c r="AB66" s="17"/>
      <c r="AC66" s="17"/>
      <c r="AD66" s="17"/>
      <c r="AE66" s="17"/>
      <c r="AF66" s="17"/>
      <c r="AG66" s="17"/>
      <c r="AH66" s="17"/>
      <c r="AI66" s="17"/>
      <c r="AJ66" s="17"/>
      <c r="AK66" s="17"/>
      <c r="AL66" s="17"/>
      <c r="AM66" s="17"/>
      <c r="AN66" s="17"/>
      <c r="AO66" s="17"/>
      <c r="AP66" s="17"/>
      <c r="AQ66" s="17"/>
    </row>
    <row r="67" ht="15.75" customHeight="1">
      <c r="A67" s="367"/>
      <c r="B67" s="428"/>
      <c r="C67" s="429"/>
      <c r="D67" s="429"/>
      <c r="E67" s="429"/>
      <c r="F67" s="428"/>
      <c r="G67" s="428"/>
      <c r="H67" s="428"/>
      <c r="I67" s="367"/>
      <c r="J67" s="429"/>
      <c r="K67" s="367"/>
      <c r="L67" s="429"/>
      <c r="M67" s="429"/>
      <c r="N67" s="429"/>
      <c r="O67" s="429"/>
      <c r="P67" s="429"/>
      <c r="Q67" s="429"/>
      <c r="R67" s="428"/>
      <c r="S67" s="428"/>
      <c r="T67" s="17"/>
      <c r="U67" s="17"/>
      <c r="V67" s="17"/>
      <c r="W67" s="430"/>
      <c r="X67" s="260"/>
      <c r="Y67" s="367"/>
      <c r="Z67" s="431"/>
      <c r="AA67" s="17"/>
      <c r="AB67" s="17"/>
      <c r="AC67" s="17"/>
      <c r="AD67" s="17"/>
      <c r="AE67" s="17"/>
      <c r="AF67" s="17"/>
      <c r="AG67" s="17"/>
      <c r="AH67" s="17"/>
      <c r="AI67" s="17"/>
      <c r="AJ67" s="17"/>
      <c r="AK67" s="17"/>
      <c r="AL67" s="17"/>
      <c r="AM67" s="17"/>
      <c r="AN67" s="17"/>
      <c r="AO67" s="17"/>
      <c r="AP67" s="17"/>
      <c r="AQ67" s="17"/>
    </row>
    <row r="68" ht="15.75" customHeight="1">
      <c r="A68" s="367"/>
      <c r="B68" s="428"/>
      <c r="C68" s="429"/>
      <c r="D68" s="429"/>
      <c r="E68" s="429"/>
      <c r="F68" s="428"/>
      <c r="G68" s="428"/>
      <c r="H68" s="428"/>
      <c r="I68" s="367"/>
      <c r="J68" s="429"/>
      <c r="K68" s="367"/>
      <c r="L68" s="429"/>
      <c r="M68" s="429"/>
      <c r="N68" s="429"/>
      <c r="O68" s="429"/>
      <c r="P68" s="429"/>
      <c r="Q68" s="429"/>
      <c r="R68" s="428"/>
      <c r="S68" s="428"/>
      <c r="T68" s="17"/>
      <c r="U68" s="17"/>
      <c r="V68" s="17"/>
      <c r="W68" s="430"/>
      <c r="X68" s="260"/>
      <c r="Y68" s="367"/>
      <c r="Z68" s="431"/>
      <c r="AA68" s="17"/>
      <c r="AB68" s="17"/>
      <c r="AC68" s="17"/>
      <c r="AD68" s="17"/>
      <c r="AE68" s="17"/>
      <c r="AF68" s="17"/>
      <c r="AG68" s="17"/>
      <c r="AH68" s="17"/>
      <c r="AI68" s="17"/>
      <c r="AJ68" s="17"/>
      <c r="AK68" s="17"/>
      <c r="AL68" s="17"/>
      <c r="AM68" s="17"/>
      <c r="AN68" s="17"/>
      <c r="AO68" s="17"/>
      <c r="AP68" s="17"/>
      <c r="AQ68" s="17"/>
    </row>
    <row r="69" ht="15.75" customHeight="1">
      <c r="A69" s="367"/>
      <c r="B69" s="428"/>
      <c r="C69" s="429"/>
      <c r="D69" s="429"/>
      <c r="E69" s="429"/>
      <c r="F69" s="428"/>
      <c r="G69" s="428"/>
      <c r="H69" s="428"/>
      <c r="I69" s="367"/>
      <c r="J69" s="429"/>
      <c r="K69" s="367"/>
      <c r="L69" s="429"/>
      <c r="M69" s="429"/>
      <c r="N69" s="429"/>
      <c r="O69" s="429"/>
      <c r="P69" s="429"/>
      <c r="Q69" s="429"/>
      <c r="R69" s="428"/>
      <c r="S69" s="428"/>
      <c r="T69" s="17"/>
      <c r="U69" s="17"/>
      <c r="V69" s="17"/>
      <c r="W69" s="430"/>
      <c r="X69" s="260"/>
      <c r="Y69" s="367"/>
      <c r="Z69" s="431"/>
      <c r="AA69" s="17"/>
      <c r="AB69" s="17"/>
      <c r="AC69" s="17"/>
      <c r="AD69" s="17"/>
      <c r="AE69" s="17"/>
      <c r="AF69" s="17"/>
      <c r="AG69" s="17"/>
      <c r="AH69" s="17"/>
      <c r="AI69" s="17"/>
      <c r="AJ69" s="17"/>
      <c r="AK69" s="17"/>
      <c r="AL69" s="17"/>
      <c r="AM69" s="17"/>
      <c r="AN69" s="17"/>
      <c r="AO69" s="17"/>
      <c r="AP69" s="17"/>
      <c r="AQ69" s="17"/>
    </row>
    <row r="70" ht="15.75" customHeight="1">
      <c r="A70" s="367"/>
      <c r="B70" s="428"/>
      <c r="C70" s="429"/>
      <c r="D70" s="429"/>
      <c r="E70" s="429"/>
      <c r="F70" s="428"/>
      <c r="G70" s="428"/>
      <c r="H70" s="428"/>
      <c r="I70" s="367"/>
      <c r="J70" s="429"/>
      <c r="K70" s="367"/>
      <c r="L70" s="429"/>
      <c r="M70" s="429"/>
      <c r="N70" s="429"/>
      <c r="O70" s="429"/>
      <c r="P70" s="429"/>
      <c r="Q70" s="429"/>
      <c r="R70" s="428"/>
      <c r="S70" s="428"/>
      <c r="T70" s="17"/>
      <c r="U70" s="17"/>
      <c r="V70" s="17"/>
      <c r="W70" s="430"/>
      <c r="X70" s="260"/>
      <c r="Y70" s="367"/>
      <c r="Z70" s="431"/>
      <c r="AA70" s="17"/>
      <c r="AB70" s="17"/>
      <c r="AC70" s="17"/>
      <c r="AD70" s="17"/>
      <c r="AE70" s="17"/>
      <c r="AF70" s="17"/>
      <c r="AG70" s="17"/>
      <c r="AH70" s="17"/>
      <c r="AI70" s="17"/>
      <c r="AJ70" s="17"/>
      <c r="AK70" s="17"/>
      <c r="AL70" s="17"/>
      <c r="AM70" s="17"/>
      <c r="AN70" s="17"/>
      <c r="AO70" s="17"/>
      <c r="AP70" s="17"/>
      <c r="AQ70" s="17"/>
    </row>
    <row r="71" ht="15.75" customHeight="1">
      <c r="A71" s="367"/>
      <c r="B71" s="428"/>
      <c r="C71" s="429"/>
      <c r="D71" s="429"/>
      <c r="E71" s="429"/>
      <c r="F71" s="428"/>
      <c r="G71" s="428"/>
      <c r="H71" s="428"/>
      <c r="I71" s="367"/>
      <c r="J71" s="429"/>
      <c r="K71" s="367"/>
      <c r="L71" s="429"/>
      <c r="M71" s="429"/>
      <c r="N71" s="429"/>
      <c r="O71" s="429"/>
      <c r="P71" s="429"/>
      <c r="Q71" s="429"/>
      <c r="R71" s="428"/>
      <c r="S71" s="428"/>
      <c r="T71" s="17"/>
      <c r="U71" s="17"/>
      <c r="V71" s="17"/>
      <c r="W71" s="430"/>
      <c r="X71" s="260"/>
      <c r="Y71" s="367"/>
      <c r="Z71" s="431"/>
      <c r="AA71" s="17"/>
      <c r="AB71" s="17"/>
      <c r="AC71" s="17"/>
      <c r="AD71" s="17"/>
      <c r="AE71" s="17"/>
      <c r="AF71" s="17"/>
      <c r="AG71" s="17"/>
      <c r="AH71" s="17"/>
      <c r="AI71" s="17"/>
      <c r="AJ71" s="17"/>
      <c r="AK71" s="17"/>
      <c r="AL71" s="17"/>
      <c r="AM71" s="17"/>
      <c r="AN71" s="17"/>
      <c r="AO71" s="17"/>
      <c r="AP71" s="17"/>
      <c r="AQ71" s="17"/>
    </row>
    <row r="72" ht="15.75" customHeight="1">
      <c r="A72" s="367"/>
      <c r="B72" s="428"/>
      <c r="C72" s="429"/>
      <c r="D72" s="429"/>
      <c r="E72" s="429"/>
      <c r="F72" s="428"/>
      <c r="G72" s="428"/>
      <c r="H72" s="428"/>
      <c r="I72" s="367"/>
      <c r="J72" s="429"/>
      <c r="K72" s="367"/>
      <c r="L72" s="429"/>
      <c r="M72" s="429"/>
      <c r="N72" s="429"/>
      <c r="O72" s="429"/>
      <c r="P72" s="429"/>
      <c r="Q72" s="429"/>
      <c r="R72" s="428"/>
      <c r="S72" s="428"/>
      <c r="T72" s="17"/>
      <c r="U72" s="17"/>
      <c r="V72" s="17"/>
      <c r="W72" s="430"/>
      <c r="X72" s="260"/>
      <c r="Y72" s="367"/>
      <c r="Z72" s="431"/>
      <c r="AA72" s="17"/>
      <c r="AB72" s="17"/>
      <c r="AC72" s="17"/>
      <c r="AD72" s="17"/>
      <c r="AE72" s="17"/>
      <c r="AF72" s="17"/>
      <c r="AG72" s="17"/>
      <c r="AH72" s="17"/>
      <c r="AI72" s="17"/>
      <c r="AJ72" s="17"/>
      <c r="AK72" s="17"/>
      <c r="AL72" s="17"/>
      <c r="AM72" s="17"/>
      <c r="AN72" s="17"/>
      <c r="AO72" s="17"/>
      <c r="AP72" s="17"/>
      <c r="AQ72" s="17"/>
    </row>
    <row r="73" ht="15.75" customHeight="1">
      <c r="A73" s="367"/>
      <c r="B73" s="428"/>
      <c r="C73" s="429"/>
      <c r="D73" s="429"/>
      <c r="E73" s="429"/>
      <c r="F73" s="428"/>
      <c r="G73" s="428"/>
      <c r="H73" s="428"/>
      <c r="I73" s="367"/>
      <c r="J73" s="429"/>
      <c r="K73" s="367"/>
      <c r="L73" s="429"/>
      <c r="M73" s="429"/>
      <c r="N73" s="429"/>
      <c r="O73" s="429"/>
      <c r="P73" s="429"/>
      <c r="Q73" s="429"/>
      <c r="R73" s="428"/>
      <c r="S73" s="428"/>
      <c r="T73" s="17"/>
      <c r="U73" s="17"/>
      <c r="V73" s="17"/>
      <c r="W73" s="430"/>
      <c r="X73" s="260"/>
      <c r="Y73" s="367"/>
      <c r="Z73" s="431"/>
      <c r="AA73" s="17"/>
      <c r="AB73" s="17"/>
      <c r="AC73" s="17"/>
      <c r="AD73" s="17"/>
      <c r="AE73" s="17"/>
      <c r="AF73" s="17"/>
      <c r="AG73" s="17"/>
      <c r="AH73" s="17"/>
      <c r="AI73" s="17"/>
      <c r="AJ73" s="17"/>
      <c r="AK73" s="17"/>
      <c r="AL73" s="17"/>
      <c r="AM73" s="17"/>
      <c r="AN73" s="17"/>
      <c r="AO73" s="17"/>
      <c r="AP73" s="17"/>
      <c r="AQ73" s="17"/>
    </row>
    <row r="74" ht="15.75" customHeight="1">
      <c r="A74" s="367"/>
      <c r="B74" s="428"/>
      <c r="C74" s="429"/>
      <c r="D74" s="429"/>
      <c r="E74" s="429"/>
      <c r="F74" s="428"/>
      <c r="G74" s="428"/>
      <c r="H74" s="428"/>
      <c r="I74" s="367"/>
      <c r="J74" s="429"/>
      <c r="K74" s="367"/>
      <c r="L74" s="429"/>
      <c r="M74" s="429"/>
      <c r="N74" s="429"/>
      <c r="O74" s="429"/>
      <c r="P74" s="429"/>
      <c r="Q74" s="429"/>
      <c r="R74" s="428"/>
      <c r="S74" s="428"/>
      <c r="T74" s="17"/>
      <c r="U74" s="17"/>
      <c r="V74" s="17"/>
      <c r="W74" s="430"/>
      <c r="X74" s="260"/>
      <c r="Y74" s="367"/>
      <c r="Z74" s="431"/>
      <c r="AA74" s="17"/>
      <c r="AB74" s="17"/>
      <c r="AC74" s="17"/>
      <c r="AD74" s="17"/>
      <c r="AE74" s="17"/>
      <c r="AF74" s="17"/>
      <c r="AG74" s="17"/>
      <c r="AH74" s="17"/>
      <c r="AI74" s="17"/>
      <c r="AJ74" s="17"/>
      <c r="AK74" s="17"/>
      <c r="AL74" s="17"/>
      <c r="AM74" s="17"/>
      <c r="AN74" s="17"/>
      <c r="AO74" s="17"/>
      <c r="AP74" s="17"/>
      <c r="AQ74" s="17"/>
    </row>
    <row r="75" ht="15.75" customHeight="1">
      <c r="A75" s="367"/>
      <c r="B75" s="428"/>
      <c r="C75" s="429"/>
      <c r="D75" s="429"/>
      <c r="E75" s="429"/>
      <c r="F75" s="428"/>
      <c r="G75" s="428"/>
      <c r="H75" s="428"/>
      <c r="I75" s="367"/>
      <c r="J75" s="429"/>
      <c r="K75" s="367"/>
      <c r="L75" s="429"/>
      <c r="M75" s="429"/>
      <c r="N75" s="429"/>
      <c r="O75" s="429"/>
      <c r="P75" s="429"/>
      <c r="Q75" s="429"/>
      <c r="R75" s="428"/>
      <c r="S75" s="428"/>
      <c r="T75" s="17"/>
      <c r="U75" s="17"/>
      <c r="V75" s="17"/>
      <c r="W75" s="430"/>
      <c r="X75" s="260"/>
      <c r="Y75" s="367"/>
      <c r="Z75" s="431"/>
      <c r="AA75" s="17"/>
      <c r="AB75" s="17"/>
      <c r="AC75" s="17"/>
      <c r="AD75" s="17"/>
      <c r="AE75" s="17"/>
      <c r="AF75" s="17"/>
      <c r="AG75" s="17"/>
      <c r="AH75" s="17"/>
      <c r="AI75" s="17"/>
      <c r="AJ75" s="17"/>
      <c r="AK75" s="17"/>
      <c r="AL75" s="17"/>
      <c r="AM75" s="17"/>
      <c r="AN75" s="17"/>
      <c r="AO75" s="17"/>
      <c r="AP75" s="17"/>
      <c r="AQ75" s="17"/>
    </row>
    <row r="76" ht="15.75" customHeight="1">
      <c r="A76" s="367"/>
      <c r="B76" s="428"/>
      <c r="C76" s="429"/>
      <c r="D76" s="429"/>
      <c r="E76" s="429"/>
      <c r="F76" s="428"/>
      <c r="G76" s="428"/>
      <c r="H76" s="428"/>
      <c r="I76" s="367"/>
      <c r="J76" s="429"/>
      <c r="K76" s="367"/>
      <c r="L76" s="429"/>
      <c r="M76" s="429"/>
      <c r="N76" s="429"/>
      <c r="O76" s="429"/>
      <c r="P76" s="429"/>
      <c r="Q76" s="429"/>
      <c r="R76" s="428"/>
      <c r="S76" s="428"/>
      <c r="T76" s="17"/>
      <c r="U76" s="17"/>
      <c r="V76" s="17"/>
      <c r="W76" s="430"/>
      <c r="X76" s="260"/>
      <c r="Y76" s="367"/>
      <c r="Z76" s="431"/>
      <c r="AA76" s="17"/>
      <c r="AB76" s="17"/>
      <c r="AC76" s="17"/>
      <c r="AD76" s="17"/>
      <c r="AE76" s="17"/>
      <c r="AF76" s="17"/>
      <c r="AG76" s="17"/>
      <c r="AH76" s="17"/>
      <c r="AI76" s="17"/>
      <c r="AJ76" s="17"/>
      <c r="AK76" s="17"/>
      <c r="AL76" s="17"/>
      <c r="AM76" s="17"/>
      <c r="AN76" s="17"/>
      <c r="AO76" s="17"/>
      <c r="AP76" s="17"/>
      <c r="AQ76" s="17"/>
    </row>
    <row r="77" ht="15.75" customHeight="1">
      <c r="A77" s="367"/>
      <c r="B77" s="428"/>
      <c r="C77" s="429"/>
      <c r="D77" s="429"/>
      <c r="E77" s="429"/>
      <c r="F77" s="428"/>
      <c r="G77" s="428"/>
      <c r="H77" s="428"/>
      <c r="I77" s="367"/>
      <c r="J77" s="429"/>
      <c r="K77" s="367"/>
      <c r="L77" s="429"/>
      <c r="M77" s="429"/>
      <c r="N77" s="429"/>
      <c r="O77" s="429"/>
      <c r="P77" s="429"/>
      <c r="Q77" s="429"/>
      <c r="R77" s="428"/>
      <c r="S77" s="428"/>
      <c r="T77" s="17"/>
      <c r="U77" s="17"/>
      <c r="V77" s="17"/>
      <c r="W77" s="430"/>
      <c r="X77" s="260"/>
      <c r="Y77" s="367"/>
      <c r="Z77" s="431"/>
      <c r="AA77" s="17"/>
      <c r="AB77" s="17"/>
      <c r="AC77" s="17"/>
      <c r="AD77" s="17"/>
      <c r="AE77" s="17"/>
      <c r="AF77" s="17"/>
      <c r="AG77" s="17"/>
      <c r="AH77" s="17"/>
      <c r="AI77" s="17"/>
      <c r="AJ77" s="17"/>
      <c r="AK77" s="17"/>
      <c r="AL77" s="17"/>
      <c r="AM77" s="17"/>
      <c r="AN77" s="17"/>
      <c r="AO77" s="17"/>
      <c r="AP77" s="17"/>
      <c r="AQ77" s="17"/>
    </row>
    <row r="78" ht="15.75" customHeight="1">
      <c r="A78" s="367"/>
      <c r="B78" s="428"/>
      <c r="C78" s="429"/>
      <c r="D78" s="429"/>
      <c r="E78" s="429"/>
      <c r="F78" s="428"/>
      <c r="G78" s="428"/>
      <c r="H78" s="428"/>
      <c r="I78" s="367"/>
      <c r="J78" s="429"/>
      <c r="K78" s="367"/>
      <c r="L78" s="429"/>
      <c r="M78" s="429"/>
      <c r="N78" s="429"/>
      <c r="O78" s="429"/>
      <c r="P78" s="429"/>
      <c r="Q78" s="429"/>
      <c r="R78" s="428"/>
      <c r="S78" s="428"/>
      <c r="T78" s="17"/>
      <c r="U78" s="17"/>
      <c r="V78" s="17"/>
      <c r="W78" s="430"/>
      <c r="X78" s="260"/>
      <c r="Y78" s="367"/>
      <c r="Z78" s="431"/>
      <c r="AA78" s="17"/>
      <c r="AB78" s="17"/>
      <c r="AC78" s="17"/>
      <c r="AD78" s="17"/>
      <c r="AE78" s="17"/>
      <c r="AF78" s="17"/>
      <c r="AG78" s="17"/>
      <c r="AH78" s="17"/>
      <c r="AI78" s="17"/>
      <c r="AJ78" s="17"/>
      <c r="AK78" s="17"/>
      <c r="AL78" s="17"/>
      <c r="AM78" s="17"/>
      <c r="AN78" s="17"/>
      <c r="AO78" s="17"/>
      <c r="AP78" s="17"/>
      <c r="AQ78" s="17"/>
    </row>
    <row r="79" ht="15.75" customHeight="1">
      <c r="A79" s="367"/>
      <c r="B79" s="428"/>
      <c r="C79" s="429"/>
      <c r="D79" s="429"/>
      <c r="E79" s="429"/>
      <c r="F79" s="428"/>
      <c r="G79" s="428"/>
      <c r="H79" s="428"/>
      <c r="I79" s="367"/>
      <c r="J79" s="429"/>
      <c r="K79" s="367"/>
      <c r="L79" s="429"/>
      <c r="M79" s="429"/>
      <c r="N79" s="429"/>
      <c r="O79" s="429"/>
      <c r="P79" s="429"/>
      <c r="Q79" s="429"/>
      <c r="R79" s="428"/>
      <c r="S79" s="428"/>
      <c r="T79" s="17"/>
      <c r="U79" s="17"/>
      <c r="V79" s="17"/>
      <c r="W79" s="430"/>
      <c r="X79" s="260"/>
      <c r="Y79" s="367"/>
      <c r="Z79" s="431"/>
      <c r="AA79" s="17"/>
      <c r="AB79" s="17"/>
      <c r="AC79" s="17"/>
      <c r="AD79" s="17"/>
      <c r="AE79" s="17"/>
      <c r="AF79" s="17"/>
      <c r="AG79" s="17"/>
      <c r="AH79" s="17"/>
      <c r="AI79" s="17"/>
      <c r="AJ79" s="17"/>
      <c r="AK79" s="17"/>
      <c r="AL79" s="17"/>
      <c r="AM79" s="17"/>
      <c r="AN79" s="17"/>
      <c r="AO79" s="17"/>
      <c r="AP79" s="17"/>
      <c r="AQ79" s="17"/>
    </row>
    <row r="80" ht="15.75" customHeight="1">
      <c r="A80" s="367"/>
      <c r="B80" s="428"/>
      <c r="C80" s="429"/>
      <c r="D80" s="429"/>
      <c r="E80" s="429"/>
      <c r="F80" s="428"/>
      <c r="G80" s="428"/>
      <c r="H80" s="428"/>
      <c r="I80" s="367"/>
      <c r="J80" s="429"/>
      <c r="K80" s="367"/>
      <c r="L80" s="429"/>
      <c r="M80" s="429"/>
      <c r="N80" s="429"/>
      <c r="O80" s="429"/>
      <c r="P80" s="429"/>
      <c r="Q80" s="429"/>
      <c r="R80" s="428"/>
      <c r="S80" s="428"/>
      <c r="T80" s="17"/>
      <c r="U80" s="17"/>
      <c r="V80" s="17"/>
      <c r="W80" s="430"/>
      <c r="X80" s="260"/>
      <c r="Y80" s="367"/>
      <c r="Z80" s="431"/>
      <c r="AA80" s="17"/>
      <c r="AB80" s="17"/>
      <c r="AC80" s="17"/>
      <c r="AD80" s="17"/>
      <c r="AE80" s="17"/>
      <c r="AF80" s="17"/>
      <c r="AG80" s="17"/>
      <c r="AH80" s="17"/>
      <c r="AI80" s="17"/>
      <c r="AJ80" s="17"/>
      <c r="AK80" s="17"/>
      <c r="AL80" s="17"/>
      <c r="AM80" s="17"/>
      <c r="AN80" s="17"/>
      <c r="AO80" s="17"/>
      <c r="AP80" s="17"/>
      <c r="AQ80" s="17"/>
    </row>
    <row r="81" ht="15.75" customHeight="1">
      <c r="A81" s="367"/>
      <c r="B81" s="428"/>
      <c r="C81" s="429"/>
      <c r="D81" s="429"/>
      <c r="E81" s="429"/>
      <c r="F81" s="428"/>
      <c r="G81" s="428"/>
      <c r="H81" s="428"/>
      <c r="I81" s="367"/>
      <c r="J81" s="429"/>
      <c r="K81" s="367"/>
      <c r="L81" s="429"/>
      <c r="M81" s="429"/>
      <c r="N81" s="429"/>
      <c r="O81" s="429"/>
      <c r="P81" s="429"/>
      <c r="Q81" s="429"/>
      <c r="R81" s="428"/>
      <c r="S81" s="428"/>
      <c r="T81" s="17"/>
      <c r="U81" s="17"/>
      <c r="V81" s="17"/>
      <c r="W81" s="430"/>
      <c r="X81" s="260"/>
      <c r="Y81" s="367"/>
      <c r="Z81" s="431"/>
      <c r="AA81" s="17"/>
      <c r="AB81" s="17"/>
      <c r="AC81" s="17"/>
      <c r="AD81" s="17"/>
      <c r="AE81" s="17"/>
      <c r="AF81" s="17"/>
      <c r="AG81" s="17"/>
      <c r="AH81" s="17"/>
      <c r="AI81" s="17"/>
      <c r="AJ81" s="17"/>
      <c r="AK81" s="17"/>
      <c r="AL81" s="17"/>
      <c r="AM81" s="17"/>
      <c r="AN81" s="17"/>
      <c r="AO81" s="17"/>
      <c r="AP81" s="17"/>
      <c r="AQ81" s="17"/>
    </row>
    <row r="82" ht="15.75" customHeight="1">
      <c r="A82" s="367"/>
      <c r="B82" s="428"/>
      <c r="C82" s="429"/>
      <c r="D82" s="429"/>
      <c r="E82" s="429"/>
      <c r="F82" s="428"/>
      <c r="G82" s="428"/>
      <c r="H82" s="428"/>
      <c r="I82" s="367"/>
      <c r="J82" s="429"/>
      <c r="K82" s="367"/>
      <c r="L82" s="429"/>
      <c r="M82" s="429"/>
      <c r="N82" s="429"/>
      <c r="O82" s="429"/>
      <c r="P82" s="429"/>
      <c r="Q82" s="429"/>
      <c r="R82" s="428"/>
      <c r="S82" s="428"/>
      <c r="T82" s="17"/>
      <c r="U82" s="17"/>
      <c r="V82" s="17"/>
      <c r="W82" s="430"/>
      <c r="X82" s="260"/>
      <c r="Y82" s="367"/>
      <c r="Z82" s="431"/>
      <c r="AA82" s="17"/>
      <c r="AB82" s="17"/>
      <c r="AC82" s="17"/>
      <c r="AD82" s="17"/>
      <c r="AE82" s="17"/>
      <c r="AF82" s="17"/>
      <c r="AG82" s="17"/>
      <c r="AH82" s="17"/>
      <c r="AI82" s="17"/>
      <c r="AJ82" s="17"/>
      <c r="AK82" s="17"/>
      <c r="AL82" s="17"/>
      <c r="AM82" s="17"/>
      <c r="AN82" s="17"/>
      <c r="AO82" s="17"/>
      <c r="AP82" s="17"/>
      <c r="AQ82" s="17"/>
    </row>
    <row r="83" ht="15.75" customHeight="1">
      <c r="A83" s="367"/>
      <c r="B83" s="428"/>
      <c r="C83" s="429"/>
      <c r="D83" s="429"/>
      <c r="E83" s="429"/>
      <c r="F83" s="428"/>
      <c r="G83" s="428"/>
      <c r="H83" s="428"/>
      <c r="I83" s="367"/>
      <c r="J83" s="429"/>
      <c r="K83" s="367"/>
      <c r="L83" s="429"/>
      <c r="M83" s="429"/>
      <c r="N83" s="429"/>
      <c r="O83" s="429"/>
      <c r="P83" s="429"/>
      <c r="Q83" s="429"/>
      <c r="R83" s="428"/>
      <c r="S83" s="428"/>
      <c r="T83" s="17"/>
      <c r="U83" s="17"/>
      <c r="V83" s="17"/>
      <c r="W83" s="430"/>
      <c r="X83" s="260"/>
      <c r="Y83" s="367"/>
      <c r="Z83" s="431"/>
      <c r="AA83" s="17"/>
      <c r="AB83" s="17"/>
      <c r="AC83" s="17"/>
      <c r="AD83" s="17"/>
      <c r="AE83" s="17"/>
      <c r="AF83" s="17"/>
      <c r="AG83" s="17"/>
      <c r="AH83" s="17"/>
      <c r="AI83" s="17"/>
      <c r="AJ83" s="17"/>
      <c r="AK83" s="17"/>
      <c r="AL83" s="17"/>
      <c r="AM83" s="17"/>
      <c r="AN83" s="17"/>
      <c r="AO83" s="17"/>
      <c r="AP83" s="17"/>
      <c r="AQ83" s="17"/>
    </row>
    <row r="84" ht="15.75" customHeight="1">
      <c r="A84" s="367"/>
      <c r="B84" s="428"/>
      <c r="C84" s="429"/>
      <c r="D84" s="429"/>
      <c r="E84" s="429"/>
      <c r="F84" s="428"/>
      <c r="G84" s="428"/>
      <c r="H84" s="428"/>
      <c r="I84" s="367"/>
      <c r="J84" s="429"/>
      <c r="K84" s="367"/>
      <c r="L84" s="429"/>
      <c r="M84" s="429"/>
      <c r="N84" s="429"/>
      <c r="O84" s="429"/>
      <c r="P84" s="429"/>
      <c r="Q84" s="429"/>
      <c r="R84" s="428"/>
      <c r="S84" s="428"/>
      <c r="T84" s="17"/>
      <c r="U84" s="17"/>
      <c r="V84" s="17"/>
      <c r="W84" s="430"/>
      <c r="X84" s="260"/>
      <c r="Y84" s="367"/>
      <c r="Z84" s="431"/>
      <c r="AA84" s="17"/>
      <c r="AB84" s="17"/>
      <c r="AC84" s="17"/>
      <c r="AD84" s="17"/>
      <c r="AE84" s="17"/>
      <c r="AF84" s="17"/>
      <c r="AG84" s="17"/>
      <c r="AH84" s="17"/>
      <c r="AI84" s="17"/>
      <c r="AJ84" s="17"/>
      <c r="AK84" s="17"/>
      <c r="AL84" s="17"/>
      <c r="AM84" s="17"/>
      <c r="AN84" s="17"/>
      <c r="AO84" s="17"/>
      <c r="AP84" s="17"/>
      <c r="AQ84" s="17"/>
    </row>
    <row r="85" ht="15.75" customHeight="1">
      <c r="A85" s="367"/>
      <c r="B85" s="428"/>
      <c r="C85" s="429"/>
      <c r="D85" s="429"/>
      <c r="E85" s="429"/>
      <c r="F85" s="428"/>
      <c r="G85" s="428"/>
      <c r="H85" s="428"/>
      <c r="I85" s="367"/>
      <c r="J85" s="429"/>
      <c r="K85" s="367"/>
      <c r="L85" s="429"/>
      <c r="M85" s="429"/>
      <c r="N85" s="429"/>
      <c r="O85" s="429"/>
      <c r="P85" s="429"/>
      <c r="Q85" s="429"/>
      <c r="R85" s="428"/>
      <c r="S85" s="428"/>
      <c r="T85" s="17"/>
      <c r="U85" s="17"/>
      <c r="V85" s="17"/>
      <c r="W85" s="430"/>
      <c r="X85" s="260"/>
      <c r="Y85" s="367"/>
      <c r="Z85" s="431"/>
      <c r="AA85" s="17"/>
      <c r="AB85" s="17"/>
      <c r="AC85" s="17"/>
      <c r="AD85" s="17"/>
      <c r="AE85" s="17"/>
      <c r="AF85" s="17"/>
      <c r="AG85" s="17"/>
      <c r="AH85" s="17"/>
      <c r="AI85" s="17"/>
      <c r="AJ85" s="17"/>
      <c r="AK85" s="17"/>
      <c r="AL85" s="17"/>
      <c r="AM85" s="17"/>
      <c r="AN85" s="17"/>
      <c r="AO85" s="17"/>
      <c r="AP85" s="17"/>
      <c r="AQ85" s="17"/>
    </row>
    <row r="86" ht="15.75" customHeight="1">
      <c r="A86" s="367"/>
      <c r="B86" s="428"/>
      <c r="C86" s="429"/>
      <c r="D86" s="429"/>
      <c r="E86" s="429"/>
      <c r="F86" s="428"/>
      <c r="G86" s="428"/>
      <c r="H86" s="428"/>
      <c r="I86" s="367"/>
      <c r="J86" s="429"/>
      <c r="K86" s="367"/>
      <c r="L86" s="429"/>
      <c r="M86" s="429"/>
      <c r="N86" s="429"/>
      <c r="O86" s="429"/>
      <c r="P86" s="429"/>
      <c r="Q86" s="429"/>
      <c r="R86" s="428"/>
      <c r="S86" s="428"/>
      <c r="T86" s="17"/>
      <c r="U86" s="17"/>
      <c r="V86" s="17"/>
      <c r="W86" s="430"/>
      <c r="X86" s="260"/>
      <c r="Y86" s="367"/>
      <c r="Z86" s="431"/>
      <c r="AA86" s="17"/>
      <c r="AB86" s="17"/>
      <c r="AC86" s="17"/>
      <c r="AD86" s="17"/>
      <c r="AE86" s="17"/>
      <c r="AF86" s="17"/>
      <c r="AG86" s="17"/>
      <c r="AH86" s="17"/>
      <c r="AI86" s="17"/>
      <c r="AJ86" s="17"/>
      <c r="AK86" s="17"/>
      <c r="AL86" s="17"/>
      <c r="AM86" s="17"/>
      <c r="AN86" s="17"/>
      <c r="AO86" s="17"/>
      <c r="AP86" s="17"/>
      <c r="AQ86" s="17"/>
    </row>
    <row r="87" ht="15.75" customHeight="1">
      <c r="A87" s="367"/>
      <c r="B87" s="428"/>
      <c r="C87" s="429"/>
      <c r="D87" s="429"/>
      <c r="E87" s="429"/>
      <c r="F87" s="428"/>
      <c r="G87" s="428"/>
      <c r="H87" s="428"/>
      <c r="I87" s="367"/>
      <c r="J87" s="429"/>
      <c r="K87" s="367"/>
      <c r="L87" s="429"/>
      <c r="M87" s="429"/>
      <c r="N87" s="429"/>
      <c r="O87" s="429"/>
      <c r="P87" s="429"/>
      <c r="Q87" s="429"/>
      <c r="R87" s="428"/>
      <c r="S87" s="428"/>
      <c r="T87" s="17"/>
      <c r="U87" s="17"/>
      <c r="V87" s="17"/>
      <c r="W87" s="430"/>
      <c r="X87" s="260"/>
      <c r="Y87" s="367"/>
      <c r="Z87" s="431"/>
      <c r="AA87" s="17"/>
      <c r="AB87" s="17"/>
      <c r="AC87" s="17"/>
      <c r="AD87" s="17"/>
      <c r="AE87" s="17"/>
      <c r="AF87" s="17"/>
      <c r="AG87" s="17"/>
      <c r="AH87" s="17"/>
      <c r="AI87" s="17"/>
      <c r="AJ87" s="17"/>
      <c r="AK87" s="17"/>
      <c r="AL87" s="17"/>
      <c r="AM87" s="17"/>
      <c r="AN87" s="17"/>
      <c r="AO87" s="17"/>
      <c r="AP87" s="17"/>
      <c r="AQ87" s="17"/>
    </row>
    <row r="88" ht="15.75" customHeight="1">
      <c r="A88" s="367"/>
      <c r="B88" s="428"/>
      <c r="C88" s="429"/>
      <c r="D88" s="429"/>
      <c r="E88" s="429"/>
      <c r="F88" s="428"/>
      <c r="G88" s="428"/>
      <c r="H88" s="428"/>
      <c r="I88" s="367"/>
      <c r="J88" s="429"/>
      <c r="K88" s="367"/>
      <c r="L88" s="429"/>
      <c r="M88" s="429"/>
      <c r="N88" s="429"/>
      <c r="O88" s="429"/>
      <c r="P88" s="429"/>
      <c r="Q88" s="429"/>
      <c r="R88" s="428"/>
      <c r="S88" s="428"/>
      <c r="T88" s="17"/>
      <c r="U88" s="17"/>
      <c r="V88" s="17"/>
      <c r="W88" s="430"/>
      <c r="X88" s="260"/>
      <c r="Y88" s="367"/>
      <c r="Z88" s="431"/>
      <c r="AA88" s="17"/>
      <c r="AB88" s="17"/>
      <c r="AC88" s="17"/>
      <c r="AD88" s="17"/>
      <c r="AE88" s="17"/>
      <c r="AF88" s="17"/>
      <c r="AG88" s="17"/>
      <c r="AH88" s="17"/>
      <c r="AI88" s="17"/>
      <c r="AJ88" s="17"/>
      <c r="AK88" s="17"/>
      <c r="AL88" s="17"/>
      <c r="AM88" s="17"/>
      <c r="AN88" s="17"/>
      <c r="AO88" s="17"/>
      <c r="AP88" s="17"/>
      <c r="AQ88" s="17"/>
    </row>
    <row r="89" ht="15.75" customHeight="1">
      <c r="A89" s="367"/>
      <c r="B89" s="428"/>
      <c r="C89" s="429"/>
      <c r="D89" s="429"/>
      <c r="E89" s="429"/>
      <c r="F89" s="428"/>
      <c r="G89" s="428"/>
      <c r="H89" s="428"/>
      <c r="I89" s="367"/>
      <c r="J89" s="429"/>
      <c r="K89" s="367"/>
      <c r="L89" s="429"/>
      <c r="M89" s="429"/>
      <c r="N89" s="429"/>
      <c r="O89" s="429"/>
      <c r="P89" s="429"/>
      <c r="Q89" s="429"/>
      <c r="R89" s="428"/>
      <c r="S89" s="428"/>
      <c r="T89" s="17"/>
      <c r="U89" s="17"/>
      <c r="V89" s="17"/>
      <c r="W89" s="430"/>
      <c r="X89" s="260"/>
      <c r="Y89" s="367"/>
      <c r="Z89" s="431"/>
      <c r="AA89" s="17"/>
      <c r="AB89" s="17"/>
      <c r="AC89" s="17"/>
      <c r="AD89" s="17"/>
      <c r="AE89" s="17"/>
      <c r="AF89" s="17"/>
      <c r="AG89" s="17"/>
      <c r="AH89" s="17"/>
      <c r="AI89" s="17"/>
      <c r="AJ89" s="17"/>
      <c r="AK89" s="17"/>
      <c r="AL89" s="17"/>
      <c r="AM89" s="17"/>
      <c r="AN89" s="17"/>
      <c r="AO89" s="17"/>
      <c r="AP89" s="17"/>
      <c r="AQ89" s="17"/>
    </row>
    <row r="90" ht="15.75" customHeight="1">
      <c r="A90" s="367"/>
      <c r="B90" s="428"/>
      <c r="C90" s="429"/>
      <c r="D90" s="429"/>
      <c r="E90" s="429"/>
      <c r="F90" s="428"/>
      <c r="G90" s="428"/>
      <c r="H90" s="428"/>
      <c r="I90" s="367"/>
      <c r="J90" s="429"/>
      <c r="K90" s="367"/>
      <c r="L90" s="429"/>
      <c r="M90" s="429"/>
      <c r="N90" s="429"/>
      <c r="O90" s="429"/>
      <c r="P90" s="429"/>
      <c r="Q90" s="429"/>
      <c r="R90" s="428"/>
      <c r="S90" s="428"/>
      <c r="T90" s="17"/>
      <c r="U90" s="17"/>
      <c r="V90" s="17"/>
      <c r="W90" s="430"/>
      <c r="X90" s="260"/>
      <c r="Y90" s="367"/>
      <c r="Z90" s="431"/>
      <c r="AA90" s="17"/>
      <c r="AB90" s="17"/>
      <c r="AC90" s="17"/>
      <c r="AD90" s="17"/>
      <c r="AE90" s="17"/>
      <c r="AF90" s="17"/>
      <c r="AG90" s="17"/>
      <c r="AH90" s="17"/>
      <c r="AI90" s="17"/>
      <c r="AJ90" s="17"/>
      <c r="AK90" s="17"/>
      <c r="AL90" s="17"/>
      <c r="AM90" s="17"/>
      <c r="AN90" s="17"/>
      <c r="AO90" s="17"/>
      <c r="AP90" s="17"/>
      <c r="AQ90" s="17"/>
    </row>
    <row r="91" ht="15.75" customHeight="1">
      <c r="A91" s="367"/>
      <c r="B91" s="428"/>
      <c r="C91" s="429"/>
      <c r="D91" s="429"/>
      <c r="E91" s="429"/>
      <c r="F91" s="428"/>
      <c r="G91" s="428"/>
      <c r="H91" s="428"/>
      <c r="I91" s="367"/>
      <c r="J91" s="429"/>
      <c r="K91" s="367"/>
      <c r="L91" s="429"/>
      <c r="M91" s="429"/>
      <c r="N91" s="429"/>
      <c r="O91" s="429"/>
      <c r="P91" s="429"/>
      <c r="Q91" s="429"/>
      <c r="R91" s="428"/>
      <c r="S91" s="428"/>
      <c r="T91" s="17"/>
      <c r="U91" s="17"/>
      <c r="V91" s="17"/>
      <c r="W91" s="430"/>
      <c r="X91" s="260"/>
      <c r="Y91" s="367"/>
      <c r="Z91" s="431"/>
      <c r="AA91" s="17"/>
      <c r="AB91" s="17"/>
      <c r="AC91" s="17"/>
      <c r="AD91" s="17"/>
      <c r="AE91" s="17"/>
      <c r="AF91" s="17"/>
      <c r="AG91" s="17"/>
      <c r="AH91" s="17"/>
      <c r="AI91" s="17"/>
      <c r="AJ91" s="17"/>
      <c r="AK91" s="17"/>
      <c r="AL91" s="17"/>
      <c r="AM91" s="17"/>
      <c r="AN91" s="17"/>
      <c r="AO91" s="17"/>
      <c r="AP91" s="17"/>
      <c r="AQ91" s="17"/>
    </row>
    <row r="92" ht="15.75" customHeight="1">
      <c r="A92" s="367"/>
      <c r="B92" s="428"/>
      <c r="C92" s="429"/>
      <c r="D92" s="429"/>
      <c r="E92" s="429"/>
      <c r="F92" s="428"/>
      <c r="G92" s="428"/>
      <c r="H92" s="428"/>
      <c r="I92" s="367"/>
      <c r="J92" s="429"/>
      <c r="K92" s="367"/>
      <c r="L92" s="429"/>
      <c r="M92" s="429"/>
      <c r="N92" s="429"/>
      <c r="O92" s="429"/>
      <c r="P92" s="429"/>
      <c r="Q92" s="429"/>
      <c r="R92" s="428"/>
      <c r="S92" s="428"/>
      <c r="T92" s="17"/>
      <c r="U92" s="17"/>
      <c r="V92" s="17"/>
      <c r="W92" s="430"/>
      <c r="X92" s="260"/>
      <c r="Y92" s="367"/>
      <c r="Z92" s="431"/>
      <c r="AA92" s="17"/>
      <c r="AB92" s="17"/>
      <c r="AC92" s="17"/>
      <c r="AD92" s="17"/>
      <c r="AE92" s="17"/>
      <c r="AF92" s="17"/>
      <c r="AG92" s="17"/>
      <c r="AH92" s="17"/>
      <c r="AI92" s="17"/>
      <c r="AJ92" s="17"/>
      <c r="AK92" s="17"/>
      <c r="AL92" s="17"/>
      <c r="AM92" s="17"/>
      <c r="AN92" s="17"/>
      <c r="AO92" s="17"/>
      <c r="AP92" s="17"/>
      <c r="AQ92" s="17"/>
    </row>
    <row r="93" ht="15.75" customHeight="1">
      <c r="A93" s="367"/>
      <c r="B93" s="428"/>
      <c r="C93" s="429"/>
      <c r="D93" s="429"/>
      <c r="E93" s="429"/>
      <c r="F93" s="428"/>
      <c r="G93" s="428"/>
      <c r="H93" s="428"/>
      <c r="I93" s="367"/>
      <c r="J93" s="429"/>
      <c r="K93" s="367"/>
      <c r="L93" s="429"/>
      <c r="M93" s="429"/>
      <c r="N93" s="429"/>
      <c r="O93" s="429"/>
      <c r="P93" s="429"/>
      <c r="Q93" s="429"/>
      <c r="R93" s="428"/>
      <c r="S93" s="428"/>
      <c r="T93" s="17"/>
      <c r="U93" s="17"/>
      <c r="V93" s="17"/>
      <c r="W93" s="430"/>
      <c r="X93" s="260"/>
      <c r="Y93" s="367"/>
      <c r="Z93" s="431"/>
      <c r="AA93" s="17"/>
      <c r="AB93" s="17"/>
      <c r="AC93" s="17"/>
      <c r="AD93" s="17"/>
      <c r="AE93" s="17"/>
      <c r="AF93" s="17"/>
      <c r="AG93" s="17"/>
      <c r="AH93" s="17"/>
      <c r="AI93" s="17"/>
      <c r="AJ93" s="17"/>
      <c r="AK93" s="17"/>
      <c r="AL93" s="17"/>
      <c r="AM93" s="17"/>
      <c r="AN93" s="17"/>
      <c r="AO93" s="17"/>
      <c r="AP93" s="17"/>
      <c r="AQ93" s="17"/>
    </row>
    <row r="94" ht="15.75" customHeight="1">
      <c r="A94" s="367"/>
      <c r="B94" s="428"/>
      <c r="C94" s="429"/>
      <c r="D94" s="429"/>
      <c r="E94" s="429"/>
      <c r="F94" s="428"/>
      <c r="G94" s="428"/>
      <c r="H94" s="428"/>
      <c r="I94" s="367"/>
      <c r="J94" s="429"/>
      <c r="K94" s="367"/>
      <c r="L94" s="429"/>
      <c r="M94" s="429"/>
      <c r="N94" s="429"/>
      <c r="O94" s="429"/>
      <c r="P94" s="429"/>
      <c r="Q94" s="429"/>
      <c r="R94" s="428"/>
      <c r="S94" s="428"/>
      <c r="T94" s="17"/>
      <c r="U94" s="17"/>
      <c r="V94" s="17"/>
      <c r="W94" s="430"/>
      <c r="X94" s="260"/>
      <c r="Y94" s="367"/>
      <c r="Z94" s="431"/>
      <c r="AA94" s="17"/>
      <c r="AB94" s="17"/>
      <c r="AC94" s="17"/>
      <c r="AD94" s="17"/>
      <c r="AE94" s="17"/>
      <c r="AF94" s="17"/>
      <c r="AG94" s="17"/>
      <c r="AH94" s="17"/>
      <c r="AI94" s="17"/>
      <c r="AJ94" s="17"/>
      <c r="AK94" s="17"/>
      <c r="AL94" s="17"/>
      <c r="AM94" s="17"/>
      <c r="AN94" s="17"/>
      <c r="AO94" s="17"/>
      <c r="AP94" s="17"/>
      <c r="AQ94" s="17"/>
    </row>
    <row r="95" ht="15.75" customHeight="1">
      <c r="A95" s="367"/>
      <c r="B95" s="428"/>
      <c r="C95" s="429"/>
      <c r="D95" s="429"/>
      <c r="E95" s="429"/>
      <c r="F95" s="428"/>
      <c r="G95" s="428"/>
      <c r="H95" s="428"/>
      <c r="I95" s="367"/>
      <c r="J95" s="429"/>
      <c r="K95" s="367"/>
      <c r="L95" s="429"/>
      <c r="M95" s="429"/>
      <c r="N95" s="429"/>
      <c r="O95" s="429"/>
      <c r="P95" s="429"/>
      <c r="Q95" s="429"/>
      <c r="R95" s="428"/>
      <c r="S95" s="428"/>
      <c r="T95" s="17"/>
      <c r="U95" s="17"/>
      <c r="V95" s="17"/>
      <c r="W95" s="430"/>
      <c r="X95" s="260"/>
      <c r="Y95" s="367"/>
      <c r="Z95" s="431"/>
      <c r="AA95" s="17"/>
      <c r="AB95" s="17"/>
      <c r="AC95" s="17"/>
      <c r="AD95" s="17"/>
      <c r="AE95" s="17"/>
      <c r="AF95" s="17"/>
      <c r="AG95" s="17"/>
      <c r="AH95" s="17"/>
      <c r="AI95" s="17"/>
      <c r="AJ95" s="17"/>
      <c r="AK95" s="17"/>
      <c r="AL95" s="17"/>
      <c r="AM95" s="17"/>
      <c r="AN95" s="17"/>
      <c r="AO95" s="17"/>
      <c r="AP95" s="17"/>
      <c r="AQ95" s="17"/>
    </row>
    <row r="96" ht="15.75" customHeight="1">
      <c r="A96" s="367"/>
      <c r="B96" s="428"/>
      <c r="C96" s="429"/>
      <c r="D96" s="429"/>
      <c r="E96" s="429"/>
      <c r="F96" s="428"/>
      <c r="G96" s="428"/>
      <c r="H96" s="428"/>
      <c r="I96" s="367"/>
      <c r="J96" s="429"/>
      <c r="K96" s="367"/>
      <c r="L96" s="429"/>
      <c r="M96" s="429"/>
      <c r="N96" s="429"/>
      <c r="O96" s="429"/>
      <c r="P96" s="429"/>
      <c r="Q96" s="429"/>
      <c r="R96" s="428"/>
      <c r="S96" s="428"/>
      <c r="T96" s="17"/>
      <c r="U96" s="17"/>
      <c r="V96" s="17"/>
      <c r="W96" s="430"/>
      <c r="X96" s="260"/>
      <c r="Y96" s="367"/>
      <c r="Z96" s="431"/>
      <c r="AA96" s="17"/>
      <c r="AB96" s="17"/>
      <c r="AC96" s="17"/>
      <c r="AD96" s="17"/>
      <c r="AE96" s="17"/>
      <c r="AF96" s="17"/>
      <c r="AG96" s="17"/>
      <c r="AH96" s="17"/>
      <c r="AI96" s="17"/>
      <c r="AJ96" s="17"/>
      <c r="AK96" s="17"/>
      <c r="AL96" s="17"/>
      <c r="AM96" s="17"/>
      <c r="AN96" s="17"/>
      <c r="AO96" s="17"/>
      <c r="AP96" s="17"/>
      <c r="AQ96" s="17"/>
    </row>
    <row r="97" ht="15.75" customHeight="1">
      <c r="A97" s="367"/>
      <c r="B97" s="428"/>
      <c r="C97" s="429"/>
      <c r="D97" s="429"/>
      <c r="E97" s="429"/>
      <c r="F97" s="428"/>
      <c r="G97" s="428"/>
      <c r="H97" s="428"/>
      <c r="I97" s="367"/>
      <c r="J97" s="429"/>
      <c r="K97" s="367"/>
      <c r="L97" s="429"/>
      <c r="M97" s="429"/>
      <c r="N97" s="429"/>
      <c r="O97" s="429"/>
      <c r="P97" s="429"/>
      <c r="Q97" s="429"/>
      <c r="R97" s="428"/>
      <c r="S97" s="428"/>
      <c r="T97" s="17"/>
      <c r="U97" s="17"/>
      <c r="V97" s="17"/>
      <c r="W97" s="430"/>
      <c r="X97" s="260"/>
      <c r="Y97" s="367"/>
      <c r="Z97" s="431"/>
      <c r="AA97" s="17"/>
      <c r="AB97" s="17"/>
      <c r="AC97" s="17"/>
      <c r="AD97" s="17"/>
      <c r="AE97" s="17"/>
      <c r="AF97" s="17"/>
      <c r="AG97" s="17"/>
      <c r="AH97" s="17"/>
      <c r="AI97" s="17"/>
      <c r="AJ97" s="17"/>
      <c r="AK97" s="17"/>
      <c r="AL97" s="17"/>
      <c r="AM97" s="17"/>
      <c r="AN97" s="17"/>
      <c r="AO97" s="17"/>
      <c r="AP97" s="17"/>
      <c r="AQ97" s="17"/>
    </row>
    <row r="98" ht="15.75" customHeight="1">
      <c r="A98" s="367"/>
      <c r="B98" s="428"/>
      <c r="C98" s="429"/>
      <c r="D98" s="429"/>
      <c r="E98" s="429"/>
      <c r="F98" s="428"/>
      <c r="G98" s="428"/>
      <c r="H98" s="428"/>
      <c r="I98" s="367"/>
      <c r="J98" s="429"/>
      <c r="K98" s="367"/>
      <c r="L98" s="429"/>
      <c r="M98" s="429"/>
      <c r="N98" s="429"/>
      <c r="O98" s="429"/>
      <c r="P98" s="429"/>
      <c r="Q98" s="429"/>
      <c r="R98" s="428"/>
      <c r="S98" s="428"/>
      <c r="T98" s="17"/>
      <c r="U98" s="17"/>
      <c r="V98" s="17"/>
      <c r="W98" s="430"/>
      <c r="X98" s="260"/>
      <c r="Y98" s="367"/>
      <c r="Z98" s="431"/>
      <c r="AA98" s="17"/>
      <c r="AB98" s="17"/>
      <c r="AC98" s="17"/>
      <c r="AD98" s="17"/>
      <c r="AE98" s="17"/>
      <c r="AF98" s="17"/>
      <c r="AG98" s="17"/>
      <c r="AH98" s="17"/>
      <c r="AI98" s="17"/>
      <c r="AJ98" s="17"/>
      <c r="AK98" s="17"/>
      <c r="AL98" s="17"/>
      <c r="AM98" s="17"/>
      <c r="AN98" s="17"/>
      <c r="AO98" s="17"/>
      <c r="AP98" s="17"/>
      <c r="AQ98" s="17"/>
    </row>
    <row r="99" ht="15.75" customHeight="1">
      <c r="A99" s="367"/>
      <c r="B99" s="428"/>
      <c r="C99" s="429"/>
      <c r="D99" s="429"/>
      <c r="E99" s="429"/>
      <c r="F99" s="428"/>
      <c r="G99" s="428"/>
      <c r="H99" s="428"/>
      <c r="I99" s="367"/>
      <c r="J99" s="429"/>
      <c r="K99" s="367"/>
      <c r="L99" s="429"/>
      <c r="M99" s="429"/>
      <c r="N99" s="429"/>
      <c r="O99" s="429"/>
      <c r="P99" s="429"/>
      <c r="Q99" s="429"/>
      <c r="R99" s="428"/>
      <c r="S99" s="428"/>
      <c r="T99" s="17"/>
      <c r="U99" s="17"/>
      <c r="V99" s="17"/>
      <c r="W99" s="430"/>
      <c r="X99" s="260"/>
      <c r="Y99" s="367"/>
      <c r="Z99" s="431"/>
      <c r="AA99" s="17"/>
      <c r="AB99" s="17"/>
      <c r="AC99" s="17"/>
      <c r="AD99" s="17"/>
      <c r="AE99" s="17"/>
      <c r="AF99" s="17"/>
      <c r="AG99" s="17"/>
      <c r="AH99" s="17"/>
      <c r="AI99" s="17"/>
      <c r="AJ99" s="17"/>
      <c r="AK99" s="17"/>
      <c r="AL99" s="17"/>
      <c r="AM99" s="17"/>
      <c r="AN99" s="17"/>
      <c r="AO99" s="17"/>
      <c r="AP99" s="17"/>
      <c r="AQ99" s="17"/>
    </row>
    <row r="100" ht="15.75" customHeight="1">
      <c r="A100" s="367"/>
      <c r="B100" s="428"/>
      <c r="C100" s="429"/>
      <c r="D100" s="429"/>
      <c r="E100" s="429"/>
      <c r="F100" s="428"/>
      <c r="G100" s="428"/>
      <c r="H100" s="428"/>
      <c r="I100" s="367"/>
      <c r="J100" s="429"/>
      <c r="K100" s="367"/>
      <c r="L100" s="429"/>
      <c r="M100" s="429"/>
      <c r="N100" s="429"/>
      <c r="O100" s="429"/>
      <c r="P100" s="429"/>
      <c r="Q100" s="429"/>
      <c r="R100" s="428"/>
      <c r="S100" s="428"/>
      <c r="T100" s="17"/>
      <c r="U100" s="17"/>
      <c r="V100" s="17"/>
      <c r="W100" s="430"/>
      <c r="X100" s="260"/>
      <c r="Y100" s="367"/>
      <c r="Z100" s="431"/>
      <c r="AA100" s="17"/>
      <c r="AB100" s="17"/>
      <c r="AC100" s="17"/>
      <c r="AD100" s="17"/>
      <c r="AE100" s="17"/>
      <c r="AF100" s="17"/>
      <c r="AG100" s="17"/>
      <c r="AH100" s="17"/>
      <c r="AI100" s="17"/>
      <c r="AJ100" s="17"/>
      <c r="AK100" s="17"/>
      <c r="AL100" s="17"/>
      <c r="AM100" s="17"/>
      <c r="AN100" s="17"/>
      <c r="AO100" s="17"/>
      <c r="AP100" s="17"/>
      <c r="AQ100" s="17"/>
    </row>
    <row r="101" ht="15.75" customHeight="1">
      <c r="A101" s="367"/>
      <c r="B101" s="428"/>
      <c r="C101" s="429"/>
      <c r="D101" s="429"/>
      <c r="E101" s="429"/>
      <c r="F101" s="428"/>
      <c r="G101" s="428"/>
      <c r="H101" s="428"/>
      <c r="I101" s="367"/>
      <c r="J101" s="429"/>
      <c r="K101" s="367"/>
      <c r="L101" s="429"/>
      <c r="M101" s="429"/>
      <c r="N101" s="429"/>
      <c r="O101" s="429"/>
      <c r="P101" s="429"/>
      <c r="Q101" s="429"/>
      <c r="R101" s="428"/>
      <c r="S101" s="428"/>
      <c r="T101" s="17"/>
      <c r="U101" s="17"/>
      <c r="V101" s="17"/>
      <c r="W101" s="430"/>
      <c r="X101" s="260"/>
      <c r="Y101" s="367"/>
      <c r="Z101" s="431"/>
      <c r="AA101" s="17"/>
      <c r="AB101" s="17"/>
      <c r="AC101" s="17"/>
      <c r="AD101" s="17"/>
      <c r="AE101" s="17"/>
      <c r="AF101" s="17"/>
      <c r="AG101" s="17"/>
      <c r="AH101" s="17"/>
      <c r="AI101" s="17"/>
      <c r="AJ101" s="17"/>
      <c r="AK101" s="17"/>
      <c r="AL101" s="17"/>
      <c r="AM101" s="17"/>
      <c r="AN101" s="17"/>
      <c r="AO101" s="17"/>
      <c r="AP101" s="17"/>
      <c r="AQ101" s="17"/>
    </row>
    <row r="102" ht="15.75" customHeight="1">
      <c r="A102" s="367"/>
      <c r="B102" s="428"/>
      <c r="C102" s="429"/>
      <c r="D102" s="429"/>
      <c r="E102" s="429"/>
      <c r="F102" s="428"/>
      <c r="G102" s="428"/>
      <c r="H102" s="428"/>
      <c r="I102" s="367"/>
      <c r="J102" s="429"/>
      <c r="K102" s="367"/>
      <c r="L102" s="429"/>
      <c r="M102" s="429"/>
      <c r="N102" s="429"/>
      <c r="O102" s="429"/>
      <c r="P102" s="429"/>
      <c r="Q102" s="429"/>
      <c r="R102" s="428"/>
      <c r="S102" s="428"/>
      <c r="T102" s="17"/>
      <c r="U102" s="17"/>
      <c r="V102" s="17"/>
      <c r="W102" s="430"/>
      <c r="X102" s="260"/>
      <c r="Y102" s="367"/>
      <c r="Z102" s="431"/>
      <c r="AA102" s="17"/>
      <c r="AB102" s="17"/>
      <c r="AC102" s="17"/>
      <c r="AD102" s="17"/>
      <c r="AE102" s="17"/>
      <c r="AF102" s="17"/>
      <c r="AG102" s="17"/>
      <c r="AH102" s="17"/>
      <c r="AI102" s="17"/>
      <c r="AJ102" s="17"/>
      <c r="AK102" s="17"/>
      <c r="AL102" s="17"/>
      <c r="AM102" s="17"/>
      <c r="AN102" s="17"/>
      <c r="AO102" s="17"/>
      <c r="AP102" s="17"/>
      <c r="AQ102" s="17"/>
    </row>
    <row r="103" ht="15.75" customHeight="1">
      <c r="A103" s="367"/>
      <c r="B103" s="428"/>
      <c r="C103" s="429"/>
      <c r="D103" s="429"/>
      <c r="E103" s="429"/>
      <c r="F103" s="428"/>
      <c r="G103" s="428"/>
      <c r="H103" s="428"/>
      <c r="I103" s="367"/>
      <c r="J103" s="429"/>
      <c r="K103" s="367"/>
      <c r="L103" s="429"/>
      <c r="M103" s="429"/>
      <c r="N103" s="429"/>
      <c r="O103" s="429"/>
      <c r="P103" s="429"/>
      <c r="Q103" s="429"/>
      <c r="R103" s="428"/>
      <c r="S103" s="428"/>
      <c r="T103" s="17"/>
      <c r="U103" s="17"/>
      <c r="V103" s="17"/>
      <c r="W103" s="430"/>
      <c r="X103" s="260"/>
      <c r="Y103" s="367"/>
      <c r="Z103" s="431"/>
      <c r="AA103" s="17"/>
      <c r="AB103" s="17"/>
      <c r="AC103" s="17"/>
      <c r="AD103" s="17"/>
      <c r="AE103" s="17"/>
      <c r="AF103" s="17"/>
      <c r="AG103" s="17"/>
      <c r="AH103" s="17"/>
      <c r="AI103" s="17"/>
      <c r="AJ103" s="17"/>
      <c r="AK103" s="17"/>
      <c r="AL103" s="17"/>
      <c r="AM103" s="17"/>
      <c r="AN103" s="17"/>
      <c r="AO103" s="17"/>
      <c r="AP103" s="17"/>
      <c r="AQ103" s="17"/>
    </row>
    <row r="104" ht="15.75" customHeight="1">
      <c r="A104" s="367"/>
      <c r="B104" s="428"/>
      <c r="C104" s="429"/>
      <c r="D104" s="429"/>
      <c r="E104" s="429"/>
      <c r="F104" s="428"/>
      <c r="G104" s="428"/>
      <c r="H104" s="428"/>
      <c r="I104" s="367"/>
      <c r="J104" s="429"/>
      <c r="K104" s="367"/>
      <c r="L104" s="429"/>
      <c r="M104" s="429"/>
      <c r="N104" s="429"/>
      <c r="O104" s="429"/>
      <c r="P104" s="429"/>
      <c r="Q104" s="429"/>
      <c r="R104" s="428"/>
      <c r="S104" s="428"/>
      <c r="T104" s="17"/>
      <c r="U104" s="17"/>
      <c r="V104" s="17"/>
      <c r="W104" s="430"/>
      <c r="X104" s="260"/>
      <c r="Y104" s="367"/>
      <c r="Z104" s="431"/>
      <c r="AA104" s="17"/>
      <c r="AB104" s="17"/>
      <c r="AC104" s="17"/>
      <c r="AD104" s="17"/>
      <c r="AE104" s="17"/>
      <c r="AF104" s="17"/>
      <c r="AG104" s="17"/>
      <c r="AH104" s="17"/>
      <c r="AI104" s="17"/>
      <c r="AJ104" s="17"/>
      <c r="AK104" s="17"/>
      <c r="AL104" s="17"/>
      <c r="AM104" s="17"/>
      <c r="AN104" s="17"/>
      <c r="AO104" s="17"/>
      <c r="AP104" s="17"/>
      <c r="AQ104" s="17"/>
    </row>
    <row r="105" ht="15.75" customHeight="1">
      <c r="A105" s="367"/>
      <c r="B105" s="428"/>
      <c r="C105" s="429"/>
      <c r="D105" s="429"/>
      <c r="E105" s="429"/>
      <c r="F105" s="428"/>
      <c r="G105" s="428"/>
      <c r="H105" s="428"/>
      <c r="I105" s="367"/>
      <c r="J105" s="429"/>
      <c r="K105" s="367"/>
      <c r="L105" s="429"/>
      <c r="M105" s="429"/>
      <c r="N105" s="429"/>
      <c r="O105" s="429"/>
      <c r="P105" s="429"/>
      <c r="Q105" s="429"/>
      <c r="R105" s="428"/>
      <c r="S105" s="428"/>
      <c r="T105" s="17"/>
      <c r="U105" s="17"/>
      <c r="V105" s="17"/>
      <c r="W105" s="430"/>
      <c r="X105" s="260"/>
      <c r="Y105" s="367"/>
      <c r="Z105" s="431"/>
      <c r="AA105" s="17"/>
      <c r="AB105" s="17"/>
      <c r="AC105" s="17"/>
      <c r="AD105" s="17"/>
      <c r="AE105" s="17"/>
      <c r="AF105" s="17"/>
      <c r="AG105" s="17"/>
      <c r="AH105" s="17"/>
      <c r="AI105" s="17"/>
      <c r="AJ105" s="17"/>
      <c r="AK105" s="17"/>
      <c r="AL105" s="17"/>
      <c r="AM105" s="17"/>
      <c r="AN105" s="17"/>
      <c r="AO105" s="17"/>
      <c r="AP105" s="17"/>
      <c r="AQ105" s="17"/>
    </row>
    <row r="106" ht="15.75" customHeight="1">
      <c r="A106" s="367"/>
      <c r="B106" s="428"/>
      <c r="C106" s="429"/>
      <c r="D106" s="429"/>
      <c r="E106" s="429"/>
      <c r="F106" s="428"/>
      <c r="G106" s="428"/>
      <c r="H106" s="428"/>
      <c r="I106" s="367"/>
      <c r="J106" s="429"/>
      <c r="K106" s="367"/>
      <c r="L106" s="429"/>
      <c r="M106" s="429"/>
      <c r="N106" s="429"/>
      <c r="O106" s="429"/>
      <c r="P106" s="429"/>
      <c r="Q106" s="429"/>
      <c r="R106" s="428"/>
      <c r="S106" s="428"/>
      <c r="T106" s="17"/>
      <c r="U106" s="17"/>
      <c r="V106" s="17"/>
      <c r="W106" s="430"/>
      <c r="X106" s="260"/>
      <c r="Y106" s="367"/>
      <c r="Z106" s="431"/>
      <c r="AA106" s="17"/>
      <c r="AB106" s="17"/>
      <c r="AC106" s="17"/>
      <c r="AD106" s="17"/>
      <c r="AE106" s="17"/>
      <c r="AF106" s="17"/>
      <c r="AG106" s="17"/>
      <c r="AH106" s="17"/>
      <c r="AI106" s="17"/>
      <c r="AJ106" s="17"/>
      <c r="AK106" s="17"/>
      <c r="AL106" s="17"/>
      <c r="AM106" s="17"/>
      <c r="AN106" s="17"/>
      <c r="AO106" s="17"/>
      <c r="AP106" s="17"/>
      <c r="AQ106" s="17"/>
    </row>
    <row r="107" ht="15.75" customHeight="1">
      <c r="A107" s="367"/>
      <c r="B107" s="428"/>
      <c r="C107" s="429"/>
      <c r="D107" s="429"/>
      <c r="E107" s="429"/>
      <c r="F107" s="428"/>
      <c r="G107" s="428"/>
      <c r="H107" s="428"/>
      <c r="I107" s="367"/>
      <c r="J107" s="429"/>
      <c r="K107" s="367"/>
      <c r="L107" s="429"/>
      <c r="M107" s="429"/>
      <c r="N107" s="429"/>
      <c r="O107" s="429"/>
      <c r="P107" s="429"/>
      <c r="Q107" s="429"/>
      <c r="R107" s="428"/>
      <c r="S107" s="428"/>
      <c r="T107" s="17"/>
      <c r="U107" s="17"/>
      <c r="V107" s="17"/>
      <c r="W107" s="430"/>
      <c r="X107" s="260"/>
      <c r="Y107" s="367"/>
      <c r="Z107" s="431"/>
      <c r="AA107" s="17"/>
      <c r="AB107" s="17"/>
      <c r="AC107" s="17"/>
      <c r="AD107" s="17"/>
      <c r="AE107" s="17"/>
      <c r="AF107" s="17"/>
      <c r="AG107" s="17"/>
      <c r="AH107" s="17"/>
      <c r="AI107" s="17"/>
      <c r="AJ107" s="17"/>
      <c r="AK107" s="17"/>
      <c r="AL107" s="17"/>
      <c r="AM107" s="17"/>
      <c r="AN107" s="17"/>
      <c r="AO107" s="17"/>
      <c r="AP107" s="17"/>
      <c r="AQ107" s="17"/>
    </row>
    <row r="108" ht="15.75" customHeight="1">
      <c r="A108" s="367"/>
      <c r="B108" s="428"/>
      <c r="C108" s="429"/>
      <c r="D108" s="429"/>
      <c r="E108" s="429"/>
      <c r="F108" s="428"/>
      <c r="G108" s="428"/>
      <c r="H108" s="428"/>
      <c r="I108" s="367"/>
      <c r="J108" s="429"/>
      <c r="K108" s="367"/>
      <c r="L108" s="429"/>
      <c r="M108" s="429"/>
      <c r="N108" s="429"/>
      <c r="O108" s="429"/>
      <c r="P108" s="429"/>
      <c r="Q108" s="429"/>
      <c r="R108" s="428"/>
      <c r="S108" s="428"/>
      <c r="T108" s="17"/>
      <c r="U108" s="17"/>
      <c r="V108" s="17"/>
      <c r="W108" s="430"/>
      <c r="X108" s="260"/>
      <c r="Y108" s="367"/>
      <c r="Z108" s="431"/>
      <c r="AA108" s="17"/>
      <c r="AB108" s="17"/>
      <c r="AC108" s="17"/>
      <c r="AD108" s="17"/>
      <c r="AE108" s="17"/>
      <c r="AF108" s="17"/>
      <c r="AG108" s="17"/>
      <c r="AH108" s="17"/>
      <c r="AI108" s="17"/>
      <c r="AJ108" s="17"/>
      <c r="AK108" s="17"/>
      <c r="AL108" s="17"/>
      <c r="AM108" s="17"/>
      <c r="AN108" s="17"/>
      <c r="AO108" s="17"/>
      <c r="AP108" s="17"/>
      <c r="AQ108" s="17"/>
    </row>
    <row r="109" ht="15.75" customHeight="1">
      <c r="A109" s="367"/>
      <c r="B109" s="428"/>
      <c r="C109" s="429"/>
      <c r="D109" s="429"/>
      <c r="E109" s="429"/>
      <c r="F109" s="428"/>
      <c r="G109" s="428"/>
      <c r="H109" s="428"/>
      <c r="I109" s="367"/>
      <c r="J109" s="429"/>
      <c r="K109" s="367"/>
      <c r="L109" s="429"/>
      <c r="M109" s="429"/>
      <c r="N109" s="429"/>
      <c r="O109" s="429"/>
      <c r="P109" s="429"/>
      <c r="Q109" s="429"/>
      <c r="R109" s="428"/>
      <c r="S109" s="428"/>
      <c r="T109" s="17"/>
      <c r="U109" s="17"/>
      <c r="V109" s="17"/>
      <c r="W109" s="430"/>
      <c r="X109" s="260"/>
      <c r="Y109" s="367"/>
      <c r="Z109" s="431"/>
      <c r="AA109" s="17"/>
      <c r="AB109" s="17"/>
      <c r="AC109" s="17"/>
      <c r="AD109" s="17"/>
      <c r="AE109" s="17"/>
      <c r="AF109" s="17"/>
      <c r="AG109" s="17"/>
      <c r="AH109" s="17"/>
      <c r="AI109" s="17"/>
      <c r="AJ109" s="17"/>
      <c r="AK109" s="17"/>
      <c r="AL109" s="17"/>
      <c r="AM109" s="17"/>
      <c r="AN109" s="17"/>
      <c r="AO109" s="17"/>
      <c r="AP109" s="17"/>
      <c r="AQ109" s="17"/>
    </row>
    <row r="110" ht="15.75" customHeight="1">
      <c r="A110" s="367"/>
      <c r="B110" s="428"/>
      <c r="C110" s="429"/>
      <c r="D110" s="429"/>
      <c r="E110" s="429"/>
      <c r="F110" s="428"/>
      <c r="G110" s="428"/>
      <c r="H110" s="428"/>
      <c r="I110" s="367"/>
      <c r="J110" s="429"/>
      <c r="K110" s="367"/>
      <c r="L110" s="429"/>
      <c r="M110" s="429"/>
      <c r="N110" s="429"/>
      <c r="O110" s="429"/>
      <c r="P110" s="429"/>
      <c r="Q110" s="429"/>
      <c r="R110" s="428"/>
      <c r="S110" s="428"/>
      <c r="T110" s="17"/>
      <c r="U110" s="17"/>
      <c r="V110" s="17"/>
      <c r="W110" s="430"/>
      <c r="X110" s="260"/>
      <c r="Y110" s="367"/>
      <c r="Z110" s="431"/>
      <c r="AA110" s="17"/>
      <c r="AB110" s="17"/>
      <c r="AC110" s="17"/>
      <c r="AD110" s="17"/>
      <c r="AE110" s="17"/>
      <c r="AF110" s="17"/>
      <c r="AG110" s="17"/>
      <c r="AH110" s="17"/>
      <c r="AI110" s="17"/>
      <c r="AJ110" s="17"/>
      <c r="AK110" s="17"/>
      <c r="AL110" s="17"/>
      <c r="AM110" s="17"/>
      <c r="AN110" s="17"/>
      <c r="AO110" s="17"/>
      <c r="AP110" s="17"/>
      <c r="AQ110" s="17"/>
    </row>
    <row r="111" ht="15.75" customHeight="1">
      <c r="A111" s="367"/>
      <c r="B111" s="428"/>
      <c r="C111" s="429"/>
      <c r="D111" s="429"/>
      <c r="E111" s="429"/>
      <c r="F111" s="428"/>
      <c r="G111" s="428"/>
      <c r="H111" s="428"/>
      <c r="I111" s="367"/>
      <c r="J111" s="429"/>
      <c r="K111" s="367"/>
      <c r="L111" s="429"/>
      <c r="M111" s="429"/>
      <c r="N111" s="429"/>
      <c r="O111" s="429"/>
      <c r="P111" s="429"/>
      <c r="Q111" s="429"/>
      <c r="R111" s="428"/>
      <c r="S111" s="428"/>
      <c r="T111" s="17"/>
      <c r="U111" s="17"/>
      <c r="V111" s="17"/>
      <c r="W111" s="430"/>
      <c r="X111" s="260"/>
      <c r="Y111" s="367"/>
      <c r="Z111" s="431"/>
      <c r="AA111" s="17"/>
      <c r="AB111" s="17"/>
      <c r="AC111" s="17"/>
      <c r="AD111" s="17"/>
      <c r="AE111" s="17"/>
      <c r="AF111" s="17"/>
      <c r="AG111" s="17"/>
      <c r="AH111" s="17"/>
      <c r="AI111" s="17"/>
      <c r="AJ111" s="17"/>
      <c r="AK111" s="17"/>
      <c r="AL111" s="17"/>
      <c r="AM111" s="17"/>
      <c r="AN111" s="17"/>
      <c r="AO111" s="17"/>
      <c r="AP111" s="17"/>
      <c r="AQ111" s="17"/>
    </row>
    <row r="112" ht="15.75" customHeight="1">
      <c r="A112" s="367"/>
      <c r="B112" s="428"/>
      <c r="C112" s="429"/>
      <c r="D112" s="429"/>
      <c r="E112" s="429"/>
      <c r="F112" s="428"/>
      <c r="G112" s="428"/>
      <c r="H112" s="428"/>
      <c r="I112" s="367"/>
      <c r="J112" s="429"/>
      <c r="K112" s="367"/>
      <c r="L112" s="429"/>
      <c r="M112" s="429"/>
      <c r="N112" s="429"/>
      <c r="O112" s="429"/>
      <c r="P112" s="429"/>
      <c r="Q112" s="429"/>
      <c r="R112" s="428"/>
      <c r="S112" s="428"/>
      <c r="T112" s="17"/>
      <c r="U112" s="17"/>
      <c r="V112" s="17"/>
      <c r="W112" s="430"/>
      <c r="X112" s="260"/>
      <c r="Y112" s="367"/>
      <c r="Z112" s="431"/>
      <c r="AA112" s="17"/>
      <c r="AB112" s="17"/>
      <c r="AC112" s="17"/>
      <c r="AD112" s="17"/>
      <c r="AE112" s="17"/>
      <c r="AF112" s="17"/>
      <c r="AG112" s="17"/>
      <c r="AH112" s="17"/>
      <c r="AI112" s="17"/>
      <c r="AJ112" s="17"/>
      <c r="AK112" s="17"/>
      <c r="AL112" s="17"/>
      <c r="AM112" s="17"/>
      <c r="AN112" s="17"/>
      <c r="AO112" s="17"/>
      <c r="AP112" s="17"/>
      <c r="AQ112" s="17"/>
    </row>
    <row r="113" ht="15.75" customHeight="1">
      <c r="A113" s="367"/>
      <c r="B113" s="428"/>
      <c r="C113" s="429"/>
      <c r="D113" s="429"/>
      <c r="E113" s="429"/>
      <c r="F113" s="428"/>
      <c r="G113" s="428"/>
      <c r="H113" s="428"/>
      <c r="I113" s="367"/>
      <c r="J113" s="429"/>
      <c r="K113" s="367"/>
      <c r="L113" s="429"/>
      <c r="M113" s="429"/>
      <c r="N113" s="429"/>
      <c r="O113" s="429"/>
      <c r="P113" s="429"/>
      <c r="Q113" s="429"/>
      <c r="R113" s="428"/>
      <c r="S113" s="428"/>
      <c r="T113" s="17"/>
      <c r="U113" s="17"/>
      <c r="V113" s="17"/>
      <c r="W113" s="430"/>
      <c r="X113" s="260"/>
      <c r="Y113" s="367"/>
      <c r="Z113" s="431"/>
      <c r="AA113" s="17"/>
      <c r="AB113" s="17"/>
      <c r="AC113" s="17"/>
      <c r="AD113" s="17"/>
      <c r="AE113" s="17"/>
      <c r="AF113" s="17"/>
      <c r="AG113" s="17"/>
      <c r="AH113" s="17"/>
      <c r="AI113" s="17"/>
      <c r="AJ113" s="17"/>
      <c r="AK113" s="17"/>
      <c r="AL113" s="17"/>
      <c r="AM113" s="17"/>
      <c r="AN113" s="17"/>
      <c r="AO113" s="17"/>
      <c r="AP113" s="17"/>
      <c r="AQ113" s="17"/>
    </row>
    <row r="114" ht="15.75" customHeight="1">
      <c r="A114" s="367"/>
      <c r="B114" s="428"/>
      <c r="C114" s="429"/>
      <c r="D114" s="429"/>
      <c r="E114" s="429"/>
      <c r="F114" s="428"/>
      <c r="G114" s="428"/>
      <c r="H114" s="428"/>
      <c r="I114" s="367"/>
      <c r="J114" s="429"/>
      <c r="K114" s="367"/>
      <c r="L114" s="429"/>
      <c r="M114" s="429"/>
      <c r="N114" s="429"/>
      <c r="O114" s="429"/>
      <c r="P114" s="429"/>
      <c r="Q114" s="429"/>
      <c r="R114" s="428"/>
      <c r="S114" s="428"/>
      <c r="T114" s="17"/>
      <c r="U114" s="17"/>
      <c r="V114" s="17"/>
      <c r="W114" s="430"/>
      <c r="X114" s="260"/>
      <c r="Y114" s="367"/>
      <c r="Z114" s="431"/>
      <c r="AA114" s="17"/>
      <c r="AB114" s="17"/>
      <c r="AC114" s="17"/>
      <c r="AD114" s="17"/>
      <c r="AE114" s="17"/>
      <c r="AF114" s="17"/>
      <c r="AG114" s="17"/>
      <c r="AH114" s="17"/>
      <c r="AI114" s="17"/>
      <c r="AJ114" s="17"/>
      <c r="AK114" s="17"/>
      <c r="AL114" s="17"/>
      <c r="AM114" s="17"/>
      <c r="AN114" s="17"/>
      <c r="AO114" s="17"/>
      <c r="AP114" s="17"/>
      <c r="AQ114" s="17"/>
    </row>
    <row r="115" ht="15.75" customHeight="1">
      <c r="A115" s="367"/>
      <c r="B115" s="428"/>
      <c r="C115" s="429"/>
      <c r="D115" s="429"/>
      <c r="E115" s="429"/>
      <c r="F115" s="428"/>
      <c r="G115" s="428"/>
      <c r="H115" s="428"/>
      <c r="I115" s="367"/>
      <c r="J115" s="429"/>
      <c r="K115" s="367"/>
      <c r="L115" s="429"/>
      <c r="M115" s="429"/>
      <c r="N115" s="429"/>
      <c r="O115" s="429"/>
      <c r="P115" s="429"/>
      <c r="Q115" s="429"/>
      <c r="R115" s="428"/>
      <c r="S115" s="428"/>
      <c r="T115" s="17"/>
      <c r="U115" s="17"/>
      <c r="V115" s="17"/>
      <c r="W115" s="430"/>
      <c r="X115" s="260"/>
      <c r="Y115" s="367"/>
      <c r="Z115" s="431"/>
      <c r="AA115" s="17"/>
      <c r="AB115" s="17"/>
      <c r="AC115" s="17"/>
      <c r="AD115" s="17"/>
      <c r="AE115" s="17"/>
      <c r="AF115" s="17"/>
      <c r="AG115" s="17"/>
      <c r="AH115" s="17"/>
      <c r="AI115" s="17"/>
      <c r="AJ115" s="17"/>
      <c r="AK115" s="17"/>
      <c r="AL115" s="17"/>
      <c r="AM115" s="17"/>
      <c r="AN115" s="17"/>
      <c r="AO115" s="17"/>
      <c r="AP115" s="17"/>
      <c r="AQ115" s="17"/>
    </row>
    <row r="116" ht="15.75" customHeight="1">
      <c r="A116" s="367"/>
      <c r="B116" s="428"/>
      <c r="C116" s="429"/>
      <c r="D116" s="429"/>
      <c r="E116" s="429"/>
      <c r="F116" s="428"/>
      <c r="G116" s="428"/>
      <c r="H116" s="428"/>
      <c r="I116" s="367"/>
      <c r="J116" s="429"/>
      <c r="K116" s="367"/>
      <c r="L116" s="429"/>
      <c r="M116" s="429"/>
      <c r="N116" s="429"/>
      <c r="O116" s="429"/>
      <c r="P116" s="429"/>
      <c r="Q116" s="429"/>
      <c r="R116" s="428"/>
      <c r="S116" s="428"/>
      <c r="T116" s="17"/>
      <c r="U116" s="17"/>
      <c r="V116" s="17"/>
      <c r="W116" s="430"/>
      <c r="X116" s="260"/>
      <c r="Y116" s="367"/>
      <c r="Z116" s="431"/>
      <c r="AA116" s="17"/>
      <c r="AB116" s="17"/>
      <c r="AC116" s="17"/>
      <c r="AD116" s="17"/>
      <c r="AE116" s="17"/>
      <c r="AF116" s="17"/>
      <c r="AG116" s="17"/>
      <c r="AH116" s="17"/>
      <c r="AI116" s="17"/>
      <c r="AJ116" s="17"/>
      <c r="AK116" s="17"/>
      <c r="AL116" s="17"/>
      <c r="AM116" s="17"/>
      <c r="AN116" s="17"/>
      <c r="AO116" s="17"/>
      <c r="AP116" s="17"/>
      <c r="AQ116" s="17"/>
    </row>
    <row r="117" ht="15.75" customHeight="1">
      <c r="A117" s="367"/>
      <c r="B117" s="428"/>
      <c r="C117" s="429"/>
      <c r="D117" s="429"/>
      <c r="E117" s="429"/>
      <c r="F117" s="428"/>
      <c r="G117" s="428"/>
      <c r="H117" s="428"/>
      <c r="I117" s="367"/>
      <c r="J117" s="429"/>
      <c r="K117" s="367"/>
      <c r="L117" s="429"/>
      <c r="M117" s="429"/>
      <c r="N117" s="429"/>
      <c r="O117" s="429"/>
      <c r="P117" s="429"/>
      <c r="Q117" s="429"/>
      <c r="R117" s="428"/>
      <c r="S117" s="428"/>
      <c r="T117" s="17"/>
      <c r="U117" s="17"/>
      <c r="V117" s="17"/>
      <c r="W117" s="430"/>
      <c r="X117" s="260"/>
      <c r="Y117" s="367"/>
      <c r="Z117" s="431"/>
      <c r="AA117" s="17"/>
      <c r="AB117" s="17"/>
      <c r="AC117" s="17"/>
      <c r="AD117" s="17"/>
      <c r="AE117" s="17"/>
      <c r="AF117" s="17"/>
      <c r="AG117" s="17"/>
      <c r="AH117" s="17"/>
      <c r="AI117" s="17"/>
      <c r="AJ117" s="17"/>
      <c r="AK117" s="17"/>
      <c r="AL117" s="17"/>
      <c r="AM117" s="17"/>
      <c r="AN117" s="17"/>
      <c r="AO117" s="17"/>
      <c r="AP117" s="17"/>
      <c r="AQ117" s="17"/>
    </row>
    <row r="118" ht="15.75" customHeight="1">
      <c r="A118" s="367"/>
      <c r="B118" s="428"/>
      <c r="C118" s="429"/>
      <c r="D118" s="429"/>
      <c r="E118" s="429"/>
      <c r="F118" s="428"/>
      <c r="G118" s="428"/>
      <c r="H118" s="428"/>
      <c r="I118" s="367"/>
      <c r="J118" s="429"/>
      <c r="K118" s="367"/>
      <c r="L118" s="429"/>
      <c r="M118" s="429"/>
      <c r="N118" s="429"/>
      <c r="O118" s="429"/>
      <c r="P118" s="429"/>
      <c r="Q118" s="429"/>
      <c r="R118" s="428"/>
      <c r="S118" s="428"/>
      <c r="T118" s="17"/>
      <c r="U118" s="17"/>
      <c r="V118" s="17"/>
      <c r="W118" s="430"/>
      <c r="X118" s="260"/>
      <c r="Y118" s="367"/>
      <c r="Z118" s="431"/>
      <c r="AA118" s="17"/>
      <c r="AB118" s="17"/>
      <c r="AC118" s="17"/>
      <c r="AD118" s="17"/>
      <c r="AE118" s="17"/>
      <c r="AF118" s="17"/>
      <c r="AG118" s="17"/>
      <c r="AH118" s="17"/>
      <c r="AI118" s="17"/>
      <c r="AJ118" s="17"/>
      <c r="AK118" s="17"/>
      <c r="AL118" s="17"/>
      <c r="AM118" s="17"/>
      <c r="AN118" s="17"/>
      <c r="AO118" s="17"/>
      <c r="AP118" s="17"/>
      <c r="AQ118" s="17"/>
    </row>
    <row r="119" ht="15.75" customHeight="1">
      <c r="A119" s="367"/>
      <c r="B119" s="428"/>
      <c r="C119" s="429"/>
      <c r="D119" s="429"/>
      <c r="E119" s="429"/>
      <c r="F119" s="428"/>
      <c r="G119" s="428"/>
      <c r="H119" s="428"/>
      <c r="I119" s="367"/>
      <c r="J119" s="429"/>
      <c r="K119" s="367"/>
      <c r="L119" s="429"/>
      <c r="M119" s="429"/>
      <c r="N119" s="429"/>
      <c r="O119" s="429"/>
      <c r="P119" s="429"/>
      <c r="Q119" s="429"/>
      <c r="R119" s="428"/>
      <c r="S119" s="428"/>
      <c r="T119" s="17"/>
      <c r="U119" s="17"/>
      <c r="V119" s="17"/>
      <c r="W119" s="430"/>
      <c r="X119" s="260"/>
      <c r="Y119" s="367"/>
      <c r="Z119" s="431"/>
      <c r="AA119" s="17"/>
      <c r="AB119" s="17"/>
      <c r="AC119" s="17"/>
      <c r="AD119" s="17"/>
      <c r="AE119" s="17"/>
      <c r="AF119" s="17"/>
      <c r="AG119" s="17"/>
      <c r="AH119" s="17"/>
      <c r="AI119" s="17"/>
      <c r="AJ119" s="17"/>
      <c r="AK119" s="17"/>
      <c r="AL119" s="17"/>
      <c r="AM119" s="17"/>
      <c r="AN119" s="17"/>
      <c r="AO119" s="17"/>
      <c r="AP119" s="17"/>
      <c r="AQ119" s="17"/>
    </row>
    <row r="120" ht="15.75" customHeight="1">
      <c r="A120" s="367"/>
      <c r="B120" s="428"/>
      <c r="C120" s="429"/>
      <c r="D120" s="429"/>
      <c r="E120" s="429"/>
      <c r="F120" s="428"/>
      <c r="G120" s="428"/>
      <c r="H120" s="428"/>
      <c r="I120" s="367"/>
      <c r="J120" s="429"/>
      <c r="K120" s="367"/>
      <c r="L120" s="429"/>
      <c r="M120" s="429"/>
      <c r="N120" s="429"/>
      <c r="O120" s="429"/>
      <c r="P120" s="429"/>
      <c r="Q120" s="429"/>
      <c r="R120" s="428"/>
      <c r="S120" s="428"/>
      <c r="T120" s="17"/>
      <c r="U120" s="17"/>
      <c r="V120" s="17"/>
      <c r="W120" s="430"/>
      <c r="X120" s="260"/>
      <c r="Y120" s="367"/>
      <c r="Z120" s="431"/>
      <c r="AA120" s="17"/>
      <c r="AB120" s="17"/>
      <c r="AC120" s="17"/>
      <c r="AD120" s="17"/>
      <c r="AE120" s="17"/>
      <c r="AF120" s="17"/>
      <c r="AG120" s="17"/>
      <c r="AH120" s="17"/>
      <c r="AI120" s="17"/>
      <c r="AJ120" s="17"/>
      <c r="AK120" s="17"/>
      <c r="AL120" s="17"/>
      <c r="AM120" s="17"/>
      <c r="AN120" s="17"/>
      <c r="AO120" s="17"/>
      <c r="AP120" s="17"/>
      <c r="AQ120" s="17"/>
    </row>
    <row r="121" ht="15.75" customHeight="1">
      <c r="A121" s="367"/>
      <c r="B121" s="428"/>
      <c r="C121" s="429"/>
      <c r="D121" s="429"/>
      <c r="E121" s="429"/>
      <c r="F121" s="428"/>
      <c r="G121" s="428"/>
      <c r="H121" s="428"/>
      <c r="I121" s="367"/>
      <c r="J121" s="429"/>
      <c r="K121" s="367"/>
      <c r="L121" s="429"/>
      <c r="M121" s="429"/>
      <c r="N121" s="429"/>
      <c r="O121" s="429"/>
      <c r="P121" s="429"/>
      <c r="Q121" s="429"/>
      <c r="R121" s="428"/>
      <c r="S121" s="428"/>
      <c r="T121" s="17"/>
      <c r="U121" s="17"/>
      <c r="V121" s="17"/>
      <c r="W121" s="430"/>
      <c r="X121" s="260"/>
      <c r="Y121" s="367"/>
      <c r="Z121" s="431"/>
      <c r="AA121" s="17"/>
      <c r="AB121" s="17"/>
      <c r="AC121" s="17"/>
      <c r="AD121" s="17"/>
      <c r="AE121" s="17"/>
      <c r="AF121" s="17"/>
      <c r="AG121" s="17"/>
      <c r="AH121" s="17"/>
      <c r="AI121" s="17"/>
      <c r="AJ121" s="17"/>
      <c r="AK121" s="17"/>
      <c r="AL121" s="17"/>
      <c r="AM121" s="17"/>
      <c r="AN121" s="17"/>
      <c r="AO121" s="17"/>
      <c r="AP121" s="17"/>
      <c r="AQ121" s="17"/>
    </row>
    <row r="122" ht="15.75" customHeight="1">
      <c r="A122" s="367"/>
      <c r="B122" s="428"/>
      <c r="C122" s="429"/>
      <c r="D122" s="429"/>
      <c r="E122" s="429"/>
      <c r="F122" s="428"/>
      <c r="G122" s="428"/>
      <c r="H122" s="428"/>
      <c r="I122" s="367"/>
      <c r="J122" s="429"/>
      <c r="K122" s="367"/>
      <c r="L122" s="429"/>
      <c r="M122" s="429"/>
      <c r="N122" s="429"/>
      <c r="O122" s="429"/>
      <c r="P122" s="429"/>
      <c r="Q122" s="429"/>
      <c r="R122" s="428"/>
      <c r="S122" s="428"/>
      <c r="T122" s="17"/>
      <c r="U122" s="17"/>
      <c r="V122" s="17"/>
      <c r="W122" s="430"/>
      <c r="X122" s="260"/>
      <c r="Y122" s="367"/>
      <c r="Z122" s="431"/>
      <c r="AA122" s="17"/>
      <c r="AB122" s="17"/>
      <c r="AC122" s="17"/>
      <c r="AD122" s="17"/>
      <c r="AE122" s="17"/>
      <c r="AF122" s="17"/>
      <c r="AG122" s="17"/>
      <c r="AH122" s="17"/>
      <c r="AI122" s="17"/>
      <c r="AJ122" s="17"/>
      <c r="AK122" s="17"/>
      <c r="AL122" s="17"/>
      <c r="AM122" s="17"/>
      <c r="AN122" s="17"/>
      <c r="AO122" s="17"/>
      <c r="AP122" s="17"/>
      <c r="AQ122" s="17"/>
    </row>
    <row r="123" ht="15.75" customHeight="1">
      <c r="A123" s="367"/>
      <c r="B123" s="428"/>
      <c r="C123" s="429"/>
      <c r="D123" s="429"/>
      <c r="E123" s="429"/>
      <c r="F123" s="428"/>
      <c r="G123" s="428"/>
      <c r="H123" s="428"/>
      <c r="I123" s="367"/>
      <c r="J123" s="429"/>
      <c r="K123" s="367"/>
      <c r="L123" s="429"/>
      <c r="M123" s="429"/>
      <c r="N123" s="429"/>
      <c r="O123" s="429"/>
      <c r="P123" s="429"/>
      <c r="Q123" s="429"/>
      <c r="R123" s="428"/>
      <c r="S123" s="428"/>
      <c r="T123" s="17"/>
      <c r="U123" s="17"/>
      <c r="V123" s="17"/>
      <c r="W123" s="430"/>
      <c r="X123" s="260"/>
      <c r="Y123" s="367"/>
      <c r="Z123" s="431"/>
      <c r="AA123" s="17"/>
      <c r="AB123" s="17"/>
      <c r="AC123" s="17"/>
      <c r="AD123" s="17"/>
      <c r="AE123" s="17"/>
      <c r="AF123" s="17"/>
      <c r="AG123" s="17"/>
      <c r="AH123" s="17"/>
      <c r="AI123" s="17"/>
      <c r="AJ123" s="17"/>
      <c r="AK123" s="17"/>
      <c r="AL123" s="17"/>
      <c r="AM123" s="17"/>
      <c r="AN123" s="17"/>
      <c r="AO123" s="17"/>
      <c r="AP123" s="17"/>
      <c r="AQ123" s="17"/>
    </row>
    <row r="124" ht="15.75" customHeight="1">
      <c r="A124" s="367"/>
      <c r="B124" s="428"/>
      <c r="C124" s="429"/>
      <c r="D124" s="429"/>
      <c r="E124" s="429"/>
      <c r="F124" s="428"/>
      <c r="G124" s="428"/>
      <c r="H124" s="428"/>
      <c r="I124" s="367"/>
      <c r="J124" s="429"/>
      <c r="K124" s="367"/>
      <c r="L124" s="429"/>
      <c r="M124" s="429"/>
      <c r="N124" s="429"/>
      <c r="O124" s="429"/>
      <c r="P124" s="429"/>
      <c r="Q124" s="429"/>
      <c r="R124" s="428"/>
      <c r="S124" s="428"/>
      <c r="T124" s="17"/>
      <c r="U124" s="17"/>
      <c r="V124" s="17"/>
      <c r="W124" s="430"/>
      <c r="X124" s="260"/>
      <c r="Y124" s="367"/>
      <c r="Z124" s="431"/>
      <c r="AA124" s="17"/>
      <c r="AB124" s="17"/>
      <c r="AC124" s="17"/>
      <c r="AD124" s="17"/>
      <c r="AE124" s="17"/>
      <c r="AF124" s="17"/>
      <c r="AG124" s="17"/>
      <c r="AH124" s="17"/>
      <c r="AI124" s="17"/>
      <c r="AJ124" s="17"/>
      <c r="AK124" s="17"/>
      <c r="AL124" s="17"/>
      <c r="AM124" s="17"/>
      <c r="AN124" s="17"/>
      <c r="AO124" s="17"/>
      <c r="AP124" s="17"/>
      <c r="AQ124" s="17"/>
    </row>
    <row r="125" ht="15.75" customHeight="1">
      <c r="A125" s="367"/>
      <c r="B125" s="428"/>
      <c r="C125" s="429"/>
      <c r="D125" s="429"/>
      <c r="E125" s="429"/>
      <c r="F125" s="428"/>
      <c r="G125" s="428"/>
      <c r="H125" s="428"/>
      <c r="I125" s="367"/>
      <c r="J125" s="429"/>
      <c r="K125" s="367"/>
      <c r="L125" s="429"/>
      <c r="M125" s="429"/>
      <c r="N125" s="429"/>
      <c r="O125" s="429"/>
      <c r="P125" s="429"/>
      <c r="Q125" s="429"/>
      <c r="R125" s="428"/>
      <c r="S125" s="428"/>
      <c r="T125" s="17"/>
      <c r="U125" s="17"/>
      <c r="V125" s="17"/>
      <c r="W125" s="430"/>
      <c r="X125" s="260"/>
      <c r="Y125" s="367"/>
      <c r="Z125" s="431"/>
      <c r="AA125" s="17"/>
      <c r="AB125" s="17"/>
      <c r="AC125" s="17"/>
      <c r="AD125" s="17"/>
      <c r="AE125" s="17"/>
      <c r="AF125" s="17"/>
      <c r="AG125" s="17"/>
      <c r="AH125" s="17"/>
      <c r="AI125" s="17"/>
      <c r="AJ125" s="17"/>
      <c r="AK125" s="17"/>
      <c r="AL125" s="17"/>
      <c r="AM125" s="17"/>
      <c r="AN125" s="17"/>
      <c r="AO125" s="17"/>
      <c r="AP125" s="17"/>
      <c r="AQ125" s="17"/>
    </row>
    <row r="126" ht="15.75" customHeight="1">
      <c r="A126" s="367"/>
      <c r="B126" s="428"/>
      <c r="C126" s="429"/>
      <c r="D126" s="429"/>
      <c r="E126" s="429"/>
      <c r="F126" s="428"/>
      <c r="G126" s="428"/>
      <c r="H126" s="428"/>
      <c r="I126" s="367"/>
      <c r="J126" s="429"/>
      <c r="K126" s="367"/>
      <c r="L126" s="429"/>
      <c r="M126" s="429"/>
      <c r="N126" s="429"/>
      <c r="O126" s="429"/>
      <c r="P126" s="429"/>
      <c r="Q126" s="429"/>
      <c r="R126" s="428"/>
      <c r="S126" s="428"/>
      <c r="T126" s="17"/>
      <c r="U126" s="17"/>
      <c r="V126" s="17"/>
      <c r="W126" s="430"/>
      <c r="X126" s="260"/>
      <c r="Y126" s="367"/>
      <c r="Z126" s="431"/>
      <c r="AA126" s="17"/>
      <c r="AB126" s="17"/>
      <c r="AC126" s="17"/>
      <c r="AD126" s="17"/>
      <c r="AE126" s="17"/>
      <c r="AF126" s="17"/>
      <c r="AG126" s="17"/>
      <c r="AH126" s="17"/>
      <c r="AI126" s="17"/>
      <c r="AJ126" s="17"/>
      <c r="AK126" s="17"/>
      <c r="AL126" s="17"/>
      <c r="AM126" s="17"/>
      <c r="AN126" s="17"/>
      <c r="AO126" s="17"/>
      <c r="AP126" s="17"/>
      <c r="AQ126" s="17"/>
    </row>
    <row r="127" ht="15.75" customHeight="1">
      <c r="A127" s="367"/>
      <c r="B127" s="428"/>
      <c r="C127" s="429"/>
      <c r="D127" s="429"/>
      <c r="E127" s="429"/>
      <c r="F127" s="428"/>
      <c r="G127" s="428"/>
      <c r="H127" s="428"/>
      <c r="I127" s="367"/>
      <c r="J127" s="429"/>
      <c r="K127" s="367"/>
      <c r="L127" s="429"/>
      <c r="M127" s="429"/>
      <c r="N127" s="429"/>
      <c r="O127" s="429"/>
      <c r="P127" s="429"/>
      <c r="Q127" s="429"/>
      <c r="R127" s="428"/>
      <c r="S127" s="428"/>
      <c r="T127" s="17"/>
      <c r="U127" s="17"/>
      <c r="V127" s="17"/>
      <c r="W127" s="430"/>
      <c r="X127" s="260"/>
      <c r="Y127" s="367"/>
      <c r="Z127" s="431"/>
      <c r="AA127" s="17"/>
      <c r="AB127" s="17"/>
      <c r="AC127" s="17"/>
      <c r="AD127" s="17"/>
      <c r="AE127" s="17"/>
      <c r="AF127" s="17"/>
      <c r="AG127" s="17"/>
      <c r="AH127" s="17"/>
      <c r="AI127" s="17"/>
      <c r="AJ127" s="17"/>
      <c r="AK127" s="17"/>
      <c r="AL127" s="17"/>
      <c r="AM127" s="17"/>
      <c r="AN127" s="17"/>
      <c r="AO127" s="17"/>
      <c r="AP127" s="17"/>
      <c r="AQ127" s="17"/>
    </row>
    <row r="128" ht="15.75" customHeight="1">
      <c r="A128" s="367"/>
      <c r="B128" s="428"/>
      <c r="C128" s="429"/>
      <c r="D128" s="429"/>
      <c r="E128" s="429"/>
      <c r="F128" s="428"/>
      <c r="G128" s="428"/>
      <c r="H128" s="428"/>
      <c r="I128" s="367"/>
      <c r="J128" s="429"/>
      <c r="K128" s="367"/>
      <c r="L128" s="429"/>
      <c r="M128" s="429"/>
      <c r="N128" s="429"/>
      <c r="O128" s="429"/>
      <c r="P128" s="429"/>
      <c r="Q128" s="429"/>
      <c r="R128" s="428"/>
      <c r="S128" s="428"/>
      <c r="T128" s="17"/>
      <c r="U128" s="17"/>
      <c r="V128" s="17"/>
      <c r="W128" s="430"/>
      <c r="X128" s="260"/>
      <c r="Y128" s="367"/>
      <c r="Z128" s="431"/>
      <c r="AA128" s="17"/>
      <c r="AB128" s="17"/>
      <c r="AC128" s="17"/>
      <c r="AD128" s="17"/>
      <c r="AE128" s="17"/>
      <c r="AF128" s="17"/>
      <c r="AG128" s="17"/>
      <c r="AH128" s="17"/>
      <c r="AI128" s="17"/>
      <c r="AJ128" s="17"/>
      <c r="AK128" s="17"/>
      <c r="AL128" s="17"/>
      <c r="AM128" s="17"/>
      <c r="AN128" s="17"/>
      <c r="AO128" s="17"/>
      <c r="AP128" s="17"/>
      <c r="AQ128" s="17"/>
    </row>
    <row r="129" ht="15.75" customHeight="1">
      <c r="A129" s="367"/>
      <c r="B129" s="428"/>
      <c r="C129" s="429"/>
      <c r="D129" s="429"/>
      <c r="E129" s="429"/>
      <c r="F129" s="428"/>
      <c r="G129" s="428"/>
      <c r="H129" s="428"/>
      <c r="I129" s="367"/>
      <c r="J129" s="429"/>
      <c r="K129" s="367"/>
      <c r="L129" s="429"/>
      <c r="M129" s="429"/>
      <c r="N129" s="429"/>
      <c r="O129" s="429"/>
      <c r="P129" s="429"/>
      <c r="Q129" s="429"/>
      <c r="R129" s="428"/>
      <c r="S129" s="428"/>
      <c r="T129" s="17"/>
      <c r="U129" s="17"/>
      <c r="V129" s="17"/>
      <c r="W129" s="430"/>
      <c r="X129" s="260"/>
      <c r="Y129" s="367"/>
      <c r="Z129" s="431"/>
      <c r="AA129" s="17"/>
      <c r="AB129" s="17"/>
      <c r="AC129" s="17"/>
      <c r="AD129" s="17"/>
      <c r="AE129" s="17"/>
      <c r="AF129" s="17"/>
      <c r="AG129" s="17"/>
      <c r="AH129" s="17"/>
      <c r="AI129" s="17"/>
      <c r="AJ129" s="17"/>
      <c r="AK129" s="17"/>
      <c r="AL129" s="17"/>
      <c r="AM129" s="17"/>
      <c r="AN129" s="17"/>
      <c r="AO129" s="17"/>
      <c r="AP129" s="17"/>
      <c r="AQ129" s="17"/>
    </row>
    <row r="130" ht="15.75" customHeight="1">
      <c r="A130" s="367"/>
      <c r="B130" s="428"/>
      <c r="C130" s="429"/>
      <c r="D130" s="429"/>
      <c r="E130" s="429"/>
      <c r="F130" s="428"/>
      <c r="G130" s="428"/>
      <c r="H130" s="428"/>
      <c r="I130" s="367"/>
      <c r="J130" s="429"/>
      <c r="K130" s="367"/>
      <c r="L130" s="429"/>
      <c r="M130" s="429"/>
      <c r="N130" s="429"/>
      <c r="O130" s="429"/>
      <c r="P130" s="429"/>
      <c r="Q130" s="429"/>
      <c r="R130" s="428"/>
      <c r="S130" s="428"/>
      <c r="T130" s="17"/>
      <c r="U130" s="17"/>
      <c r="V130" s="17"/>
      <c r="W130" s="430"/>
      <c r="X130" s="260"/>
      <c r="Y130" s="367"/>
      <c r="Z130" s="431"/>
      <c r="AA130" s="17"/>
      <c r="AB130" s="17"/>
      <c r="AC130" s="17"/>
      <c r="AD130" s="17"/>
      <c r="AE130" s="17"/>
      <c r="AF130" s="17"/>
      <c r="AG130" s="17"/>
      <c r="AH130" s="17"/>
      <c r="AI130" s="17"/>
      <c r="AJ130" s="17"/>
      <c r="AK130" s="17"/>
      <c r="AL130" s="17"/>
      <c r="AM130" s="17"/>
      <c r="AN130" s="17"/>
      <c r="AO130" s="17"/>
      <c r="AP130" s="17"/>
      <c r="AQ130" s="17"/>
    </row>
    <row r="131" ht="15.75" customHeight="1">
      <c r="A131" s="367"/>
      <c r="B131" s="428"/>
      <c r="C131" s="429"/>
      <c r="D131" s="429"/>
      <c r="E131" s="429"/>
      <c r="F131" s="428"/>
      <c r="G131" s="428"/>
      <c r="H131" s="428"/>
      <c r="I131" s="367"/>
      <c r="J131" s="429"/>
      <c r="K131" s="367"/>
      <c r="L131" s="429"/>
      <c r="M131" s="429"/>
      <c r="N131" s="429"/>
      <c r="O131" s="429"/>
      <c r="P131" s="429"/>
      <c r="Q131" s="429"/>
      <c r="R131" s="428"/>
      <c r="S131" s="428"/>
      <c r="T131" s="17"/>
      <c r="U131" s="17"/>
      <c r="V131" s="17"/>
      <c r="W131" s="430"/>
      <c r="X131" s="260"/>
      <c r="Y131" s="367"/>
      <c r="Z131" s="431"/>
      <c r="AA131" s="17"/>
      <c r="AB131" s="17"/>
      <c r="AC131" s="17"/>
      <c r="AD131" s="17"/>
      <c r="AE131" s="17"/>
      <c r="AF131" s="17"/>
      <c r="AG131" s="17"/>
      <c r="AH131" s="17"/>
      <c r="AI131" s="17"/>
      <c r="AJ131" s="17"/>
      <c r="AK131" s="17"/>
      <c r="AL131" s="17"/>
      <c r="AM131" s="17"/>
      <c r="AN131" s="17"/>
      <c r="AO131" s="17"/>
      <c r="AP131" s="17"/>
      <c r="AQ131" s="17"/>
    </row>
    <row r="132" ht="15.75" customHeight="1">
      <c r="A132" s="367"/>
      <c r="B132" s="428"/>
      <c r="C132" s="429"/>
      <c r="D132" s="429"/>
      <c r="E132" s="429"/>
      <c r="F132" s="428"/>
      <c r="G132" s="428"/>
      <c r="H132" s="428"/>
      <c r="I132" s="367"/>
      <c r="J132" s="429"/>
      <c r="K132" s="367"/>
      <c r="L132" s="429"/>
      <c r="M132" s="429"/>
      <c r="N132" s="429"/>
      <c r="O132" s="429"/>
      <c r="P132" s="429"/>
      <c r="Q132" s="429"/>
      <c r="R132" s="428"/>
      <c r="S132" s="428"/>
      <c r="T132" s="17"/>
      <c r="U132" s="17"/>
      <c r="V132" s="17"/>
      <c r="W132" s="430"/>
      <c r="X132" s="260"/>
      <c r="Y132" s="367"/>
      <c r="Z132" s="431"/>
      <c r="AA132" s="17"/>
      <c r="AB132" s="17"/>
      <c r="AC132" s="17"/>
      <c r="AD132" s="17"/>
      <c r="AE132" s="17"/>
      <c r="AF132" s="17"/>
      <c r="AG132" s="17"/>
      <c r="AH132" s="17"/>
      <c r="AI132" s="17"/>
      <c r="AJ132" s="17"/>
      <c r="AK132" s="17"/>
      <c r="AL132" s="17"/>
      <c r="AM132" s="17"/>
      <c r="AN132" s="17"/>
      <c r="AO132" s="17"/>
      <c r="AP132" s="17"/>
      <c r="AQ132" s="17"/>
    </row>
    <row r="133" ht="15.75" customHeight="1">
      <c r="A133" s="367"/>
      <c r="B133" s="428"/>
      <c r="C133" s="429"/>
      <c r="D133" s="429"/>
      <c r="E133" s="429"/>
      <c r="F133" s="428"/>
      <c r="G133" s="428"/>
      <c r="H133" s="428"/>
      <c r="I133" s="367"/>
      <c r="J133" s="429"/>
      <c r="K133" s="367"/>
      <c r="L133" s="429"/>
      <c r="M133" s="429"/>
      <c r="N133" s="429"/>
      <c r="O133" s="429"/>
      <c r="P133" s="429"/>
      <c r="Q133" s="429"/>
      <c r="R133" s="428"/>
      <c r="S133" s="428"/>
      <c r="T133" s="17"/>
      <c r="U133" s="17"/>
      <c r="V133" s="17"/>
      <c r="W133" s="430"/>
      <c r="X133" s="260"/>
      <c r="Y133" s="367"/>
      <c r="Z133" s="431"/>
      <c r="AA133" s="17"/>
      <c r="AB133" s="17"/>
      <c r="AC133" s="17"/>
      <c r="AD133" s="17"/>
      <c r="AE133" s="17"/>
      <c r="AF133" s="17"/>
      <c r="AG133" s="17"/>
      <c r="AH133" s="17"/>
      <c r="AI133" s="17"/>
      <c r="AJ133" s="17"/>
      <c r="AK133" s="17"/>
      <c r="AL133" s="17"/>
      <c r="AM133" s="17"/>
      <c r="AN133" s="17"/>
      <c r="AO133" s="17"/>
      <c r="AP133" s="17"/>
      <c r="AQ133" s="17"/>
    </row>
    <row r="134" ht="15.75" customHeight="1">
      <c r="A134" s="367"/>
      <c r="B134" s="428"/>
      <c r="C134" s="429"/>
      <c r="D134" s="429"/>
      <c r="E134" s="429"/>
      <c r="F134" s="428"/>
      <c r="G134" s="428"/>
      <c r="H134" s="428"/>
      <c r="I134" s="367"/>
      <c r="J134" s="429"/>
      <c r="K134" s="367"/>
      <c r="L134" s="429"/>
      <c r="M134" s="429"/>
      <c r="N134" s="429"/>
      <c r="O134" s="429"/>
      <c r="P134" s="429"/>
      <c r="Q134" s="429"/>
      <c r="R134" s="428"/>
      <c r="S134" s="428"/>
      <c r="T134" s="17"/>
      <c r="U134" s="17"/>
      <c r="V134" s="17"/>
      <c r="W134" s="430"/>
      <c r="X134" s="260"/>
      <c r="Y134" s="367"/>
      <c r="Z134" s="431"/>
      <c r="AA134" s="17"/>
      <c r="AB134" s="17"/>
      <c r="AC134" s="17"/>
      <c r="AD134" s="17"/>
      <c r="AE134" s="17"/>
      <c r="AF134" s="17"/>
      <c r="AG134" s="17"/>
      <c r="AH134" s="17"/>
      <c r="AI134" s="17"/>
      <c r="AJ134" s="17"/>
      <c r="AK134" s="17"/>
      <c r="AL134" s="17"/>
      <c r="AM134" s="17"/>
      <c r="AN134" s="17"/>
      <c r="AO134" s="17"/>
      <c r="AP134" s="17"/>
      <c r="AQ134" s="17"/>
    </row>
    <row r="135" ht="15.75" customHeight="1">
      <c r="A135" s="367"/>
      <c r="B135" s="428"/>
      <c r="C135" s="429"/>
      <c r="D135" s="429"/>
      <c r="E135" s="429"/>
      <c r="F135" s="428"/>
      <c r="G135" s="428"/>
      <c r="H135" s="428"/>
      <c r="I135" s="367"/>
      <c r="J135" s="429"/>
      <c r="K135" s="367"/>
      <c r="L135" s="429"/>
      <c r="M135" s="429"/>
      <c r="N135" s="429"/>
      <c r="O135" s="429"/>
      <c r="P135" s="429"/>
      <c r="Q135" s="429"/>
      <c r="R135" s="428"/>
      <c r="S135" s="428"/>
      <c r="T135" s="17"/>
      <c r="U135" s="17"/>
      <c r="V135" s="17"/>
      <c r="W135" s="430"/>
      <c r="X135" s="260"/>
      <c r="Y135" s="367"/>
      <c r="Z135" s="431"/>
      <c r="AA135" s="17"/>
      <c r="AB135" s="17"/>
      <c r="AC135" s="17"/>
      <c r="AD135" s="17"/>
      <c r="AE135" s="17"/>
      <c r="AF135" s="17"/>
      <c r="AG135" s="17"/>
      <c r="AH135" s="17"/>
      <c r="AI135" s="17"/>
      <c r="AJ135" s="17"/>
      <c r="AK135" s="17"/>
      <c r="AL135" s="17"/>
      <c r="AM135" s="17"/>
      <c r="AN135" s="17"/>
      <c r="AO135" s="17"/>
      <c r="AP135" s="17"/>
      <c r="AQ135" s="17"/>
    </row>
    <row r="136" ht="15.75" customHeight="1">
      <c r="A136" s="367"/>
      <c r="B136" s="428"/>
      <c r="C136" s="429"/>
      <c r="D136" s="429"/>
      <c r="E136" s="429"/>
      <c r="F136" s="428"/>
      <c r="G136" s="428"/>
      <c r="H136" s="428"/>
      <c r="I136" s="367"/>
      <c r="J136" s="429"/>
      <c r="K136" s="367"/>
      <c r="L136" s="429"/>
      <c r="M136" s="429"/>
      <c r="N136" s="429"/>
      <c r="O136" s="429"/>
      <c r="P136" s="429"/>
      <c r="Q136" s="429"/>
      <c r="R136" s="428"/>
      <c r="S136" s="428"/>
      <c r="T136" s="17"/>
      <c r="U136" s="17"/>
      <c r="V136" s="17"/>
      <c r="W136" s="430"/>
      <c r="X136" s="260"/>
      <c r="Y136" s="367"/>
      <c r="Z136" s="431"/>
      <c r="AA136" s="17"/>
      <c r="AB136" s="17"/>
      <c r="AC136" s="17"/>
      <c r="AD136" s="17"/>
      <c r="AE136" s="17"/>
      <c r="AF136" s="17"/>
      <c r="AG136" s="17"/>
      <c r="AH136" s="17"/>
      <c r="AI136" s="17"/>
      <c r="AJ136" s="17"/>
      <c r="AK136" s="17"/>
      <c r="AL136" s="17"/>
      <c r="AM136" s="17"/>
      <c r="AN136" s="17"/>
      <c r="AO136" s="17"/>
      <c r="AP136" s="17"/>
      <c r="AQ136" s="17"/>
    </row>
    <row r="137" ht="15.75" customHeight="1">
      <c r="A137" s="367"/>
      <c r="B137" s="428"/>
      <c r="C137" s="429"/>
      <c r="D137" s="429"/>
      <c r="E137" s="429"/>
      <c r="F137" s="428"/>
      <c r="G137" s="428"/>
      <c r="H137" s="428"/>
      <c r="I137" s="367"/>
      <c r="J137" s="429"/>
      <c r="K137" s="367"/>
      <c r="L137" s="429"/>
      <c r="M137" s="429"/>
      <c r="N137" s="429"/>
      <c r="O137" s="429"/>
      <c r="P137" s="429"/>
      <c r="Q137" s="429"/>
      <c r="R137" s="428"/>
      <c r="S137" s="428"/>
      <c r="T137" s="17"/>
      <c r="U137" s="17"/>
      <c r="V137" s="17"/>
      <c r="W137" s="430"/>
      <c r="X137" s="260"/>
      <c r="Y137" s="367"/>
      <c r="Z137" s="431"/>
      <c r="AA137" s="17"/>
      <c r="AB137" s="17"/>
      <c r="AC137" s="17"/>
      <c r="AD137" s="17"/>
      <c r="AE137" s="17"/>
      <c r="AF137" s="17"/>
      <c r="AG137" s="17"/>
      <c r="AH137" s="17"/>
      <c r="AI137" s="17"/>
      <c r="AJ137" s="17"/>
      <c r="AK137" s="17"/>
      <c r="AL137" s="17"/>
      <c r="AM137" s="17"/>
      <c r="AN137" s="17"/>
      <c r="AO137" s="17"/>
      <c r="AP137" s="17"/>
      <c r="AQ137" s="17"/>
    </row>
    <row r="138" ht="15.75" customHeight="1">
      <c r="A138" s="367"/>
      <c r="B138" s="428"/>
      <c r="C138" s="429"/>
      <c r="D138" s="429"/>
      <c r="E138" s="429"/>
      <c r="F138" s="428"/>
      <c r="G138" s="428"/>
      <c r="H138" s="428"/>
      <c r="I138" s="367"/>
      <c r="J138" s="429"/>
      <c r="K138" s="367"/>
      <c r="L138" s="429"/>
      <c r="M138" s="429"/>
      <c r="N138" s="429"/>
      <c r="O138" s="429"/>
      <c r="P138" s="429"/>
      <c r="Q138" s="429"/>
      <c r="R138" s="428"/>
      <c r="S138" s="428"/>
      <c r="T138" s="17"/>
      <c r="U138" s="17"/>
      <c r="V138" s="17"/>
      <c r="W138" s="430"/>
      <c r="X138" s="260"/>
      <c r="Y138" s="367"/>
      <c r="Z138" s="431"/>
      <c r="AA138" s="17"/>
      <c r="AB138" s="17"/>
      <c r="AC138" s="17"/>
      <c r="AD138" s="17"/>
      <c r="AE138" s="17"/>
      <c r="AF138" s="17"/>
      <c r="AG138" s="17"/>
      <c r="AH138" s="17"/>
      <c r="AI138" s="17"/>
      <c r="AJ138" s="17"/>
      <c r="AK138" s="17"/>
      <c r="AL138" s="17"/>
      <c r="AM138" s="17"/>
      <c r="AN138" s="17"/>
      <c r="AO138" s="17"/>
      <c r="AP138" s="17"/>
      <c r="AQ138" s="17"/>
    </row>
    <row r="139" ht="15.75" customHeight="1">
      <c r="A139" s="367"/>
      <c r="B139" s="428"/>
      <c r="C139" s="429"/>
      <c r="D139" s="429"/>
      <c r="E139" s="429"/>
      <c r="F139" s="428"/>
      <c r="G139" s="428"/>
      <c r="H139" s="428"/>
      <c r="I139" s="367"/>
      <c r="J139" s="429"/>
      <c r="K139" s="367"/>
      <c r="L139" s="429"/>
      <c r="M139" s="429"/>
      <c r="N139" s="429"/>
      <c r="O139" s="429"/>
      <c r="P139" s="429"/>
      <c r="Q139" s="429"/>
      <c r="R139" s="428"/>
      <c r="S139" s="428"/>
      <c r="T139" s="17"/>
      <c r="U139" s="17"/>
      <c r="V139" s="17"/>
      <c r="W139" s="430"/>
      <c r="X139" s="260"/>
      <c r="Y139" s="367"/>
      <c r="Z139" s="431"/>
      <c r="AA139" s="17"/>
      <c r="AB139" s="17"/>
      <c r="AC139" s="17"/>
      <c r="AD139" s="17"/>
      <c r="AE139" s="17"/>
      <c r="AF139" s="17"/>
      <c r="AG139" s="17"/>
      <c r="AH139" s="17"/>
      <c r="AI139" s="17"/>
      <c r="AJ139" s="17"/>
      <c r="AK139" s="17"/>
      <c r="AL139" s="17"/>
      <c r="AM139" s="17"/>
      <c r="AN139" s="17"/>
      <c r="AO139" s="17"/>
      <c r="AP139" s="17"/>
      <c r="AQ139" s="17"/>
    </row>
    <row r="140" ht="15.75" customHeight="1">
      <c r="A140" s="367"/>
      <c r="B140" s="428"/>
      <c r="C140" s="429"/>
      <c r="D140" s="429"/>
      <c r="E140" s="429"/>
      <c r="F140" s="428"/>
      <c r="G140" s="428"/>
      <c r="H140" s="428"/>
      <c r="I140" s="367"/>
      <c r="J140" s="429"/>
      <c r="K140" s="367"/>
      <c r="L140" s="429"/>
      <c r="M140" s="429"/>
      <c r="N140" s="429"/>
      <c r="O140" s="429"/>
      <c r="P140" s="429"/>
      <c r="Q140" s="429"/>
      <c r="R140" s="428"/>
      <c r="S140" s="428"/>
      <c r="T140" s="17"/>
      <c r="U140" s="17"/>
      <c r="V140" s="17"/>
      <c r="W140" s="430"/>
      <c r="X140" s="260"/>
      <c r="Y140" s="367"/>
      <c r="Z140" s="431"/>
      <c r="AA140" s="17"/>
      <c r="AB140" s="17"/>
      <c r="AC140" s="17"/>
      <c r="AD140" s="17"/>
      <c r="AE140" s="17"/>
      <c r="AF140" s="17"/>
      <c r="AG140" s="17"/>
      <c r="AH140" s="17"/>
      <c r="AI140" s="17"/>
      <c r="AJ140" s="17"/>
      <c r="AK140" s="17"/>
      <c r="AL140" s="17"/>
      <c r="AM140" s="17"/>
      <c r="AN140" s="17"/>
      <c r="AO140" s="17"/>
      <c r="AP140" s="17"/>
      <c r="AQ140" s="17"/>
    </row>
    <row r="141" ht="15.75" customHeight="1">
      <c r="A141" s="367"/>
      <c r="B141" s="428"/>
      <c r="C141" s="429"/>
      <c r="D141" s="429"/>
      <c r="E141" s="429"/>
      <c r="F141" s="428"/>
      <c r="G141" s="428"/>
      <c r="H141" s="428"/>
      <c r="I141" s="367"/>
      <c r="J141" s="429"/>
      <c r="K141" s="367"/>
      <c r="L141" s="429"/>
      <c r="M141" s="429"/>
      <c r="N141" s="429"/>
      <c r="O141" s="429"/>
      <c r="P141" s="429"/>
      <c r="Q141" s="429"/>
      <c r="R141" s="428"/>
      <c r="S141" s="428"/>
      <c r="T141" s="17"/>
      <c r="U141" s="17"/>
      <c r="V141" s="17"/>
      <c r="W141" s="430"/>
      <c r="X141" s="260"/>
      <c r="Y141" s="367"/>
      <c r="Z141" s="431"/>
      <c r="AA141" s="17"/>
      <c r="AB141" s="17"/>
      <c r="AC141" s="17"/>
      <c r="AD141" s="17"/>
      <c r="AE141" s="17"/>
      <c r="AF141" s="17"/>
      <c r="AG141" s="17"/>
      <c r="AH141" s="17"/>
      <c r="AI141" s="17"/>
      <c r="AJ141" s="17"/>
      <c r="AK141" s="17"/>
      <c r="AL141" s="17"/>
      <c r="AM141" s="17"/>
      <c r="AN141" s="17"/>
      <c r="AO141" s="17"/>
      <c r="AP141" s="17"/>
      <c r="AQ141" s="17"/>
    </row>
    <row r="142" ht="15.75" customHeight="1">
      <c r="A142" s="367"/>
      <c r="B142" s="428"/>
      <c r="C142" s="429"/>
      <c r="D142" s="429"/>
      <c r="E142" s="429"/>
      <c r="F142" s="428"/>
      <c r="G142" s="428"/>
      <c r="H142" s="428"/>
      <c r="I142" s="367"/>
      <c r="J142" s="429"/>
      <c r="K142" s="367"/>
      <c r="L142" s="429"/>
      <c r="M142" s="429"/>
      <c r="N142" s="429"/>
      <c r="O142" s="429"/>
      <c r="P142" s="429"/>
      <c r="Q142" s="429"/>
      <c r="R142" s="428"/>
      <c r="S142" s="428"/>
      <c r="T142" s="17"/>
      <c r="U142" s="17"/>
      <c r="V142" s="17"/>
      <c r="W142" s="430"/>
      <c r="X142" s="260"/>
      <c r="Y142" s="367"/>
      <c r="Z142" s="431"/>
      <c r="AA142" s="17"/>
      <c r="AB142" s="17"/>
      <c r="AC142" s="17"/>
      <c r="AD142" s="17"/>
      <c r="AE142" s="17"/>
      <c r="AF142" s="17"/>
      <c r="AG142" s="17"/>
      <c r="AH142" s="17"/>
      <c r="AI142" s="17"/>
      <c r="AJ142" s="17"/>
      <c r="AK142" s="17"/>
      <c r="AL142" s="17"/>
      <c r="AM142" s="17"/>
      <c r="AN142" s="17"/>
      <c r="AO142" s="17"/>
      <c r="AP142" s="17"/>
      <c r="AQ142" s="17"/>
    </row>
    <row r="143" ht="15.75" customHeight="1">
      <c r="A143" s="367"/>
      <c r="B143" s="428"/>
      <c r="C143" s="429"/>
      <c r="D143" s="429"/>
      <c r="E143" s="429"/>
      <c r="F143" s="428"/>
      <c r="G143" s="428"/>
      <c r="H143" s="428"/>
      <c r="I143" s="367"/>
      <c r="J143" s="429"/>
      <c r="K143" s="367"/>
      <c r="L143" s="429"/>
      <c r="M143" s="429"/>
      <c r="N143" s="429"/>
      <c r="O143" s="429"/>
      <c r="P143" s="429"/>
      <c r="Q143" s="429"/>
      <c r="R143" s="428"/>
      <c r="S143" s="428"/>
      <c r="T143" s="17"/>
      <c r="U143" s="17"/>
      <c r="V143" s="17"/>
      <c r="W143" s="430"/>
      <c r="X143" s="260"/>
      <c r="Y143" s="367"/>
      <c r="Z143" s="431"/>
      <c r="AA143" s="17"/>
      <c r="AB143" s="17"/>
      <c r="AC143" s="17"/>
      <c r="AD143" s="17"/>
      <c r="AE143" s="17"/>
      <c r="AF143" s="17"/>
      <c r="AG143" s="17"/>
      <c r="AH143" s="17"/>
      <c r="AI143" s="17"/>
      <c r="AJ143" s="17"/>
      <c r="AK143" s="17"/>
      <c r="AL143" s="17"/>
      <c r="AM143" s="17"/>
      <c r="AN143" s="17"/>
      <c r="AO143" s="17"/>
      <c r="AP143" s="17"/>
      <c r="AQ143" s="17"/>
    </row>
    <row r="144" ht="15.75" customHeight="1">
      <c r="A144" s="367"/>
      <c r="B144" s="428"/>
      <c r="C144" s="429"/>
      <c r="D144" s="429"/>
      <c r="E144" s="429"/>
      <c r="F144" s="428"/>
      <c r="G144" s="428"/>
      <c r="H144" s="428"/>
      <c r="I144" s="367"/>
      <c r="J144" s="429"/>
      <c r="K144" s="367"/>
      <c r="L144" s="429"/>
      <c r="M144" s="429"/>
      <c r="N144" s="429"/>
      <c r="O144" s="429"/>
      <c r="P144" s="429"/>
      <c r="Q144" s="429"/>
      <c r="R144" s="428"/>
      <c r="S144" s="428"/>
      <c r="T144" s="17"/>
      <c r="U144" s="17"/>
      <c r="V144" s="17"/>
      <c r="W144" s="430"/>
      <c r="X144" s="260"/>
      <c r="Y144" s="367"/>
      <c r="Z144" s="431"/>
      <c r="AA144" s="17"/>
      <c r="AB144" s="17"/>
      <c r="AC144" s="17"/>
      <c r="AD144" s="17"/>
      <c r="AE144" s="17"/>
      <c r="AF144" s="17"/>
      <c r="AG144" s="17"/>
      <c r="AH144" s="17"/>
      <c r="AI144" s="17"/>
      <c r="AJ144" s="17"/>
      <c r="AK144" s="17"/>
      <c r="AL144" s="17"/>
      <c r="AM144" s="17"/>
      <c r="AN144" s="17"/>
      <c r="AO144" s="17"/>
      <c r="AP144" s="17"/>
      <c r="AQ144" s="17"/>
    </row>
    <row r="145" ht="15.75" customHeight="1">
      <c r="A145" s="367"/>
      <c r="B145" s="428"/>
      <c r="C145" s="429"/>
      <c r="D145" s="429"/>
      <c r="E145" s="429"/>
      <c r="F145" s="428"/>
      <c r="G145" s="428"/>
      <c r="H145" s="428"/>
      <c r="I145" s="367"/>
      <c r="J145" s="429"/>
      <c r="K145" s="367"/>
      <c r="L145" s="429"/>
      <c r="M145" s="429"/>
      <c r="N145" s="429"/>
      <c r="O145" s="429"/>
      <c r="P145" s="429"/>
      <c r="Q145" s="429"/>
      <c r="R145" s="428"/>
      <c r="S145" s="428"/>
      <c r="T145" s="17"/>
      <c r="U145" s="17"/>
      <c r="V145" s="17"/>
      <c r="W145" s="430"/>
      <c r="X145" s="260"/>
      <c r="Y145" s="367"/>
      <c r="Z145" s="431"/>
      <c r="AA145" s="17"/>
      <c r="AB145" s="17"/>
      <c r="AC145" s="17"/>
      <c r="AD145" s="17"/>
      <c r="AE145" s="17"/>
      <c r="AF145" s="17"/>
      <c r="AG145" s="17"/>
      <c r="AH145" s="17"/>
      <c r="AI145" s="17"/>
      <c r="AJ145" s="17"/>
      <c r="AK145" s="17"/>
      <c r="AL145" s="17"/>
      <c r="AM145" s="17"/>
      <c r="AN145" s="17"/>
      <c r="AO145" s="17"/>
      <c r="AP145" s="17"/>
      <c r="AQ145" s="17"/>
    </row>
    <row r="146" ht="15.75" customHeight="1">
      <c r="A146" s="367"/>
      <c r="B146" s="428"/>
      <c r="C146" s="429"/>
      <c r="D146" s="429"/>
      <c r="E146" s="429"/>
      <c r="F146" s="428"/>
      <c r="G146" s="428"/>
      <c r="H146" s="428"/>
      <c r="I146" s="367"/>
      <c r="J146" s="429"/>
      <c r="K146" s="367"/>
      <c r="L146" s="429"/>
      <c r="M146" s="429"/>
      <c r="N146" s="429"/>
      <c r="O146" s="429"/>
      <c r="P146" s="429"/>
      <c r="Q146" s="429"/>
      <c r="R146" s="428"/>
      <c r="S146" s="428"/>
      <c r="T146" s="17"/>
      <c r="U146" s="17"/>
      <c r="V146" s="17"/>
      <c r="W146" s="430"/>
      <c r="X146" s="260"/>
      <c r="Y146" s="367"/>
      <c r="Z146" s="431"/>
      <c r="AA146" s="17"/>
      <c r="AB146" s="17"/>
      <c r="AC146" s="17"/>
      <c r="AD146" s="17"/>
      <c r="AE146" s="17"/>
      <c r="AF146" s="17"/>
      <c r="AG146" s="17"/>
      <c r="AH146" s="17"/>
      <c r="AI146" s="17"/>
      <c r="AJ146" s="17"/>
      <c r="AK146" s="17"/>
      <c r="AL146" s="17"/>
      <c r="AM146" s="17"/>
      <c r="AN146" s="17"/>
      <c r="AO146" s="17"/>
      <c r="AP146" s="17"/>
      <c r="AQ146" s="17"/>
    </row>
    <row r="147" ht="15.75" customHeight="1">
      <c r="A147" s="367"/>
      <c r="B147" s="428"/>
      <c r="C147" s="429"/>
      <c r="D147" s="429"/>
      <c r="E147" s="429"/>
      <c r="F147" s="428"/>
      <c r="G147" s="428"/>
      <c r="H147" s="428"/>
      <c r="I147" s="367"/>
      <c r="J147" s="429"/>
      <c r="K147" s="367"/>
      <c r="L147" s="429"/>
      <c r="M147" s="429"/>
      <c r="N147" s="429"/>
      <c r="O147" s="429"/>
      <c r="P147" s="429"/>
      <c r="Q147" s="429"/>
      <c r="R147" s="428"/>
      <c r="S147" s="428"/>
      <c r="T147" s="17"/>
      <c r="U147" s="17"/>
      <c r="V147" s="17"/>
      <c r="W147" s="430"/>
      <c r="X147" s="260"/>
      <c r="Y147" s="367"/>
      <c r="Z147" s="431"/>
      <c r="AA147" s="17"/>
      <c r="AB147" s="17"/>
      <c r="AC147" s="17"/>
      <c r="AD147" s="17"/>
      <c r="AE147" s="17"/>
      <c r="AF147" s="17"/>
      <c r="AG147" s="17"/>
      <c r="AH147" s="17"/>
      <c r="AI147" s="17"/>
      <c r="AJ147" s="17"/>
      <c r="AK147" s="17"/>
      <c r="AL147" s="17"/>
      <c r="AM147" s="17"/>
      <c r="AN147" s="17"/>
      <c r="AO147" s="17"/>
      <c r="AP147" s="17"/>
      <c r="AQ147" s="17"/>
    </row>
    <row r="148" ht="15.75" customHeight="1">
      <c r="A148" s="367"/>
      <c r="B148" s="428"/>
      <c r="C148" s="429"/>
      <c r="D148" s="429"/>
      <c r="E148" s="429"/>
      <c r="F148" s="428"/>
      <c r="G148" s="428"/>
      <c r="H148" s="428"/>
      <c r="I148" s="367"/>
      <c r="J148" s="429"/>
      <c r="K148" s="367"/>
      <c r="L148" s="429"/>
      <c r="M148" s="429"/>
      <c r="N148" s="429"/>
      <c r="O148" s="429"/>
      <c r="P148" s="429"/>
      <c r="Q148" s="429"/>
      <c r="R148" s="428"/>
      <c r="S148" s="428"/>
      <c r="T148" s="17"/>
      <c r="U148" s="17"/>
      <c r="V148" s="17"/>
      <c r="W148" s="430"/>
      <c r="X148" s="260"/>
      <c r="Y148" s="367"/>
      <c r="Z148" s="431"/>
      <c r="AA148" s="17"/>
      <c r="AB148" s="17"/>
      <c r="AC148" s="17"/>
      <c r="AD148" s="17"/>
      <c r="AE148" s="17"/>
      <c r="AF148" s="17"/>
      <c r="AG148" s="17"/>
      <c r="AH148" s="17"/>
      <c r="AI148" s="17"/>
      <c r="AJ148" s="17"/>
      <c r="AK148" s="17"/>
      <c r="AL148" s="17"/>
      <c r="AM148" s="17"/>
      <c r="AN148" s="17"/>
      <c r="AO148" s="17"/>
      <c r="AP148" s="17"/>
      <c r="AQ148" s="17"/>
    </row>
    <row r="149" ht="15.75" customHeight="1">
      <c r="A149" s="367"/>
      <c r="B149" s="428"/>
      <c r="C149" s="429"/>
      <c r="D149" s="429"/>
      <c r="E149" s="429"/>
      <c r="F149" s="428"/>
      <c r="G149" s="428"/>
      <c r="H149" s="428"/>
      <c r="I149" s="367"/>
      <c r="J149" s="429"/>
      <c r="K149" s="367"/>
      <c r="L149" s="429"/>
      <c r="M149" s="429"/>
      <c r="N149" s="429"/>
      <c r="O149" s="429"/>
      <c r="P149" s="429"/>
      <c r="Q149" s="429"/>
      <c r="R149" s="428"/>
      <c r="S149" s="428"/>
      <c r="T149" s="17"/>
      <c r="U149" s="17"/>
      <c r="V149" s="17"/>
      <c r="W149" s="430"/>
      <c r="X149" s="260"/>
      <c r="Y149" s="367"/>
      <c r="Z149" s="431"/>
      <c r="AA149" s="17"/>
      <c r="AB149" s="17"/>
      <c r="AC149" s="17"/>
      <c r="AD149" s="17"/>
      <c r="AE149" s="17"/>
      <c r="AF149" s="17"/>
      <c r="AG149" s="17"/>
      <c r="AH149" s="17"/>
      <c r="AI149" s="17"/>
      <c r="AJ149" s="17"/>
      <c r="AK149" s="17"/>
      <c r="AL149" s="17"/>
      <c r="AM149" s="17"/>
      <c r="AN149" s="17"/>
      <c r="AO149" s="17"/>
      <c r="AP149" s="17"/>
      <c r="AQ149" s="17"/>
    </row>
    <row r="150" ht="15.75" customHeight="1">
      <c r="A150" s="367"/>
      <c r="B150" s="428"/>
      <c r="C150" s="429"/>
      <c r="D150" s="429"/>
      <c r="E150" s="429"/>
      <c r="F150" s="428"/>
      <c r="G150" s="428"/>
      <c r="H150" s="428"/>
      <c r="I150" s="367"/>
      <c r="J150" s="429"/>
      <c r="K150" s="367"/>
      <c r="L150" s="429"/>
      <c r="M150" s="429"/>
      <c r="N150" s="429"/>
      <c r="O150" s="429"/>
      <c r="P150" s="429"/>
      <c r="Q150" s="429"/>
      <c r="R150" s="428"/>
      <c r="S150" s="428"/>
      <c r="T150" s="17"/>
      <c r="U150" s="17"/>
      <c r="V150" s="17"/>
      <c r="W150" s="430"/>
      <c r="X150" s="260"/>
      <c r="Y150" s="367"/>
      <c r="Z150" s="431"/>
      <c r="AA150" s="17"/>
      <c r="AB150" s="17"/>
      <c r="AC150" s="17"/>
      <c r="AD150" s="17"/>
      <c r="AE150" s="17"/>
      <c r="AF150" s="17"/>
      <c r="AG150" s="17"/>
      <c r="AH150" s="17"/>
      <c r="AI150" s="17"/>
      <c r="AJ150" s="17"/>
      <c r="AK150" s="17"/>
      <c r="AL150" s="17"/>
      <c r="AM150" s="17"/>
      <c r="AN150" s="17"/>
      <c r="AO150" s="17"/>
      <c r="AP150" s="17"/>
      <c r="AQ150" s="17"/>
    </row>
    <row r="151" ht="15.75" customHeight="1">
      <c r="A151" s="367"/>
      <c r="B151" s="428"/>
      <c r="C151" s="429"/>
      <c r="D151" s="429"/>
      <c r="E151" s="429"/>
      <c r="F151" s="428"/>
      <c r="G151" s="428"/>
      <c r="H151" s="428"/>
      <c r="I151" s="367"/>
      <c r="J151" s="429"/>
      <c r="K151" s="367"/>
      <c r="L151" s="429"/>
      <c r="M151" s="429"/>
      <c r="N151" s="429"/>
      <c r="O151" s="429"/>
      <c r="P151" s="429"/>
      <c r="Q151" s="429"/>
      <c r="R151" s="428"/>
      <c r="S151" s="428"/>
      <c r="T151" s="17"/>
      <c r="U151" s="17"/>
      <c r="V151" s="17"/>
      <c r="W151" s="430"/>
      <c r="X151" s="260"/>
      <c r="Y151" s="367"/>
      <c r="Z151" s="431"/>
      <c r="AA151" s="17"/>
      <c r="AB151" s="17"/>
      <c r="AC151" s="17"/>
      <c r="AD151" s="17"/>
      <c r="AE151" s="17"/>
      <c r="AF151" s="17"/>
      <c r="AG151" s="17"/>
      <c r="AH151" s="17"/>
      <c r="AI151" s="17"/>
      <c r="AJ151" s="17"/>
      <c r="AK151" s="17"/>
      <c r="AL151" s="17"/>
      <c r="AM151" s="17"/>
      <c r="AN151" s="17"/>
      <c r="AO151" s="17"/>
      <c r="AP151" s="17"/>
      <c r="AQ151" s="17"/>
    </row>
    <row r="152" ht="15.75" customHeight="1">
      <c r="A152" s="367"/>
      <c r="B152" s="428"/>
      <c r="C152" s="429"/>
      <c r="D152" s="429"/>
      <c r="E152" s="429"/>
      <c r="F152" s="428"/>
      <c r="G152" s="428"/>
      <c r="H152" s="428"/>
      <c r="I152" s="367"/>
      <c r="J152" s="429"/>
      <c r="K152" s="367"/>
      <c r="L152" s="429"/>
      <c r="M152" s="429"/>
      <c r="N152" s="429"/>
      <c r="O152" s="429"/>
      <c r="P152" s="429"/>
      <c r="Q152" s="429"/>
      <c r="R152" s="428"/>
      <c r="S152" s="428"/>
      <c r="T152" s="17"/>
      <c r="U152" s="17"/>
      <c r="V152" s="17"/>
      <c r="W152" s="430"/>
      <c r="X152" s="260"/>
      <c r="Y152" s="367"/>
      <c r="Z152" s="431"/>
      <c r="AA152" s="17"/>
      <c r="AB152" s="17"/>
      <c r="AC152" s="17"/>
      <c r="AD152" s="17"/>
      <c r="AE152" s="17"/>
      <c r="AF152" s="17"/>
      <c r="AG152" s="17"/>
      <c r="AH152" s="17"/>
      <c r="AI152" s="17"/>
      <c r="AJ152" s="17"/>
      <c r="AK152" s="17"/>
      <c r="AL152" s="17"/>
      <c r="AM152" s="17"/>
      <c r="AN152" s="17"/>
      <c r="AO152" s="17"/>
      <c r="AP152" s="17"/>
      <c r="AQ152" s="17"/>
    </row>
    <row r="153" ht="15.75" customHeight="1">
      <c r="A153" s="367"/>
      <c r="B153" s="428"/>
      <c r="C153" s="429"/>
      <c r="D153" s="429"/>
      <c r="E153" s="429"/>
      <c r="F153" s="428"/>
      <c r="G153" s="428"/>
      <c r="H153" s="428"/>
      <c r="I153" s="367"/>
      <c r="J153" s="429"/>
      <c r="K153" s="367"/>
      <c r="L153" s="429"/>
      <c r="M153" s="429"/>
      <c r="N153" s="429"/>
      <c r="O153" s="429"/>
      <c r="P153" s="429"/>
      <c r="Q153" s="429"/>
      <c r="R153" s="428"/>
      <c r="S153" s="428"/>
      <c r="T153" s="17"/>
      <c r="U153" s="17"/>
      <c r="V153" s="17"/>
      <c r="W153" s="430"/>
      <c r="X153" s="260"/>
      <c r="Y153" s="367"/>
      <c r="Z153" s="431"/>
      <c r="AA153" s="17"/>
      <c r="AB153" s="17"/>
      <c r="AC153" s="17"/>
      <c r="AD153" s="17"/>
      <c r="AE153" s="17"/>
      <c r="AF153" s="17"/>
      <c r="AG153" s="17"/>
      <c r="AH153" s="17"/>
      <c r="AI153" s="17"/>
      <c r="AJ153" s="17"/>
      <c r="AK153" s="17"/>
      <c r="AL153" s="17"/>
      <c r="AM153" s="17"/>
      <c r="AN153" s="17"/>
      <c r="AO153" s="17"/>
      <c r="AP153" s="17"/>
      <c r="AQ153" s="17"/>
    </row>
    <row r="154" ht="15.75" customHeight="1">
      <c r="A154" s="367"/>
      <c r="B154" s="428"/>
      <c r="C154" s="429"/>
      <c r="D154" s="429"/>
      <c r="E154" s="429"/>
      <c r="F154" s="428"/>
      <c r="G154" s="428"/>
      <c r="H154" s="428"/>
      <c r="I154" s="367"/>
      <c r="J154" s="429"/>
      <c r="K154" s="367"/>
      <c r="L154" s="429"/>
      <c r="M154" s="429"/>
      <c r="N154" s="429"/>
      <c r="O154" s="429"/>
      <c r="P154" s="429"/>
      <c r="Q154" s="429"/>
      <c r="R154" s="428"/>
      <c r="S154" s="428"/>
      <c r="T154" s="17"/>
      <c r="U154" s="17"/>
      <c r="V154" s="17"/>
      <c r="W154" s="430"/>
      <c r="X154" s="260"/>
      <c r="Y154" s="367"/>
      <c r="Z154" s="431"/>
      <c r="AA154" s="17"/>
      <c r="AB154" s="17"/>
      <c r="AC154" s="17"/>
      <c r="AD154" s="17"/>
      <c r="AE154" s="17"/>
      <c r="AF154" s="17"/>
      <c r="AG154" s="17"/>
      <c r="AH154" s="17"/>
      <c r="AI154" s="17"/>
      <c r="AJ154" s="17"/>
      <c r="AK154" s="17"/>
      <c r="AL154" s="17"/>
      <c r="AM154" s="17"/>
      <c r="AN154" s="17"/>
      <c r="AO154" s="17"/>
      <c r="AP154" s="17"/>
      <c r="AQ154" s="17"/>
    </row>
    <row r="155" ht="15.75" customHeight="1">
      <c r="A155" s="367"/>
      <c r="B155" s="428"/>
      <c r="C155" s="429"/>
      <c r="D155" s="429"/>
      <c r="E155" s="429"/>
      <c r="F155" s="428"/>
      <c r="G155" s="428"/>
      <c r="H155" s="428"/>
      <c r="I155" s="367"/>
      <c r="J155" s="429"/>
      <c r="K155" s="367"/>
      <c r="L155" s="429"/>
      <c r="M155" s="429"/>
      <c r="N155" s="429"/>
      <c r="O155" s="429"/>
      <c r="P155" s="429"/>
      <c r="Q155" s="429"/>
      <c r="R155" s="428"/>
      <c r="S155" s="428"/>
      <c r="T155" s="17"/>
      <c r="U155" s="17"/>
      <c r="V155" s="17"/>
      <c r="W155" s="430"/>
      <c r="X155" s="260"/>
      <c r="Y155" s="367"/>
      <c r="Z155" s="431"/>
      <c r="AA155" s="17"/>
      <c r="AB155" s="17"/>
      <c r="AC155" s="17"/>
      <c r="AD155" s="17"/>
      <c r="AE155" s="17"/>
      <c r="AF155" s="17"/>
      <c r="AG155" s="17"/>
      <c r="AH155" s="17"/>
      <c r="AI155" s="17"/>
      <c r="AJ155" s="17"/>
      <c r="AK155" s="17"/>
      <c r="AL155" s="17"/>
      <c r="AM155" s="17"/>
      <c r="AN155" s="17"/>
      <c r="AO155" s="17"/>
      <c r="AP155" s="17"/>
      <c r="AQ155" s="17"/>
    </row>
    <row r="156" ht="15.75" customHeight="1">
      <c r="A156" s="367"/>
      <c r="B156" s="428"/>
      <c r="C156" s="429"/>
      <c r="D156" s="429"/>
      <c r="E156" s="429"/>
      <c r="F156" s="428"/>
      <c r="G156" s="428"/>
      <c r="H156" s="428"/>
      <c r="I156" s="367"/>
      <c r="J156" s="429"/>
      <c r="K156" s="367"/>
      <c r="L156" s="429"/>
      <c r="M156" s="429"/>
      <c r="N156" s="429"/>
      <c r="O156" s="429"/>
      <c r="P156" s="429"/>
      <c r="Q156" s="429"/>
      <c r="R156" s="428"/>
      <c r="S156" s="428"/>
      <c r="T156" s="17"/>
      <c r="U156" s="17"/>
      <c r="V156" s="17"/>
      <c r="W156" s="430"/>
      <c r="X156" s="260"/>
      <c r="Y156" s="367"/>
      <c r="Z156" s="431"/>
      <c r="AA156" s="17"/>
      <c r="AB156" s="17"/>
      <c r="AC156" s="17"/>
      <c r="AD156" s="17"/>
      <c r="AE156" s="17"/>
      <c r="AF156" s="17"/>
      <c r="AG156" s="17"/>
      <c r="AH156" s="17"/>
      <c r="AI156" s="17"/>
      <c r="AJ156" s="17"/>
      <c r="AK156" s="17"/>
      <c r="AL156" s="17"/>
      <c r="AM156" s="17"/>
      <c r="AN156" s="17"/>
      <c r="AO156" s="17"/>
      <c r="AP156" s="17"/>
      <c r="AQ156" s="17"/>
    </row>
    <row r="157" ht="15.75" customHeight="1">
      <c r="A157" s="367"/>
      <c r="B157" s="428"/>
      <c r="C157" s="429"/>
      <c r="D157" s="429"/>
      <c r="E157" s="429"/>
      <c r="F157" s="428"/>
      <c r="G157" s="428"/>
      <c r="H157" s="428"/>
      <c r="I157" s="367"/>
      <c r="J157" s="429"/>
      <c r="K157" s="367"/>
      <c r="L157" s="429"/>
      <c r="M157" s="429"/>
      <c r="N157" s="429"/>
      <c r="O157" s="429"/>
      <c r="P157" s="429"/>
      <c r="Q157" s="429"/>
      <c r="R157" s="428"/>
      <c r="S157" s="428"/>
      <c r="T157" s="17"/>
      <c r="U157" s="17"/>
      <c r="V157" s="17"/>
      <c r="W157" s="430"/>
      <c r="X157" s="260"/>
      <c r="Y157" s="367"/>
      <c r="Z157" s="431"/>
      <c r="AA157" s="17"/>
      <c r="AB157" s="17"/>
      <c r="AC157" s="17"/>
      <c r="AD157" s="17"/>
      <c r="AE157" s="17"/>
      <c r="AF157" s="17"/>
      <c r="AG157" s="17"/>
      <c r="AH157" s="17"/>
      <c r="AI157" s="17"/>
      <c r="AJ157" s="17"/>
      <c r="AK157" s="17"/>
      <c r="AL157" s="17"/>
      <c r="AM157" s="17"/>
      <c r="AN157" s="17"/>
      <c r="AO157" s="17"/>
      <c r="AP157" s="17"/>
      <c r="AQ157" s="17"/>
    </row>
    <row r="158" ht="15.75" customHeight="1">
      <c r="A158" s="367"/>
      <c r="B158" s="428"/>
      <c r="C158" s="429"/>
      <c r="D158" s="429"/>
      <c r="E158" s="429"/>
      <c r="F158" s="428"/>
      <c r="G158" s="428"/>
      <c r="H158" s="428"/>
      <c r="I158" s="367"/>
      <c r="J158" s="429"/>
      <c r="K158" s="367"/>
      <c r="L158" s="429"/>
      <c r="M158" s="429"/>
      <c r="N158" s="429"/>
      <c r="O158" s="429"/>
      <c r="P158" s="429"/>
      <c r="Q158" s="429"/>
      <c r="R158" s="428"/>
      <c r="S158" s="428"/>
      <c r="T158" s="17"/>
      <c r="U158" s="17"/>
      <c r="V158" s="17"/>
      <c r="W158" s="430"/>
      <c r="X158" s="260"/>
      <c r="Y158" s="367"/>
      <c r="Z158" s="431"/>
      <c r="AA158" s="17"/>
      <c r="AB158" s="17"/>
      <c r="AC158" s="17"/>
      <c r="AD158" s="17"/>
      <c r="AE158" s="17"/>
      <c r="AF158" s="17"/>
      <c r="AG158" s="17"/>
      <c r="AH158" s="17"/>
      <c r="AI158" s="17"/>
      <c r="AJ158" s="17"/>
      <c r="AK158" s="17"/>
      <c r="AL158" s="17"/>
      <c r="AM158" s="17"/>
      <c r="AN158" s="17"/>
      <c r="AO158" s="17"/>
      <c r="AP158" s="17"/>
      <c r="AQ158" s="17"/>
    </row>
    <row r="159" ht="15.75" customHeight="1">
      <c r="A159" s="367"/>
      <c r="B159" s="428"/>
      <c r="C159" s="429"/>
      <c r="D159" s="429"/>
      <c r="E159" s="429"/>
      <c r="F159" s="428"/>
      <c r="G159" s="428"/>
      <c r="H159" s="428"/>
      <c r="I159" s="367"/>
      <c r="J159" s="429"/>
      <c r="K159" s="367"/>
      <c r="L159" s="429"/>
      <c r="M159" s="429"/>
      <c r="N159" s="429"/>
      <c r="O159" s="429"/>
      <c r="P159" s="429"/>
      <c r="Q159" s="429"/>
      <c r="R159" s="428"/>
      <c r="S159" s="428"/>
      <c r="T159" s="17"/>
      <c r="U159" s="17"/>
      <c r="V159" s="17"/>
      <c r="W159" s="430"/>
      <c r="X159" s="260"/>
      <c r="Y159" s="367"/>
      <c r="Z159" s="431"/>
      <c r="AA159" s="17"/>
      <c r="AB159" s="17"/>
      <c r="AC159" s="17"/>
      <c r="AD159" s="17"/>
      <c r="AE159" s="17"/>
      <c r="AF159" s="17"/>
      <c r="AG159" s="17"/>
      <c r="AH159" s="17"/>
      <c r="AI159" s="17"/>
      <c r="AJ159" s="17"/>
      <c r="AK159" s="17"/>
      <c r="AL159" s="17"/>
      <c r="AM159" s="17"/>
      <c r="AN159" s="17"/>
      <c r="AO159" s="17"/>
      <c r="AP159" s="17"/>
      <c r="AQ159" s="17"/>
    </row>
    <row r="160" ht="15.75" customHeight="1">
      <c r="A160" s="367"/>
      <c r="B160" s="428"/>
      <c r="C160" s="429"/>
      <c r="D160" s="429"/>
      <c r="E160" s="429"/>
      <c r="F160" s="428"/>
      <c r="G160" s="428"/>
      <c r="H160" s="428"/>
      <c r="I160" s="367"/>
      <c r="J160" s="429"/>
      <c r="K160" s="367"/>
      <c r="L160" s="429"/>
      <c r="M160" s="429"/>
      <c r="N160" s="429"/>
      <c r="O160" s="429"/>
      <c r="P160" s="429"/>
      <c r="Q160" s="429"/>
      <c r="R160" s="428"/>
      <c r="S160" s="428"/>
      <c r="T160" s="17"/>
      <c r="U160" s="17"/>
      <c r="V160" s="17"/>
      <c r="W160" s="430"/>
      <c r="X160" s="260"/>
      <c r="Y160" s="367"/>
      <c r="Z160" s="431"/>
      <c r="AA160" s="17"/>
      <c r="AB160" s="17"/>
      <c r="AC160" s="17"/>
      <c r="AD160" s="17"/>
      <c r="AE160" s="17"/>
      <c r="AF160" s="17"/>
      <c r="AG160" s="17"/>
      <c r="AH160" s="17"/>
      <c r="AI160" s="17"/>
      <c r="AJ160" s="17"/>
      <c r="AK160" s="17"/>
      <c r="AL160" s="17"/>
      <c r="AM160" s="17"/>
      <c r="AN160" s="17"/>
      <c r="AO160" s="17"/>
      <c r="AP160" s="17"/>
      <c r="AQ160" s="17"/>
    </row>
    <row r="161" ht="15.75" customHeight="1">
      <c r="A161" s="367"/>
      <c r="B161" s="428"/>
      <c r="C161" s="429"/>
      <c r="D161" s="429"/>
      <c r="E161" s="429"/>
      <c r="F161" s="428"/>
      <c r="G161" s="428"/>
      <c r="H161" s="428"/>
      <c r="I161" s="367"/>
      <c r="J161" s="429"/>
      <c r="K161" s="367"/>
      <c r="L161" s="429"/>
      <c r="M161" s="429"/>
      <c r="N161" s="429"/>
      <c r="O161" s="429"/>
      <c r="P161" s="429"/>
      <c r="Q161" s="429"/>
      <c r="R161" s="428"/>
      <c r="S161" s="428"/>
      <c r="T161" s="17"/>
      <c r="U161" s="17"/>
      <c r="V161" s="17"/>
      <c r="W161" s="430"/>
      <c r="X161" s="260"/>
      <c r="Y161" s="367"/>
      <c r="Z161" s="431"/>
      <c r="AA161" s="17"/>
      <c r="AB161" s="17"/>
      <c r="AC161" s="17"/>
      <c r="AD161" s="17"/>
      <c r="AE161" s="17"/>
      <c r="AF161" s="17"/>
      <c r="AG161" s="17"/>
      <c r="AH161" s="17"/>
      <c r="AI161" s="17"/>
      <c r="AJ161" s="17"/>
      <c r="AK161" s="17"/>
      <c r="AL161" s="17"/>
      <c r="AM161" s="17"/>
      <c r="AN161" s="17"/>
      <c r="AO161" s="17"/>
      <c r="AP161" s="17"/>
      <c r="AQ161" s="17"/>
    </row>
    <row r="162" ht="15.75" customHeight="1">
      <c r="A162" s="367"/>
      <c r="B162" s="428"/>
      <c r="C162" s="429"/>
      <c r="D162" s="429"/>
      <c r="E162" s="429"/>
      <c r="F162" s="428"/>
      <c r="G162" s="428"/>
      <c r="H162" s="428"/>
      <c r="I162" s="367"/>
      <c r="J162" s="429"/>
      <c r="K162" s="367"/>
      <c r="L162" s="429"/>
      <c r="M162" s="429"/>
      <c r="N162" s="429"/>
      <c r="O162" s="429"/>
      <c r="P162" s="429"/>
      <c r="Q162" s="429"/>
      <c r="R162" s="428"/>
      <c r="S162" s="428"/>
      <c r="T162" s="17"/>
      <c r="U162" s="17"/>
      <c r="V162" s="17"/>
      <c r="W162" s="430"/>
      <c r="X162" s="260"/>
      <c r="Y162" s="367"/>
      <c r="Z162" s="431"/>
      <c r="AA162" s="17"/>
      <c r="AB162" s="17"/>
      <c r="AC162" s="17"/>
      <c r="AD162" s="17"/>
      <c r="AE162" s="17"/>
      <c r="AF162" s="17"/>
      <c r="AG162" s="17"/>
      <c r="AH162" s="17"/>
      <c r="AI162" s="17"/>
      <c r="AJ162" s="17"/>
      <c r="AK162" s="17"/>
      <c r="AL162" s="17"/>
      <c r="AM162" s="17"/>
      <c r="AN162" s="17"/>
      <c r="AO162" s="17"/>
      <c r="AP162" s="17"/>
      <c r="AQ162" s="17"/>
    </row>
    <row r="163" ht="15.75" customHeight="1">
      <c r="A163" s="367"/>
      <c r="B163" s="428"/>
      <c r="C163" s="429"/>
      <c r="D163" s="429"/>
      <c r="E163" s="429"/>
      <c r="F163" s="428"/>
      <c r="G163" s="428"/>
      <c r="H163" s="428"/>
      <c r="I163" s="367"/>
      <c r="J163" s="429"/>
      <c r="K163" s="367"/>
      <c r="L163" s="429"/>
      <c r="M163" s="429"/>
      <c r="N163" s="429"/>
      <c r="O163" s="429"/>
      <c r="P163" s="429"/>
      <c r="Q163" s="429"/>
      <c r="R163" s="428"/>
      <c r="S163" s="428"/>
      <c r="T163" s="17"/>
      <c r="U163" s="17"/>
      <c r="V163" s="17"/>
      <c r="W163" s="430"/>
      <c r="X163" s="260"/>
      <c r="Y163" s="367"/>
      <c r="Z163" s="431"/>
      <c r="AA163" s="17"/>
      <c r="AB163" s="17"/>
      <c r="AC163" s="17"/>
      <c r="AD163" s="17"/>
      <c r="AE163" s="17"/>
      <c r="AF163" s="17"/>
      <c r="AG163" s="17"/>
      <c r="AH163" s="17"/>
      <c r="AI163" s="17"/>
      <c r="AJ163" s="17"/>
      <c r="AK163" s="17"/>
      <c r="AL163" s="17"/>
      <c r="AM163" s="17"/>
      <c r="AN163" s="17"/>
      <c r="AO163" s="17"/>
      <c r="AP163" s="17"/>
      <c r="AQ163" s="17"/>
    </row>
    <row r="164" ht="15.75" customHeight="1">
      <c r="A164" s="367"/>
      <c r="B164" s="428"/>
      <c r="C164" s="429"/>
      <c r="D164" s="429"/>
      <c r="E164" s="429"/>
      <c r="F164" s="428"/>
      <c r="G164" s="428"/>
      <c r="H164" s="428"/>
      <c r="I164" s="367"/>
      <c r="J164" s="429"/>
      <c r="K164" s="367"/>
      <c r="L164" s="429"/>
      <c r="M164" s="429"/>
      <c r="N164" s="429"/>
      <c r="O164" s="429"/>
      <c r="P164" s="429"/>
      <c r="Q164" s="429"/>
      <c r="R164" s="428"/>
      <c r="S164" s="428"/>
      <c r="T164" s="17"/>
      <c r="U164" s="17"/>
      <c r="V164" s="17"/>
      <c r="W164" s="430"/>
      <c r="X164" s="260"/>
      <c r="Y164" s="367"/>
      <c r="Z164" s="431"/>
      <c r="AA164" s="17"/>
      <c r="AB164" s="17"/>
      <c r="AC164" s="17"/>
      <c r="AD164" s="17"/>
      <c r="AE164" s="17"/>
      <c r="AF164" s="17"/>
      <c r="AG164" s="17"/>
      <c r="AH164" s="17"/>
      <c r="AI164" s="17"/>
      <c r="AJ164" s="17"/>
      <c r="AK164" s="17"/>
      <c r="AL164" s="17"/>
      <c r="AM164" s="17"/>
      <c r="AN164" s="17"/>
      <c r="AO164" s="17"/>
      <c r="AP164" s="17"/>
      <c r="AQ164" s="17"/>
    </row>
    <row r="165" ht="15.75" customHeight="1">
      <c r="A165" s="367"/>
      <c r="B165" s="428"/>
      <c r="C165" s="429"/>
      <c r="D165" s="429"/>
      <c r="E165" s="429"/>
      <c r="F165" s="428"/>
      <c r="G165" s="428"/>
      <c r="H165" s="428"/>
      <c r="I165" s="367"/>
      <c r="J165" s="429"/>
      <c r="K165" s="367"/>
      <c r="L165" s="429"/>
      <c r="M165" s="429"/>
      <c r="N165" s="429"/>
      <c r="O165" s="429"/>
      <c r="P165" s="429"/>
      <c r="Q165" s="429"/>
      <c r="R165" s="428"/>
      <c r="S165" s="428"/>
      <c r="T165" s="17"/>
      <c r="U165" s="17"/>
      <c r="V165" s="17"/>
      <c r="W165" s="430"/>
      <c r="X165" s="260"/>
      <c r="Y165" s="367"/>
      <c r="Z165" s="431"/>
      <c r="AA165" s="17"/>
      <c r="AB165" s="17"/>
      <c r="AC165" s="17"/>
      <c r="AD165" s="17"/>
      <c r="AE165" s="17"/>
      <c r="AF165" s="17"/>
      <c r="AG165" s="17"/>
      <c r="AH165" s="17"/>
      <c r="AI165" s="17"/>
      <c r="AJ165" s="17"/>
      <c r="AK165" s="17"/>
      <c r="AL165" s="17"/>
      <c r="AM165" s="17"/>
      <c r="AN165" s="17"/>
      <c r="AO165" s="17"/>
      <c r="AP165" s="17"/>
      <c r="AQ165" s="17"/>
    </row>
    <row r="166" ht="15.75" customHeight="1">
      <c r="A166" s="367"/>
      <c r="B166" s="428"/>
      <c r="C166" s="429"/>
      <c r="D166" s="429"/>
      <c r="E166" s="429"/>
      <c r="F166" s="428"/>
      <c r="G166" s="428"/>
      <c r="H166" s="428"/>
      <c r="I166" s="367"/>
      <c r="J166" s="429"/>
      <c r="K166" s="367"/>
      <c r="L166" s="429"/>
      <c r="M166" s="429"/>
      <c r="N166" s="429"/>
      <c r="O166" s="429"/>
      <c r="P166" s="429"/>
      <c r="Q166" s="429"/>
      <c r="R166" s="428"/>
      <c r="S166" s="428"/>
      <c r="T166" s="17"/>
      <c r="U166" s="17"/>
      <c r="V166" s="17"/>
      <c r="W166" s="430"/>
      <c r="X166" s="260"/>
      <c r="Y166" s="367"/>
      <c r="Z166" s="431"/>
      <c r="AA166" s="17"/>
      <c r="AB166" s="17"/>
      <c r="AC166" s="17"/>
      <c r="AD166" s="17"/>
      <c r="AE166" s="17"/>
      <c r="AF166" s="17"/>
      <c r="AG166" s="17"/>
      <c r="AH166" s="17"/>
      <c r="AI166" s="17"/>
      <c r="AJ166" s="17"/>
      <c r="AK166" s="17"/>
      <c r="AL166" s="17"/>
      <c r="AM166" s="17"/>
      <c r="AN166" s="17"/>
      <c r="AO166" s="17"/>
      <c r="AP166" s="17"/>
      <c r="AQ166" s="17"/>
    </row>
    <row r="167" ht="15.75" customHeight="1">
      <c r="A167" s="367"/>
      <c r="B167" s="428"/>
      <c r="C167" s="429"/>
      <c r="D167" s="429"/>
      <c r="E167" s="429"/>
      <c r="F167" s="428"/>
      <c r="G167" s="428"/>
      <c r="H167" s="428"/>
      <c r="I167" s="367"/>
      <c r="J167" s="429"/>
      <c r="K167" s="367"/>
      <c r="L167" s="429"/>
      <c r="M167" s="429"/>
      <c r="N167" s="429"/>
      <c r="O167" s="429"/>
      <c r="P167" s="429"/>
      <c r="Q167" s="429"/>
      <c r="R167" s="428"/>
      <c r="S167" s="428"/>
      <c r="T167" s="17"/>
      <c r="U167" s="17"/>
      <c r="V167" s="17"/>
      <c r="W167" s="430"/>
      <c r="X167" s="260"/>
      <c r="Y167" s="367"/>
      <c r="Z167" s="431"/>
      <c r="AA167" s="17"/>
      <c r="AB167" s="17"/>
      <c r="AC167" s="17"/>
      <c r="AD167" s="17"/>
      <c r="AE167" s="17"/>
      <c r="AF167" s="17"/>
      <c r="AG167" s="17"/>
      <c r="AH167" s="17"/>
      <c r="AI167" s="17"/>
      <c r="AJ167" s="17"/>
      <c r="AK167" s="17"/>
      <c r="AL167" s="17"/>
      <c r="AM167" s="17"/>
      <c r="AN167" s="17"/>
      <c r="AO167" s="17"/>
      <c r="AP167" s="17"/>
      <c r="AQ167" s="17"/>
    </row>
    <row r="168" ht="15.75" customHeight="1">
      <c r="A168" s="367"/>
      <c r="B168" s="428"/>
      <c r="C168" s="429"/>
      <c r="D168" s="429"/>
      <c r="E168" s="429"/>
      <c r="F168" s="428"/>
      <c r="G168" s="428"/>
      <c r="H168" s="428"/>
      <c r="I168" s="367"/>
      <c r="J168" s="429"/>
      <c r="K168" s="367"/>
      <c r="L168" s="429"/>
      <c r="M168" s="429"/>
      <c r="N168" s="429"/>
      <c r="O168" s="429"/>
      <c r="P168" s="429"/>
      <c r="Q168" s="429"/>
      <c r="R168" s="428"/>
      <c r="S168" s="428"/>
      <c r="T168" s="17"/>
      <c r="U168" s="17"/>
      <c r="V168" s="17"/>
      <c r="W168" s="430"/>
      <c r="X168" s="260"/>
      <c r="Y168" s="367"/>
      <c r="Z168" s="431"/>
      <c r="AA168" s="17"/>
      <c r="AB168" s="17"/>
      <c r="AC168" s="17"/>
      <c r="AD168" s="17"/>
      <c r="AE168" s="17"/>
      <c r="AF168" s="17"/>
      <c r="AG168" s="17"/>
      <c r="AH168" s="17"/>
      <c r="AI168" s="17"/>
      <c r="AJ168" s="17"/>
      <c r="AK168" s="17"/>
      <c r="AL168" s="17"/>
      <c r="AM168" s="17"/>
      <c r="AN168" s="17"/>
      <c r="AO168" s="17"/>
      <c r="AP168" s="17"/>
      <c r="AQ168" s="17"/>
    </row>
    <row r="169" ht="15.75" customHeight="1">
      <c r="A169" s="367"/>
      <c r="B169" s="428"/>
      <c r="C169" s="429"/>
      <c r="D169" s="429"/>
      <c r="E169" s="429"/>
      <c r="F169" s="428"/>
      <c r="G169" s="428"/>
      <c r="H169" s="428"/>
      <c r="I169" s="367"/>
      <c r="J169" s="429"/>
      <c r="K169" s="367"/>
      <c r="L169" s="429"/>
      <c r="M169" s="429"/>
      <c r="N169" s="429"/>
      <c r="O169" s="429"/>
      <c r="P169" s="429"/>
      <c r="Q169" s="429"/>
      <c r="R169" s="428"/>
      <c r="S169" s="428"/>
      <c r="T169" s="17"/>
      <c r="U169" s="17"/>
      <c r="V169" s="17"/>
      <c r="W169" s="430"/>
      <c r="X169" s="260"/>
      <c r="Y169" s="367"/>
      <c r="Z169" s="431"/>
      <c r="AA169" s="17"/>
      <c r="AB169" s="17"/>
      <c r="AC169" s="17"/>
      <c r="AD169" s="17"/>
      <c r="AE169" s="17"/>
      <c r="AF169" s="17"/>
      <c r="AG169" s="17"/>
      <c r="AH169" s="17"/>
      <c r="AI169" s="17"/>
      <c r="AJ169" s="17"/>
      <c r="AK169" s="17"/>
      <c r="AL169" s="17"/>
      <c r="AM169" s="17"/>
      <c r="AN169" s="17"/>
      <c r="AO169" s="17"/>
      <c r="AP169" s="17"/>
      <c r="AQ169" s="17"/>
    </row>
    <row r="170" ht="15.75" customHeight="1">
      <c r="A170" s="367"/>
      <c r="B170" s="428"/>
      <c r="C170" s="429"/>
      <c r="D170" s="429"/>
      <c r="E170" s="429"/>
      <c r="F170" s="428"/>
      <c r="G170" s="428"/>
      <c r="H170" s="428"/>
      <c r="I170" s="367"/>
      <c r="J170" s="429"/>
      <c r="K170" s="367"/>
      <c r="L170" s="429"/>
      <c r="M170" s="429"/>
      <c r="N170" s="429"/>
      <c r="O170" s="429"/>
      <c r="P170" s="429"/>
      <c r="Q170" s="429"/>
      <c r="R170" s="428"/>
      <c r="S170" s="428"/>
      <c r="T170" s="17"/>
      <c r="U170" s="17"/>
      <c r="V170" s="17"/>
      <c r="W170" s="430"/>
      <c r="X170" s="260"/>
      <c r="Y170" s="367"/>
      <c r="Z170" s="431"/>
      <c r="AA170" s="17"/>
      <c r="AB170" s="17"/>
      <c r="AC170" s="17"/>
      <c r="AD170" s="17"/>
      <c r="AE170" s="17"/>
      <c r="AF170" s="17"/>
      <c r="AG170" s="17"/>
      <c r="AH170" s="17"/>
      <c r="AI170" s="17"/>
      <c r="AJ170" s="17"/>
      <c r="AK170" s="17"/>
      <c r="AL170" s="17"/>
      <c r="AM170" s="17"/>
      <c r="AN170" s="17"/>
      <c r="AO170" s="17"/>
      <c r="AP170" s="17"/>
      <c r="AQ170" s="17"/>
    </row>
    <row r="171" ht="15.75" customHeight="1">
      <c r="A171" s="367"/>
      <c r="B171" s="428"/>
      <c r="C171" s="429"/>
      <c r="D171" s="429"/>
      <c r="E171" s="429"/>
      <c r="F171" s="428"/>
      <c r="G171" s="428"/>
      <c r="H171" s="428"/>
      <c r="I171" s="367"/>
      <c r="J171" s="429"/>
      <c r="K171" s="367"/>
      <c r="L171" s="429"/>
      <c r="M171" s="429"/>
      <c r="N171" s="429"/>
      <c r="O171" s="429"/>
      <c r="P171" s="429"/>
      <c r="Q171" s="429"/>
      <c r="R171" s="428"/>
      <c r="S171" s="428"/>
      <c r="T171" s="17"/>
      <c r="U171" s="17"/>
      <c r="V171" s="17"/>
      <c r="W171" s="430"/>
      <c r="X171" s="260"/>
      <c r="Y171" s="367"/>
      <c r="Z171" s="431"/>
      <c r="AA171" s="17"/>
      <c r="AB171" s="17"/>
      <c r="AC171" s="17"/>
      <c r="AD171" s="17"/>
      <c r="AE171" s="17"/>
      <c r="AF171" s="17"/>
      <c r="AG171" s="17"/>
      <c r="AH171" s="17"/>
      <c r="AI171" s="17"/>
      <c r="AJ171" s="17"/>
      <c r="AK171" s="17"/>
      <c r="AL171" s="17"/>
      <c r="AM171" s="17"/>
      <c r="AN171" s="17"/>
      <c r="AO171" s="17"/>
      <c r="AP171" s="17"/>
      <c r="AQ171" s="17"/>
    </row>
    <row r="172" ht="15.75" customHeight="1">
      <c r="A172" s="367"/>
      <c r="B172" s="428"/>
      <c r="C172" s="429"/>
      <c r="D172" s="429"/>
      <c r="E172" s="429"/>
      <c r="F172" s="428"/>
      <c r="G172" s="428"/>
      <c r="H172" s="428"/>
      <c r="I172" s="367"/>
      <c r="J172" s="429"/>
      <c r="K172" s="367"/>
      <c r="L172" s="429"/>
      <c r="M172" s="429"/>
      <c r="N172" s="429"/>
      <c r="O172" s="429"/>
      <c r="P172" s="429"/>
      <c r="Q172" s="429"/>
      <c r="R172" s="428"/>
      <c r="S172" s="428"/>
      <c r="T172" s="17"/>
      <c r="U172" s="17"/>
      <c r="V172" s="17"/>
      <c r="W172" s="430"/>
      <c r="X172" s="260"/>
      <c r="Y172" s="367"/>
      <c r="Z172" s="431"/>
      <c r="AA172" s="17"/>
      <c r="AB172" s="17"/>
      <c r="AC172" s="17"/>
      <c r="AD172" s="17"/>
      <c r="AE172" s="17"/>
      <c r="AF172" s="17"/>
      <c r="AG172" s="17"/>
      <c r="AH172" s="17"/>
      <c r="AI172" s="17"/>
      <c r="AJ172" s="17"/>
      <c r="AK172" s="17"/>
      <c r="AL172" s="17"/>
      <c r="AM172" s="17"/>
      <c r="AN172" s="17"/>
      <c r="AO172" s="17"/>
      <c r="AP172" s="17"/>
      <c r="AQ172" s="17"/>
    </row>
    <row r="173" ht="15.75" customHeight="1">
      <c r="A173" s="367"/>
      <c r="B173" s="428"/>
      <c r="C173" s="429"/>
      <c r="D173" s="429"/>
      <c r="E173" s="429"/>
      <c r="F173" s="428"/>
      <c r="G173" s="428"/>
      <c r="H173" s="428"/>
      <c r="I173" s="367"/>
      <c r="J173" s="429"/>
      <c r="K173" s="367"/>
      <c r="L173" s="429"/>
      <c r="M173" s="429"/>
      <c r="N173" s="429"/>
      <c r="O173" s="429"/>
      <c r="P173" s="429"/>
      <c r="Q173" s="429"/>
      <c r="R173" s="428"/>
      <c r="S173" s="428"/>
      <c r="T173" s="17"/>
      <c r="U173" s="17"/>
      <c r="V173" s="17"/>
      <c r="W173" s="430"/>
      <c r="X173" s="260"/>
      <c r="Y173" s="367"/>
      <c r="Z173" s="431"/>
      <c r="AA173" s="17"/>
      <c r="AB173" s="17"/>
      <c r="AC173" s="17"/>
      <c r="AD173" s="17"/>
      <c r="AE173" s="17"/>
      <c r="AF173" s="17"/>
      <c r="AG173" s="17"/>
      <c r="AH173" s="17"/>
      <c r="AI173" s="17"/>
      <c r="AJ173" s="17"/>
      <c r="AK173" s="17"/>
      <c r="AL173" s="17"/>
      <c r="AM173" s="17"/>
      <c r="AN173" s="17"/>
      <c r="AO173" s="17"/>
      <c r="AP173" s="17"/>
      <c r="AQ173" s="17"/>
    </row>
    <row r="174" ht="15.75" customHeight="1">
      <c r="A174" s="367"/>
      <c r="B174" s="428"/>
      <c r="C174" s="429"/>
      <c r="D174" s="429"/>
      <c r="E174" s="429"/>
      <c r="F174" s="428"/>
      <c r="G174" s="428"/>
      <c r="H174" s="428"/>
      <c r="I174" s="367"/>
      <c r="J174" s="429"/>
      <c r="K174" s="367"/>
      <c r="L174" s="429"/>
      <c r="M174" s="429"/>
      <c r="N174" s="429"/>
      <c r="O174" s="429"/>
      <c r="P174" s="429"/>
      <c r="Q174" s="429"/>
      <c r="R174" s="428"/>
      <c r="S174" s="428"/>
      <c r="T174" s="17"/>
      <c r="U174" s="17"/>
      <c r="V174" s="17"/>
      <c r="W174" s="430"/>
      <c r="X174" s="260"/>
      <c r="Y174" s="367"/>
      <c r="Z174" s="431"/>
      <c r="AA174" s="17"/>
      <c r="AB174" s="17"/>
      <c r="AC174" s="17"/>
      <c r="AD174" s="17"/>
      <c r="AE174" s="17"/>
      <c r="AF174" s="17"/>
      <c r="AG174" s="17"/>
      <c r="AH174" s="17"/>
      <c r="AI174" s="17"/>
      <c r="AJ174" s="17"/>
      <c r="AK174" s="17"/>
      <c r="AL174" s="17"/>
      <c r="AM174" s="17"/>
      <c r="AN174" s="17"/>
      <c r="AO174" s="17"/>
      <c r="AP174" s="17"/>
      <c r="AQ174" s="17"/>
    </row>
    <row r="175" ht="15.75" customHeight="1">
      <c r="A175" s="367"/>
      <c r="B175" s="428"/>
      <c r="C175" s="429"/>
      <c r="D175" s="429"/>
      <c r="E175" s="429"/>
      <c r="F175" s="428"/>
      <c r="G175" s="428"/>
      <c r="H175" s="428"/>
      <c r="I175" s="367"/>
      <c r="J175" s="429"/>
      <c r="K175" s="367"/>
      <c r="L175" s="429"/>
      <c r="M175" s="429"/>
      <c r="N175" s="429"/>
      <c r="O175" s="429"/>
      <c r="P175" s="429"/>
      <c r="Q175" s="429"/>
      <c r="R175" s="428"/>
      <c r="S175" s="428"/>
      <c r="T175" s="17"/>
      <c r="U175" s="17"/>
      <c r="V175" s="17"/>
      <c r="W175" s="430"/>
      <c r="X175" s="260"/>
      <c r="Y175" s="367"/>
      <c r="Z175" s="431"/>
      <c r="AA175" s="17"/>
      <c r="AB175" s="17"/>
      <c r="AC175" s="17"/>
      <c r="AD175" s="17"/>
      <c r="AE175" s="17"/>
      <c r="AF175" s="17"/>
      <c r="AG175" s="17"/>
      <c r="AH175" s="17"/>
      <c r="AI175" s="17"/>
      <c r="AJ175" s="17"/>
      <c r="AK175" s="17"/>
      <c r="AL175" s="17"/>
      <c r="AM175" s="17"/>
      <c r="AN175" s="17"/>
      <c r="AO175" s="17"/>
      <c r="AP175" s="17"/>
      <c r="AQ175" s="17"/>
    </row>
    <row r="176" ht="15.75" customHeight="1">
      <c r="A176" s="367"/>
      <c r="B176" s="428"/>
      <c r="C176" s="429"/>
      <c r="D176" s="429"/>
      <c r="E176" s="429"/>
      <c r="F176" s="428"/>
      <c r="G176" s="428"/>
      <c r="H176" s="428"/>
      <c r="I176" s="367"/>
      <c r="J176" s="429"/>
      <c r="K176" s="367"/>
      <c r="L176" s="429"/>
      <c r="M176" s="429"/>
      <c r="N176" s="429"/>
      <c r="O176" s="429"/>
      <c r="P176" s="429"/>
      <c r="Q176" s="429"/>
      <c r="R176" s="428"/>
      <c r="S176" s="428"/>
      <c r="T176" s="17"/>
      <c r="U176" s="17"/>
      <c r="V176" s="17"/>
      <c r="W176" s="430"/>
      <c r="X176" s="260"/>
      <c r="Y176" s="367"/>
      <c r="Z176" s="431"/>
      <c r="AA176" s="17"/>
      <c r="AB176" s="17"/>
      <c r="AC176" s="17"/>
      <c r="AD176" s="17"/>
      <c r="AE176" s="17"/>
      <c r="AF176" s="17"/>
      <c r="AG176" s="17"/>
      <c r="AH176" s="17"/>
      <c r="AI176" s="17"/>
      <c r="AJ176" s="17"/>
      <c r="AK176" s="17"/>
      <c r="AL176" s="17"/>
      <c r="AM176" s="17"/>
      <c r="AN176" s="17"/>
      <c r="AO176" s="17"/>
      <c r="AP176" s="17"/>
      <c r="AQ176" s="17"/>
    </row>
    <row r="177" ht="15.75" customHeight="1">
      <c r="A177" s="367"/>
      <c r="B177" s="428"/>
      <c r="C177" s="429"/>
      <c r="D177" s="429"/>
      <c r="E177" s="429"/>
      <c r="F177" s="428"/>
      <c r="G177" s="428"/>
      <c r="H177" s="428"/>
      <c r="I177" s="367"/>
      <c r="J177" s="429"/>
      <c r="K177" s="367"/>
      <c r="L177" s="429"/>
      <c r="M177" s="429"/>
      <c r="N177" s="429"/>
      <c r="O177" s="429"/>
      <c r="P177" s="429"/>
      <c r="Q177" s="429"/>
      <c r="R177" s="428"/>
      <c r="S177" s="428"/>
      <c r="T177" s="17"/>
      <c r="U177" s="17"/>
      <c r="V177" s="17"/>
      <c r="W177" s="430"/>
      <c r="X177" s="260"/>
      <c r="Y177" s="367"/>
      <c r="Z177" s="431"/>
      <c r="AA177" s="17"/>
      <c r="AB177" s="17"/>
      <c r="AC177" s="17"/>
      <c r="AD177" s="17"/>
      <c r="AE177" s="17"/>
      <c r="AF177" s="17"/>
      <c r="AG177" s="17"/>
      <c r="AH177" s="17"/>
      <c r="AI177" s="17"/>
      <c r="AJ177" s="17"/>
      <c r="AK177" s="17"/>
      <c r="AL177" s="17"/>
      <c r="AM177" s="17"/>
      <c r="AN177" s="17"/>
      <c r="AO177" s="17"/>
      <c r="AP177" s="17"/>
      <c r="AQ177" s="17"/>
    </row>
    <row r="178" ht="15.75" customHeight="1">
      <c r="A178" s="367"/>
      <c r="B178" s="428"/>
      <c r="C178" s="429"/>
      <c r="D178" s="429"/>
      <c r="E178" s="429"/>
      <c r="F178" s="428"/>
      <c r="G178" s="428"/>
      <c r="H178" s="428"/>
      <c r="I178" s="367"/>
      <c r="J178" s="429"/>
      <c r="K178" s="367"/>
      <c r="L178" s="429"/>
      <c r="M178" s="429"/>
      <c r="N178" s="429"/>
      <c r="O178" s="429"/>
      <c r="P178" s="429"/>
      <c r="Q178" s="429"/>
      <c r="R178" s="428"/>
      <c r="S178" s="428"/>
      <c r="T178" s="17"/>
      <c r="U178" s="17"/>
      <c r="V178" s="17"/>
      <c r="W178" s="430"/>
      <c r="X178" s="260"/>
      <c r="Y178" s="367"/>
      <c r="Z178" s="431"/>
      <c r="AA178" s="17"/>
      <c r="AB178" s="17"/>
      <c r="AC178" s="17"/>
      <c r="AD178" s="17"/>
      <c r="AE178" s="17"/>
      <c r="AF178" s="17"/>
      <c r="AG178" s="17"/>
      <c r="AH178" s="17"/>
      <c r="AI178" s="17"/>
      <c r="AJ178" s="17"/>
      <c r="AK178" s="17"/>
      <c r="AL178" s="17"/>
      <c r="AM178" s="17"/>
      <c r="AN178" s="17"/>
      <c r="AO178" s="17"/>
      <c r="AP178" s="17"/>
      <c r="AQ178" s="17"/>
    </row>
    <row r="179" ht="15.75" customHeight="1">
      <c r="A179" s="367"/>
      <c r="B179" s="428"/>
      <c r="C179" s="429"/>
      <c r="D179" s="429"/>
      <c r="E179" s="429"/>
      <c r="F179" s="428"/>
      <c r="G179" s="428"/>
      <c r="H179" s="428"/>
      <c r="I179" s="367"/>
      <c r="J179" s="429"/>
      <c r="K179" s="367"/>
      <c r="L179" s="429"/>
      <c r="M179" s="429"/>
      <c r="N179" s="429"/>
      <c r="O179" s="429"/>
      <c r="P179" s="429"/>
      <c r="Q179" s="429"/>
      <c r="R179" s="428"/>
      <c r="S179" s="428"/>
      <c r="T179" s="17"/>
      <c r="U179" s="17"/>
      <c r="V179" s="17"/>
      <c r="W179" s="430"/>
      <c r="X179" s="260"/>
      <c r="Y179" s="367"/>
      <c r="Z179" s="431"/>
      <c r="AA179" s="17"/>
      <c r="AB179" s="17"/>
      <c r="AC179" s="17"/>
      <c r="AD179" s="17"/>
      <c r="AE179" s="17"/>
      <c r="AF179" s="17"/>
      <c r="AG179" s="17"/>
      <c r="AH179" s="17"/>
      <c r="AI179" s="17"/>
      <c r="AJ179" s="17"/>
      <c r="AK179" s="17"/>
      <c r="AL179" s="17"/>
      <c r="AM179" s="17"/>
      <c r="AN179" s="17"/>
      <c r="AO179" s="17"/>
      <c r="AP179" s="17"/>
      <c r="AQ179" s="17"/>
    </row>
    <row r="180" ht="15.75" customHeight="1">
      <c r="A180" s="367"/>
      <c r="B180" s="428"/>
      <c r="C180" s="429"/>
      <c r="D180" s="429"/>
      <c r="E180" s="429"/>
      <c r="F180" s="428"/>
      <c r="G180" s="428"/>
      <c r="H180" s="428"/>
      <c r="I180" s="367"/>
      <c r="J180" s="429"/>
      <c r="K180" s="367"/>
      <c r="L180" s="429"/>
      <c r="M180" s="429"/>
      <c r="N180" s="429"/>
      <c r="O180" s="429"/>
      <c r="P180" s="429"/>
      <c r="Q180" s="429"/>
      <c r="R180" s="428"/>
      <c r="S180" s="428"/>
      <c r="T180" s="17"/>
      <c r="U180" s="17"/>
      <c r="V180" s="17"/>
      <c r="W180" s="430"/>
      <c r="X180" s="260"/>
      <c r="Y180" s="367"/>
      <c r="Z180" s="431"/>
      <c r="AA180" s="17"/>
      <c r="AB180" s="17"/>
      <c r="AC180" s="17"/>
      <c r="AD180" s="17"/>
      <c r="AE180" s="17"/>
      <c r="AF180" s="17"/>
      <c r="AG180" s="17"/>
      <c r="AH180" s="17"/>
      <c r="AI180" s="17"/>
      <c r="AJ180" s="17"/>
      <c r="AK180" s="17"/>
      <c r="AL180" s="17"/>
      <c r="AM180" s="17"/>
      <c r="AN180" s="17"/>
      <c r="AO180" s="17"/>
      <c r="AP180" s="17"/>
      <c r="AQ180" s="17"/>
    </row>
    <row r="181" ht="15.75" customHeight="1">
      <c r="A181" s="367"/>
      <c r="B181" s="428"/>
      <c r="C181" s="429"/>
      <c r="D181" s="429"/>
      <c r="E181" s="429"/>
      <c r="F181" s="428"/>
      <c r="G181" s="428"/>
      <c r="H181" s="428"/>
      <c r="I181" s="367"/>
      <c r="J181" s="429"/>
      <c r="K181" s="367"/>
      <c r="L181" s="429"/>
      <c r="M181" s="429"/>
      <c r="N181" s="429"/>
      <c r="O181" s="429"/>
      <c r="P181" s="429"/>
      <c r="Q181" s="429"/>
      <c r="R181" s="428"/>
      <c r="S181" s="428"/>
      <c r="T181" s="17"/>
      <c r="U181" s="17"/>
      <c r="V181" s="17"/>
      <c r="W181" s="430"/>
      <c r="X181" s="260"/>
      <c r="Y181" s="367"/>
      <c r="Z181" s="431"/>
      <c r="AA181" s="17"/>
      <c r="AB181" s="17"/>
      <c r="AC181" s="17"/>
      <c r="AD181" s="17"/>
      <c r="AE181" s="17"/>
      <c r="AF181" s="17"/>
      <c r="AG181" s="17"/>
      <c r="AH181" s="17"/>
      <c r="AI181" s="17"/>
      <c r="AJ181" s="17"/>
      <c r="AK181" s="17"/>
      <c r="AL181" s="17"/>
      <c r="AM181" s="17"/>
      <c r="AN181" s="17"/>
      <c r="AO181" s="17"/>
      <c r="AP181" s="17"/>
      <c r="AQ181" s="17"/>
    </row>
    <row r="182" ht="15.75" customHeight="1">
      <c r="A182" s="367"/>
      <c r="B182" s="428"/>
      <c r="C182" s="429"/>
      <c r="D182" s="429"/>
      <c r="E182" s="429"/>
      <c r="F182" s="428"/>
      <c r="G182" s="428"/>
      <c r="H182" s="428"/>
      <c r="I182" s="367"/>
      <c r="J182" s="429"/>
      <c r="K182" s="367"/>
      <c r="L182" s="429"/>
      <c r="M182" s="429"/>
      <c r="N182" s="429"/>
      <c r="O182" s="429"/>
      <c r="P182" s="429"/>
      <c r="Q182" s="429"/>
      <c r="R182" s="428"/>
      <c r="S182" s="428"/>
      <c r="T182" s="17"/>
      <c r="U182" s="17"/>
      <c r="V182" s="17"/>
      <c r="W182" s="430"/>
      <c r="X182" s="260"/>
      <c r="Y182" s="367"/>
      <c r="Z182" s="431"/>
      <c r="AA182" s="17"/>
      <c r="AB182" s="17"/>
      <c r="AC182" s="17"/>
      <c r="AD182" s="17"/>
      <c r="AE182" s="17"/>
      <c r="AF182" s="17"/>
      <c r="AG182" s="17"/>
      <c r="AH182" s="17"/>
      <c r="AI182" s="17"/>
      <c r="AJ182" s="17"/>
      <c r="AK182" s="17"/>
      <c r="AL182" s="17"/>
      <c r="AM182" s="17"/>
      <c r="AN182" s="17"/>
      <c r="AO182" s="17"/>
      <c r="AP182" s="17"/>
      <c r="AQ182" s="17"/>
    </row>
    <row r="183" ht="15.75" customHeight="1">
      <c r="A183" s="367"/>
      <c r="B183" s="428"/>
      <c r="C183" s="429"/>
      <c r="D183" s="429"/>
      <c r="E183" s="429"/>
      <c r="F183" s="428"/>
      <c r="G183" s="428"/>
      <c r="H183" s="428"/>
      <c r="I183" s="367"/>
      <c r="J183" s="429"/>
      <c r="K183" s="367"/>
      <c r="L183" s="429"/>
      <c r="M183" s="429"/>
      <c r="N183" s="429"/>
      <c r="O183" s="429"/>
      <c r="P183" s="429"/>
      <c r="Q183" s="429"/>
      <c r="R183" s="428"/>
      <c r="S183" s="428"/>
      <c r="T183" s="17"/>
      <c r="U183" s="17"/>
      <c r="V183" s="17"/>
      <c r="W183" s="430"/>
      <c r="X183" s="260"/>
      <c r="Y183" s="367"/>
      <c r="Z183" s="431"/>
      <c r="AA183" s="17"/>
      <c r="AB183" s="17"/>
      <c r="AC183" s="17"/>
      <c r="AD183" s="17"/>
      <c r="AE183" s="17"/>
      <c r="AF183" s="17"/>
      <c r="AG183" s="17"/>
      <c r="AH183" s="17"/>
      <c r="AI183" s="17"/>
      <c r="AJ183" s="17"/>
      <c r="AK183" s="17"/>
      <c r="AL183" s="17"/>
      <c r="AM183" s="17"/>
      <c r="AN183" s="17"/>
      <c r="AO183" s="17"/>
      <c r="AP183" s="17"/>
      <c r="AQ183" s="17"/>
    </row>
    <row r="184" ht="15.75" customHeight="1">
      <c r="A184" s="367"/>
      <c r="B184" s="428"/>
      <c r="C184" s="429"/>
      <c r="D184" s="429"/>
      <c r="E184" s="429"/>
      <c r="F184" s="428"/>
      <c r="G184" s="428"/>
      <c r="H184" s="428"/>
      <c r="I184" s="367"/>
      <c r="J184" s="429"/>
      <c r="K184" s="367"/>
      <c r="L184" s="429"/>
      <c r="M184" s="429"/>
      <c r="N184" s="429"/>
      <c r="O184" s="429"/>
      <c r="P184" s="429"/>
      <c r="Q184" s="429"/>
      <c r="R184" s="428"/>
      <c r="S184" s="428"/>
      <c r="T184" s="17"/>
      <c r="U184" s="17"/>
      <c r="V184" s="17"/>
      <c r="W184" s="430"/>
      <c r="X184" s="260"/>
      <c r="Y184" s="367"/>
      <c r="Z184" s="431"/>
      <c r="AA184" s="17"/>
      <c r="AB184" s="17"/>
      <c r="AC184" s="17"/>
      <c r="AD184" s="17"/>
      <c r="AE184" s="17"/>
      <c r="AF184" s="17"/>
      <c r="AG184" s="17"/>
      <c r="AH184" s="17"/>
      <c r="AI184" s="17"/>
      <c r="AJ184" s="17"/>
      <c r="AK184" s="17"/>
      <c r="AL184" s="17"/>
      <c r="AM184" s="17"/>
      <c r="AN184" s="17"/>
      <c r="AO184" s="17"/>
      <c r="AP184" s="17"/>
      <c r="AQ184" s="17"/>
    </row>
    <row r="185" ht="15.75" customHeight="1">
      <c r="A185" s="367"/>
      <c r="B185" s="428"/>
      <c r="C185" s="429"/>
      <c r="D185" s="429"/>
      <c r="E185" s="429"/>
      <c r="F185" s="428"/>
      <c r="G185" s="428"/>
      <c r="H185" s="428"/>
      <c r="I185" s="367"/>
      <c r="J185" s="429"/>
      <c r="K185" s="367"/>
      <c r="L185" s="429"/>
      <c r="M185" s="429"/>
      <c r="N185" s="429"/>
      <c r="O185" s="429"/>
      <c r="P185" s="429"/>
      <c r="Q185" s="429"/>
      <c r="R185" s="428"/>
      <c r="S185" s="428"/>
      <c r="T185" s="17"/>
      <c r="U185" s="17"/>
      <c r="V185" s="17"/>
      <c r="W185" s="430"/>
      <c r="X185" s="260"/>
      <c r="Y185" s="367"/>
      <c r="Z185" s="431"/>
      <c r="AA185" s="17"/>
      <c r="AB185" s="17"/>
      <c r="AC185" s="17"/>
      <c r="AD185" s="17"/>
      <c r="AE185" s="17"/>
      <c r="AF185" s="17"/>
      <c r="AG185" s="17"/>
      <c r="AH185" s="17"/>
      <c r="AI185" s="17"/>
      <c r="AJ185" s="17"/>
      <c r="AK185" s="17"/>
      <c r="AL185" s="17"/>
      <c r="AM185" s="17"/>
      <c r="AN185" s="17"/>
      <c r="AO185" s="17"/>
      <c r="AP185" s="17"/>
      <c r="AQ185" s="17"/>
    </row>
    <row r="186" ht="15.75" customHeight="1">
      <c r="A186" s="367"/>
      <c r="B186" s="428"/>
      <c r="C186" s="429"/>
      <c r="D186" s="429"/>
      <c r="E186" s="429"/>
      <c r="F186" s="428"/>
      <c r="G186" s="428"/>
      <c r="H186" s="428"/>
      <c r="I186" s="367"/>
      <c r="J186" s="429"/>
      <c r="K186" s="367"/>
      <c r="L186" s="429"/>
      <c r="M186" s="429"/>
      <c r="N186" s="429"/>
      <c r="O186" s="429"/>
      <c r="P186" s="429"/>
      <c r="Q186" s="429"/>
      <c r="R186" s="428"/>
      <c r="S186" s="428"/>
      <c r="T186" s="17"/>
      <c r="U186" s="17"/>
      <c r="V186" s="17"/>
      <c r="W186" s="430"/>
      <c r="X186" s="260"/>
      <c r="Y186" s="367"/>
      <c r="Z186" s="431"/>
      <c r="AA186" s="17"/>
      <c r="AB186" s="17"/>
      <c r="AC186" s="17"/>
      <c r="AD186" s="17"/>
      <c r="AE186" s="17"/>
      <c r="AF186" s="17"/>
      <c r="AG186" s="17"/>
      <c r="AH186" s="17"/>
      <c r="AI186" s="17"/>
      <c r="AJ186" s="17"/>
      <c r="AK186" s="17"/>
      <c r="AL186" s="17"/>
      <c r="AM186" s="17"/>
      <c r="AN186" s="17"/>
      <c r="AO186" s="17"/>
      <c r="AP186" s="17"/>
      <c r="AQ186" s="17"/>
    </row>
    <row r="187" ht="15.75" customHeight="1">
      <c r="A187" s="367"/>
      <c r="B187" s="428"/>
      <c r="C187" s="429"/>
      <c r="D187" s="429"/>
      <c r="E187" s="429"/>
      <c r="F187" s="428"/>
      <c r="G187" s="428"/>
      <c r="H187" s="428"/>
      <c r="I187" s="367"/>
      <c r="J187" s="429"/>
      <c r="K187" s="367"/>
      <c r="L187" s="429"/>
      <c r="M187" s="429"/>
      <c r="N187" s="429"/>
      <c r="O187" s="429"/>
      <c r="P187" s="429"/>
      <c r="Q187" s="429"/>
      <c r="R187" s="428"/>
      <c r="S187" s="428"/>
      <c r="T187" s="17"/>
      <c r="U187" s="17"/>
      <c r="V187" s="17"/>
      <c r="W187" s="430"/>
      <c r="X187" s="260"/>
      <c r="Y187" s="367"/>
      <c r="Z187" s="431"/>
      <c r="AA187" s="17"/>
      <c r="AB187" s="17"/>
      <c r="AC187" s="17"/>
      <c r="AD187" s="17"/>
      <c r="AE187" s="17"/>
      <c r="AF187" s="17"/>
      <c r="AG187" s="17"/>
      <c r="AH187" s="17"/>
      <c r="AI187" s="17"/>
      <c r="AJ187" s="17"/>
      <c r="AK187" s="17"/>
      <c r="AL187" s="17"/>
      <c r="AM187" s="17"/>
      <c r="AN187" s="17"/>
      <c r="AO187" s="17"/>
      <c r="AP187" s="17"/>
      <c r="AQ187" s="17"/>
    </row>
    <row r="188" ht="15.75" customHeight="1">
      <c r="A188" s="367"/>
      <c r="B188" s="428"/>
      <c r="C188" s="429"/>
      <c r="D188" s="429"/>
      <c r="E188" s="429"/>
      <c r="F188" s="428"/>
      <c r="G188" s="428"/>
      <c r="H188" s="428"/>
      <c r="I188" s="367"/>
      <c r="J188" s="429"/>
      <c r="K188" s="367"/>
      <c r="L188" s="429"/>
      <c r="M188" s="429"/>
      <c r="N188" s="429"/>
      <c r="O188" s="429"/>
      <c r="P188" s="429"/>
      <c r="Q188" s="429"/>
      <c r="R188" s="428"/>
      <c r="S188" s="428"/>
      <c r="T188" s="17"/>
      <c r="U188" s="17"/>
      <c r="V188" s="17"/>
      <c r="W188" s="430"/>
      <c r="X188" s="260"/>
      <c r="Y188" s="367"/>
      <c r="Z188" s="431"/>
      <c r="AA188" s="17"/>
      <c r="AB188" s="17"/>
      <c r="AC188" s="17"/>
      <c r="AD188" s="17"/>
      <c r="AE188" s="17"/>
      <c r="AF188" s="17"/>
      <c r="AG188" s="17"/>
      <c r="AH188" s="17"/>
      <c r="AI188" s="17"/>
      <c r="AJ188" s="17"/>
      <c r="AK188" s="17"/>
      <c r="AL188" s="17"/>
      <c r="AM188" s="17"/>
      <c r="AN188" s="17"/>
      <c r="AO188" s="17"/>
      <c r="AP188" s="17"/>
      <c r="AQ188" s="17"/>
    </row>
    <row r="189" ht="15.75" customHeight="1">
      <c r="A189" s="367"/>
      <c r="B189" s="428"/>
      <c r="C189" s="429"/>
      <c r="D189" s="429"/>
      <c r="E189" s="429"/>
      <c r="F189" s="428"/>
      <c r="G189" s="428"/>
      <c r="H189" s="428"/>
      <c r="I189" s="367"/>
      <c r="J189" s="429"/>
      <c r="K189" s="367"/>
      <c r="L189" s="429"/>
      <c r="M189" s="429"/>
      <c r="N189" s="429"/>
      <c r="O189" s="429"/>
      <c r="P189" s="429"/>
      <c r="Q189" s="429"/>
      <c r="R189" s="428"/>
      <c r="S189" s="428"/>
      <c r="T189" s="17"/>
      <c r="U189" s="17"/>
      <c r="V189" s="17"/>
      <c r="W189" s="430"/>
      <c r="X189" s="260"/>
      <c r="Y189" s="367"/>
      <c r="Z189" s="431"/>
      <c r="AA189" s="17"/>
      <c r="AB189" s="17"/>
      <c r="AC189" s="17"/>
      <c r="AD189" s="17"/>
      <c r="AE189" s="17"/>
      <c r="AF189" s="17"/>
      <c r="AG189" s="17"/>
      <c r="AH189" s="17"/>
      <c r="AI189" s="17"/>
      <c r="AJ189" s="17"/>
      <c r="AK189" s="17"/>
      <c r="AL189" s="17"/>
      <c r="AM189" s="17"/>
      <c r="AN189" s="17"/>
      <c r="AO189" s="17"/>
      <c r="AP189" s="17"/>
      <c r="AQ189" s="17"/>
    </row>
    <row r="190" ht="15.75" customHeight="1">
      <c r="A190" s="367"/>
      <c r="B190" s="428"/>
      <c r="C190" s="429"/>
      <c r="D190" s="429"/>
      <c r="E190" s="429"/>
      <c r="F190" s="428"/>
      <c r="G190" s="428"/>
      <c r="H190" s="428"/>
      <c r="I190" s="367"/>
      <c r="J190" s="429"/>
      <c r="K190" s="367"/>
      <c r="L190" s="429"/>
      <c r="M190" s="429"/>
      <c r="N190" s="429"/>
      <c r="O190" s="429"/>
      <c r="P190" s="429"/>
      <c r="Q190" s="429"/>
      <c r="R190" s="428"/>
      <c r="S190" s="428"/>
      <c r="T190" s="17"/>
      <c r="U190" s="17"/>
      <c r="V190" s="17"/>
      <c r="W190" s="430"/>
      <c r="X190" s="260"/>
      <c r="Y190" s="367"/>
      <c r="Z190" s="431"/>
      <c r="AA190" s="17"/>
      <c r="AB190" s="17"/>
      <c r="AC190" s="17"/>
      <c r="AD190" s="17"/>
      <c r="AE190" s="17"/>
      <c r="AF190" s="17"/>
      <c r="AG190" s="17"/>
      <c r="AH190" s="17"/>
      <c r="AI190" s="17"/>
      <c r="AJ190" s="17"/>
      <c r="AK190" s="17"/>
      <c r="AL190" s="17"/>
      <c r="AM190" s="17"/>
      <c r="AN190" s="17"/>
      <c r="AO190" s="17"/>
      <c r="AP190" s="17"/>
      <c r="AQ190" s="17"/>
    </row>
    <row r="191" ht="15.75" customHeight="1">
      <c r="A191" s="367"/>
      <c r="B191" s="428"/>
      <c r="C191" s="429"/>
      <c r="D191" s="429"/>
      <c r="E191" s="429"/>
      <c r="F191" s="428"/>
      <c r="G191" s="428"/>
      <c r="H191" s="428"/>
      <c r="I191" s="367"/>
      <c r="J191" s="429"/>
      <c r="K191" s="367"/>
      <c r="L191" s="429"/>
      <c r="M191" s="429"/>
      <c r="N191" s="429"/>
      <c r="O191" s="429"/>
      <c r="P191" s="429"/>
      <c r="Q191" s="429"/>
      <c r="R191" s="428"/>
      <c r="S191" s="428"/>
      <c r="T191" s="17"/>
      <c r="U191" s="17"/>
      <c r="V191" s="17"/>
      <c r="W191" s="430"/>
      <c r="X191" s="260"/>
      <c r="Y191" s="367"/>
      <c r="Z191" s="431"/>
      <c r="AA191" s="17"/>
      <c r="AB191" s="17"/>
      <c r="AC191" s="17"/>
      <c r="AD191" s="17"/>
      <c r="AE191" s="17"/>
      <c r="AF191" s="17"/>
      <c r="AG191" s="17"/>
      <c r="AH191" s="17"/>
      <c r="AI191" s="17"/>
      <c r="AJ191" s="17"/>
      <c r="AK191" s="17"/>
      <c r="AL191" s="17"/>
      <c r="AM191" s="17"/>
      <c r="AN191" s="17"/>
      <c r="AO191" s="17"/>
      <c r="AP191" s="17"/>
      <c r="AQ191" s="17"/>
    </row>
    <row r="192" ht="15.75" customHeight="1">
      <c r="A192" s="367"/>
      <c r="B192" s="428"/>
      <c r="C192" s="429"/>
      <c r="D192" s="429"/>
      <c r="E192" s="429"/>
      <c r="F192" s="428"/>
      <c r="G192" s="428"/>
      <c r="H192" s="428"/>
      <c r="I192" s="367"/>
      <c r="J192" s="429"/>
      <c r="K192" s="367"/>
      <c r="L192" s="429"/>
      <c r="M192" s="429"/>
      <c r="N192" s="429"/>
      <c r="O192" s="429"/>
      <c r="P192" s="429"/>
      <c r="Q192" s="429"/>
      <c r="R192" s="428"/>
      <c r="S192" s="428"/>
      <c r="T192" s="17"/>
      <c r="U192" s="17"/>
      <c r="V192" s="17"/>
      <c r="W192" s="430"/>
      <c r="X192" s="260"/>
      <c r="Y192" s="367"/>
      <c r="Z192" s="431"/>
      <c r="AA192" s="17"/>
      <c r="AB192" s="17"/>
      <c r="AC192" s="17"/>
      <c r="AD192" s="17"/>
      <c r="AE192" s="17"/>
      <c r="AF192" s="17"/>
      <c r="AG192" s="17"/>
      <c r="AH192" s="17"/>
      <c r="AI192" s="17"/>
      <c r="AJ192" s="17"/>
      <c r="AK192" s="17"/>
      <c r="AL192" s="17"/>
      <c r="AM192" s="17"/>
      <c r="AN192" s="17"/>
      <c r="AO192" s="17"/>
      <c r="AP192" s="17"/>
      <c r="AQ192" s="17"/>
    </row>
    <row r="193" ht="15.75" customHeight="1">
      <c r="A193" s="367"/>
      <c r="B193" s="428"/>
      <c r="C193" s="429"/>
      <c r="D193" s="429"/>
      <c r="E193" s="429"/>
      <c r="F193" s="428"/>
      <c r="G193" s="428"/>
      <c r="H193" s="428"/>
      <c r="I193" s="367"/>
      <c r="J193" s="429"/>
      <c r="K193" s="367"/>
      <c r="L193" s="429"/>
      <c r="M193" s="429"/>
      <c r="N193" s="429"/>
      <c r="O193" s="429"/>
      <c r="P193" s="429"/>
      <c r="Q193" s="429"/>
      <c r="R193" s="428"/>
      <c r="S193" s="428"/>
      <c r="T193" s="17"/>
      <c r="U193" s="17"/>
      <c r="V193" s="17"/>
      <c r="W193" s="430"/>
      <c r="X193" s="260"/>
      <c r="Y193" s="367"/>
      <c r="Z193" s="431"/>
      <c r="AA193" s="17"/>
      <c r="AB193" s="17"/>
      <c r="AC193" s="17"/>
      <c r="AD193" s="17"/>
      <c r="AE193" s="17"/>
      <c r="AF193" s="17"/>
      <c r="AG193" s="17"/>
      <c r="AH193" s="17"/>
      <c r="AI193" s="17"/>
      <c r="AJ193" s="17"/>
      <c r="AK193" s="17"/>
      <c r="AL193" s="17"/>
      <c r="AM193" s="17"/>
      <c r="AN193" s="17"/>
      <c r="AO193" s="17"/>
      <c r="AP193" s="17"/>
      <c r="AQ193" s="17"/>
    </row>
    <row r="194" ht="15.75" customHeight="1">
      <c r="A194" s="367"/>
      <c r="B194" s="428"/>
      <c r="C194" s="429"/>
      <c r="D194" s="429"/>
      <c r="E194" s="429"/>
      <c r="F194" s="428"/>
      <c r="G194" s="428"/>
      <c r="H194" s="428"/>
      <c r="I194" s="367"/>
      <c r="J194" s="429"/>
      <c r="K194" s="367"/>
      <c r="L194" s="429"/>
      <c r="M194" s="429"/>
      <c r="N194" s="429"/>
      <c r="O194" s="429"/>
      <c r="P194" s="429"/>
      <c r="Q194" s="429"/>
      <c r="R194" s="428"/>
      <c r="S194" s="428"/>
      <c r="T194" s="17"/>
      <c r="U194" s="17"/>
      <c r="V194" s="17"/>
      <c r="W194" s="430"/>
      <c r="X194" s="260"/>
      <c r="Y194" s="367"/>
      <c r="Z194" s="431"/>
      <c r="AA194" s="17"/>
      <c r="AB194" s="17"/>
      <c r="AC194" s="17"/>
      <c r="AD194" s="17"/>
      <c r="AE194" s="17"/>
      <c r="AF194" s="17"/>
      <c r="AG194" s="17"/>
      <c r="AH194" s="17"/>
      <c r="AI194" s="17"/>
      <c r="AJ194" s="17"/>
      <c r="AK194" s="17"/>
      <c r="AL194" s="17"/>
      <c r="AM194" s="17"/>
      <c r="AN194" s="17"/>
      <c r="AO194" s="17"/>
      <c r="AP194" s="17"/>
      <c r="AQ194" s="17"/>
    </row>
    <row r="195" ht="15.75" customHeight="1">
      <c r="A195" s="367"/>
      <c r="B195" s="428"/>
      <c r="C195" s="429"/>
      <c r="D195" s="429"/>
      <c r="E195" s="429"/>
      <c r="F195" s="428"/>
      <c r="G195" s="428"/>
      <c r="H195" s="428"/>
      <c r="I195" s="367"/>
      <c r="J195" s="429"/>
      <c r="K195" s="367"/>
      <c r="L195" s="429"/>
      <c r="M195" s="429"/>
      <c r="N195" s="429"/>
      <c r="O195" s="429"/>
      <c r="P195" s="429"/>
      <c r="Q195" s="429"/>
      <c r="R195" s="428"/>
      <c r="S195" s="428"/>
      <c r="T195" s="17"/>
      <c r="U195" s="17"/>
      <c r="V195" s="17"/>
      <c r="W195" s="430"/>
      <c r="X195" s="260"/>
      <c r="Y195" s="367"/>
      <c r="Z195" s="431"/>
      <c r="AA195" s="17"/>
      <c r="AB195" s="17"/>
      <c r="AC195" s="17"/>
      <c r="AD195" s="17"/>
      <c r="AE195" s="17"/>
      <c r="AF195" s="17"/>
      <c r="AG195" s="17"/>
      <c r="AH195" s="17"/>
      <c r="AI195" s="17"/>
      <c r="AJ195" s="17"/>
      <c r="AK195" s="17"/>
      <c r="AL195" s="17"/>
      <c r="AM195" s="17"/>
      <c r="AN195" s="17"/>
      <c r="AO195" s="17"/>
      <c r="AP195" s="17"/>
      <c r="AQ195" s="17"/>
    </row>
    <row r="196" ht="15.75" customHeight="1">
      <c r="A196" s="367"/>
      <c r="B196" s="428"/>
      <c r="C196" s="429"/>
      <c r="D196" s="429"/>
      <c r="E196" s="429"/>
      <c r="F196" s="428"/>
      <c r="G196" s="428"/>
      <c r="H196" s="428"/>
      <c r="I196" s="367"/>
      <c r="J196" s="429"/>
      <c r="K196" s="367"/>
      <c r="L196" s="429"/>
      <c r="M196" s="429"/>
      <c r="N196" s="429"/>
      <c r="O196" s="429"/>
      <c r="P196" s="429"/>
      <c r="Q196" s="429"/>
      <c r="R196" s="428"/>
      <c r="S196" s="428"/>
      <c r="T196" s="17"/>
      <c r="U196" s="17"/>
      <c r="V196" s="17"/>
      <c r="W196" s="430"/>
      <c r="X196" s="260"/>
      <c r="Y196" s="367"/>
      <c r="Z196" s="431"/>
      <c r="AA196" s="17"/>
      <c r="AB196" s="17"/>
      <c r="AC196" s="17"/>
      <c r="AD196" s="17"/>
      <c r="AE196" s="17"/>
      <c r="AF196" s="17"/>
      <c r="AG196" s="17"/>
      <c r="AH196" s="17"/>
      <c r="AI196" s="17"/>
      <c r="AJ196" s="17"/>
      <c r="AK196" s="17"/>
      <c r="AL196" s="17"/>
      <c r="AM196" s="17"/>
      <c r="AN196" s="17"/>
      <c r="AO196" s="17"/>
      <c r="AP196" s="17"/>
      <c r="AQ196" s="17"/>
    </row>
    <row r="197" ht="15.75" customHeight="1">
      <c r="A197" s="367"/>
      <c r="B197" s="428"/>
      <c r="C197" s="429"/>
      <c r="D197" s="429"/>
      <c r="E197" s="429"/>
      <c r="F197" s="428"/>
      <c r="G197" s="428"/>
      <c r="H197" s="428"/>
      <c r="I197" s="367"/>
      <c r="J197" s="429"/>
      <c r="K197" s="367"/>
      <c r="L197" s="429"/>
      <c r="M197" s="429"/>
      <c r="N197" s="429"/>
      <c r="O197" s="429"/>
      <c r="P197" s="429"/>
      <c r="Q197" s="429"/>
      <c r="R197" s="428"/>
      <c r="S197" s="428"/>
      <c r="T197" s="17"/>
      <c r="U197" s="17"/>
      <c r="V197" s="17"/>
      <c r="W197" s="430"/>
      <c r="X197" s="260"/>
      <c r="Y197" s="367"/>
      <c r="Z197" s="431"/>
      <c r="AA197" s="17"/>
      <c r="AB197" s="17"/>
      <c r="AC197" s="17"/>
      <c r="AD197" s="17"/>
      <c r="AE197" s="17"/>
      <c r="AF197" s="17"/>
      <c r="AG197" s="17"/>
      <c r="AH197" s="17"/>
      <c r="AI197" s="17"/>
      <c r="AJ197" s="17"/>
      <c r="AK197" s="17"/>
      <c r="AL197" s="17"/>
      <c r="AM197" s="17"/>
      <c r="AN197" s="17"/>
      <c r="AO197" s="17"/>
      <c r="AP197" s="17"/>
      <c r="AQ197" s="17"/>
    </row>
    <row r="198" ht="15.75" customHeight="1">
      <c r="A198" s="367"/>
      <c r="B198" s="428"/>
      <c r="C198" s="429"/>
      <c r="D198" s="429"/>
      <c r="E198" s="429"/>
      <c r="F198" s="428"/>
      <c r="G198" s="428"/>
      <c r="H198" s="428"/>
      <c r="I198" s="367"/>
      <c r="J198" s="429"/>
      <c r="K198" s="367"/>
      <c r="L198" s="429"/>
      <c r="M198" s="429"/>
      <c r="N198" s="429"/>
      <c r="O198" s="429"/>
      <c r="P198" s="429"/>
      <c r="Q198" s="429"/>
      <c r="R198" s="428"/>
      <c r="S198" s="428"/>
      <c r="T198" s="17"/>
      <c r="U198" s="17"/>
      <c r="V198" s="17"/>
      <c r="W198" s="430"/>
      <c r="X198" s="260"/>
      <c r="Y198" s="367"/>
      <c r="Z198" s="431"/>
      <c r="AA198" s="17"/>
      <c r="AB198" s="17"/>
      <c r="AC198" s="17"/>
      <c r="AD198" s="17"/>
      <c r="AE198" s="17"/>
      <c r="AF198" s="17"/>
      <c r="AG198" s="17"/>
      <c r="AH198" s="17"/>
      <c r="AI198" s="17"/>
      <c r="AJ198" s="17"/>
      <c r="AK198" s="17"/>
      <c r="AL198" s="17"/>
      <c r="AM198" s="17"/>
      <c r="AN198" s="17"/>
      <c r="AO198" s="17"/>
      <c r="AP198" s="17"/>
      <c r="AQ198" s="17"/>
    </row>
    <row r="199" ht="15.75" customHeight="1">
      <c r="A199" s="367"/>
      <c r="B199" s="428"/>
      <c r="C199" s="429"/>
      <c r="D199" s="429"/>
      <c r="E199" s="429"/>
      <c r="F199" s="428"/>
      <c r="G199" s="428"/>
      <c r="H199" s="428"/>
      <c r="I199" s="367"/>
      <c r="J199" s="429"/>
      <c r="K199" s="367"/>
      <c r="L199" s="429"/>
      <c r="M199" s="429"/>
      <c r="N199" s="429"/>
      <c r="O199" s="429"/>
      <c r="P199" s="429"/>
      <c r="Q199" s="429"/>
      <c r="R199" s="428"/>
      <c r="S199" s="428"/>
      <c r="T199" s="17"/>
      <c r="U199" s="17"/>
      <c r="V199" s="17"/>
      <c r="W199" s="430"/>
      <c r="X199" s="260"/>
      <c r="Y199" s="367"/>
      <c r="Z199" s="431"/>
      <c r="AA199" s="17"/>
      <c r="AB199" s="17"/>
      <c r="AC199" s="17"/>
      <c r="AD199" s="17"/>
      <c r="AE199" s="17"/>
      <c r="AF199" s="17"/>
      <c r="AG199" s="17"/>
      <c r="AH199" s="17"/>
      <c r="AI199" s="17"/>
      <c r="AJ199" s="17"/>
      <c r="AK199" s="17"/>
      <c r="AL199" s="17"/>
      <c r="AM199" s="17"/>
      <c r="AN199" s="17"/>
      <c r="AO199" s="17"/>
      <c r="AP199" s="17"/>
      <c r="AQ199" s="17"/>
    </row>
    <row r="200" ht="15.75" customHeight="1">
      <c r="A200" s="367"/>
      <c r="B200" s="428"/>
      <c r="C200" s="429"/>
      <c r="D200" s="429"/>
      <c r="E200" s="429"/>
      <c r="F200" s="428"/>
      <c r="G200" s="428"/>
      <c r="H200" s="428"/>
      <c r="I200" s="367"/>
      <c r="J200" s="429"/>
      <c r="K200" s="367"/>
      <c r="L200" s="429"/>
      <c r="M200" s="429"/>
      <c r="N200" s="429"/>
      <c r="O200" s="429"/>
      <c r="P200" s="429"/>
      <c r="Q200" s="429"/>
      <c r="R200" s="428"/>
      <c r="S200" s="428"/>
      <c r="T200" s="17"/>
      <c r="U200" s="17"/>
      <c r="V200" s="17"/>
      <c r="W200" s="430"/>
      <c r="X200" s="260"/>
      <c r="Y200" s="367"/>
      <c r="Z200" s="431"/>
      <c r="AA200" s="17"/>
      <c r="AB200" s="17"/>
      <c r="AC200" s="17"/>
      <c r="AD200" s="17"/>
      <c r="AE200" s="17"/>
      <c r="AF200" s="17"/>
      <c r="AG200" s="17"/>
      <c r="AH200" s="17"/>
      <c r="AI200" s="17"/>
      <c r="AJ200" s="17"/>
      <c r="AK200" s="17"/>
      <c r="AL200" s="17"/>
      <c r="AM200" s="17"/>
      <c r="AN200" s="17"/>
      <c r="AO200" s="17"/>
      <c r="AP200" s="17"/>
      <c r="AQ200" s="17"/>
    </row>
    <row r="201" ht="15.75" customHeight="1">
      <c r="A201" s="367"/>
      <c r="B201" s="428"/>
      <c r="C201" s="429"/>
      <c r="D201" s="429"/>
      <c r="E201" s="429"/>
      <c r="F201" s="428"/>
      <c r="G201" s="428"/>
      <c r="H201" s="428"/>
      <c r="I201" s="367"/>
      <c r="J201" s="429"/>
      <c r="K201" s="367"/>
      <c r="L201" s="429"/>
      <c r="M201" s="429"/>
      <c r="N201" s="429"/>
      <c r="O201" s="429"/>
      <c r="P201" s="429"/>
      <c r="Q201" s="429"/>
      <c r="R201" s="428"/>
      <c r="S201" s="428"/>
      <c r="T201" s="17"/>
      <c r="U201" s="17"/>
      <c r="V201" s="17"/>
      <c r="W201" s="430"/>
      <c r="X201" s="260"/>
      <c r="Y201" s="367"/>
      <c r="Z201" s="431"/>
      <c r="AA201" s="17"/>
      <c r="AB201" s="17"/>
      <c r="AC201" s="17"/>
      <c r="AD201" s="17"/>
      <c r="AE201" s="17"/>
      <c r="AF201" s="17"/>
      <c r="AG201" s="17"/>
      <c r="AH201" s="17"/>
      <c r="AI201" s="17"/>
      <c r="AJ201" s="17"/>
      <c r="AK201" s="17"/>
      <c r="AL201" s="17"/>
      <c r="AM201" s="17"/>
      <c r="AN201" s="17"/>
      <c r="AO201" s="17"/>
      <c r="AP201" s="17"/>
      <c r="AQ201" s="17"/>
    </row>
    <row r="202" ht="15.75" customHeight="1">
      <c r="A202" s="367"/>
      <c r="B202" s="428"/>
      <c r="C202" s="429"/>
      <c r="D202" s="429"/>
      <c r="E202" s="429"/>
      <c r="F202" s="428"/>
      <c r="G202" s="428"/>
      <c r="H202" s="428"/>
      <c r="I202" s="367"/>
      <c r="J202" s="429"/>
      <c r="K202" s="367"/>
      <c r="L202" s="429"/>
      <c r="M202" s="429"/>
      <c r="N202" s="429"/>
      <c r="O202" s="429"/>
      <c r="P202" s="429"/>
      <c r="Q202" s="429"/>
      <c r="R202" s="428"/>
      <c r="S202" s="428"/>
      <c r="T202" s="17"/>
      <c r="U202" s="17"/>
      <c r="V202" s="17"/>
      <c r="W202" s="430"/>
      <c r="X202" s="260"/>
      <c r="Y202" s="367"/>
      <c r="Z202" s="431"/>
      <c r="AA202" s="17"/>
      <c r="AB202" s="17"/>
      <c r="AC202" s="17"/>
      <c r="AD202" s="17"/>
      <c r="AE202" s="17"/>
      <c r="AF202" s="17"/>
      <c r="AG202" s="17"/>
      <c r="AH202" s="17"/>
      <c r="AI202" s="17"/>
      <c r="AJ202" s="17"/>
      <c r="AK202" s="17"/>
      <c r="AL202" s="17"/>
      <c r="AM202" s="17"/>
      <c r="AN202" s="17"/>
      <c r="AO202" s="17"/>
      <c r="AP202" s="17"/>
      <c r="AQ202" s="17"/>
    </row>
    <row r="203" ht="15.75" customHeight="1">
      <c r="A203" s="367"/>
      <c r="B203" s="428"/>
      <c r="C203" s="429"/>
      <c r="D203" s="429"/>
      <c r="E203" s="429"/>
      <c r="F203" s="428"/>
      <c r="G203" s="428"/>
      <c r="H203" s="428"/>
      <c r="I203" s="367"/>
      <c r="J203" s="429"/>
      <c r="K203" s="367"/>
      <c r="L203" s="429"/>
      <c r="M203" s="429"/>
      <c r="N203" s="429"/>
      <c r="O203" s="429"/>
      <c r="P203" s="429"/>
      <c r="Q203" s="429"/>
      <c r="R203" s="428"/>
      <c r="S203" s="428"/>
      <c r="T203" s="17"/>
      <c r="U203" s="17"/>
      <c r="V203" s="17"/>
      <c r="W203" s="430"/>
      <c r="X203" s="260"/>
      <c r="Y203" s="367"/>
      <c r="Z203" s="431"/>
      <c r="AA203" s="17"/>
      <c r="AB203" s="17"/>
      <c r="AC203" s="17"/>
      <c r="AD203" s="17"/>
      <c r="AE203" s="17"/>
      <c r="AF203" s="17"/>
      <c r="AG203" s="17"/>
      <c r="AH203" s="17"/>
      <c r="AI203" s="17"/>
      <c r="AJ203" s="17"/>
      <c r="AK203" s="17"/>
      <c r="AL203" s="17"/>
      <c r="AM203" s="17"/>
      <c r="AN203" s="17"/>
      <c r="AO203" s="17"/>
      <c r="AP203" s="17"/>
      <c r="AQ203" s="17"/>
    </row>
    <row r="204" ht="15.75" customHeight="1">
      <c r="A204" s="367"/>
      <c r="B204" s="428"/>
      <c r="C204" s="429"/>
      <c r="D204" s="429"/>
      <c r="E204" s="429"/>
      <c r="F204" s="428"/>
      <c r="G204" s="428"/>
      <c r="H204" s="428"/>
      <c r="I204" s="367"/>
      <c r="J204" s="429"/>
      <c r="K204" s="367"/>
      <c r="L204" s="429"/>
      <c r="M204" s="429"/>
      <c r="N204" s="429"/>
      <c r="O204" s="429"/>
      <c r="P204" s="429"/>
      <c r="Q204" s="429"/>
      <c r="R204" s="428"/>
      <c r="S204" s="428"/>
      <c r="T204" s="17"/>
      <c r="U204" s="17"/>
      <c r="V204" s="17"/>
      <c r="W204" s="430"/>
      <c r="X204" s="260"/>
      <c r="Y204" s="367"/>
      <c r="Z204" s="431"/>
      <c r="AA204" s="17"/>
      <c r="AB204" s="17"/>
      <c r="AC204" s="17"/>
      <c r="AD204" s="17"/>
      <c r="AE204" s="17"/>
      <c r="AF204" s="17"/>
      <c r="AG204" s="17"/>
      <c r="AH204" s="17"/>
      <c r="AI204" s="17"/>
      <c r="AJ204" s="17"/>
      <c r="AK204" s="17"/>
      <c r="AL204" s="17"/>
      <c r="AM204" s="17"/>
      <c r="AN204" s="17"/>
      <c r="AO204" s="17"/>
      <c r="AP204" s="17"/>
      <c r="AQ204" s="17"/>
    </row>
    <row r="205" ht="15.75" customHeight="1">
      <c r="A205" s="367"/>
      <c r="B205" s="428"/>
      <c r="C205" s="429"/>
      <c r="D205" s="429"/>
      <c r="E205" s="429"/>
      <c r="F205" s="428"/>
      <c r="G205" s="428"/>
      <c r="H205" s="428"/>
      <c r="I205" s="367"/>
      <c r="J205" s="429"/>
      <c r="K205" s="367"/>
      <c r="L205" s="429"/>
      <c r="M205" s="429"/>
      <c r="N205" s="429"/>
      <c r="O205" s="429"/>
      <c r="P205" s="429"/>
      <c r="Q205" s="429"/>
      <c r="R205" s="428"/>
      <c r="S205" s="428"/>
      <c r="T205" s="17"/>
      <c r="U205" s="17"/>
      <c r="V205" s="17"/>
      <c r="W205" s="430"/>
      <c r="X205" s="260"/>
      <c r="Y205" s="367"/>
      <c r="Z205" s="431"/>
      <c r="AA205" s="17"/>
      <c r="AB205" s="17"/>
      <c r="AC205" s="17"/>
      <c r="AD205" s="17"/>
      <c r="AE205" s="17"/>
      <c r="AF205" s="17"/>
      <c r="AG205" s="17"/>
      <c r="AH205" s="17"/>
      <c r="AI205" s="17"/>
      <c r="AJ205" s="17"/>
      <c r="AK205" s="17"/>
      <c r="AL205" s="17"/>
      <c r="AM205" s="17"/>
      <c r="AN205" s="17"/>
      <c r="AO205" s="17"/>
      <c r="AP205" s="17"/>
      <c r="AQ205" s="17"/>
    </row>
    <row r="206" ht="15.75" customHeight="1">
      <c r="A206" s="367"/>
      <c r="B206" s="428"/>
      <c r="C206" s="429"/>
      <c r="D206" s="429"/>
      <c r="E206" s="429"/>
      <c r="F206" s="428"/>
      <c r="G206" s="428"/>
      <c r="H206" s="428"/>
      <c r="I206" s="367"/>
      <c r="J206" s="429"/>
      <c r="K206" s="367"/>
      <c r="L206" s="429"/>
      <c r="M206" s="429"/>
      <c r="N206" s="429"/>
      <c r="O206" s="429"/>
      <c r="P206" s="429"/>
      <c r="Q206" s="429"/>
      <c r="R206" s="428"/>
      <c r="S206" s="428"/>
      <c r="T206" s="17"/>
      <c r="U206" s="17"/>
      <c r="V206" s="17"/>
      <c r="W206" s="430"/>
      <c r="X206" s="260"/>
      <c r="Y206" s="367"/>
      <c r="Z206" s="431"/>
      <c r="AA206" s="17"/>
      <c r="AB206" s="17"/>
      <c r="AC206" s="17"/>
      <c r="AD206" s="17"/>
      <c r="AE206" s="17"/>
      <c r="AF206" s="17"/>
      <c r="AG206" s="17"/>
      <c r="AH206" s="17"/>
      <c r="AI206" s="17"/>
      <c r="AJ206" s="17"/>
      <c r="AK206" s="17"/>
      <c r="AL206" s="17"/>
      <c r="AM206" s="17"/>
      <c r="AN206" s="17"/>
      <c r="AO206" s="17"/>
      <c r="AP206" s="17"/>
      <c r="AQ206" s="17"/>
    </row>
    <row r="207" ht="15.75" customHeight="1">
      <c r="A207" s="367"/>
      <c r="B207" s="428"/>
      <c r="C207" s="429"/>
      <c r="D207" s="429"/>
      <c r="E207" s="429"/>
      <c r="F207" s="428"/>
      <c r="G207" s="428"/>
      <c r="H207" s="428"/>
      <c r="I207" s="367"/>
      <c r="J207" s="429"/>
      <c r="K207" s="367"/>
      <c r="L207" s="429"/>
      <c r="M207" s="429"/>
      <c r="N207" s="429"/>
      <c r="O207" s="429"/>
      <c r="P207" s="429"/>
      <c r="Q207" s="429"/>
      <c r="R207" s="428"/>
      <c r="S207" s="428"/>
      <c r="T207" s="17"/>
      <c r="U207" s="17"/>
      <c r="V207" s="17"/>
      <c r="W207" s="430"/>
      <c r="X207" s="260"/>
      <c r="Y207" s="367"/>
      <c r="Z207" s="431"/>
      <c r="AA207" s="17"/>
      <c r="AB207" s="17"/>
      <c r="AC207" s="17"/>
      <c r="AD207" s="17"/>
      <c r="AE207" s="17"/>
      <c r="AF207" s="17"/>
      <c r="AG207" s="17"/>
      <c r="AH207" s="17"/>
      <c r="AI207" s="17"/>
      <c r="AJ207" s="17"/>
      <c r="AK207" s="17"/>
      <c r="AL207" s="17"/>
      <c r="AM207" s="17"/>
      <c r="AN207" s="17"/>
      <c r="AO207" s="17"/>
      <c r="AP207" s="17"/>
      <c r="AQ207" s="17"/>
    </row>
    <row r="208" ht="15.75" customHeight="1">
      <c r="A208" s="367"/>
      <c r="B208" s="428"/>
      <c r="C208" s="429"/>
      <c r="D208" s="429"/>
      <c r="E208" s="429"/>
      <c r="F208" s="428"/>
      <c r="G208" s="428"/>
      <c r="H208" s="428"/>
      <c r="I208" s="367"/>
      <c r="J208" s="429"/>
      <c r="K208" s="367"/>
      <c r="L208" s="429"/>
      <c r="M208" s="429"/>
      <c r="N208" s="429"/>
      <c r="O208" s="429"/>
      <c r="P208" s="429"/>
      <c r="Q208" s="429"/>
      <c r="R208" s="428"/>
      <c r="S208" s="428"/>
      <c r="T208" s="17"/>
      <c r="U208" s="17"/>
      <c r="V208" s="17"/>
      <c r="W208" s="430"/>
      <c r="X208" s="260"/>
      <c r="Y208" s="367"/>
      <c r="Z208" s="431"/>
      <c r="AA208" s="17"/>
      <c r="AB208" s="17"/>
      <c r="AC208" s="17"/>
      <c r="AD208" s="17"/>
      <c r="AE208" s="17"/>
      <c r="AF208" s="17"/>
      <c r="AG208" s="17"/>
      <c r="AH208" s="17"/>
      <c r="AI208" s="17"/>
      <c r="AJ208" s="17"/>
      <c r="AK208" s="17"/>
      <c r="AL208" s="17"/>
      <c r="AM208" s="17"/>
      <c r="AN208" s="17"/>
      <c r="AO208" s="17"/>
      <c r="AP208" s="17"/>
      <c r="AQ208" s="17"/>
    </row>
    <row r="209" ht="15.75" customHeight="1">
      <c r="A209" s="367"/>
      <c r="B209" s="428"/>
      <c r="C209" s="429"/>
      <c r="D209" s="429"/>
      <c r="E209" s="429"/>
      <c r="F209" s="428"/>
      <c r="G209" s="428"/>
      <c r="H209" s="428"/>
      <c r="I209" s="367"/>
      <c r="J209" s="429"/>
      <c r="K209" s="367"/>
      <c r="L209" s="429"/>
      <c r="M209" s="429"/>
      <c r="N209" s="429"/>
      <c r="O209" s="429"/>
      <c r="P209" s="429"/>
      <c r="Q209" s="429"/>
      <c r="R209" s="428"/>
      <c r="S209" s="428"/>
      <c r="T209" s="17"/>
      <c r="U209" s="17"/>
      <c r="V209" s="17"/>
      <c r="W209" s="430"/>
      <c r="X209" s="260"/>
      <c r="Y209" s="367"/>
      <c r="Z209" s="431"/>
      <c r="AA209" s="17"/>
      <c r="AB209" s="17"/>
      <c r="AC209" s="17"/>
      <c r="AD209" s="17"/>
      <c r="AE209" s="17"/>
      <c r="AF209" s="17"/>
      <c r="AG209" s="17"/>
      <c r="AH209" s="17"/>
      <c r="AI209" s="17"/>
      <c r="AJ209" s="17"/>
      <c r="AK209" s="17"/>
      <c r="AL209" s="17"/>
      <c r="AM209" s="17"/>
      <c r="AN209" s="17"/>
      <c r="AO209" s="17"/>
      <c r="AP209" s="17"/>
      <c r="AQ209" s="17"/>
    </row>
    <row r="210" ht="15.75" customHeight="1">
      <c r="A210" s="367"/>
      <c r="B210" s="428"/>
      <c r="C210" s="429"/>
      <c r="D210" s="429"/>
      <c r="E210" s="429"/>
      <c r="F210" s="428"/>
      <c r="G210" s="428"/>
      <c r="H210" s="428"/>
      <c r="I210" s="367"/>
      <c r="J210" s="429"/>
      <c r="K210" s="367"/>
      <c r="L210" s="429"/>
      <c r="M210" s="429"/>
      <c r="N210" s="429"/>
      <c r="O210" s="429"/>
      <c r="P210" s="429"/>
      <c r="Q210" s="429"/>
      <c r="R210" s="428"/>
      <c r="S210" s="428"/>
      <c r="T210" s="17"/>
      <c r="U210" s="17"/>
      <c r="V210" s="17"/>
      <c r="W210" s="430"/>
      <c r="X210" s="260"/>
      <c r="Y210" s="367"/>
      <c r="Z210" s="431"/>
      <c r="AA210" s="17"/>
      <c r="AB210" s="17"/>
      <c r="AC210" s="17"/>
      <c r="AD210" s="17"/>
      <c r="AE210" s="17"/>
      <c r="AF210" s="17"/>
      <c r="AG210" s="17"/>
      <c r="AH210" s="17"/>
      <c r="AI210" s="17"/>
      <c r="AJ210" s="17"/>
      <c r="AK210" s="17"/>
      <c r="AL210" s="17"/>
      <c r="AM210" s="17"/>
      <c r="AN210" s="17"/>
      <c r="AO210" s="17"/>
      <c r="AP210" s="17"/>
      <c r="AQ210" s="17"/>
    </row>
    <row r="211" ht="15.75" customHeight="1">
      <c r="A211" s="367"/>
      <c r="B211" s="428"/>
      <c r="C211" s="429"/>
      <c r="D211" s="429"/>
      <c r="E211" s="429"/>
      <c r="F211" s="428"/>
      <c r="G211" s="428"/>
      <c r="H211" s="428"/>
      <c r="I211" s="367"/>
      <c r="J211" s="429"/>
      <c r="K211" s="367"/>
      <c r="L211" s="429"/>
      <c r="M211" s="429"/>
      <c r="N211" s="429"/>
      <c r="O211" s="429"/>
      <c r="P211" s="429"/>
      <c r="Q211" s="429"/>
      <c r="R211" s="428"/>
      <c r="S211" s="428"/>
      <c r="T211" s="17"/>
      <c r="U211" s="17"/>
      <c r="V211" s="17"/>
      <c r="W211" s="430"/>
      <c r="X211" s="260"/>
      <c r="Y211" s="367"/>
      <c r="Z211" s="431"/>
      <c r="AA211" s="17"/>
      <c r="AB211" s="17"/>
      <c r="AC211" s="17"/>
      <c r="AD211" s="17"/>
      <c r="AE211" s="17"/>
      <c r="AF211" s="17"/>
      <c r="AG211" s="17"/>
      <c r="AH211" s="17"/>
      <c r="AI211" s="17"/>
      <c r="AJ211" s="17"/>
      <c r="AK211" s="17"/>
      <c r="AL211" s="17"/>
      <c r="AM211" s="17"/>
      <c r="AN211" s="17"/>
      <c r="AO211" s="17"/>
      <c r="AP211" s="17"/>
      <c r="AQ211" s="17"/>
    </row>
    <row r="212" ht="15.75" customHeight="1">
      <c r="A212" s="367"/>
      <c r="B212" s="428"/>
      <c r="C212" s="429"/>
      <c r="D212" s="429"/>
      <c r="E212" s="429"/>
      <c r="F212" s="428"/>
      <c r="G212" s="428"/>
      <c r="H212" s="428"/>
      <c r="I212" s="367"/>
      <c r="J212" s="429"/>
      <c r="K212" s="367"/>
      <c r="L212" s="429"/>
      <c r="M212" s="429"/>
      <c r="N212" s="429"/>
      <c r="O212" s="429"/>
      <c r="P212" s="429"/>
      <c r="Q212" s="429"/>
      <c r="R212" s="428"/>
      <c r="S212" s="428"/>
      <c r="T212" s="17"/>
      <c r="U212" s="17"/>
      <c r="V212" s="17"/>
      <c r="W212" s="430"/>
      <c r="X212" s="260"/>
      <c r="Y212" s="367"/>
      <c r="Z212" s="431"/>
      <c r="AA212" s="17"/>
      <c r="AB212" s="17"/>
      <c r="AC212" s="17"/>
      <c r="AD212" s="17"/>
      <c r="AE212" s="17"/>
      <c r="AF212" s="17"/>
      <c r="AG212" s="17"/>
      <c r="AH212" s="17"/>
      <c r="AI212" s="17"/>
      <c r="AJ212" s="17"/>
      <c r="AK212" s="17"/>
      <c r="AL212" s="17"/>
      <c r="AM212" s="17"/>
      <c r="AN212" s="17"/>
      <c r="AO212" s="17"/>
      <c r="AP212" s="17"/>
      <c r="AQ212" s="17"/>
    </row>
    <row r="213" ht="15.75" customHeight="1">
      <c r="A213" s="367"/>
      <c r="B213" s="428"/>
      <c r="C213" s="429"/>
      <c r="D213" s="429"/>
      <c r="E213" s="429"/>
      <c r="F213" s="428"/>
      <c r="G213" s="428"/>
      <c r="H213" s="428"/>
      <c r="I213" s="367"/>
      <c r="J213" s="429"/>
      <c r="K213" s="367"/>
      <c r="L213" s="429"/>
      <c r="M213" s="429"/>
      <c r="N213" s="429"/>
      <c r="O213" s="429"/>
      <c r="P213" s="429"/>
      <c r="Q213" s="429"/>
      <c r="R213" s="428"/>
      <c r="S213" s="428"/>
      <c r="T213" s="17"/>
      <c r="U213" s="17"/>
      <c r="V213" s="17"/>
      <c r="W213" s="430"/>
      <c r="X213" s="260"/>
      <c r="Y213" s="367"/>
      <c r="Z213" s="431"/>
      <c r="AA213" s="17"/>
      <c r="AB213" s="17"/>
      <c r="AC213" s="17"/>
      <c r="AD213" s="17"/>
      <c r="AE213" s="17"/>
      <c r="AF213" s="17"/>
      <c r="AG213" s="17"/>
      <c r="AH213" s="17"/>
      <c r="AI213" s="17"/>
      <c r="AJ213" s="17"/>
      <c r="AK213" s="17"/>
      <c r="AL213" s="17"/>
      <c r="AM213" s="17"/>
      <c r="AN213" s="17"/>
      <c r="AO213" s="17"/>
      <c r="AP213" s="17"/>
      <c r="AQ213" s="17"/>
    </row>
    <row r="214" ht="15.75" customHeight="1">
      <c r="A214" s="367"/>
      <c r="B214" s="428"/>
      <c r="C214" s="429"/>
      <c r="D214" s="429"/>
      <c r="E214" s="429"/>
      <c r="F214" s="428"/>
      <c r="G214" s="428"/>
      <c r="H214" s="428"/>
      <c r="I214" s="367"/>
      <c r="J214" s="429"/>
      <c r="K214" s="367"/>
      <c r="L214" s="429"/>
      <c r="M214" s="429"/>
      <c r="N214" s="429"/>
      <c r="O214" s="429"/>
      <c r="P214" s="429"/>
      <c r="Q214" s="429"/>
      <c r="R214" s="428"/>
      <c r="S214" s="428"/>
      <c r="T214" s="17"/>
      <c r="U214" s="17"/>
      <c r="V214" s="17"/>
      <c r="W214" s="430"/>
      <c r="X214" s="260"/>
      <c r="Y214" s="367"/>
      <c r="Z214" s="431"/>
      <c r="AA214" s="17"/>
      <c r="AB214" s="17"/>
      <c r="AC214" s="17"/>
      <c r="AD214" s="17"/>
      <c r="AE214" s="17"/>
      <c r="AF214" s="17"/>
      <c r="AG214" s="17"/>
      <c r="AH214" s="17"/>
      <c r="AI214" s="17"/>
      <c r="AJ214" s="17"/>
      <c r="AK214" s="17"/>
      <c r="AL214" s="17"/>
      <c r="AM214" s="17"/>
      <c r="AN214" s="17"/>
      <c r="AO214" s="17"/>
      <c r="AP214" s="17"/>
      <c r="AQ214" s="17"/>
    </row>
    <row r="215" ht="15.75" customHeight="1">
      <c r="A215" s="367"/>
      <c r="B215" s="428"/>
      <c r="C215" s="429"/>
      <c r="D215" s="429"/>
      <c r="E215" s="429"/>
      <c r="F215" s="428"/>
      <c r="G215" s="428"/>
      <c r="H215" s="428"/>
      <c r="I215" s="367"/>
      <c r="J215" s="429"/>
      <c r="K215" s="367"/>
      <c r="L215" s="429"/>
      <c r="M215" s="429"/>
      <c r="N215" s="429"/>
      <c r="O215" s="429"/>
      <c r="P215" s="429"/>
      <c r="Q215" s="429"/>
      <c r="R215" s="428"/>
      <c r="S215" s="428"/>
      <c r="T215" s="17"/>
      <c r="U215" s="17"/>
      <c r="V215" s="17"/>
      <c r="W215" s="430"/>
      <c r="X215" s="260"/>
      <c r="Y215" s="367"/>
      <c r="Z215" s="431"/>
      <c r="AA215" s="17"/>
      <c r="AB215" s="17"/>
      <c r="AC215" s="17"/>
      <c r="AD215" s="17"/>
      <c r="AE215" s="17"/>
      <c r="AF215" s="17"/>
      <c r="AG215" s="17"/>
      <c r="AH215" s="17"/>
      <c r="AI215" s="17"/>
      <c r="AJ215" s="17"/>
      <c r="AK215" s="17"/>
      <c r="AL215" s="17"/>
      <c r="AM215" s="17"/>
      <c r="AN215" s="17"/>
      <c r="AO215" s="17"/>
      <c r="AP215" s="17"/>
      <c r="AQ215" s="17"/>
    </row>
    <row r="216" ht="15.75" customHeight="1">
      <c r="A216" s="367"/>
      <c r="B216" s="428"/>
      <c r="C216" s="429"/>
      <c r="D216" s="429"/>
      <c r="E216" s="429"/>
      <c r="F216" s="428"/>
      <c r="G216" s="428"/>
      <c r="H216" s="428"/>
      <c r="I216" s="367"/>
      <c r="J216" s="429"/>
      <c r="K216" s="367"/>
      <c r="L216" s="429"/>
      <c r="M216" s="429"/>
      <c r="N216" s="429"/>
      <c r="O216" s="429"/>
      <c r="P216" s="429"/>
      <c r="Q216" s="429"/>
      <c r="R216" s="428"/>
      <c r="S216" s="428"/>
      <c r="T216" s="17"/>
      <c r="U216" s="17"/>
      <c r="V216" s="17"/>
      <c r="W216" s="430"/>
      <c r="X216" s="260"/>
      <c r="Y216" s="367"/>
      <c r="Z216" s="431"/>
      <c r="AA216" s="17"/>
      <c r="AB216" s="17"/>
      <c r="AC216" s="17"/>
      <c r="AD216" s="17"/>
      <c r="AE216" s="17"/>
      <c r="AF216" s="17"/>
      <c r="AG216" s="17"/>
      <c r="AH216" s="17"/>
      <c r="AI216" s="17"/>
      <c r="AJ216" s="17"/>
      <c r="AK216" s="17"/>
      <c r="AL216" s="17"/>
      <c r="AM216" s="17"/>
      <c r="AN216" s="17"/>
      <c r="AO216" s="17"/>
      <c r="AP216" s="17"/>
      <c r="AQ216" s="17"/>
    </row>
    <row r="217" ht="15.75" customHeight="1">
      <c r="A217" s="367"/>
      <c r="B217" s="428"/>
      <c r="C217" s="429"/>
      <c r="D217" s="429"/>
      <c r="E217" s="429"/>
      <c r="F217" s="428"/>
      <c r="G217" s="428"/>
      <c r="H217" s="428"/>
      <c r="I217" s="367"/>
      <c r="J217" s="429"/>
      <c r="K217" s="367"/>
      <c r="L217" s="429"/>
      <c r="M217" s="429"/>
      <c r="N217" s="429"/>
      <c r="O217" s="429"/>
      <c r="P217" s="429"/>
      <c r="Q217" s="429"/>
      <c r="R217" s="428"/>
      <c r="S217" s="428"/>
      <c r="T217" s="17"/>
      <c r="U217" s="17"/>
      <c r="V217" s="17"/>
      <c r="W217" s="430"/>
      <c r="X217" s="260"/>
      <c r="Y217" s="367"/>
      <c r="Z217" s="431"/>
      <c r="AA217" s="17"/>
      <c r="AB217" s="17"/>
      <c r="AC217" s="17"/>
      <c r="AD217" s="17"/>
      <c r="AE217" s="17"/>
      <c r="AF217" s="17"/>
      <c r="AG217" s="17"/>
      <c r="AH217" s="17"/>
      <c r="AI217" s="17"/>
      <c r="AJ217" s="17"/>
      <c r="AK217" s="17"/>
      <c r="AL217" s="17"/>
      <c r="AM217" s="17"/>
      <c r="AN217" s="17"/>
      <c r="AO217" s="17"/>
      <c r="AP217" s="17"/>
      <c r="AQ217" s="17"/>
    </row>
    <row r="218" ht="15.75" customHeight="1">
      <c r="A218" s="367"/>
      <c r="B218" s="428"/>
      <c r="C218" s="429"/>
      <c r="D218" s="429"/>
      <c r="E218" s="429"/>
      <c r="F218" s="428"/>
      <c r="G218" s="428"/>
      <c r="H218" s="428"/>
      <c r="I218" s="367"/>
      <c r="J218" s="429"/>
      <c r="K218" s="367"/>
      <c r="L218" s="429"/>
      <c r="M218" s="429"/>
      <c r="N218" s="429"/>
      <c r="O218" s="429"/>
      <c r="P218" s="429"/>
      <c r="Q218" s="429"/>
      <c r="R218" s="428"/>
      <c r="S218" s="428"/>
      <c r="T218" s="17"/>
      <c r="U218" s="17"/>
      <c r="V218" s="17"/>
      <c r="W218" s="430"/>
      <c r="X218" s="260"/>
      <c r="Y218" s="367"/>
      <c r="Z218" s="431"/>
      <c r="AA218" s="17"/>
      <c r="AB218" s="17"/>
      <c r="AC218" s="17"/>
      <c r="AD218" s="17"/>
      <c r="AE218" s="17"/>
      <c r="AF218" s="17"/>
      <c r="AG218" s="17"/>
      <c r="AH218" s="17"/>
      <c r="AI218" s="17"/>
      <c r="AJ218" s="17"/>
      <c r="AK218" s="17"/>
      <c r="AL218" s="17"/>
      <c r="AM218" s="17"/>
      <c r="AN218" s="17"/>
      <c r="AO218" s="17"/>
      <c r="AP218" s="17"/>
      <c r="AQ218" s="17"/>
    </row>
    <row r="219" ht="15.75" customHeight="1">
      <c r="A219" s="367"/>
      <c r="B219" s="428"/>
      <c r="C219" s="429"/>
      <c r="D219" s="429"/>
      <c r="E219" s="429"/>
      <c r="F219" s="428"/>
      <c r="G219" s="428"/>
      <c r="H219" s="428"/>
      <c r="I219" s="367"/>
      <c r="J219" s="429"/>
      <c r="K219" s="367"/>
      <c r="L219" s="429"/>
      <c r="M219" s="429"/>
      <c r="N219" s="429"/>
      <c r="O219" s="429"/>
      <c r="P219" s="429"/>
      <c r="Q219" s="429"/>
      <c r="R219" s="428"/>
      <c r="S219" s="428"/>
      <c r="T219" s="17"/>
      <c r="U219" s="17"/>
      <c r="V219" s="17"/>
      <c r="W219" s="430"/>
      <c r="X219" s="260"/>
      <c r="Y219" s="367"/>
      <c r="Z219" s="431"/>
      <c r="AA219" s="17"/>
      <c r="AB219" s="17"/>
      <c r="AC219" s="17"/>
      <c r="AD219" s="17"/>
      <c r="AE219" s="17"/>
      <c r="AF219" s="17"/>
      <c r="AG219" s="17"/>
      <c r="AH219" s="17"/>
      <c r="AI219" s="17"/>
      <c r="AJ219" s="17"/>
      <c r="AK219" s="17"/>
      <c r="AL219" s="17"/>
      <c r="AM219" s="17"/>
      <c r="AN219" s="17"/>
      <c r="AO219" s="17"/>
      <c r="AP219" s="17"/>
      <c r="AQ219" s="17"/>
    </row>
    <row r="220" ht="15.75" customHeight="1">
      <c r="A220" s="367"/>
      <c r="B220" s="428"/>
      <c r="C220" s="429"/>
      <c r="D220" s="429"/>
      <c r="E220" s="429"/>
      <c r="F220" s="428"/>
      <c r="G220" s="428"/>
      <c r="H220" s="428"/>
      <c r="I220" s="367"/>
      <c r="J220" s="429"/>
      <c r="K220" s="367"/>
      <c r="L220" s="429"/>
      <c r="M220" s="429"/>
      <c r="N220" s="429"/>
      <c r="O220" s="429"/>
      <c r="P220" s="429"/>
      <c r="Q220" s="429"/>
      <c r="R220" s="428"/>
      <c r="S220" s="428"/>
      <c r="T220" s="17"/>
      <c r="U220" s="17"/>
      <c r="V220" s="17"/>
      <c r="W220" s="430"/>
      <c r="X220" s="260"/>
      <c r="Y220" s="367"/>
      <c r="Z220" s="431"/>
      <c r="AA220" s="17"/>
      <c r="AB220" s="17"/>
      <c r="AC220" s="17"/>
      <c r="AD220" s="17"/>
      <c r="AE220" s="17"/>
      <c r="AF220" s="17"/>
      <c r="AG220" s="17"/>
      <c r="AH220" s="17"/>
      <c r="AI220" s="17"/>
      <c r="AJ220" s="17"/>
      <c r="AK220" s="17"/>
      <c r="AL220" s="17"/>
      <c r="AM220" s="17"/>
      <c r="AN220" s="17"/>
      <c r="AO220" s="17"/>
      <c r="AP220" s="17"/>
      <c r="AQ220" s="17"/>
    </row>
    <row r="221" ht="15.75" customHeight="1">
      <c r="A221" s="367"/>
      <c r="B221" s="428"/>
      <c r="C221" s="429"/>
      <c r="D221" s="429"/>
      <c r="E221" s="429"/>
      <c r="F221" s="428"/>
      <c r="G221" s="428"/>
      <c r="H221" s="428"/>
      <c r="I221" s="367"/>
      <c r="J221" s="429"/>
      <c r="K221" s="367"/>
      <c r="L221" s="429"/>
      <c r="M221" s="429"/>
      <c r="N221" s="429"/>
      <c r="O221" s="429"/>
      <c r="P221" s="429"/>
      <c r="Q221" s="429"/>
      <c r="R221" s="428"/>
      <c r="S221" s="428"/>
      <c r="T221" s="17"/>
      <c r="U221" s="17"/>
      <c r="V221" s="17"/>
      <c r="W221" s="430"/>
      <c r="X221" s="260"/>
      <c r="Y221" s="367"/>
      <c r="Z221" s="431"/>
      <c r="AA221" s="17"/>
      <c r="AB221" s="17"/>
      <c r="AC221" s="17"/>
      <c r="AD221" s="17"/>
      <c r="AE221" s="17"/>
      <c r="AF221" s="17"/>
      <c r="AG221" s="17"/>
      <c r="AH221" s="17"/>
      <c r="AI221" s="17"/>
      <c r="AJ221" s="17"/>
      <c r="AK221" s="17"/>
      <c r="AL221" s="17"/>
      <c r="AM221" s="17"/>
      <c r="AN221" s="17"/>
      <c r="AO221" s="17"/>
      <c r="AP221" s="17"/>
      <c r="AQ221" s="17"/>
    </row>
    <row r="222" ht="15.75" customHeight="1">
      <c r="A222" s="367"/>
      <c r="B222" s="428"/>
      <c r="C222" s="429"/>
      <c r="D222" s="429"/>
      <c r="E222" s="429"/>
      <c r="F222" s="428"/>
      <c r="G222" s="428"/>
      <c r="H222" s="428"/>
      <c r="I222" s="367"/>
      <c r="J222" s="429"/>
      <c r="K222" s="367"/>
      <c r="L222" s="429"/>
      <c r="M222" s="429"/>
      <c r="N222" s="429"/>
      <c r="O222" s="429"/>
      <c r="P222" s="429"/>
      <c r="Q222" s="429"/>
      <c r="R222" s="428"/>
      <c r="S222" s="428"/>
      <c r="T222" s="17"/>
      <c r="U222" s="17"/>
      <c r="V222" s="17"/>
      <c r="W222" s="430"/>
      <c r="X222" s="260"/>
      <c r="Y222" s="367"/>
      <c r="Z222" s="431"/>
      <c r="AA222" s="17"/>
      <c r="AB222" s="17"/>
      <c r="AC222" s="17"/>
      <c r="AD222" s="17"/>
      <c r="AE222" s="17"/>
      <c r="AF222" s="17"/>
      <c r="AG222" s="17"/>
      <c r="AH222" s="17"/>
      <c r="AI222" s="17"/>
      <c r="AJ222" s="17"/>
      <c r="AK222" s="17"/>
      <c r="AL222" s="17"/>
      <c r="AM222" s="17"/>
      <c r="AN222" s="17"/>
      <c r="AO222" s="17"/>
      <c r="AP222" s="17"/>
      <c r="AQ222" s="17"/>
    </row>
    <row r="223" ht="15.75" customHeight="1">
      <c r="A223" s="367"/>
      <c r="B223" s="428"/>
      <c r="C223" s="429"/>
      <c r="D223" s="429"/>
      <c r="E223" s="429"/>
      <c r="F223" s="428"/>
      <c r="G223" s="428"/>
      <c r="H223" s="428"/>
      <c r="I223" s="367"/>
      <c r="J223" s="429"/>
      <c r="K223" s="367"/>
      <c r="L223" s="429"/>
      <c r="M223" s="429"/>
      <c r="N223" s="429"/>
      <c r="O223" s="429"/>
      <c r="P223" s="429"/>
      <c r="Q223" s="429"/>
      <c r="R223" s="428"/>
      <c r="S223" s="428"/>
      <c r="T223" s="17"/>
      <c r="U223" s="17"/>
      <c r="V223" s="17"/>
      <c r="W223" s="430"/>
      <c r="X223" s="260"/>
      <c r="Y223" s="367"/>
      <c r="Z223" s="431"/>
      <c r="AA223" s="17"/>
      <c r="AB223" s="17"/>
      <c r="AC223" s="17"/>
      <c r="AD223" s="17"/>
      <c r="AE223" s="17"/>
      <c r="AF223" s="17"/>
      <c r="AG223" s="17"/>
      <c r="AH223" s="17"/>
      <c r="AI223" s="17"/>
      <c r="AJ223" s="17"/>
      <c r="AK223" s="17"/>
      <c r="AL223" s="17"/>
      <c r="AM223" s="17"/>
      <c r="AN223" s="17"/>
      <c r="AO223" s="17"/>
      <c r="AP223" s="17"/>
      <c r="AQ223" s="17"/>
    </row>
    <row r="224" ht="15.75" customHeight="1">
      <c r="A224" s="367"/>
      <c r="B224" s="428"/>
      <c r="C224" s="429"/>
      <c r="D224" s="429"/>
      <c r="E224" s="429"/>
      <c r="F224" s="428"/>
      <c r="G224" s="428"/>
      <c r="H224" s="428"/>
      <c r="I224" s="367"/>
      <c r="J224" s="429"/>
      <c r="K224" s="367"/>
      <c r="L224" s="429"/>
      <c r="M224" s="429"/>
      <c r="N224" s="429"/>
      <c r="O224" s="429"/>
      <c r="P224" s="429"/>
      <c r="Q224" s="429"/>
      <c r="R224" s="428"/>
      <c r="S224" s="428"/>
      <c r="T224" s="17"/>
      <c r="U224" s="17"/>
      <c r="V224" s="17"/>
      <c r="W224" s="430"/>
      <c r="X224" s="260"/>
      <c r="Y224" s="367"/>
      <c r="Z224" s="431"/>
      <c r="AA224" s="17"/>
      <c r="AB224" s="17"/>
      <c r="AC224" s="17"/>
      <c r="AD224" s="17"/>
      <c r="AE224" s="17"/>
      <c r="AF224" s="17"/>
      <c r="AG224" s="17"/>
      <c r="AH224" s="17"/>
      <c r="AI224" s="17"/>
      <c r="AJ224" s="17"/>
      <c r="AK224" s="17"/>
      <c r="AL224" s="17"/>
      <c r="AM224" s="17"/>
      <c r="AN224" s="17"/>
      <c r="AO224" s="17"/>
      <c r="AP224" s="17"/>
      <c r="AQ224" s="17"/>
    </row>
    <row r="225" ht="15.75" customHeight="1">
      <c r="A225" s="367"/>
      <c r="B225" s="428"/>
      <c r="C225" s="429"/>
      <c r="D225" s="429"/>
      <c r="E225" s="429"/>
      <c r="F225" s="428"/>
      <c r="G225" s="428"/>
      <c r="H225" s="428"/>
      <c r="I225" s="367"/>
      <c r="J225" s="429"/>
      <c r="K225" s="367"/>
      <c r="L225" s="429"/>
      <c r="M225" s="429"/>
      <c r="N225" s="429"/>
      <c r="O225" s="429"/>
      <c r="P225" s="429"/>
      <c r="Q225" s="429"/>
      <c r="R225" s="428"/>
      <c r="S225" s="428"/>
      <c r="T225" s="17"/>
      <c r="U225" s="17"/>
      <c r="V225" s="17"/>
      <c r="W225" s="430"/>
      <c r="X225" s="260"/>
      <c r="Y225" s="367"/>
      <c r="Z225" s="431"/>
      <c r="AA225" s="17"/>
      <c r="AB225" s="17"/>
      <c r="AC225" s="17"/>
      <c r="AD225" s="17"/>
      <c r="AE225" s="17"/>
      <c r="AF225" s="17"/>
      <c r="AG225" s="17"/>
      <c r="AH225" s="17"/>
      <c r="AI225" s="17"/>
      <c r="AJ225" s="17"/>
      <c r="AK225" s="17"/>
      <c r="AL225" s="17"/>
      <c r="AM225" s="17"/>
      <c r="AN225" s="17"/>
      <c r="AO225" s="17"/>
      <c r="AP225" s="17"/>
      <c r="AQ225" s="17"/>
    </row>
    <row r="226" ht="15.75" customHeight="1">
      <c r="A226" s="367"/>
      <c r="B226" s="428"/>
      <c r="C226" s="429"/>
      <c r="D226" s="429"/>
      <c r="E226" s="429"/>
      <c r="F226" s="428"/>
      <c r="G226" s="428"/>
      <c r="H226" s="428"/>
      <c r="I226" s="367"/>
      <c r="J226" s="429"/>
      <c r="K226" s="367"/>
      <c r="L226" s="429"/>
      <c r="M226" s="429"/>
      <c r="N226" s="429"/>
      <c r="O226" s="429"/>
      <c r="P226" s="429"/>
      <c r="Q226" s="429"/>
      <c r="R226" s="428"/>
      <c r="S226" s="428"/>
      <c r="T226" s="17"/>
      <c r="U226" s="17"/>
      <c r="V226" s="17"/>
      <c r="W226" s="430"/>
      <c r="X226" s="260"/>
      <c r="Y226" s="367"/>
      <c r="Z226" s="431"/>
      <c r="AA226" s="17"/>
      <c r="AB226" s="17"/>
      <c r="AC226" s="17"/>
      <c r="AD226" s="17"/>
      <c r="AE226" s="17"/>
      <c r="AF226" s="17"/>
      <c r="AG226" s="17"/>
      <c r="AH226" s="17"/>
      <c r="AI226" s="17"/>
      <c r="AJ226" s="17"/>
      <c r="AK226" s="17"/>
      <c r="AL226" s="17"/>
      <c r="AM226" s="17"/>
      <c r="AN226" s="17"/>
      <c r="AO226" s="17"/>
      <c r="AP226" s="17"/>
      <c r="AQ226" s="17"/>
    </row>
    <row r="227" ht="15.75" customHeight="1">
      <c r="A227" s="367"/>
      <c r="B227" s="428"/>
      <c r="C227" s="429"/>
      <c r="D227" s="429"/>
      <c r="E227" s="429"/>
      <c r="F227" s="428"/>
      <c r="G227" s="428"/>
      <c r="H227" s="428"/>
      <c r="I227" s="367"/>
      <c r="J227" s="429"/>
      <c r="K227" s="367"/>
      <c r="L227" s="429"/>
      <c r="M227" s="429"/>
      <c r="N227" s="429"/>
      <c r="O227" s="429"/>
      <c r="P227" s="429"/>
      <c r="Q227" s="429"/>
      <c r="R227" s="428"/>
      <c r="S227" s="428"/>
      <c r="T227" s="17"/>
      <c r="U227" s="17"/>
      <c r="V227" s="17"/>
      <c r="W227" s="430"/>
      <c r="X227" s="260"/>
      <c r="Y227" s="367"/>
      <c r="Z227" s="431"/>
      <c r="AA227" s="17"/>
      <c r="AB227" s="17"/>
      <c r="AC227" s="17"/>
      <c r="AD227" s="17"/>
      <c r="AE227" s="17"/>
      <c r="AF227" s="17"/>
      <c r="AG227" s="17"/>
      <c r="AH227" s="17"/>
      <c r="AI227" s="17"/>
      <c r="AJ227" s="17"/>
      <c r="AK227" s="17"/>
      <c r="AL227" s="17"/>
      <c r="AM227" s="17"/>
      <c r="AN227" s="17"/>
      <c r="AO227" s="17"/>
      <c r="AP227" s="17"/>
      <c r="AQ227" s="17"/>
    </row>
    <row r="228" ht="15.75" customHeight="1">
      <c r="A228" s="367"/>
      <c r="B228" s="428"/>
      <c r="C228" s="429"/>
      <c r="D228" s="429"/>
      <c r="E228" s="429"/>
      <c r="F228" s="428"/>
      <c r="G228" s="428"/>
      <c r="H228" s="428"/>
      <c r="I228" s="367"/>
      <c r="J228" s="429"/>
      <c r="K228" s="367"/>
      <c r="L228" s="429"/>
      <c r="M228" s="429"/>
      <c r="N228" s="429"/>
      <c r="O228" s="429"/>
      <c r="P228" s="429"/>
      <c r="Q228" s="429"/>
      <c r="R228" s="428"/>
      <c r="S228" s="428"/>
      <c r="T228" s="17"/>
      <c r="U228" s="17"/>
      <c r="V228" s="17"/>
      <c r="W228" s="430"/>
      <c r="X228" s="260"/>
      <c r="Y228" s="367"/>
      <c r="Z228" s="431"/>
      <c r="AA228" s="17"/>
      <c r="AB228" s="17"/>
      <c r="AC228" s="17"/>
      <c r="AD228" s="17"/>
      <c r="AE228" s="17"/>
      <c r="AF228" s="17"/>
      <c r="AG228" s="17"/>
      <c r="AH228" s="17"/>
      <c r="AI228" s="17"/>
      <c r="AJ228" s="17"/>
      <c r="AK228" s="17"/>
      <c r="AL228" s="17"/>
      <c r="AM228" s="17"/>
      <c r="AN228" s="17"/>
      <c r="AO228" s="17"/>
      <c r="AP228" s="17"/>
      <c r="AQ228" s="17"/>
    </row>
    <row r="229" ht="15.75" customHeight="1">
      <c r="A229" s="367"/>
      <c r="B229" s="428"/>
      <c r="C229" s="429"/>
      <c r="D229" s="429"/>
      <c r="E229" s="429"/>
      <c r="F229" s="428"/>
      <c r="G229" s="428"/>
      <c r="H229" s="428"/>
      <c r="I229" s="367"/>
      <c r="J229" s="429"/>
      <c r="K229" s="367"/>
      <c r="L229" s="429"/>
      <c r="M229" s="429"/>
      <c r="N229" s="429"/>
      <c r="O229" s="429"/>
      <c r="P229" s="429"/>
      <c r="Q229" s="429"/>
      <c r="R229" s="428"/>
      <c r="S229" s="428"/>
      <c r="T229" s="17"/>
      <c r="U229" s="17"/>
      <c r="V229" s="17"/>
      <c r="W229" s="430"/>
      <c r="X229" s="260"/>
      <c r="Y229" s="367"/>
      <c r="Z229" s="431"/>
      <c r="AA229" s="17"/>
      <c r="AB229" s="17"/>
      <c r="AC229" s="17"/>
      <c r="AD229" s="17"/>
      <c r="AE229" s="17"/>
      <c r="AF229" s="17"/>
      <c r="AG229" s="17"/>
      <c r="AH229" s="17"/>
      <c r="AI229" s="17"/>
      <c r="AJ229" s="17"/>
      <c r="AK229" s="17"/>
      <c r="AL229" s="17"/>
      <c r="AM229" s="17"/>
      <c r="AN229" s="17"/>
      <c r="AO229" s="17"/>
      <c r="AP229" s="17"/>
      <c r="AQ229" s="17"/>
    </row>
    <row r="230" ht="15.75" customHeight="1">
      <c r="A230" s="367"/>
      <c r="B230" s="428"/>
      <c r="C230" s="429"/>
      <c r="D230" s="429"/>
      <c r="E230" s="429"/>
      <c r="F230" s="428"/>
      <c r="G230" s="428"/>
      <c r="H230" s="428"/>
      <c r="I230" s="367"/>
      <c r="J230" s="429"/>
      <c r="K230" s="367"/>
      <c r="L230" s="429"/>
      <c r="M230" s="429"/>
      <c r="N230" s="429"/>
      <c r="O230" s="429"/>
      <c r="P230" s="429"/>
      <c r="Q230" s="429"/>
      <c r="R230" s="428"/>
      <c r="S230" s="428"/>
      <c r="T230" s="17"/>
      <c r="U230" s="17"/>
      <c r="V230" s="17"/>
      <c r="W230" s="430"/>
      <c r="X230" s="260"/>
      <c r="Y230" s="367"/>
      <c r="Z230" s="431"/>
      <c r="AA230" s="17"/>
      <c r="AB230" s="17"/>
      <c r="AC230" s="17"/>
      <c r="AD230" s="17"/>
      <c r="AE230" s="17"/>
      <c r="AF230" s="17"/>
      <c r="AG230" s="17"/>
      <c r="AH230" s="17"/>
      <c r="AI230" s="17"/>
      <c r="AJ230" s="17"/>
      <c r="AK230" s="17"/>
      <c r="AL230" s="17"/>
      <c r="AM230" s="17"/>
      <c r="AN230" s="17"/>
      <c r="AO230" s="17"/>
      <c r="AP230" s="17"/>
      <c r="AQ230" s="17"/>
    </row>
    <row r="231" ht="15.75" customHeight="1">
      <c r="A231" s="367"/>
      <c r="B231" s="428"/>
      <c r="C231" s="429"/>
      <c r="D231" s="429"/>
      <c r="E231" s="429"/>
      <c r="F231" s="428"/>
      <c r="G231" s="428"/>
      <c r="H231" s="428"/>
      <c r="I231" s="367"/>
      <c r="J231" s="429"/>
      <c r="K231" s="367"/>
      <c r="L231" s="429"/>
      <c r="M231" s="429"/>
      <c r="N231" s="429"/>
      <c r="O231" s="429"/>
      <c r="P231" s="429"/>
      <c r="Q231" s="429"/>
      <c r="R231" s="428"/>
      <c r="S231" s="428"/>
      <c r="T231" s="17"/>
      <c r="U231" s="17"/>
      <c r="V231" s="17"/>
      <c r="W231" s="430"/>
      <c r="X231" s="260"/>
      <c r="Y231" s="367"/>
      <c r="Z231" s="431"/>
      <c r="AA231" s="17"/>
      <c r="AB231" s="17"/>
      <c r="AC231" s="17"/>
      <c r="AD231" s="17"/>
      <c r="AE231" s="17"/>
      <c r="AF231" s="17"/>
      <c r="AG231" s="17"/>
      <c r="AH231" s="17"/>
      <c r="AI231" s="17"/>
      <c r="AJ231" s="17"/>
      <c r="AK231" s="17"/>
      <c r="AL231" s="17"/>
      <c r="AM231" s="17"/>
      <c r="AN231" s="17"/>
      <c r="AO231" s="17"/>
      <c r="AP231" s="17"/>
      <c r="AQ231" s="17"/>
    </row>
    <row r="232" ht="15.75" customHeight="1">
      <c r="A232" s="367"/>
      <c r="B232" s="428"/>
      <c r="C232" s="429"/>
      <c r="D232" s="429"/>
      <c r="E232" s="429"/>
      <c r="F232" s="428"/>
      <c r="G232" s="428"/>
      <c r="H232" s="428"/>
      <c r="I232" s="367"/>
      <c r="J232" s="429"/>
      <c r="K232" s="367"/>
      <c r="L232" s="429"/>
      <c r="M232" s="429"/>
      <c r="N232" s="429"/>
      <c r="O232" s="429"/>
      <c r="P232" s="429"/>
      <c r="Q232" s="429"/>
      <c r="R232" s="428"/>
      <c r="S232" s="428"/>
      <c r="T232" s="17"/>
      <c r="U232" s="17"/>
      <c r="V232" s="17"/>
      <c r="W232" s="430"/>
      <c r="X232" s="260"/>
      <c r="Y232" s="367"/>
      <c r="Z232" s="431"/>
      <c r="AA232" s="17"/>
      <c r="AB232" s="17"/>
      <c r="AC232" s="17"/>
      <c r="AD232" s="17"/>
      <c r="AE232" s="17"/>
      <c r="AF232" s="17"/>
      <c r="AG232" s="17"/>
      <c r="AH232" s="17"/>
      <c r="AI232" s="17"/>
      <c r="AJ232" s="17"/>
      <c r="AK232" s="17"/>
      <c r="AL232" s="17"/>
      <c r="AM232" s="17"/>
      <c r="AN232" s="17"/>
      <c r="AO232" s="17"/>
      <c r="AP232" s="17"/>
      <c r="AQ232" s="17"/>
    </row>
    <row r="233" ht="15.75" customHeight="1">
      <c r="A233" s="367"/>
      <c r="B233" s="428"/>
      <c r="C233" s="429"/>
      <c r="D233" s="429"/>
      <c r="E233" s="429"/>
      <c r="F233" s="428"/>
      <c r="G233" s="428"/>
      <c r="H233" s="428"/>
      <c r="I233" s="367"/>
      <c r="J233" s="429"/>
      <c r="K233" s="367"/>
      <c r="L233" s="429"/>
      <c r="M233" s="429"/>
      <c r="N233" s="429"/>
      <c r="O233" s="429"/>
      <c r="P233" s="429"/>
      <c r="Q233" s="429"/>
      <c r="R233" s="428"/>
      <c r="S233" s="428"/>
      <c r="T233" s="17"/>
      <c r="U233" s="17"/>
      <c r="V233" s="17"/>
      <c r="W233" s="430"/>
      <c r="X233" s="260"/>
      <c r="Y233" s="367"/>
      <c r="Z233" s="431"/>
      <c r="AA233" s="17"/>
      <c r="AB233" s="17"/>
      <c r="AC233" s="17"/>
      <c r="AD233" s="17"/>
      <c r="AE233" s="17"/>
      <c r="AF233" s="17"/>
      <c r="AG233" s="17"/>
      <c r="AH233" s="17"/>
      <c r="AI233" s="17"/>
      <c r="AJ233" s="17"/>
      <c r="AK233" s="17"/>
      <c r="AL233" s="17"/>
      <c r="AM233" s="17"/>
      <c r="AN233" s="17"/>
      <c r="AO233" s="17"/>
      <c r="AP233" s="17"/>
      <c r="AQ233" s="17"/>
    </row>
    <row r="234" ht="15.75" customHeight="1">
      <c r="A234" s="367"/>
      <c r="B234" s="428"/>
      <c r="C234" s="429"/>
      <c r="D234" s="429"/>
      <c r="E234" s="429"/>
      <c r="F234" s="428"/>
      <c r="G234" s="428"/>
      <c r="H234" s="428"/>
      <c r="I234" s="367"/>
      <c r="J234" s="429"/>
      <c r="K234" s="367"/>
      <c r="L234" s="429"/>
      <c r="M234" s="429"/>
      <c r="N234" s="429"/>
      <c r="O234" s="429"/>
      <c r="P234" s="429"/>
      <c r="Q234" s="429"/>
      <c r="R234" s="428"/>
      <c r="S234" s="428"/>
      <c r="T234" s="17"/>
      <c r="U234" s="17"/>
      <c r="V234" s="17"/>
      <c r="W234" s="430"/>
      <c r="X234" s="260"/>
      <c r="Y234" s="367"/>
      <c r="Z234" s="431"/>
      <c r="AA234" s="17"/>
      <c r="AB234" s="17"/>
      <c r="AC234" s="17"/>
      <c r="AD234" s="17"/>
      <c r="AE234" s="17"/>
      <c r="AF234" s="17"/>
      <c r="AG234" s="17"/>
      <c r="AH234" s="17"/>
      <c r="AI234" s="17"/>
      <c r="AJ234" s="17"/>
      <c r="AK234" s="17"/>
      <c r="AL234" s="17"/>
      <c r="AM234" s="17"/>
      <c r="AN234" s="17"/>
      <c r="AO234" s="17"/>
      <c r="AP234" s="17"/>
      <c r="AQ234" s="17"/>
    </row>
    <row r="235" ht="15.75" customHeight="1">
      <c r="A235" s="367"/>
      <c r="B235" s="428"/>
      <c r="C235" s="429"/>
      <c r="D235" s="429"/>
      <c r="E235" s="429"/>
      <c r="F235" s="428"/>
      <c r="G235" s="428"/>
      <c r="H235" s="428"/>
      <c r="I235" s="367"/>
      <c r="J235" s="429"/>
      <c r="K235" s="367"/>
      <c r="L235" s="429"/>
      <c r="M235" s="429"/>
      <c r="N235" s="429"/>
      <c r="O235" s="429"/>
      <c r="P235" s="429"/>
      <c r="Q235" s="429"/>
      <c r="R235" s="428"/>
      <c r="S235" s="428"/>
      <c r="T235" s="17"/>
      <c r="U235" s="17"/>
      <c r="V235" s="17"/>
      <c r="W235" s="430"/>
      <c r="X235" s="260"/>
      <c r="Y235" s="367"/>
      <c r="Z235" s="431"/>
      <c r="AA235" s="17"/>
      <c r="AB235" s="17"/>
      <c r="AC235" s="17"/>
      <c r="AD235" s="17"/>
      <c r="AE235" s="17"/>
      <c r="AF235" s="17"/>
      <c r="AG235" s="17"/>
      <c r="AH235" s="17"/>
      <c r="AI235" s="17"/>
      <c r="AJ235" s="17"/>
      <c r="AK235" s="17"/>
      <c r="AL235" s="17"/>
      <c r="AM235" s="17"/>
      <c r="AN235" s="17"/>
      <c r="AO235" s="17"/>
      <c r="AP235" s="17"/>
      <c r="AQ235" s="17"/>
    </row>
    <row r="236" ht="15.75" customHeight="1">
      <c r="A236" s="367"/>
      <c r="B236" s="428"/>
      <c r="C236" s="429"/>
      <c r="D236" s="429"/>
      <c r="E236" s="429"/>
      <c r="F236" s="428"/>
      <c r="G236" s="428"/>
      <c r="H236" s="428"/>
      <c r="I236" s="367"/>
      <c r="J236" s="429"/>
      <c r="K236" s="367"/>
      <c r="L236" s="429"/>
      <c r="M236" s="429"/>
      <c r="N236" s="429"/>
      <c r="O236" s="429"/>
      <c r="P236" s="429"/>
      <c r="Q236" s="429"/>
      <c r="R236" s="428"/>
      <c r="S236" s="428"/>
      <c r="T236" s="17"/>
      <c r="U236" s="17"/>
      <c r="V236" s="17"/>
      <c r="W236" s="430"/>
      <c r="X236" s="260"/>
      <c r="Y236" s="367"/>
      <c r="Z236" s="431"/>
      <c r="AA236" s="17"/>
      <c r="AB236" s="17"/>
      <c r="AC236" s="17"/>
      <c r="AD236" s="17"/>
      <c r="AE236" s="17"/>
      <c r="AF236" s="17"/>
      <c r="AG236" s="17"/>
      <c r="AH236" s="17"/>
      <c r="AI236" s="17"/>
      <c r="AJ236" s="17"/>
      <c r="AK236" s="17"/>
      <c r="AL236" s="17"/>
      <c r="AM236" s="17"/>
      <c r="AN236" s="17"/>
      <c r="AO236" s="17"/>
      <c r="AP236" s="17"/>
      <c r="AQ236" s="17"/>
    </row>
    <row r="237" ht="15.75" customHeight="1">
      <c r="A237" s="367"/>
      <c r="B237" s="428"/>
      <c r="C237" s="429"/>
      <c r="D237" s="429"/>
      <c r="E237" s="429"/>
      <c r="F237" s="428"/>
      <c r="G237" s="428"/>
      <c r="H237" s="428"/>
      <c r="I237" s="367"/>
      <c r="J237" s="429"/>
      <c r="K237" s="367"/>
      <c r="L237" s="429"/>
      <c r="M237" s="429"/>
      <c r="N237" s="429"/>
      <c r="O237" s="429"/>
      <c r="P237" s="429"/>
      <c r="Q237" s="429"/>
      <c r="R237" s="428"/>
      <c r="S237" s="428"/>
      <c r="T237" s="17"/>
      <c r="U237" s="17"/>
      <c r="V237" s="17"/>
      <c r="W237" s="430"/>
      <c r="X237" s="260"/>
      <c r="Y237" s="367"/>
      <c r="Z237" s="431"/>
      <c r="AA237" s="17"/>
      <c r="AB237" s="17"/>
      <c r="AC237" s="17"/>
      <c r="AD237" s="17"/>
      <c r="AE237" s="17"/>
      <c r="AF237" s="17"/>
      <c r="AG237" s="17"/>
      <c r="AH237" s="17"/>
      <c r="AI237" s="17"/>
      <c r="AJ237" s="17"/>
      <c r="AK237" s="17"/>
      <c r="AL237" s="17"/>
      <c r="AM237" s="17"/>
      <c r="AN237" s="17"/>
      <c r="AO237" s="17"/>
      <c r="AP237" s="17"/>
      <c r="AQ237" s="17"/>
    </row>
    <row r="238" ht="15.75" customHeight="1">
      <c r="A238" s="367"/>
      <c r="B238" s="428"/>
      <c r="C238" s="429"/>
      <c r="D238" s="429"/>
      <c r="E238" s="429"/>
      <c r="F238" s="428"/>
      <c r="G238" s="428"/>
      <c r="H238" s="428"/>
      <c r="I238" s="367"/>
      <c r="J238" s="429"/>
      <c r="K238" s="367"/>
      <c r="L238" s="429"/>
      <c r="M238" s="429"/>
      <c r="N238" s="429"/>
      <c r="O238" s="429"/>
      <c r="P238" s="429"/>
      <c r="Q238" s="429"/>
      <c r="R238" s="428"/>
      <c r="S238" s="428"/>
      <c r="T238" s="17"/>
      <c r="U238" s="17"/>
      <c r="V238" s="17"/>
      <c r="W238" s="430"/>
      <c r="X238" s="260"/>
      <c r="Y238" s="367"/>
      <c r="Z238" s="431"/>
      <c r="AA238" s="17"/>
      <c r="AB238" s="17"/>
      <c r="AC238" s="17"/>
      <c r="AD238" s="17"/>
      <c r="AE238" s="17"/>
      <c r="AF238" s="17"/>
      <c r="AG238" s="17"/>
      <c r="AH238" s="17"/>
      <c r="AI238" s="17"/>
      <c r="AJ238" s="17"/>
      <c r="AK238" s="17"/>
      <c r="AL238" s="17"/>
      <c r="AM238" s="17"/>
      <c r="AN238" s="17"/>
      <c r="AO238" s="17"/>
      <c r="AP238" s="17"/>
      <c r="AQ238" s="17"/>
    </row>
    <row r="239" ht="15.75" customHeight="1">
      <c r="A239" s="367"/>
      <c r="B239" s="428"/>
      <c r="C239" s="429"/>
      <c r="D239" s="429"/>
      <c r="E239" s="429"/>
      <c r="F239" s="428"/>
      <c r="G239" s="428"/>
      <c r="H239" s="428"/>
      <c r="I239" s="367"/>
      <c r="J239" s="429"/>
      <c r="K239" s="367"/>
      <c r="L239" s="429"/>
      <c r="M239" s="429"/>
      <c r="N239" s="429"/>
      <c r="O239" s="429"/>
      <c r="P239" s="429"/>
      <c r="Q239" s="429"/>
      <c r="R239" s="428"/>
      <c r="S239" s="428"/>
      <c r="T239" s="17"/>
      <c r="U239" s="17"/>
      <c r="V239" s="17"/>
      <c r="W239" s="430"/>
      <c r="X239" s="260"/>
      <c r="Y239" s="367"/>
      <c r="Z239" s="431"/>
      <c r="AA239" s="17"/>
      <c r="AB239" s="17"/>
      <c r="AC239" s="17"/>
      <c r="AD239" s="17"/>
      <c r="AE239" s="17"/>
      <c r="AF239" s="17"/>
      <c r="AG239" s="17"/>
      <c r="AH239" s="17"/>
      <c r="AI239" s="17"/>
      <c r="AJ239" s="17"/>
      <c r="AK239" s="17"/>
      <c r="AL239" s="17"/>
      <c r="AM239" s="17"/>
      <c r="AN239" s="17"/>
      <c r="AO239" s="17"/>
      <c r="AP239" s="17"/>
      <c r="AQ239" s="17"/>
    </row>
    <row r="240" ht="15.75" customHeight="1">
      <c r="A240" s="367"/>
      <c r="B240" s="428"/>
      <c r="C240" s="429"/>
      <c r="D240" s="429"/>
      <c r="E240" s="429"/>
      <c r="F240" s="428"/>
      <c r="G240" s="428"/>
      <c r="H240" s="428"/>
      <c r="I240" s="367"/>
      <c r="J240" s="429"/>
      <c r="K240" s="367"/>
      <c r="L240" s="429"/>
      <c r="M240" s="429"/>
      <c r="N240" s="429"/>
      <c r="O240" s="429"/>
      <c r="P240" s="429"/>
      <c r="Q240" s="429"/>
      <c r="R240" s="428"/>
      <c r="S240" s="428"/>
      <c r="T240" s="17"/>
      <c r="U240" s="17"/>
      <c r="V240" s="17"/>
      <c r="W240" s="430"/>
      <c r="X240" s="260"/>
      <c r="Y240" s="367"/>
      <c r="Z240" s="431"/>
      <c r="AA240" s="17"/>
      <c r="AB240" s="17"/>
      <c r="AC240" s="17"/>
      <c r="AD240" s="17"/>
      <c r="AE240" s="17"/>
      <c r="AF240" s="17"/>
      <c r="AG240" s="17"/>
      <c r="AH240" s="17"/>
      <c r="AI240" s="17"/>
      <c r="AJ240" s="17"/>
      <c r="AK240" s="17"/>
      <c r="AL240" s="17"/>
      <c r="AM240" s="17"/>
      <c r="AN240" s="17"/>
      <c r="AO240" s="17"/>
      <c r="AP240" s="17"/>
      <c r="AQ240" s="17"/>
    </row>
    <row r="241" ht="15.75" customHeight="1">
      <c r="A241" s="367"/>
      <c r="B241" s="428"/>
      <c r="C241" s="429"/>
      <c r="D241" s="429"/>
      <c r="E241" s="429"/>
      <c r="F241" s="428"/>
      <c r="G241" s="428"/>
      <c r="H241" s="428"/>
      <c r="I241" s="367"/>
      <c r="J241" s="429"/>
      <c r="K241" s="367"/>
      <c r="L241" s="429"/>
      <c r="M241" s="429"/>
      <c r="N241" s="429"/>
      <c r="O241" s="429"/>
      <c r="P241" s="429"/>
      <c r="Q241" s="429"/>
      <c r="R241" s="428"/>
      <c r="S241" s="428"/>
      <c r="T241" s="17"/>
      <c r="U241" s="17"/>
      <c r="V241" s="17"/>
      <c r="W241" s="430"/>
      <c r="X241" s="260"/>
      <c r="Y241" s="367"/>
      <c r="Z241" s="431"/>
      <c r="AA241" s="17"/>
      <c r="AB241" s="17"/>
      <c r="AC241" s="17"/>
      <c r="AD241" s="17"/>
      <c r="AE241" s="17"/>
      <c r="AF241" s="17"/>
      <c r="AG241" s="17"/>
      <c r="AH241" s="17"/>
      <c r="AI241" s="17"/>
      <c r="AJ241" s="17"/>
      <c r="AK241" s="17"/>
      <c r="AL241" s="17"/>
      <c r="AM241" s="17"/>
      <c r="AN241" s="17"/>
      <c r="AO241" s="17"/>
      <c r="AP241" s="17"/>
      <c r="AQ241" s="17"/>
    </row>
    <row r="242" ht="15.75" customHeight="1">
      <c r="A242" s="367"/>
      <c r="B242" s="428"/>
      <c r="C242" s="429"/>
      <c r="D242" s="429"/>
      <c r="E242" s="429"/>
      <c r="F242" s="428"/>
      <c r="G242" s="428"/>
      <c r="H242" s="428"/>
      <c r="I242" s="367"/>
      <c r="J242" s="429"/>
      <c r="K242" s="367"/>
      <c r="L242" s="429"/>
      <c r="M242" s="429"/>
      <c r="N242" s="429"/>
      <c r="O242" s="429"/>
      <c r="P242" s="429"/>
      <c r="Q242" s="429"/>
      <c r="R242" s="428"/>
      <c r="S242" s="428"/>
      <c r="T242" s="17"/>
      <c r="U242" s="17"/>
      <c r="V242" s="17"/>
      <c r="W242" s="430"/>
      <c r="X242" s="260"/>
      <c r="Y242" s="367"/>
      <c r="Z242" s="431"/>
      <c r="AA242" s="17"/>
      <c r="AB242" s="17"/>
      <c r="AC242" s="17"/>
      <c r="AD242" s="17"/>
      <c r="AE242" s="17"/>
      <c r="AF242" s="17"/>
      <c r="AG242" s="17"/>
      <c r="AH242" s="17"/>
      <c r="AI242" s="17"/>
      <c r="AJ242" s="17"/>
      <c r="AK242" s="17"/>
      <c r="AL242" s="17"/>
      <c r="AM242" s="17"/>
      <c r="AN242" s="17"/>
      <c r="AO242" s="17"/>
      <c r="AP242" s="17"/>
      <c r="AQ242" s="17"/>
    </row>
    <row r="243" ht="15.75" customHeight="1">
      <c r="A243" s="367"/>
      <c r="B243" s="428"/>
      <c r="C243" s="429"/>
      <c r="D243" s="429"/>
      <c r="E243" s="429"/>
      <c r="F243" s="428"/>
      <c r="G243" s="428"/>
      <c r="H243" s="428"/>
      <c r="I243" s="367"/>
      <c r="J243" s="429"/>
      <c r="K243" s="367"/>
      <c r="L243" s="429"/>
      <c r="M243" s="429"/>
      <c r="N243" s="429"/>
      <c r="O243" s="429"/>
      <c r="P243" s="429"/>
      <c r="Q243" s="429"/>
      <c r="R243" s="428"/>
      <c r="S243" s="428"/>
      <c r="T243" s="17"/>
      <c r="U243" s="17"/>
      <c r="V243" s="17"/>
      <c r="W243" s="430"/>
      <c r="X243" s="260"/>
      <c r="Y243" s="367"/>
      <c r="Z243" s="431"/>
      <c r="AA243" s="17"/>
      <c r="AB243" s="17"/>
      <c r="AC243" s="17"/>
      <c r="AD243" s="17"/>
      <c r="AE243" s="17"/>
      <c r="AF243" s="17"/>
      <c r="AG243" s="17"/>
      <c r="AH243" s="17"/>
      <c r="AI243" s="17"/>
      <c r="AJ243" s="17"/>
      <c r="AK243" s="17"/>
      <c r="AL243" s="17"/>
      <c r="AM243" s="17"/>
      <c r="AN243" s="17"/>
      <c r="AO243" s="17"/>
      <c r="AP243" s="17"/>
      <c r="AQ243" s="17"/>
    </row>
    <row r="244" ht="15.75" customHeight="1">
      <c r="A244" s="367"/>
      <c r="B244" s="428"/>
      <c r="C244" s="429"/>
      <c r="D244" s="429"/>
      <c r="E244" s="429"/>
      <c r="F244" s="428"/>
      <c r="G244" s="428"/>
      <c r="H244" s="428"/>
      <c r="I244" s="367"/>
      <c r="J244" s="429"/>
      <c r="K244" s="367"/>
      <c r="L244" s="429"/>
      <c r="M244" s="429"/>
      <c r="N244" s="429"/>
      <c r="O244" s="429"/>
      <c r="P244" s="429"/>
      <c r="Q244" s="429"/>
      <c r="R244" s="428"/>
      <c r="S244" s="428"/>
      <c r="T244" s="17"/>
      <c r="U244" s="17"/>
      <c r="V244" s="17"/>
      <c r="W244" s="430"/>
      <c r="X244" s="260"/>
      <c r="Y244" s="367"/>
      <c r="Z244" s="431"/>
      <c r="AA244" s="17"/>
      <c r="AB244" s="17"/>
      <c r="AC244" s="17"/>
      <c r="AD244" s="17"/>
      <c r="AE244" s="17"/>
      <c r="AF244" s="17"/>
      <c r="AG244" s="17"/>
      <c r="AH244" s="17"/>
      <c r="AI244" s="17"/>
      <c r="AJ244" s="17"/>
      <c r="AK244" s="17"/>
      <c r="AL244" s="17"/>
      <c r="AM244" s="17"/>
      <c r="AN244" s="17"/>
      <c r="AO244" s="17"/>
      <c r="AP244" s="17"/>
      <c r="AQ244" s="17"/>
    </row>
    <row r="245" ht="15.75" customHeight="1">
      <c r="H245" s="17"/>
      <c r="P245" s="17"/>
      <c r="S245" s="17"/>
      <c r="U245" s="17"/>
      <c r="W245" s="430"/>
      <c r="X245" s="260"/>
      <c r="Y245" s="367"/>
      <c r="Z245" s="431"/>
    </row>
    <row r="246" ht="15.75" customHeight="1">
      <c r="H246" s="17"/>
      <c r="P246" s="17"/>
      <c r="S246" s="17"/>
      <c r="U246" s="17"/>
      <c r="W246" s="430"/>
      <c r="X246" s="260"/>
      <c r="Y246" s="367"/>
      <c r="Z246" s="431"/>
    </row>
    <row r="247" ht="15.75" customHeight="1">
      <c r="H247" s="17"/>
      <c r="P247" s="17"/>
      <c r="S247" s="17"/>
      <c r="U247" s="17"/>
      <c r="W247" s="430"/>
      <c r="X247" s="260"/>
      <c r="Y247" s="367"/>
      <c r="Z247" s="431"/>
    </row>
    <row r="248" ht="15.75" customHeight="1">
      <c r="H248" s="17"/>
      <c r="P248" s="17"/>
      <c r="S248" s="17"/>
      <c r="U248" s="17"/>
      <c r="W248" s="430"/>
      <c r="X248" s="260"/>
      <c r="Y248" s="367"/>
      <c r="Z248" s="431"/>
    </row>
    <row r="249" ht="15.75" customHeight="1">
      <c r="H249" s="17"/>
      <c r="P249" s="17"/>
      <c r="S249" s="17"/>
      <c r="U249" s="17"/>
      <c r="W249" s="430"/>
      <c r="X249" s="260"/>
      <c r="Y249" s="367"/>
      <c r="Z249" s="431"/>
    </row>
    <row r="250" ht="15.75" customHeight="1">
      <c r="H250" s="17"/>
      <c r="P250" s="17"/>
      <c r="S250" s="17"/>
      <c r="U250" s="17"/>
      <c r="W250" s="430"/>
      <c r="X250" s="260"/>
      <c r="Y250" s="367"/>
      <c r="Z250" s="431"/>
    </row>
    <row r="251" ht="15.75" customHeight="1">
      <c r="H251" s="17"/>
      <c r="P251" s="17"/>
      <c r="S251" s="17"/>
      <c r="U251" s="17"/>
      <c r="W251" s="430"/>
      <c r="X251" s="260"/>
      <c r="Y251" s="367"/>
      <c r="Z251" s="431"/>
    </row>
    <row r="252" ht="15.75" customHeight="1">
      <c r="H252" s="17"/>
      <c r="P252" s="17"/>
      <c r="S252" s="17"/>
      <c r="U252" s="17"/>
      <c r="W252" s="430"/>
      <c r="X252" s="260"/>
      <c r="Y252" s="367"/>
      <c r="Z252" s="431"/>
    </row>
    <row r="253" ht="15.75" customHeight="1">
      <c r="H253" s="17"/>
      <c r="P253" s="17"/>
      <c r="S253" s="17"/>
      <c r="U253" s="17"/>
      <c r="W253" s="430"/>
      <c r="X253" s="260"/>
      <c r="Y253" s="367"/>
      <c r="Z253" s="431"/>
    </row>
    <row r="254" ht="15.75" customHeight="1">
      <c r="H254" s="17"/>
      <c r="P254" s="17"/>
      <c r="S254" s="17"/>
      <c r="U254" s="17"/>
      <c r="W254" s="430"/>
      <c r="X254" s="260"/>
      <c r="Y254" s="367"/>
      <c r="Z254" s="431"/>
    </row>
    <row r="255" ht="15.75" customHeight="1">
      <c r="H255" s="17"/>
      <c r="P255" s="17"/>
      <c r="S255" s="17"/>
      <c r="U255" s="17"/>
      <c r="W255" s="430"/>
      <c r="X255" s="260"/>
      <c r="Y255" s="367"/>
      <c r="Z255" s="431"/>
    </row>
    <row r="256" ht="15.75" customHeight="1">
      <c r="H256" s="17"/>
      <c r="P256" s="17"/>
      <c r="S256" s="17"/>
      <c r="U256" s="17"/>
      <c r="W256" s="430"/>
      <c r="X256" s="260"/>
      <c r="Y256" s="367"/>
      <c r="Z256" s="431"/>
    </row>
    <row r="257" ht="15.75" customHeight="1">
      <c r="H257" s="17"/>
      <c r="P257" s="17"/>
      <c r="S257" s="17"/>
      <c r="U257" s="17"/>
      <c r="W257" s="430"/>
      <c r="X257" s="260"/>
      <c r="Y257" s="367"/>
      <c r="Z257" s="431"/>
    </row>
    <row r="258" ht="15.75" customHeight="1">
      <c r="H258" s="17"/>
      <c r="P258" s="17"/>
      <c r="S258" s="17"/>
      <c r="U258" s="17"/>
      <c r="W258" s="430"/>
      <c r="X258" s="260"/>
      <c r="Y258" s="367"/>
      <c r="Z258" s="431"/>
    </row>
    <row r="259" ht="15.75" customHeight="1">
      <c r="H259" s="17"/>
      <c r="P259" s="17"/>
      <c r="S259" s="17"/>
      <c r="U259" s="17"/>
      <c r="W259" s="430"/>
      <c r="X259" s="260"/>
      <c r="Y259" s="367"/>
      <c r="Z259" s="431"/>
    </row>
    <row r="260" ht="15.75" customHeight="1">
      <c r="H260" s="17"/>
      <c r="P260" s="17"/>
      <c r="S260" s="17"/>
      <c r="U260" s="17"/>
      <c r="W260" s="430"/>
      <c r="X260" s="260"/>
      <c r="Y260" s="367"/>
      <c r="Z260" s="431"/>
    </row>
    <row r="261" ht="15.75" customHeight="1">
      <c r="H261" s="17"/>
      <c r="P261" s="17"/>
      <c r="S261" s="17"/>
      <c r="U261" s="17"/>
      <c r="W261" s="430"/>
      <c r="X261" s="260"/>
      <c r="Y261" s="367"/>
      <c r="Z261" s="431"/>
    </row>
    <row r="262" ht="15.75" customHeight="1">
      <c r="H262" s="17"/>
      <c r="P262" s="17"/>
      <c r="S262" s="17"/>
      <c r="U262" s="17"/>
      <c r="W262" s="430"/>
      <c r="X262" s="260"/>
      <c r="Y262" s="367"/>
      <c r="Z262" s="431"/>
    </row>
    <row r="263" ht="15.75" customHeight="1">
      <c r="H263" s="17"/>
      <c r="P263" s="17"/>
      <c r="S263" s="17"/>
      <c r="U263" s="17"/>
      <c r="W263" s="430"/>
      <c r="X263" s="260"/>
      <c r="Y263" s="367"/>
      <c r="Z263" s="431"/>
    </row>
    <row r="264" ht="15.75" customHeight="1">
      <c r="H264" s="17"/>
      <c r="P264" s="17"/>
      <c r="S264" s="17"/>
      <c r="U264" s="17"/>
      <c r="W264" s="430"/>
      <c r="X264" s="260"/>
      <c r="Y264" s="367"/>
      <c r="Z264" s="431"/>
    </row>
    <row r="265" ht="15.75" customHeight="1">
      <c r="H265" s="17"/>
      <c r="P265" s="17"/>
      <c r="S265" s="17"/>
      <c r="U265" s="17"/>
      <c r="W265" s="430"/>
      <c r="X265" s="260"/>
      <c r="Y265" s="367"/>
      <c r="Z265" s="431"/>
    </row>
    <row r="266" ht="15.75" customHeight="1">
      <c r="H266" s="17"/>
      <c r="P266" s="17"/>
      <c r="S266" s="17"/>
      <c r="U266" s="17"/>
      <c r="W266" s="430"/>
      <c r="X266" s="260"/>
      <c r="Y266" s="367"/>
      <c r="Z266" s="431"/>
    </row>
    <row r="267" ht="15.75" customHeight="1">
      <c r="H267" s="17"/>
      <c r="P267" s="17"/>
      <c r="S267" s="17"/>
      <c r="U267" s="17"/>
      <c r="W267" s="430"/>
      <c r="X267" s="260"/>
      <c r="Y267" s="367"/>
      <c r="Z267" s="431"/>
    </row>
    <row r="268" ht="15.75" customHeight="1">
      <c r="H268" s="17"/>
      <c r="P268" s="17"/>
      <c r="S268" s="17"/>
      <c r="U268" s="17"/>
      <c r="W268" s="430"/>
      <c r="X268" s="260"/>
      <c r="Y268" s="367"/>
      <c r="Z268" s="431"/>
    </row>
    <row r="269" ht="15.75" customHeight="1">
      <c r="H269" s="17"/>
      <c r="P269" s="17"/>
      <c r="S269" s="17"/>
      <c r="U269" s="17"/>
      <c r="W269" s="430"/>
      <c r="X269" s="260"/>
      <c r="Y269" s="367"/>
      <c r="Z269" s="431"/>
    </row>
    <row r="270" ht="15.75" customHeight="1">
      <c r="H270" s="17"/>
      <c r="P270" s="17"/>
      <c r="S270" s="17"/>
      <c r="U270" s="17"/>
      <c r="W270" s="430"/>
      <c r="X270" s="260"/>
      <c r="Y270" s="367"/>
      <c r="Z270" s="431"/>
    </row>
    <row r="271" ht="15.75" customHeight="1">
      <c r="H271" s="17"/>
      <c r="P271" s="17"/>
      <c r="S271" s="17"/>
      <c r="U271" s="17"/>
      <c r="W271" s="430"/>
      <c r="X271" s="260"/>
      <c r="Y271" s="367"/>
      <c r="Z271" s="431"/>
    </row>
    <row r="272" ht="15.75" customHeight="1">
      <c r="H272" s="17"/>
      <c r="P272" s="17"/>
      <c r="S272" s="17"/>
      <c r="U272" s="17"/>
      <c r="W272" s="430"/>
      <c r="X272" s="260"/>
      <c r="Y272" s="367"/>
      <c r="Z272" s="431"/>
    </row>
    <row r="273" ht="15.75" customHeight="1">
      <c r="H273" s="17"/>
      <c r="P273" s="17"/>
      <c r="S273" s="17"/>
      <c r="U273" s="17"/>
      <c r="W273" s="430"/>
      <c r="X273" s="260"/>
      <c r="Y273" s="367"/>
      <c r="Z273" s="431"/>
    </row>
    <row r="274" ht="15.75" customHeight="1">
      <c r="H274" s="17"/>
      <c r="P274" s="17"/>
      <c r="S274" s="17"/>
      <c r="U274" s="17"/>
      <c r="W274" s="430"/>
      <c r="X274" s="260"/>
      <c r="Y274" s="367"/>
      <c r="Z274" s="431"/>
    </row>
    <row r="275" ht="15.75" customHeight="1">
      <c r="H275" s="17"/>
      <c r="P275" s="17"/>
      <c r="S275" s="17"/>
      <c r="U275" s="17"/>
      <c r="W275" s="430"/>
      <c r="X275" s="260"/>
      <c r="Y275" s="367"/>
      <c r="Z275" s="431"/>
    </row>
    <row r="276" ht="15.75" customHeight="1">
      <c r="H276" s="17"/>
      <c r="P276" s="17"/>
      <c r="S276" s="17"/>
      <c r="U276" s="17"/>
      <c r="W276" s="430"/>
      <c r="X276" s="260"/>
      <c r="Y276" s="367"/>
      <c r="Z276" s="431"/>
    </row>
    <row r="277" ht="15.75" customHeight="1">
      <c r="H277" s="17"/>
      <c r="P277" s="17"/>
      <c r="S277" s="17"/>
      <c r="U277" s="17"/>
      <c r="W277" s="430"/>
      <c r="X277" s="260"/>
      <c r="Y277" s="367"/>
      <c r="Z277" s="431"/>
    </row>
    <row r="278" ht="15.75" customHeight="1">
      <c r="H278" s="17"/>
      <c r="P278" s="17"/>
      <c r="S278" s="17"/>
      <c r="U278" s="17"/>
      <c r="W278" s="430"/>
      <c r="X278" s="260"/>
      <c r="Y278" s="367"/>
      <c r="Z278" s="431"/>
    </row>
    <row r="279" ht="15.75" customHeight="1">
      <c r="H279" s="17"/>
      <c r="P279" s="17"/>
      <c r="S279" s="17"/>
      <c r="U279" s="17"/>
      <c r="W279" s="430"/>
      <c r="X279" s="260"/>
      <c r="Y279" s="367"/>
      <c r="Z279" s="431"/>
    </row>
    <row r="280" ht="15.75" customHeight="1">
      <c r="H280" s="17"/>
      <c r="P280" s="17"/>
      <c r="S280" s="17"/>
      <c r="U280" s="17"/>
      <c r="W280" s="430"/>
      <c r="X280" s="260"/>
      <c r="Y280" s="367"/>
      <c r="Z280" s="431"/>
    </row>
    <row r="281" ht="15.75" customHeight="1">
      <c r="H281" s="17"/>
      <c r="P281" s="17"/>
      <c r="S281" s="17"/>
      <c r="U281" s="17"/>
      <c r="W281" s="430"/>
      <c r="X281" s="260"/>
      <c r="Y281" s="367"/>
      <c r="Z281" s="431"/>
    </row>
    <row r="282" ht="15.75" customHeight="1">
      <c r="H282" s="17"/>
      <c r="P282" s="17"/>
      <c r="S282" s="17"/>
      <c r="U282" s="17"/>
      <c r="W282" s="430"/>
      <c r="X282" s="260"/>
      <c r="Y282" s="367"/>
      <c r="Z282" s="431"/>
    </row>
    <row r="283" ht="15.75" customHeight="1">
      <c r="H283" s="17"/>
      <c r="P283" s="17"/>
      <c r="S283" s="17"/>
      <c r="U283" s="17"/>
      <c r="W283" s="430"/>
      <c r="X283" s="260"/>
      <c r="Y283" s="367"/>
      <c r="Z283" s="431"/>
    </row>
    <row r="284" ht="15.75" customHeight="1">
      <c r="H284" s="17"/>
      <c r="P284" s="17"/>
      <c r="S284" s="17"/>
      <c r="U284" s="17"/>
      <c r="W284" s="430"/>
      <c r="X284" s="260"/>
      <c r="Y284" s="367"/>
      <c r="Z284" s="431"/>
    </row>
    <row r="285" ht="15.75" customHeight="1">
      <c r="H285" s="17"/>
      <c r="P285" s="17"/>
      <c r="S285" s="17"/>
      <c r="U285" s="17"/>
      <c r="W285" s="430"/>
      <c r="X285" s="260"/>
      <c r="Y285" s="367"/>
      <c r="Z285" s="431"/>
    </row>
    <row r="286" ht="15.75" customHeight="1">
      <c r="H286" s="17"/>
      <c r="P286" s="17"/>
      <c r="S286" s="17"/>
      <c r="U286" s="17"/>
      <c r="W286" s="430"/>
      <c r="X286" s="260"/>
      <c r="Y286" s="367"/>
      <c r="Z286" s="431"/>
    </row>
    <row r="287" ht="15.75" customHeight="1">
      <c r="H287" s="17"/>
      <c r="P287" s="17"/>
      <c r="S287" s="17"/>
      <c r="U287" s="17"/>
      <c r="W287" s="430"/>
      <c r="X287" s="260"/>
      <c r="Y287" s="367"/>
      <c r="Z287" s="431"/>
    </row>
    <row r="288" ht="15.75" customHeight="1">
      <c r="H288" s="17"/>
      <c r="P288" s="17"/>
      <c r="S288" s="17"/>
      <c r="U288" s="17"/>
      <c r="W288" s="430"/>
      <c r="X288" s="260"/>
      <c r="Y288" s="367"/>
      <c r="Z288" s="431"/>
    </row>
    <row r="289" ht="15.75" customHeight="1">
      <c r="H289" s="17"/>
      <c r="P289" s="17"/>
      <c r="S289" s="17"/>
      <c r="U289" s="17"/>
      <c r="W289" s="430"/>
      <c r="X289" s="260"/>
      <c r="Y289" s="367"/>
      <c r="Z289" s="431"/>
    </row>
    <row r="290" ht="15.75" customHeight="1">
      <c r="H290" s="17"/>
      <c r="P290" s="17"/>
      <c r="S290" s="17"/>
      <c r="U290" s="17"/>
      <c r="W290" s="430"/>
      <c r="X290" s="260"/>
      <c r="Y290" s="367"/>
      <c r="Z290" s="431"/>
    </row>
    <row r="291" ht="15.75" customHeight="1">
      <c r="H291" s="17"/>
      <c r="P291" s="17"/>
      <c r="S291" s="17"/>
      <c r="U291" s="17"/>
      <c r="W291" s="430"/>
      <c r="X291" s="260"/>
      <c r="Y291" s="367"/>
      <c r="Z291" s="431"/>
    </row>
    <row r="292" ht="15.75" customHeight="1">
      <c r="H292" s="17"/>
      <c r="P292" s="17"/>
      <c r="S292" s="17"/>
      <c r="U292" s="17"/>
      <c r="W292" s="430"/>
      <c r="X292" s="260"/>
      <c r="Y292" s="367"/>
      <c r="Z292" s="431"/>
    </row>
    <row r="293" ht="15.75" customHeight="1">
      <c r="H293" s="17"/>
      <c r="P293" s="17"/>
      <c r="S293" s="17"/>
      <c r="U293" s="17"/>
      <c r="W293" s="430"/>
      <c r="X293" s="260"/>
      <c r="Y293" s="367"/>
      <c r="Z293" s="431"/>
    </row>
    <row r="294" ht="15.75" customHeight="1">
      <c r="H294" s="17"/>
      <c r="P294" s="17"/>
      <c r="S294" s="17"/>
      <c r="U294" s="17"/>
      <c r="W294" s="430"/>
      <c r="X294" s="260"/>
      <c r="Y294" s="367"/>
      <c r="Z294" s="431"/>
    </row>
    <row r="295" ht="15.75" customHeight="1">
      <c r="H295" s="17"/>
      <c r="P295" s="17"/>
      <c r="S295" s="17"/>
      <c r="U295" s="17"/>
      <c r="W295" s="430"/>
      <c r="X295" s="260"/>
      <c r="Y295" s="367"/>
      <c r="Z295" s="431"/>
    </row>
    <row r="296" ht="15.75" customHeight="1">
      <c r="H296" s="17"/>
      <c r="P296" s="17"/>
      <c r="S296" s="17"/>
      <c r="U296" s="17"/>
      <c r="W296" s="430"/>
      <c r="X296" s="260"/>
      <c r="Y296" s="367"/>
      <c r="Z296" s="431"/>
    </row>
    <row r="297" ht="15.75" customHeight="1">
      <c r="H297" s="17"/>
      <c r="P297" s="17"/>
      <c r="S297" s="17"/>
      <c r="U297" s="17"/>
      <c r="W297" s="430"/>
      <c r="X297" s="260"/>
      <c r="Y297" s="367"/>
      <c r="Z297" s="431"/>
    </row>
    <row r="298" ht="15.75" customHeight="1">
      <c r="H298" s="17"/>
      <c r="P298" s="17"/>
      <c r="S298" s="17"/>
      <c r="U298" s="17"/>
      <c r="W298" s="430"/>
      <c r="X298" s="260"/>
      <c r="Y298" s="367"/>
      <c r="Z298" s="431"/>
    </row>
    <row r="299" ht="15.75" customHeight="1">
      <c r="H299" s="17"/>
      <c r="P299" s="17"/>
      <c r="S299" s="17"/>
      <c r="U299" s="17"/>
      <c r="W299" s="430"/>
      <c r="X299" s="260"/>
      <c r="Y299" s="367"/>
      <c r="Z299" s="431"/>
    </row>
    <row r="300" ht="15.75" customHeight="1">
      <c r="H300" s="17"/>
      <c r="P300" s="17"/>
      <c r="S300" s="17"/>
      <c r="U300" s="17"/>
      <c r="W300" s="430"/>
      <c r="X300" s="260"/>
      <c r="Y300" s="367"/>
      <c r="Z300" s="431"/>
    </row>
    <row r="301" ht="15.75" customHeight="1">
      <c r="H301" s="17"/>
      <c r="P301" s="17"/>
      <c r="S301" s="17"/>
      <c r="U301" s="17"/>
      <c r="W301" s="430"/>
      <c r="X301" s="260"/>
      <c r="Y301" s="367"/>
      <c r="Z301" s="431"/>
    </row>
    <row r="302" ht="15.75" customHeight="1">
      <c r="H302" s="17"/>
      <c r="P302" s="17"/>
      <c r="S302" s="17"/>
      <c r="U302" s="17"/>
      <c r="W302" s="430"/>
      <c r="X302" s="260"/>
      <c r="Y302" s="367"/>
      <c r="Z302" s="431"/>
    </row>
    <row r="303" ht="15.75" customHeight="1">
      <c r="H303" s="17"/>
      <c r="P303" s="17"/>
      <c r="S303" s="17"/>
      <c r="U303" s="17"/>
      <c r="W303" s="430"/>
      <c r="X303" s="260"/>
      <c r="Y303" s="367"/>
      <c r="Z303" s="431"/>
    </row>
    <row r="304" ht="15.75" customHeight="1">
      <c r="H304" s="17"/>
      <c r="P304" s="17"/>
      <c r="S304" s="17"/>
      <c r="U304" s="17"/>
      <c r="W304" s="430"/>
      <c r="X304" s="260"/>
      <c r="Y304" s="367"/>
      <c r="Z304" s="431"/>
    </row>
    <row r="305" ht="15.75" customHeight="1">
      <c r="H305" s="17"/>
      <c r="P305" s="17"/>
      <c r="S305" s="17"/>
      <c r="U305" s="17"/>
      <c r="W305" s="430"/>
      <c r="X305" s="260"/>
      <c r="Y305" s="367"/>
      <c r="Z305" s="431"/>
    </row>
    <row r="306" ht="15.75" customHeight="1">
      <c r="H306" s="17"/>
      <c r="P306" s="17"/>
      <c r="S306" s="17"/>
      <c r="U306" s="17"/>
      <c r="W306" s="430"/>
      <c r="X306" s="260"/>
      <c r="Y306" s="367"/>
      <c r="Z306" s="431"/>
    </row>
    <row r="307" ht="15.75" customHeight="1">
      <c r="H307" s="17"/>
      <c r="P307" s="17"/>
      <c r="S307" s="17"/>
      <c r="U307" s="17"/>
      <c r="W307" s="430"/>
      <c r="X307" s="260"/>
      <c r="Y307" s="367"/>
      <c r="Z307" s="431"/>
    </row>
    <row r="308" ht="15.75" customHeight="1">
      <c r="H308" s="17"/>
      <c r="P308" s="17"/>
      <c r="S308" s="17"/>
      <c r="U308" s="17"/>
      <c r="W308" s="430"/>
      <c r="X308" s="260"/>
      <c r="Y308" s="367"/>
      <c r="Z308" s="431"/>
    </row>
    <row r="309" ht="15.75" customHeight="1">
      <c r="H309" s="17"/>
      <c r="P309" s="17"/>
      <c r="S309" s="17"/>
      <c r="U309" s="17"/>
      <c r="W309" s="430"/>
      <c r="X309" s="260"/>
      <c r="Y309" s="367"/>
      <c r="Z309" s="431"/>
    </row>
    <row r="310" ht="15.75" customHeight="1">
      <c r="H310" s="17"/>
      <c r="P310" s="17"/>
      <c r="S310" s="17"/>
      <c r="U310" s="17"/>
      <c r="W310" s="430"/>
      <c r="X310" s="260"/>
      <c r="Y310" s="367"/>
      <c r="Z310" s="431"/>
    </row>
    <row r="311" ht="15.75" customHeight="1">
      <c r="H311" s="17"/>
      <c r="P311" s="17"/>
      <c r="S311" s="17"/>
      <c r="U311" s="17"/>
      <c r="W311" s="430"/>
      <c r="X311" s="260"/>
      <c r="Y311" s="367"/>
      <c r="Z311" s="431"/>
    </row>
    <row r="312" ht="15.75" customHeight="1">
      <c r="H312" s="17"/>
      <c r="P312" s="17"/>
      <c r="S312" s="17"/>
      <c r="U312" s="17"/>
      <c r="W312" s="430"/>
      <c r="X312" s="260"/>
      <c r="Y312" s="367"/>
      <c r="Z312" s="431"/>
    </row>
    <row r="313" ht="15.75" customHeight="1">
      <c r="H313" s="17"/>
      <c r="P313" s="17"/>
      <c r="S313" s="17"/>
      <c r="U313" s="17"/>
      <c r="W313" s="430"/>
      <c r="X313" s="260"/>
      <c r="Y313" s="367"/>
      <c r="Z313" s="431"/>
    </row>
    <row r="314" ht="15.75" customHeight="1">
      <c r="H314" s="17"/>
      <c r="P314" s="17"/>
      <c r="S314" s="17"/>
      <c r="U314" s="17"/>
      <c r="W314" s="430"/>
      <c r="X314" s="260"/>
      <c r="Y314" s="367"/>
      <c r="Z314" s="431"/>
    </row>
    <row r="315" ht="15.75" customHeight="1">
      <c r="H315" s="17"/>
      <c r="P315" s="17"/>
      <c r="S315" s="17"/>
      <c r="U315" s="17"/>
      <c r="W315" s="430"/>
      <c r="X315" s="260"/>
      <c r="Y315" s="367"/>
      <c r="Z315" s="431"/>
    </row>
    <row r="316" ht="15.75" customHeight="1">
      <c r="H316" s="17"/>
      <c r="P316" s="17"/>
      <c r="S316" s="17"/>
      <c r="U316" s="17"/>
      <c r="W316" s="430"/>
      <c r="X316" s="260"/>
      <c r="Y316" s="367"/>
      <c r="Z316" s="431"/>
    </row>
    <row r="317" ht="15.75" customHeight="1">
      <c r="H317" s="17"/>
      <c r="P317" s="17"/>
      <c r="S317" s="17"/>
      <c r="U317" s="17"/>
      <c r="W317" s="430"/>
      <c r="X317" s="260"/>
      <c r="Y317" s="367"/>
      <c r="Z317" s="431"/>
    </row>
    <row r="318" ht="15.75" customHeight="1">
      <c r="H318" s="17"/>
      <c r="P318" s="17"/>
      <c r="S318" s="17"/>
      <c r="U318" s="17"/>
      <c r="W318" s="430"/>
      <c r="X318" s="260"/>
      <c r="Y318" s="367"/>
      <c r="Z318" s="431"/>
    </row>
    <row r="319" ht="15.75" customHeight="1">
      <c r="H319" s="17"/>
      <c r="P319" s="17"/>
      <c r="S319" s="17"/>
      <c r="U319" s="17"/>
      <c r="W319" s="430"/>
      <c r="X319" s="260"/>
      <c r="Y319" s="367"/>
      <c r="Z319" s="431"/>
    </row>
    <row r="320" ht="15.75" customHeight="1">
      <c r="H320" s="17"/>
      <c r="P320" s="17"/>
      <c r="S320" s="17"/>
      <c r="U320" s="17"/>
      <c r="W320" s="430"/>
      <c r="X320" s="260"/>
      <c r="Y320" s="367"/>
      <c r="Z320" s="431"/>
    </row>
    <row r="321" ht="15.75" customHeight="1">
      <c r="H321" s="17"/>
      <c r="P321" s="17"/>
      <c r="S321" s="17"/>
      <c r="U321" s="17"/>
      <c r="W321" s="430"/>
      <c r="X321" s="260"/>
      <c r="Y321" s="367"/>
      <c r="Z321" s="431"/>
    </row>
    <row r="322" ht="15.75" customHeight="1">
      <c r="H322" s="17"/>
      <c r="P322" s="17"/>
      <c r="S322" s="17"/>
      <c r="U322" s="17"/>
      <c r="W322" s="430"/>
      <c r="X322" s="260"/>
      <c r="Y322" s="367"/>
      <c r="Z322" s="431"/>
    </row>
    <row r="323" ht="15.75" customHeight="1">
      <c r="H323" s="17"/>
      <c r="P323" s="17"/>
      <c r="S323" s="17"/>
      <c r="U323" s="17"/>
      <c r="W323" s="430"/>
      <c r="X323" s="260"/>
      <c r="Y323" s="367"/>
      <c r="Z323" s="431"/>
    </row>
    <row r="324" ht="15.75" customHeight="1">
      <c r="H324" s="17"/>
      <c r="P324" s="17"/>
      <c r="S324" s="17"/>
      <c r="U324" s="17"/>
      <c r="W324" s="430"/>
      <c r="X324" s="260"/>
      <c r="Y324" s="367"/>
      <c r="Z324" s="431"/>
    </row>
    <row r="325" ht="15.75" customHeight="1">
      <c r="H325" s="17"/>
      <c r="P325" s="17"/>
      <c r="S325" s="17"/>
      <c r="U325" s="17"/>
      <c r="W325" s="430"/>
      <c r="X325" s="260"/>
      <c r="Y325" s="367"/>
      <c r="Z325" s="431"/>
    </row>
    <row r="326" ht="15.75" customHeight="1">
      <c r="H326" s="17"/>
      <c r="P326" s="17"/>
      <c r="S326" s="17"/>
      <c r="U326" s="17"/>
      <c r="W326" s="430"/>
      <c r="X326" s="260"/>
      <c r="Y326" s="367"/>
      <c r="Z326" s="431"/>
    </row>
    <row r="327" ht="15.75" customHeight="1">
      <c r="H327" s="17"/>
      <c r="P327" s="17"/>
      <c r="S327" s="17"/>
      <c r="U327" s="17"/>
      <c r="W327" s="430"/>
      <c r="X327" s="260"/>
      <c r="Y327" s="367"/>
      <c r="Z327" s="431"/>
    </row>
    <row r="328" ht="15.75" customHeight="1">
      <c r="H328" s="17"/>
      <c r="P328" s="17"/>
      <c r="S328" s="17"/>
      <c r="U328" s="17"/>
      <c r="W328" s="430"/>
      <c r="X328" s="260"/>
      <c r="Y328" s="367"/>
      <c r="Z328" s="431"/>
    </row>
    <row r="329" ht="15.75" customHeight="1">
      <c r="H329" s="17"/>
      <c r="P329" s="17"/>
      <c r="S329" s="17"/>
      <c r="U329" s="17"/>
      <c r="W329" s="430"/>
      <c r="X329" s="260"/>
      <c r="Y329" s="367"/>
      <c r="Z329" s="431"/>
    </row>
    <row r="330" ht="15.75" customHeight="1">
      <c r="H330" s="17"/>
      <c r="P330" s="17"/>
      <c r="S330" s="17"/>
      <c r="U330" s="17"/>
      <c r="W330" s="430"/>
      <c r="X330" s="260"/>
      <c r="Y330" s="367"/>
      <c r="Z330" s="431"/>
    </row>
    <row r="331" ht="15.75" customHeight="1">
      <c r="H331" s="17"/>
      <c r="P331" s="17"/>
      <c r="S331" s="17"/>
      <c r="U331" s="17"/>
      <c r="W331" s="430"/>
      <c r="X331" s="260"/>
      <c r="Y331" s="367"/>
      <c r="Z331" s="431"/>
    </row>
    <row r="332" ht="15.75" customHeight="1">
      <c r="H332" s="17"/>
      <c r="P332" s="17"/>
      <c r="S332" s="17"/>
      <c r="U332" s="17"/>
      <c r="W332" s="430"/>
      <c r="X332" s="260"/>
      <c r="Y332" s="367"/>
      <c r="Z332" s="431"/>
    </row>
    <row r="333" ht="15.75" customHeight="1">
      <c r="H333" s="17"/>
      <c r="P333" s="17"/>
      <c r="S333" s="17"/>
      <c r="U333" s="17"/>
      <c r="W333" s="430"/>
      <c r="X333" s="260"/>
      <c r="Y333" s="367"/>
      <c r="Z333" s="431"/>
    </row>
    <row r="334" ht="15.75" customHeight="1">
      <c r="H334" s="17"/>
      <c r="P334" s="17"/>
      <c r="S334" s="17"/>
      <c r="U334" s="17"/>
      <c r="W334" s="430"/>
      <c r="X334" s="260"/>
      <c r="Y334" s="367"/>
      <c r="Z334" s="431"/>
    </row>
    <row r="335" ht="15.75" customHeight="1">
      <c r="H335" s="17"/>
      <c r="P335" s="17"/>
      <c r="S335" s="17"/>
      <c r="U335" s="17"/>
      <c r="W335" s="430"/>
      <c r="X335" s="260"/>
      <c r="Y335" s="367"/>
      <c r="Z335" s="431"/>
    </row>
    <row r="336" ht="15.75" customHeight="1">
      <c r="H336" s="17"/>
      <c r="P336" s="17"/>
      <c r="S336" s="17"/>
      <c r="U336" s="17"/>
      <c r="W336" s="430"/>
      <c r="X336" s="260"/>
      <c r="Y336" s="367"/>
      <c r="Z336" s="431"/>
    </row>
    <row r="337" ht="15.75" customHeight="1">
      <c r="H337" s="17"/>
      <c r="P337" s="17"/>
      <c r="S337" s="17"/>
      <c r="U337" s="17"/>
      <c r="W337" s="430"/>
      <c r="X337" s="260"/>
      <c r="Y337" s="367"/>
      <c r="Z337" s="431"/>
    </row>
    <row r="338" ht="15.75" customHeight="1">
      <c r="H338" s="17"/>
      <c r="P338" s="17"/>
      <c r="S338" s="17"/>
      <c r="U338" s="17"/>
      <c r="W338" s="430"/>
      <c r="X338" s="260"/>
      <c r="Y338" s="367"/>
      <c r="Z338" s="431"/>
    </row>
    <row r="339" ht="15.75" customHeight="1">
      <c r="H339" s="17"/>
      <c r="P339" s="17"/>
      <c r="S339" s="17"/>
      <c r="U339" s="17"/>
      <c r="W339" s="430"/>
      <c r="X339" s="260"/>
      <c r="Y339" s="367"/>
      <c r="Z339" s="431"/>
    </row>
    <row r="340" ht="15.75" customHeight="1">
      <c r="H340" s="17"/>
      <c r="P340" s="17"/>
      <c r="S340" s="17"/>
      <c r="U340" s="17"/>
      <c r="W340" s="430"/>
      <c r="X340" s="260"/>
      <c r="Y340" s="367"/>
      <c r="Z340" s="431"/>
    </row>
    <row r="341" ht="15.75" customHeight="1">
      <c r="H341" s="17"/>
      <c r="P341" s="17"/>
      <c r="S341" s="17"/>
      <c r="U341" s="17"/>
      <c r="W341" s="430"/>
      <c r="X341" s="260"/>
      <c r="Y341" s="367"/>
      <c r="Z341" s="431"/>
    </row>
    <row r="342" ht="15.75" customHeight="1">
      <c r="H342" s="17"/>
      <c r="P342" s="17"/>
      <c r="S342" s="17"/>
      <c r="U342" s="17"/>
      <c r="W342" s="430"/>
      <c r="X342" s="260"/>
      <c r="Y342" s="367"/>
      <c r="Z342" s="431"/>
    </row>
    <row r="343" ht="15.75" customHeight="1">
      <c r="H343" s="17"/>
      <c r="P343" s="17"/>
      <c r="S343" s="17"/>
      <c r="U343" s="17"/>
      <c r="W343" s="430"/>
      <c r="X343" s="260"/>
      <c r="Y343" s="367"/>
      <c r="Z343" s="431"/>
    </row>
    <row r="344" ht="15.75" customHeight="1">
      <c r="H344" s="17"/>
      <c r="P344" s="17"/>
      <c r="S344" s="17"/>
      <c r="U344" s="17"/>
      <c r="W344" s="430"/>
      <c r="X344" s="260"/>
      <c r="Y344" s="367"/>
      <c r="Z344" s="431"/>
    </row>
    <row r="345" ht="15.75" customHeight="1">
      <c r="H345" s="17"/>
      <c r="P345" s="17"/>
      <c r="S345" s="17"/>
      <c r="U345" s="17"/>
      <c r="W345" s="430"/>
      <c r="X345" s="260"/>
      <c r="Y345" s="367"/>
      <c r="Z345" s="431"/>
    </row>
    <row r="346" ht="15.75" customHeight="1">
      <c r="H346" s="17"/>
      <c r="P346" s="17"/>
      <c r="S346" s="17"/>
      <c r="U346" s="17"/>
      <c r="W346" s="430"/>
      <c r="X346" s="260"/>
      <c r="Y346" s="367"/>
      <c r="Z346" s="431"/>
    </row>
    <row r="347" ht="15.75" customHeight="1">
      <c r="H347" s="17"/>
      <c r="P347" s="17"/>
      <c r="S347" s="17"/>
      <c r="U347" s="17"/>
      <c r="W347" s="430"/>
      <c r="X347" s="260"/>
      <c r="Y347" s="367"/>
      <c r="Z347" s="431"/>
    </row>
    <row r="348" ht="15.75" customHeight="1">
      <c r="H348" s="17"/>
      <c r="P348" s="17"/>
      <c r="S348" s="17"/>
      <c r="U348" s="17"/>
      <c r="W348" s="430"/>
      <c r="X348" s="260"/>
      <c r="Y348" s="367"/>
      <c r="Z348" s="431"/>
    </row>
    <row r="349" ht="15.75" customHeight="1">
      <c r="H349" s="17"/>
      <c r="P349" s="17"/>
      <c r="S349" s="17"/>
      <c r="U349" s="17"/>
      <c r="W349" s="430"/>
      <c r="X349" s="260"/>
      <c r="Y349" s="367"/>
      <c r="Z349" s="431"/>
    </row>
    <row r="350" ht="15.75" customHeight="1">
      <c r="H350" s="17"/>
      <c r="P350" s="17"/>
      <c r="S350" s="17"/>
      <c r="U350" s="17"/>
      <c r="W350" s="430"/>
      <c r="X350" s="260"/>
      <c r="Y350" s="367"/>
      <c r="Z350" s="431"/>
    </row>
    <row r="351" ht="15.75" customHeight="1">
      <c r="H351" s="17"/>
      <c r="P351" s="17"/>
      <c r="S351" s="17"/>
      <c r="U351" s="17"/>
      <c r="W351" s="430"/>
      <c r="X351" s="260"/>
      <c r="Y351" s="367"/>
      <c r="Z351" s="431"/>
    </row>
    <row r="352" ht="15.75" customHeight="1">
      <c r="H352" s="17"/>
      <c r="P352" s="17"/>
      <c r="S352" s="17"/>
      <c r="U352" s="17"/>
      <c r="W352" s="430"/>
      <c r="X352" s="260"/>
      <c r="Y352" s="367"/>
      <c r="Z352" s="431"/>
    </row>
    <row r="353" ht="15.75" customHeight="1">
      <c r="H353" s="17"/>
      <c r="P353" s="17"/>
      <c r="S353" s="17"/>
      <c r="U353" s="17"/>
      <c r="W353" s="430"/>
      <c r="X353" s="260"/>
      <c r="Y353" s="367"/>
      <c r="Z353" s="431"/>
    </row>
    <row r="354" ht="15.75" customHeight="1">
      <c r="H354" s="17"/>
      <c r="P354" s="17"/>
      <c r="S354" s="17"/>
      <c r="U354" s="17"/>
      <c r="W354" s="430"/>
      <c r="X354" s="260"/>
      <c r="Y354" s="367"/>
      <c r="Z354" s="431"/>
    </row>
    <row r="355" ht="15.75" customHeight="1">
      <c r="H355" s="17"/>
      <c r="P355" s="17"/>
      <c r="S355" s="17"/>
      <c r="U355" s="17"/>
      <c r="W355" s="430"/>
      <c r="X355" s="260"/>
      <c r="Y355" s="367"/>
      <c r="Z355" s="431"/>
    </row>
    <row r="356" ht="15.75" customHeight="1">
      <c r="H356" s="17"/>
      <c r="P356" s="17"/>
      <c r="S356" s="17"/>
      <c r="U356" s="17"/>
      <c r="W356" s="430"/>
      <c r="X356" s="260"/>
      <c r="Y356" s="367"/>
      <c r="Z356" s="431"/>
    </row>
    <row r="357" ht="15.75" customHeight="1">
      <c r="H357" s="17"/>
      <c r="P357" s="17"/>
      <c r="S357" s="17"/>
      <c r="U357" s="17"/>
      <c r="W357" s="430"/>
      <c r="X357" s="260"/>
      <c r="Y357" s="367"/>
      <c r="Z357" s="431"/>
    </row>
    <row r="358" ht="15.75" customHeight="1">
      <c r="H358" s="17"/>
      <c r="P358" s="17"/>
      <c r="S358" s="17"/>
      <c r="U358" s="17"/>
      <c r="W358" s="430"/>
      <c r="X358" s="260"/>
      <c r="Y358" s="367"/>
      <c r="Z358" s="431"/>
    </row>
    <row r="359" ht="15.75" customHeight="1">
      <c r="H359" s="17"/>
      <c r="P359" s="17"/>
      <c r="S359" s="17"/>
      <c r="U359" s="17"/>
      <c r="W359" s="430"/>
      <c r="X359" s="260"/>
      <c r="Y359" s="367"/>
      <c r="Z359" s="431"/>
    </row>
    <row r="360" ht="15.75" customHeight="1">
      <c r="H360" s="17"/>
      <c r="P360" s="17"/>
      <c r="S360" s="17"/>
      <c r="U360" s="17"/>
      <c r="W360" s="430"/>
      <c r="X360" s="260"/>
      <c r="Y360" s="367"/>
      <c r="Z360" s="431"/>
    </row>
    <row r="361" ht="15.75" customHeight="1">
      <c r="H361" s="17"/>
      <c r="P361" s="17"/>
      <c r="S361" s="17"/>
      <c r="U361" s="17"/>
      <c r="W361" s="430"/>
      <c r="X361" s="260"/>
      <c r="Y361" s="367"/>
      <c r="Z361" s="431"/>
    </row>
    <row r="362" ht="15.75" customHeight="1">
      <c r="H362" s="17"/>
      <c r="P362" s="17"/>
      <c r="S362" s="17"/>
      <c r="U362" s="17"/>
      <c r="W362" s="430"/>
      <c r="X362" s="260"/>
      <c r="Y362" s="367"/>
      <c r="Z362" s="431"/>
    </row>
    <row r="363" ht="15.75" customHeight="1">
      <c r="H363" s="17"/>
      <c r="P363" s="17"/>
      <c r="S363" s="17"/>
      <c r="U363" s="17"/>
      <c r="W363" s="430"/>
      <c r="X363" s="260"/>
      <c r="Y363" s="367"/>
      <c r="Z363" s="431"/>
    </row>
    <row r="364" ht="15.75" customHeight="1">
      <c r="H364" s="17"/>
      <c r="P364" s="17"/>
      <c r="S364" s="17"/>
      <c r="U364" s="17"/>
      <c r="W364" s="430"/>
      <c r="X364" s="260"/>
      <c r="Y364" s="367"/>
      <c r="Z364" s="431"/>
    </row>
    <row r="365" ht="15.75" customHeight="1">
      <c r="H365" s="17"/>
      <c r="P365" s="17"/>
      <c r="S365" s="17"/>
      <c r="U365" s="17"/>
      <c r="W365" s="430"/>
      <c r="X365" s="260"/>
      <c r="Y365" s="367"/>
      <c r="Z365" s="431"/>
    </row>
    <row r="366" ht="15.75" customHeight="1">
      <c r="H366" s="17"/>
      <c r="P366" s="17"/>
      <c r="S366" s="17"/>
      <c r="U366" s="17"/>
      <c r="W366" s="430"/>
      <c r="X366" s="260"/>
      <c r="Y366" s="367"/>
      <c r="Z366" s="431"/>
    </row>
    <row r="367" ht="15.75" customHeight="1">
      <c r="H367" s="17"/>
      <c r="P367" s="17"/>
      <c r="S367" s="17"/>
      <c r="U367" s="17"/>
      <c r="W367" s="430"/>
      <c r="X367" s="260"/>
      <c r="Y367" s="367"/>
      <c r="Z367" s="431"/>
    </row>
    <row r="368" ht="15.75" customHeight="1">
      <c r="H368" s="17"/>
      <c r="P368" s="17"/>
      <c r="S368" s="17"/>
      <c r="U368" s="17"/>
      <c r="W368" s="430"/>
      <c r="X368" s="260"/>
      <c r="Y368" s="367"/>
      <c r="Z368" s="431"/>
    </row>
    <row r="369" ht="15.75" customHeight="1">
      <c r="H369" s="17"/>
      <c r="P369" s="17"/>
      <c r="S369" s="17"/>
      <c r="U369" s="17"/>
      <c r="W369" s="430"/>
      <c r="X369" s="260"/>
      <c r="Y369" s="367"/>
      <c r="Z369" s="431"/>
    </row>
    <row r="370" ht="15.75" customHeight="1">
      <c r="H370" s="17"/>
      <c r="P370" s="17"/>
      <c r="S370" s="17"/>
      <c r="U370" s="17"/>
      <c r="W370" s="430"/>
      <c r="X370" s="260"/>
      <c r="Y370" s="367"/>
      <c r="Z370" s="431"/>
    </row>
    <row r="371" ht="15.75" customHeight="1">
      <c r="H371" s="17"/>
      <c r="P371" s="17"/>
      <c r="S371" s="17"/>
      <c r="U371" s="17"/>
      <c r="W371" s="430"/>
      <c r="X371" s="260"/>
      <c r="Y371" s="367"/>
      <c r="Z371" s="431"/>
    </row>
    <row r="372" ht="15.75" customHeight="1">
      <c r="H372" s="17"/>
      <c r="P372" s="17"/>
      <c r="S372" s="17"/>
      <c r="U372" s="17"/>
      <c r="W372" s="430"/>
      <c r="X372" s="260"/>
      <c r="Y372" s="367"/>
      <c r="Z372" s="431"/>
    </row>
    <row r="373" ht="15.75" customHeight="1">
      <c r="H373" s="17"/>
      <c r="P373" s="17"/>
      <c r="S373" s="17"/>
      <c r="U373" s="17"/>
      <c r="W373" s="430"/>
      <c r="X373" s="260"/>
      <c r="Y373" s="367"/>
      <c r="Z373" s="431"/>
    </row>
    <row r="374" ht="15.75" customHeight="1">
      <c r="H374" s="17"/>
      <c r="P374" s="17"/>
      <c r="S374" s="17"/>
      <c r="U374" s="17"/>
      <c r="W374" s="430"/>
      <c r="X374" s="260"/>
      <c r="Y374" s="367"/>
      <c r="Z374" s="431"/>
    </row>
    <row r="375" ht="15.75" customHeight="1">
      <c r="H375" s="17"/>
      <c r="P375" s="17"/>
      <c r="S375" s="17"/>
      <c r="U375" s="17"/>
      <c r="W375" s="430"/>
      <c r="X375" s="260"/>
      <c r="Y375" s="367"/>
      <c r="Z375" s="431"/>
    </row>
    <row r="376" ht="15.75" customHeight="1">
      <c r="H376" s="17"/>
      <c r="P376" s="17"/>
      <c r="S376" s="17"/>
      <c r="U376" s="17"/>
      <c r="W376" s="430"/>
      <c r="X376" s="260"/>
      <c r="Y376" s="367"/>
      <c r="Z376" s="431"/>
    </row>
    <row r="377" ht="15.75" customHeight="1">
      <c r="H377" s="17"/>
      <c r="P377" s="17"/>
      <c r="S377" s="17"/>
      <c r="U377" s="17"/>
      <c r="W377" s="430"/>
      <c r="X377" s="260"/>
      <c r="Y377" s="367"/>
      <c r="Z377" s="431"/>
    </row>
    <row r="378" ht="15.75" customHeight="1">
      <c r="H378" s="17"/>
      <c r="P378" s="17"/>
      <c r="S378" s="17"/>
      <c r="U378" s="17"/>
      <c r="W378" s="430"/>
      <c r="X378" s="260"/>
      <c r="Y378" s="367"/>
      <c r="Z378" s="431"/>
    </row>
    <row r="379" ht="15.75" customHeight="1">
      <c r="H379" s="17"/>
      <c r="P379" s="17"/>
      <c r="S379" s="17"/>
      <c r="U379" s="17"/>
      <c r="W379" s="430"/>
      <c r="X379" s="260"/>
      <c r="Y379" s="367"/>
      <c r="Z379" s="431"/>
    </row>
    <row r="380" ht="15.75" customHeight="1">
      <c r="H380" s="17"/>
      <c r="P380" s="17"/>
      <c r="S380" s="17"/>
      <c r="U380" s="17"/>
      <c r="W380" s="430"/>
      <c r="X380" s="260"/>
      <c r="Y380" s="367"/>
      <c r="Z380" s="431"/>
    </row>
    <row r="381" ht="15.75" customHeight="1">
      <c r="H381" s="17"/>
      <c r="P381" s="17"/>
      <c r="S381" s="17"/>
      <c r="U381" s="17"/>
      <c r="W381" s="430"/>
      <c r="X381" s="260"/>
      <c r="Y381" s="367"/>
      <c r="Z381" s="431"/>
    </row>
    <row r="382" ht="15.75" customHeight="1">
      <c r="H382" s="17"/>
      <c r="P382" s="17"/>
      <c r="S382" s="17"/>
      <c r="U382" s="17"/>
      <c r="W382" s="430"/>
      <c r="X382" s="260"/>
      <c r="Y382" s="367"/>
      <c r="Z382" s="431"/>
    </row>
    <row r="383" ht="15.75" customHeight="1">
      <c r="H383" s="17"/>
      <c r="P383" s="17"/>
      <c r="S383" s="17"/>
      <c r="U383" s="17"/>
      <c r="W383" s="430"/>
      <c r="X383" s="260"/>
      <c r="Y383" s="367"/>
      <c r="Z383" s="431"/>
    </row>
    <row r="384" ht="15.75" customHeight="1">
      <c r="H384" s="17"/>
      <c r="P384" s="17"/>
      <c r="S384" s="17"/>
      <c r="U384" s="17"/>
      <c r="W384" s="430"/>
      <c r="X384" s="260"/>
      <c r="Y384" s="367"/>
      <c r="Z384" s="431"/>
    </row>
    <row r="385" ht="15.75" customHeight="1">
      <c r="H385" s="17"/>
      <c r="P385" s="17"/>
      <c r="S385" s="17"/>
      <c r="U385" s="17"/>
      <c r="W385" s="430"/>
      <c r="X385" s="260"/>
      <c r="Y385" s="367"/>
      <c r="Z385" s="431"/>
    </row>
    <row r="386" ht="15.75" customHeight="1">
      <c r="H386" s="17"/>
      <c r="P386" s="17"/>
      <c r="S386" s="17"/>
      <c r="U386" s="17"/>
      <c r="W386" s="430"/>
      <c r="X386" s="260"/>
      <c r="Y386" s="367"/>
      <c r="Z386" s="431"/>
    </row>
    <row r="387" ht="15.75" customHeight="1">
      <c r="H387" s="17"/>
      <c r="P387" s="17"/>
      <c r="S387" s="17"/>
      <c r="U387" s="17"/>
      <c r="W387" s="430"/>
      <c r="X387" s="260"/>
      <c r="Y387" s="367"/>
      <c r="Z387" s="431"/>
    </row>
    <row r="388" ht="15.75" customHeight="1">
      <c r="H388" s="17"/>
      <c r="P388" s="17"/>
      <c r="S388" s="17"/>
      <c r="U388" s="17"/>
      <c r="W388" s="430"/>
      <c r="X388" s="260"/>
      <c r="Y388" s="367"/>
      <c r="Z388" s="431"/>
    </row>
    <row r="389" ht="15.75" customHeight="1">
      <c r="H389" s="17"/>
      <c r="P389" s="17"/>
      <c r="S389" s="17"/>
      <c r="U389" s="17"/>
      <c r="W389" s="430"/>
      <c r="X389" s="260"/>
      <c r="Y389" s="367"/>
      <c r="Z389" s="431"/>
    </row>
    <row r="390" ht="15.75" customHeight="1">
      <c r="H390" s="17"/>
      <c r="P390" s="17"/>
      <c r="S390" s="17"/>
      <c r="U390" s="17"/>
      <c r="W390" s="430"/>
      <c r="X390" s="260"/>
      <c r="Y390" s="367"/>
      <c r="Z390" s="431"/>
    </row>
    <row r="391" ht="15.75" customHeight="1">
      <c r="H391" s="17"/>
      <c r="P391" s="17"/>
      <c r="S391" s="17"/>
      <c r="U391" s="17"/>
      <c r="W391" s="430"/>
      <c r="X391" s="260"/>
      <c r="Y391" s="367"/>
      <c r="Z391" s="431"/>
    </row>
    <row r="392" ht="15.75" customHeight="1">
      <c r="H392" s="17"/>
      <c r="P392" s="17"/>
      <c r="S392" s="17"/>
      <c r="U392" s="17"/>
      <c r="W392" s="430"/>
      <c r="X392" s="260"/>
      <c r="Y392" s="367"/>
      <c r="Z392" s="431"/>
    </row>
    <row r="393" ht="15.75" customHeight="1">
      <c r="H393" s="17"/>
      <c r="P393" s="17"/>
      <c r="S393" s="17"/>
      <c r="U393" s="17"/>
      <c r="W393" s="430"/>
      <c r="X393" s="260"/>
      <c r="Y393" s="367"/>
      <c r="Z393" s="431"/>
    </row>
    <row r="394" ht="15.75" customHeight="1">
      <c r="H394" s="17"/>
      <c r="P394" s="17"/>
      <c r="S394" s="17"/>
      <c r="U394" s="17"/>
      <c r="W394" s="430"/>
      <c r="X394" s="260"/>
      <c r="Y394" s="367"/>
      <c r="Z394" s="431"/>
    </row>
    <row r="395" ht="15.75" customHeight="1">
      <c r="H395" s="17"/>
      <c r="P395" s="17"/>
      <c r="S395" s="17"/>
      <c r="U395" s="17"/>
      <c r="W395" s="430"/>
      <c r="X395" s="260"/>
      <c r="Y395" s="367"/>
      <c r="Z395" s="431"/>
    </row>
    <row r="396" ht="15.75" customHeight="1">
      <c r="H396" s="17"/>
      <c r="P396" s="17"/>
      <c r="S396" s="17"/>
      <c r="U396" s="17"/>
      <c r="W396" s="430"/>
      <c r="X396" s="260"/>
      <c r="Y396" s="367"/>
      <c r="Z396" s="431"/>
    </row>
    <row r="397" ht="15.75" customHeight="1">
      <c r="H397" s="17"/>
      <c r="P397" s="17"/>
      <c r="S397" s="17"/>
      <c r="U397" s="17"/>
      <c r="W397" s="430"/>
      <c r="X397" s="260"/>
      <c r="Y397" s="367"/>
      <c r="Z397" s="431"/>
    </row>
    <row r="398" ht="15.75" customHeight="1">
      <c r="H398" s="17"/>
      <c r="P398" s="17"/>
      <c r="S398" s="17"/>
      <c r="U398" s="17"/>
      <c r="W398" s="430"/>
      <c r="X398" s="260"/>
      <c r="Y398" s="367"/>
      <c r="Z398" s="431"/>
    </row>
    <row r="399" ht="15.75" customHeight="1">
      <c r="H399" s="17"/>
      <c r="P399" s="17"/>
      <c r="S399" s="17"/>
      <c r="U399" s="17"/>
      <c r="W399" s="430"/>
      <c r="X399" s="260"/>
      <c r="Y399" s="367"/>
      <c r="Z399" s="431"/>
    </row>
    <row r="400" ht="15.75" customHeight="1">
      <c r="H400" s="17"/>
      <c r="P400" s="17"/>
      <c r="S400" s="17"/>
      <c r="U400" s="17"/>
      <c r="W400" s="430"/>
      <c r="X400" s="260"/>
      <c r="Y400" s="367"/>
      <c r="Z400" s="431"/>
    </row>
    <row r="401" ht="15.75" customHeight="1">
      <c r="H401" s="17"/>
      <c r="P401" s="17"/>
      <c r="S401" s="17"/>
      <c r="U401" s="17"/>
      <c r="W401" s="430"/>
      <c r="X401" s="260"/>
      <c r="Y401" s="367"/>
      <c r="Z401" s="431"/>
    </row>
    <row r="402" ht="15.75" customHeight="1">
      <c r="H402" s="17"/>
      <c r="P402" s="17"/>
      <c r="S402" s="17"/>
      <c r="U402" s="17"/>
      <c r="W402" s="430"/>
      <c r="X402" s="260"/>
      <c r="Y402" s="367"/>
      <c r="Z402" s="431"/>
    </row>
    <row r="403" ht="15.75" customHeight="1">
      <c r="H403" s="17"/>
      <c r="P403" s="17"/>
      <c r="S403" s="17"/>
      <c r="U403" s="17"/>
      <c r="W403" s="430"/>
      <c r="X403" s="260"/>
      <c r="Y403" s="367"/>
      <c r="Z403" s="431"/>
    </row>
    <row r="404" ht="15.75" customHeight="1">
      <c r="H404" s="17"/>
      <c r="P404" s="17"/>
      <c r="S404" s="17"/>
      <c r="U404" s="17"/>
      <c r="W404" s="430"/>
      <c r="X404" s="260"/>
      <c r="Y404" s="367"/>
      <c r="Z404" s="431"/>
    </row>
    <row r="405" ht="15.75" customHeight="1">
      <c r="H405" s="17"/>
      <c r="P405" s="17"/>
      <c r="S405" s="17"/>
      <c r="U405" s="17"/>
      <c r="W405" s="430"/>
      <c r="X405" s="260"/>
      <c r="Y405" s="367"/>
      <c r="Z405" s="431"/>
    </row>
    <row r="406" ht="15.75" customHeight="1">
      <c r="H406" s="17"/>
      <c r="P406" s="17"/>
      <c r="S406" s="17"/>
      <c r="U406" s="17"/>
      <c r="W406" s="430"/>
      <c r="X406" s="260"/>
      <c r="Y406" s="367"/>
      <c r="Z406" s="431"/>
    </row>
    <row r="407" ht="15.75" customHeight="1">
      <c r="H407" s="17"/>
      <c r="P407" s="17"/>
      <c r="S407" s="17"/>
      <c r="U407" s="17"/>
      <c r="W407" s="430"/>
      <c r="X407" s="260"/>
      <c r="Y407" s="367"/>
      <c r="Z407" s="431"/>
    </row>
    <row r="408" ht="15.75" customHeight="1">
      <c r="H408" s="17"/>
      <c r="P408" s="17"/>
      <c r="S408" s="17"/>
      <c r="U408" s="17"/>
      <c r="W408" s="430"/>
      <c r="X408" s="260"/>
      <c r="Y408" s="367"/>
      <c r="Z408" s="431"/>
    </row>
    <row r="409" ht="15.75" customHeight="1">
      <c r="H409" s="17"/>
      <c r="P409" s="17"/>
      <c r="S409" s="17"/>
      <c r="U409" s="17"/>
      <c r="W409" s="430"/>
      <c r="X409" s="260"/>
      <c r="Y409" s="367"/>
      <c r="Z409" s="431"/>
    </row>
    <row r="410" ht="15.75" customHeight="1">
      <c r="H410" s="17"/>
      <c r="P410" s="17"/>
      <c r="S410" s="17"/>
      <c r="U410" s="17"/>
      <c r="W410" s="430"/>
      <c r="X410" s="260"/>
      <c r="Y410" s="367"/>
      <c r="Z410" s="431"/>
    </row>
    <row r="411" ht="15.75" customHeight="1">
      <c r="H411" s="17"/>
      <c r="P411" s="17"/>
      <c r="S411" s="17"/>
      <c r="U411" s="17"/>
      <c r="W411" s="430"/>
      <c r="X411" s="260"/>
      <c r="Y411" s="367"/>
      <c r="Z411" s="431"/>
    </row>
    <row r="412" ht="15.75" customHeight="1">
      <c r="H412" s="17"/>
      <c r="P412" s="17"/>
      <c r="S412" s="17"/>
      <c r="U412" s="17"/>
      <c r="W412" s="430"/>
      <c r="X412" s="260"/>
      <c r="Y412" s="367"/>
      <c r="Z412" s="431"/>
    </row>
    <row r="413" ht="15.75" customHeight="1">
      <c r="H413" s="17"/>
      <c r="P413" s="17"/>
      <c r="S413" s="17"/>
      <c r="U413" s="17"/>
      <c r="W413" s="430"/>
      <c r="X413" s="260"/>
      <c r="Y413" s="367"/>
      <c r="Z413" s="431"/>
    </row>
    <row r="414" ht="15.75" customHeight="1">
      <c r="H414" s="17"/>
      <c r="P414" s="17"/>
      <c r="S414" s="17"/>
      <c r="U414" s="17"/>
      <c r="W414" s="430"/>
      <c r="X414" s="260"/>
      <c r="Y414" s="367"/>
      <c r="Z414" s="431"/>
    </row>
    <row r="415" ht="15.75" customHeight="1">
      <c r="H415" s="17"/>
      <c r="P415" s="17"/>
      <c r="S415" s="17"/>
      <c r="U415" s="17"/>
      <c r="W415" s="430"/>
      <c r="X415" s="260"/>
      <c r="Y415" s="367"/>
      <c r="Z415" s="431"/>
    </row>
    <row r="416" ht="15.75" customHeight="1">
      <c r="H416" s="17"/>
      <c r="P416" s="17"/>
      <c r="S416" s="17"/>
      <c r="U416" s="17"/>
      <c r="W416" s="430"/>
      <c r="X416" s="260"/>
      <c r="Y416" s="367"/>
      <c r="Z416" s="431"/>
    </row>
    <row r="417" ht="15.75" customHeight="1">
      <c r="H417" s="17"/>
      <c r="P417" s="17"/>
      <c r="S417" s="17"/>
      <c r="U417" s="17"/>
      <c r="W417" s="430"/>
      <c r="X417" s="260"/>
      <c r="Y417" s="367"/>
      <c r="Z417" s="431"/>
    </row>
    <row r="418" ht="15.75" customHeight="1">
      <c r="H418" s="17"/>
      <c r="P418" s="17"/>
      <c r="S418" s="17"/>
      <c r="U418" s="17"/>
      <c r="W418" s="430"/>
      <c r="X418" s="260"/>
      <c r="Y418" s="367"/>
      <c r="Z418" s="431"/>
    </row>
    <row r="419" ht="15.75" customHeight="1">
      <c r="H419" s="17"/>
      <c r="P419" s="17"/>
      <c r="S419" s="17"/>
      <c r="U419" s="17"/>
      <c r="W419" s="430"/>
      <c r="X419" s="260"/>
      <c r="Y419" s="367"/>
      <c r="Z419" s="431"/>
    </row>
    <row r="420" ht="15.75" customHeight="1">
      <c r="H420" s="17"/>
      <c r="P420" s="17"/>
      <c r="S420" s="17"/>
      <c r="U420" s="17"/>
      <c r="W420" s="430"/>
      <c r="X420" s="260"/>
      <c r="Y420" s="367"/>
      <c r="Z420" s="431"/>
    </row>
    <row r="421" ht="15.75" customHeight="1">
      <c r="H421" s="17"/>
      <c r="P421" s="17"/>
      <c r="S421" s="17"/>
      <c r="U421" s="17"/>
      <c r="W421" s="430"/>
      <c r="X421" s="260"/>
      <c r="Y421" s="367"/>
      <c r="Z421" s="431"/>
    </row>
    <row r="422" ht="15.75" customHeight="1">
      <c r="H422" s="17"/>
      <c r="P422" s="17"/>
      <c r="S422" s="17"/>
      <c r="U422" s="17"/>
      <c r="W422" s="430"/>
      <c r="X422" s="260"/>
      <c r="Y422" s="367"/>
      <c r="Z422" s="431"/>
    </row>
    <row r="423" ht="15.75" customHeight="1">
      <c r="H423" s="17"/>
      <c r="P423" s="17"/>
      <c r="S423" s="17"/>
      <c r="U423" s="17"/>
      <c r="W423" s="430"/>
      <c r="X423" s="260"/>
      <c r="Y423" s="367"/>
      <c r="Z423" s="431"/>
    </row>
    <row r="424" ht="15.75" customHeight="1">
      <c r="H424" s="17"/>
      <c r="P424" s="17"/>
      <c r="S424" s="17"/>
      <c r="U424" s="17"/>
      <c r="W424" s="430"/>
      <c r="X424" s="260"/>
      <c r="Y424" s="367"/>
      <c r="Z424" s="431"/>
    </row>
    <row r="425" ht="15.75" customHeight="1">
      <c r="H425" s="17"/>
      <c r="P425" s="17"/>
      <c r="S425" s="17"/>
      <c r="U425" s="17"/>
      <c r="W425" s="430"/>
      <c r="X425" s="260"/>
      <c r="Y425" s="367"/>
      <c r="Z425" s="431"/>
    </row>
    <row r="426" ht="15.75" customHeight="1">
      <c r="H426" s="17"/>
      <c r="P426" s="17"/>
      <c r="S426" s="17"/>
      <c r="U426" s="17"/>
      <c r="W426" s="430"/>
      <c r="X426" s="260"/>
      <c r="Y426" s="367"/>
      <c r="Z426" s="431"/>
    </row>
    <row r="427" ht="15.75" customHeight="1">
      <c r="H427" s="17"/>
      <c r="P427" s="17"/>
      <c r="S427" s="17"/>
      <c r="U427" s="17"/>
      <c r="W427" s="430"/>
      <c r="X427" s="260"/>
      <c r="Y427" s="367"/>
      <c r="Z427" s="431"/>
    </row>
    <row r="428" ht="15.75" customHeight="1">
      <c r="H428" s="17"/>
      <c r="P428" s="17"/>
      <c r="S428" s="17"/>
      <c r="U428" s="17"/>
      <c r="W428" s="430"/>
      <c r="X428" s="260"/>
      <c r="Y428" s="367"/>
      <c r="Z428" s="431"/>
    </row>
    <row r="429" ht="15.75" customHeight="1">
      <c r="H429" s="17"/>
      <c r="P429" s="17"/>
      <c r="S429" s="17"/>
      <c r="U429" s="17"/>
      <c r="W429" s="430"/>
      <c r="X429" s="260"/>
      <c r="Y429" s="367"/>
      <c r="Z429" s="431"/>
    </row>
    <row r="430" ht="15.75" customHeight="1">
      <c r="H430" s="17"/>
      <c r="P430" s="17"/>
      <c r="S430" s="17"/>
      <c r="U430" s="17"/>
      <c r="W430" s="430"/>
      <c r="X430" s="260"/>
      <c r="Y430" s="367"/>
      <c r="Z430" s="431"/>
    </row>
    <row r="431" ht="15.75" customHeight="1">
      <c r="H431" s="17"/>
      <c r="P431" s="17"/>
      <c r="S431" s="17"/>
      <c r="U431" s="17"/>
      <c r="W431" s="430"/>
      <c r="X431" s="260"/>
      <c r="Y431" s="367"/>
      <c r="Z431" s="431"/>
    </row>
    <row r="432" ht="15.75" customHeight="1">
      <c r="H432" s="17"/>
      <c r="P432" s="17"/>
      <c r="S432" s="17"/>
      <c r="U432" s="17"/>
      <c r="W432" s="430"/>
      <c r="X432" s="260"/>
      <c r="Y432" s="367"/>
      <c r="Z432" s="431"/>
    </row>
    <row r="433" ht="15.75" customHeight="1">
      <c r="H433" s="17"/>
      <c r="P433" s="17"/>
      <c r="S433" s="17"/>
      <c r="U433" s="17"/>
      <c r="W433" s="430"/>
      <c r="X433" s="260"/>
      <c r="Y433" s="367"/>
      <c r="Z433" s="431"/>
    </row>
    <row r="434" ht="15.75" customHeight="1">
      <c r="H434" s="17"/>
      <c r="P434" s="17"/>
      <c r="S434" s="17"/>
      <c r="U434" s="17"/>
      <c r="W434" s="430"/>
      <c r="X434" s="260"/>
      <c r="Y434" s="367"/>
      <c r="Z434" s="431"/>
    </row>
    <row r="435" ht="15.75" customHeight="1">
      <c r="H435" s="17"/>
      <c r="P435" s="17"/>
      <c r="S435" s="17"/>
      <c r="U435" s="17"/>
      <c r="W435" s="430"/>
      <c r="X435" s="260"/>
      <c r="Y435" s="367"/>
      <c r="Z435" s="431"/>
    </row>
    <row r="436" ht="15.75" customHeight="1">
      <c r="H436" s="17"/>
      <c r="P436" s="17"/>
      <c r="S436" s="17"/>
      <c r="U436" s="17"/>
      <c r="W436" s="430"/>
      <c r="X436" s="260"/>
      <c r="Y436" s="367"/>
      <c r="Z436" s="431"/>
    </row>
    <row r="437" ht="15.75" customHeight="1">
      <c r="H437" s="17"/>
      <c r="P437" s="17"/>
      <c r="S437" s="17"/>
      <c r="U437" s="17"/>
      <c r="W437" s="430"/>
      <c r="X437" s="260"/>
      <c r="Y437" s="367"/>
      <c r="Z437" s="431"/>
    </row>
    <row r="438" ht="15.75" customHeight="1">
      <c r="H438" s="17"/>
      <c r="P438" s="17"/>
      <c r="S438" s="17"/>
      <c r="U438" s="17"/>
      <c r="W438" s="430"/>
      <c r="X438" s="260"/>
      <c r="Y438" s="367"/>
      <c r="Z438" s="431"/>
    </row>
    <row r="439" ht="15.75" customHeight="1">
      <c r="H439" s="17"/>
      <c r="P439" s="17"/>
      <c r="S439" s="17"/>
      <c r="U439" s="17"/>
      <c r="W439" s="430"/>
      <c r="X439" s="260"/>
      <c r="Y439" s="367"/>
      <c r="Z439" s="431"/>
    </row>
    <row r="440" ht="15.75" customHeight="1">
      <c r="H440" s="17"/>
      <c r="P440" s="17"/>
      <c r="S440" s="17"/>
      <c r="U440" s="17"/>
      <c r="W440" s="430"/>
      <c r="X440" s="260"/>
      <c r="Y440" s="367"/>
      <c r="Z440" s="431"/>
    </row>
    <row r="441" ht="15.75" customHeight="1">
      <c r="H441" s="17"/>
      <c r="P441" s="17"/>
      <c r="S441" s="17"/>
      <c r="U441" s="17"/>
      <c r="W441" s="430"/>
      <c r="X441" s="260"/>
      <c r="Y441" s="367"/>
      <c r="Z441" s="431"/>
    </row>
    <row r="442" ht="15.75" customHeight="1">
      <c r="H442" s="17"/>
      <c r="P442" s="17"/>
      <c r="S442" s="17"/>
      <c r="U442" s="17"/>
      <c r="W442" s="430"/>
      <c r="X442" s="260"/>
      <c r="Y442" s="367"/>
      <c r="Z442" s="431"/>
    </row>
    <row r="443" ht="15.75" customHeight="1">
      <c r="H443" s="17"/>
      <c r="P443" s="17"/>
      <c r="S443" s="17"/>
      <c r="U443" s="17"/>
      <c r="W443" s="430"/>
      <c r="X443" s="260"/>
      <c r="Y443" s="367"/>
      <c r="Z443" s="431"/>
    </row>
    <row r="444" ht="15.75" customHeight="1">
      <c r="H444" s="17"/>
      <c r="P444" s="17"/>
      <c r="S444" s="17"/>
      <c r="U444" s="17"/>
      <c r="W444" s="430"/>
      <c r="X444" s="260"/>
      <c r="Y444" s="367"/>
      <c r="Z444" s="431"/>
    </row>
    <row r="445" ht="15.75" customHeight="1">
      <c r="H445" s="17"/>
      <c r="P445" s="17"/>
      <c r="S445" s="17"/>
      <c r="U445" s="17"/>
      <c r="W445" s="430"/>
      <c r="X445" s="260"/>
      <c r="Y445" s="367"/>
      <c r="Z445" s="431"/>
    </row>
    <row r="446" ht="15.75" customHeight="1">
      <c r="H446" s="17"/>
      <c r="P446" s="17"/>
      <c r="S446" s="17"/>
      <c r="U446" s="17"/>
      <c r="W446" s="430"/>
      <c r="X446" s="260"/>
      <c r="Y446" s="367"/>
      <c r="Z446" s="431"/>
    </row>
    <row r="447" ht="15.75" customHeight="1">
      <c r="H447" s="17"/>
      <c r="P447" s="17"/>
      <c r="S447" s="17"/>
      <c r="U447" s="17"/>
      <c r="W447" s="430"/>
      <c r="X447" s="260"/>
      <c r="Y447" s="367"/>
      <c r="Z447" s="431"/>
    </row>
    <row r="448" ht="15.75" customHeight="1">
      <c r="H448" s="17"/>
      <c r="P448" s="17"/>
      <c r="S448" s="17"/>
      <c r="U448" s="17"/>
      <c r="W448" s="430"/>
      <c r="X448" s="260"/>
      <c r="Y448" s="367"/>
      <c r="Z448" s="431"/>
    </row>
    <row r="449" ht="15.75" customHeight="1">
      <c r="H449" s="17"/>
      <c r="P449" s="17"/>
      <c r="S449" s="17"/>
      <c r="U449" s="17"/>
      <c r="W449" s="430"/>
      <c r="X449" s="260"/>
      <c r="Y449" s="367"/>
      <c r="Z449" s="431"/>
    </row>
    <row r="450" ht="15.75" customHeight="1">
      <c r="H450" s="17"/>
      <c r="P450" s="17"/>
      <c r="S450" s="17"/>
      <c r="U450" s="17"/>
      <c r="W450" s="430"/>
      <c r="X450" s="260"/>
      <c r="Y450" s="367"/>
      <c r="Z450" s="431"/>
    </row>
    <row r="451" ht="15.75" customHeight="1">
      <c r="H451" s="17"/>
      <c r="P451" s="17"/>
      <c r="S451" s="17"/>
      <c r="U451" s="17"/>
      <c r="W451" s="430"/>
      <c r="X451" s="260"/>
      <c r="Y451" s="367"/>
      <c r="Z451" s="431"/>
    </row>
    <row r="452" ht="15.75" customHeight="1">
      <c r="H452" s="17"/>
      <c r="P452" s="17"/>
      <c r="S452" s="17"/>
      <c r="U452" s="17"/>
      <c r="W452" s="430"/>
      <c r="X452" s="260"/>
      <c r="Y452" s="367"/>
      <c r="Z452" s="431"/>
    </row>
    <row r="453" ht="15.75" customHeight="1">
      <c r="H453" s="17"/>
      <c r="P453" s="17"/>
      <c r="S453" s="17"/>
      <c r="U453" s="17"/>
      <c r="W453" s="430"/>
      <c r="X453" s="260"/>
      <c r="Y453" s="367"/>
      <c r="Z453" s="431"/>
    </row>
    <row r="454" ht="15.75" customHeight="1">
      <c r="H454" s="17"/>
      <c r="P454" s="17"/>
      <c r="S454" s="17"/>
      <c r="U454" s="17"/>
      <c r="W454" s="430"/>
      <c r="X454" s="260"/>
      <c r="Y454" s="367"/>
      <c r="Z454" s="431"/>
    </row>
    <row r="455" ht="15.75" customHeight="1">
      <c r="H455" s="17"/>
      <c r="P455" s="17"/>
      <c r="S455" s="17"/>
      <c r="U455" s="17"/>
      <c r="W455" s="430"/>
      <c r="X455" s="260"/>
      <c r="Y455" s="367"/>
      <c r="Z455" s="431"/>
    </row>
    <row r="456" ht="15.75" customHeight="1">
      <c r="H456" s="17"/>
      <c r="P456" s="17"/>
      <c r="S456" s="17"/>
      <c r="U456" s="17"/>
      <c r="W456" s="430"/>
      <c r="X456" s="260"/>
      <c r="Y456" s="367"/>
      <c r="Z456" s="431"/>
    </row>
    <row r="457" ht="15.75" customHeight="1">
      <c r="H457" s="17"/>
      <c r="P457" s="17"/>
      <c r="S457" s="17"/>
      <c r="U457" s="17"/>
      <c r="W457" s="430"/>
      <c r="X457" s="260"/>
      <c r="Y457" s="367"/>
      <c r="Z457" s="431"/>
    </row>
    <row r="458" ht="15.75" customHeight="1">
      <c r="H458" s="17"/>
      <c r="P458" s="17"/>
      <c r="S458" s="17"/>
      <c r="U458" s="17"/>
      <c r="W458" s="430"/>
      <c r="X458" s="260"/>
      <c r="Y458" s="367"/>
      <c r="Z458" s="431"/>
    </row>
    <row r="459" ht="15.75" customHeight="1">
      <c r="H459" s="17"/>
      <c r="P459" s="17"/>
      <c r="S459" s="17"/>
      <c r="U459" s="17"/>
      <c r="W459" s="430"/>
      <c r="X459" s="260"/>
      <c r="Y459" s="367"/>
      <c r="Z459" s="431"/>
    </row>
    <row r="460" ht="15.75" customHeight="1">
      <c r="H460" s="17"/>
      <c r="P460" s="17"/>
      <c r="S460" s="17"/>
      <c r="U460" s="17"/>
      <c r="W460" s="430"/>
      <c r="X460" s="260"/>
      <c r="Y460" s="367"/>
      <c r="Z460" s="431"/>
    </row>
    <row r="461" ht="15.75" customHeight="1">
      <c r="H461" s="17"/>
      <c r="P461" s="17"/>
      <c r="S461" s="17"/>
      <c r="U461" s="17"/>
      <c r="W461" s="430"/>
      <c r="X461" s="260"/>
      <c r="Y461" s="367"/>
      <c r="Z461" s="431"/>
    </row>
    <row r="462" ht="15.75" customHeight="1">
      <c r="H462" s="17"/>
      <c r="P462" s="17"/>
      <c r="S462" s="17"/>
      <c r="U462" s="17"/>
      <c r="W462" s="430"/>
      <c r="X462" s="260"/>
      <c r="Y462" s="367"/>
      <c r="Z462" s="431"/>
    </row>
    <row r="463" ht="15.75" customHeight="1">
      <c r="H463" s="17"/>
      <c r="P463" s="17"/>
      <c r="S463" s="17"/>
      <c r="U463" s="17"/>
      <c r="W463" s="430"/>
      <c r="X463" s="260"/>
      <c r="Y463" s="367"/>
      <c r="Z463" s="431"/>
    </row>
    <row r="464" ht="15.75" customHeight="1">
      <c r="H464" s="17"/>
      <c r="P464" s="17"/>
      <c r="S464" s="17"/>
      <c r="U464" s="17"/>
      <c r="W464" s="430"/>
      <c r="X464" s="260"/>
      <c r="Y464" s="367"/>
      <c r="Z464" s="431"/>
    </row>
    <row r="465" ht="15.75" customHeight="1">
      <c r="H465" s="17"/>
      <c r="P465" s="17"/>
      <c r="S465" s="17"/>
      <c r="U465" s="17"/>
      <c r="W465" s="430"/>
      <c r="X465" s="260"/>
      <c r="Y465" s="367"/>
      <c r="Z465" s="431"/>
    </row>
    <row r="466" ht="15.75" customHeight="1">
      <c r="H466" s="17"/>
      <c r="P466" s="17"/>
      <c r="S466" s="17"/>
      <c r="U466" s="17"/>
      <c r="W466" s="430"/>
      <c r="X466" s="260"/>
      <c r="Y466" s="367"/>
      <c r="Z466" s="431"/>
    </row>
    <row r="467" ht="15.75" customHeight="1">
      <c r="H467" s="17"/>
      <c r="P467" s="17"/>
      <c r="S467" s="17"/>
      <c r="U467" s="17"/>
      <c r="W467" s="430"/>
      <c r="X467" s="260"/>
      <c r="Y467" s="367"/>
      <c r="Z467" s="431"/>
    </row>
    <row r="468" ht="15.75" customHeight="1">
      <c r="H468" s="17"/>
      <c r="P468" s="17"/>
      <c r="S468" s="17"/>
      <c r="U468" s="17"/>
      <c r="W468" s="430"/>
      <c r="X468" s="260"/>
      <c r="Y468" s="367"/>
      <c r="Z468" s="431"/>
    </row>
    <row r="469" ht="15.75" customHeight="1">
      <c r="H469" s="17"/>
      <c r="P469" s="17"/>
      <c r="S469" s="17"/>
      <c r="U469" s="17"/>
      <c r="W469" s="430"/>
      <c r="X469" s="260"/>
      <c r="Y469" s="367"/>
      <c r="Z469" s="431"/>
    </row>
    <row r="470" ht="15.75" customHeight="1">
      <c r="H470" s="17"/>
      <c r="P470" s="17"/>
      <c r="S470" s="17"/>
      <c r="U470" s="17"/>
      <c r="W470" s="430"/>
      <c r="X470" s="260"/>
      <c r="Y470" s="367"/>
      <c r="Z470" s="431"/>
    </row>
    <row r="471" ht="15.75" customHeight="1">
      <c r="H471" s="17"/>
      <c r="P471" s="17"/>
      <c r="S471" s="17"/>
      <c r="U471" s="17"/>
      <c r="W471" s="430"/>
      <c r="X471" s="260"/>
      <c r="Y471" s="367"/>
      <c r="Z471" s="431"/>
    </row>
    <row r="472" ht="15.75" customHeight="1">
      <c r="H472" s="17"/>
      <c r="P472" s="17"/>
      <c r="S472" s="17"/>
      <c r="U472" s="17"/>
      <c r="W472" s="430"/>
      <c r="X472" s="260"/>
      <c r="Y472" s="367"/>
      <c r="Z472" s="431"/>
    </row>
    <row r="473" ht="15.75" customHeight="1">
      <c r="H473" s="17"/>
      <c r="P473" s="17"/>
      <c r="S473" s="17"/>
      <c r="U473" s="17"/>
      <c r="W473" s="430"/>
      <c r="X473" s="260"/>
      <c r="Y473" s="367"/>
      <c r="Z473" s="431"/>
    </row>
    <row r="474" ht="15.75" customHeight="1">
      <c r="H474" s="17"/>
      <c r="P474" s="17"/>
      <c r="S474" s="17"/>
      <c r="U474" s="17"/>
      <c r="W474" s="430"/>
      <c r="X474" s="260"/>
      <c r="Y474" s="367"/>
      <c r="Z474" s="431"/>
    </row>
    <row r="475" ht="15.75" customHeight="1">
      <c r="H475" s="17"/>
      <c r="P475" s="17"/>
      <c r="S475" s="17"/>
      <c r="U475" s="17"/>
      <c r="W475" s="430"/>
      <c r="X475" s="260"/>
      <c r="Y475" s="367"/>
      <c r="Z475" s="431"/>
    </row>
    <row r="476" ht="15.75" customHeight="1">
      <c r="H476" s="17"/>
      <c r="P476" s="17"/>
      <c r="S476" s="17"/>
      <c r="U476" s="17"/>
      <c r="W476" s="430"/>
      <c r="X476" s="260"/>
      <c r="Y476" s="367"/>
      <c r="Z476" s="431"/>
    </row>
    <row r="477" ht="15.75" customHeight="1">
      <c r="H477" s="17"/>
      <c r="P477" s="17"/>
      <c r="S477" s="17"/>
      <c r="U477" s="17"/>
      <c r="W477" s="430"/>
      <c r="X477" s="260"/>
      <c r="Y477" s="367"/>
      <c r="Z477" s="431"/>
    </row>
    <row r="478" ht="15.75" customHeight="1">
      <c r="H478" s="17"/>
      <c r="P478" s="17"/>
      <c r="S478" s="17"/>
      <c r="U478" s="17"/>
      <c r="W478" s="430"/>
      <c r="X478" s="260"/>
      <c r="Y478" s="367"/>
      <c r="Z478" s="431"/>
    </row>
    <row r="479" ht="15.75" customHeight="1">
      <c r="H479" s="17"/>
      <c r="P479" s="17"/>
      <c r="S479" s="17"/>
      <c r="U479" s="17"/>
      <c r="W479" s="430"/>
      <c r="X479" s="260"/>
      <c r="Y479" s="367"/>
      <c r="Z479" s="431"/>
    </row>
    <row r="480" ht="15.75" customHeight="1">
      <c r="H480" s="17"/>
      <c r="P480" s="17"/>
      <c r="S480" s="17"/>
      <c r="U480" s="17"/>
      <c r="W480" s="430"/>
      <c r="X480" s="260"/>
      <c r="Y480" s="367"/>
      <c r="Z480" s="431"/>
    </row>
    <row r="481" ht="15.75" customHeight="1">
      <c r="H481" s="17"/>
      <c r="P481" s="17"/>
      <c r="S481" s="17"/>
      <c r="U481" s="17"/>
      <c r="W481" s="430"/>
      <c r="X481" s="260"/>
      <c r="Y481" s="367"/>
      <c r="Z481" s="431"/>
    </row>
    <row r="482" ht="15.75" customHeight="1">
      <c r="H482" s="17"/>
      <c r="P482" s="17"/>
      <c r="S482" s="17"/>
      <c r="U482" s="17"/>
      <c r="W482" s="430"/>
      <c r="X482" s="260"/>
      <c r="Y482" s="367"/>
      <c r="Z482" s="431"/>
    </row>
    <row r="483" ht="15.75" customHeight="1">
      <c r="H483" s="17"/>
      <c r="P483" s="17"/>
      <c r="S483" s="17"/>
      <c r="U483" s="17"/>
      <c r="W483" s="430"/>
      <c r="X483" s="260"/>
      <c r="Y483" s="367"/>
      <c r="Z483" s="431"/>
    </row>
    <row r="484" ht="15.75" customHeight="1">
      <c r="H484" s="17"/>
      <c r="P484" s="17"/>
      <c r="S484" s="17"/>
      <c r="U484" s="17"/>
      <c r="W484" s="430"/>
      <c r="X484" s="260"/>
      <c r="Y484" s="367"/>
      <c r="Z484" s="431"/>
    </row>
    <row r="485" ht="15.75" customHeight="1">
      <c r="H485" s="17"/>
      <c r="P485" s="17"/>
      <c r="S485" s="17"/>
      <c r="U485" s="17"/>
      <c r="W485" s="430"/>
      <c r="X485" s="260"/>
      <c r="Y485" s="367"/>
      <c r="Z485" s="431"/>
    </row>
    <row r="486" ht="15.75" customHeight="1">
      <c r="H486" s="17"/>
      <c r="P486" s="17"/>
      <c r="S486" s="17"/>
      <c r="U486" s="17"/>
      <c r="W486" s="430"/>
      <c r="X486" s="260"/>
      <c r="Y486" s="367"/>
      <c r="Z486" s="431"/>
    </row>
    <row r="487" ht="15.75" customHeight="1">
      <c r="H487" s="17"/>
      <c r="P487" s="17"/>
      <c r="S487" s="17"/>
      <c r="U487" s="17"/>
      <c r="W487" s="430"/>
      <c r="X487" s="260"/>
      <c r="Y487" s="367"/>
      <c r="Z487" s="431"/>
    </row>
    <row r="488" ht="15.75" customHeight="1">
      <c r="H488" s="17"/>
      <c r="P488" s="17"/>
      <c r="S488" s="17"/>
      <c r="U488" s="17"/>
      <c r="W488" s="430"/>
      <c r="X488" s="260"/>
      <c r="Y488" s="367"/>
      <c r="Z488" s="431"/>
    </row>
    <row r="489" ht="15.75" customHeight="1">
      <c r="H489" s="17"/>
      <c r="P489" s="17"/>
      <c r="S489" s="17"/>
      <c r="U489" s="17"/>
      <c r="W489" s="430"/>
      <c r="X489" s="260"/>
      <c r="Y489" s="367"/>
      <c r="Z489" s="431"/>
    </row>
    <row r="490" ht="15.75" customHeight="1">
      <c r="H490" s="17"/>
      <c r="P490" s="17"/>
      <c r="S490" s="17"/>
      <c r="U490" s="17"/>
      <c r="W490" s="430"/>
      <c r="X490" s="260"/>
      <c r="Y490" s="367"/>
      <c r="Z490" s="431"/>
    </row>
    <row r="491" ht="15.75" customHeight="1">
      <c r="H491" s="17"/>
      <c r="P491" s="17"/>
      <c r="S491" s="17"/>
      <c r="U491" s="17"/>
      <c r="W491" s="430"/>
      <c r="X491" s="260"/>
      <c r="Y491" s="367"/>
      <c r="Z491" s="431"/>
    </row>
    <row r="492" ht="15.75" customHeight="1">
      <c r="H492" s="17"/>
      <c r="P492" s="17"/>
      <c r="S492" s="17"/>
      <c r="U492" s="17"/>
      <c r="W492" s="430"/>
      <c r="X492" s="260"/>
      <c r="Y492" s="367"/>
      <c r="Z492" s="431"/>
    </row>
    <row r="493" ht="15.75" customHeight="1">
      <c r="H493" s="17"/>
      <c r="P493" s="17"/>
      <c r="S493" s="17"/>
      <c r="U493" s="17"/>
      <c r="W493" s="430"/>
      <c r="X493" s="260"/>
      <c r="Y493" s="367"/>
      <c r="Z493" s="431"/>
    </row>
    <row r="494" ht="15.75" customHeight="1">
      <c r="H494" s="17"/>
      <c r="P494" s="17"/>
      <c r="S494" s="17"/>
      <c r="U494" s="17"/>
      <c r="W494" s="430"/>
      <c r="X494" s="260"/>
      <c r="Y494" s="367"/>
      <c r="Z494" s="431"/>
    </row>
    <row r="495" ht="15.75" customHeight="1">
      <c r="H495" s="17"/>
      <c r="P495" s="17"/>
      <c r="S495" s="17"/>
      <c r="U495" s="17"/>
      <c r="W495" s="430"/>
      <c r="X495" s="260"/>
      <c r="Y495" s="367"/>
      <c r="Z495" s="431"/>
    </row>
    <row r="496" ht="15.75" customHeight="1">
      <c r="H496" s="17"/>
      <c r="P496" s="17"/>
      <c r="S496" s="17"/>
      <c r="U496" s="17"/>
      <c r="W496" s="430"/>
      <c r="X496" s="260"/>
      <c r="Y496" s="367"/>
      <c r="Z496" s="431"/>
    </row>
    <row r="497" ht="15.75" customHeight="1">
      <c r="H497" s="17"/>
      <c r="P497" s="17"/>
      <c r="S497" s="17"/>
      <c r="U497" s="17"/>
      <c r="W497" s="430"/>
      <c r="X497" s="260"/>
      <c r="Y497" s="367"/>
      <c r="Z497" s="431"/>
    </row>
    <row r="498" ht="15.75" customHeight="1">
      <c r="H498" s="17"/>
      <c r="P498" s="17"/>
      <c r="S498" s="17"/>
      <c r="U498" s="17"/>
      <c r="W498" s="430"/>
      <c r="X498" s="260"/>
      <c r="Y498" s="367"/>
      <c r="Z498" s="431"/>
    </row>
    <row r="499" ht="15.75" customHeight="1">
      <c r="H499" s="17"/>
      <c r="P499" s="17"/>
      <c r="S499" s="17"/>
      <c r="U499" s="17"/>
      <c r="W499" s="430"/>
      <c r="X499" s="260"/>
      <c r="Y499" s="367"/>
      <c r="Z499" s="431"/>
    </row>
    <row r="500" ht="15.75" customHeight="1">
      <c r="H500" s="17"/>
      <c r="P500" s="17"/>
      <c r="S500" s="17"/>
      <c r="U500" s="17"/>
      <c r="W500" s="430"/>
      <c r="X500" s="260"/>
      <c r="Y500" s="367"/>
      <c r="Z500" s="431"/>
    </row>
    <row r="501" ht="15.75" customHeight="1">
      <c r="H501" s="17"/>
      <c r="P501" s="17"/>
      <c r="S501" s="17"/>
      <c r="U501" s="17"/>
      <c r="W501" s="430"/>
      <c r="X501" s="260"/>
      <c r="Y501" s="367"/>
      <c r="Z501" s="431"/>
    </row>
    <row r="502" ht="15.75" customHeight="1">
      <c r="H502" s="17"/>
      <c r="P502" s="17"/>
      <c r="S502" s="17"/>
      <c r="U502" s="17"/>
      <c r="W502" s="430"/>
      <c r="X502" s="260"/>
      <c r="Y502" s="367"/>
      <c r="Z502" s="431"/>
    </row>
    <row r="503" ht="15.75" customHeight="1">
      <c r="H503" s="17"/>
      <c r="P503" s="17"/>
      <c r="S503" s="17"/>
      <c r="U503" s="17"/>
      <c r="W503" s="430"/>
      <c r="X503" s="260"/>
      <c r="Y503" s="367"/>
      <c r="Z503" s="431"/>
    </row>
    <row r="504" ht="15.75" customHeight="1">
      <c r="H504" s="17"/>
      <c r="P504" s="17"/>
      <c r="S504" s="17"/>
      <c r="U504" s="17"/>
      <c r="W504" s="430"/>
      <c r="X504" s="260"/>
      <c r="Y504" s="367"/>
      <c r="Z504" s="431"/>
    </row>
    <row r="505" ht="15.75" customHeight="1">
      <c r="H505" s="17"/>
      <c r="P505" s="17"/>
      <c r="S505" s="17"/>
      <c r="U505" s="17"/>
      <c r="W505" s="430"/>
      <c r="X505" s="260"/>
      <c r="Y505" s="367"/>
      <c r="Z505" s="431"/>
    </row>
    <row r="506" ht="15.75" customHeight="1">
      <c r="H506" s="17"/>
      <c r="P506" s="17"/>
      <c r="S506" s="17"/>
      <c r="U506" s="17"/>
      <c r="W506" s="430"/>
      <c r="X506" s="260"/>
      <c r="Y506" s="367"/>
      <c r="Z506" s="431"/>
    </row>
    <row r="507" ht="15.75" customHeight="1">
      <c r="H507" s="17"/>
      <c r="P507" s="17"/>
      <c r="S507" s="17"/>
      <c r="U507" s="17"/>
      <c r="W507" s="430"/>
      <c r="X507" s="260"/>
      <c r="Y507" s="367"/>
      <c r="Z507" s="431"/>
    </row>
    <row r="508" ht="15.75" customHeight="1">
      <c r="H508" s="17"/>
      <c r="P508" s="17"/>
      <c r="S508" s="17"/>
      <c r="U508" s="17"/>
      <c r="W508" s="430"/>
      <c r="X508" s="260"/>
      <c r="Y508" s="367"/>
      <c r="Z508" s="431"/>
    </row>
    <row r="509" ht="15.75" customHeight="1">
      <c r="H509" s="17"/>
      <c r="P509" s="17"/>
      <c r="S509" s="17"/>
      <c r="U509" s="17"/>
      <c r="W509" s="430"/>
      <c r="X509" s="260"/>
      <c r="Y509" s="367"/>
      <c r="Z509" s="431"/>
    </row>
    <row r="510" ht="15.75" customHeight="1">
      <c r="H510" s="17"/>
      <c r="P510" s="17"/>
      <c r="S510" s="17"/>
      <c r="U510" s="17"/>
      <c r="W510" s="430"/>
      <c r="X510" s="260"/>
      <c r="Y510" s="367"/>
      <c r="Z510" s="431"/>
    </row>
    <row r="511" ht="15.75" customHeight="1">
      <c r="H511" s="17"/>
      <c r="P511" s="17"/>
      <c r="S511" s="17"/>
      <c r="U511" s="17"/>
      <c r="W511" s="430"/>
      <c r="X511" s="260"/>
      <c r="Y511" s="367"/>
      <c r="Z511" s="431"/>
    </row>
    <row r="512" ht="15.75" customHeight="1">
      <c r="H512" s="17"/>
      <c r="P512" s="17"/>
      <c r="S512" s="17"/>
      <c r="U512" s="17"/>
      <c r="W512" s="430"/>
      <c r="X512" s="260"/>
      <c r="Y512" s="367"/>
      <c r="Z512" s="431"/>
    </row>
    <row r="513" ht="15.75" customHeight="1">
      <c r="H513" s="17"/>
      <c r="P513" s="17"/>
      <c r="S513" s="17"/>
      <c r="U513" s="17"/>
      <c r="W513" s="430"/>
      <c r="X513" s="260"/>
      <c r="Y513" s="367"/>
      <c r="Z513" s="431"/>
    </row>
    <row r="514" ht="15.75" customHeight="1">
      <c r="H514" s="17"/>
      <c r="P514" s="17"/>
      <c r="S514" s="17"/>
      <c r="U514" s="17"/>
      <c r="W514" s="430"/>
      <c r="X514" s="260"/>
      <c r="Y514" s="367"/>
      <c r="Z514" s="431"/>
    </row>
    <row r="515" ht="15.75" customHeight="1">
      <c r="H515" s="17"/>
      <c r="P515" s="17"/>
      <c r="S515" s="17"/>
      <c r="U515" s="17"/>
      <c r="W515" s="430"/>
      <c r="X515" s="260"/>
      <c r="Y515" s="367"/>
      <c r="Z515" s="431"/>
    </row>
    <row r="516" ht="15.75" customHeight="1">
      <c r="H516" s="17"/>
      <c r="P516" s="17"/>
      <c r="S516" s="17"/>
      <c r="U516" s="17"/>
      <c r="W516" s="430"/>
      <c r="X516" s="260"/>
      <c r="Y516" s="367"/>
      <c r="Z516" s="431"/>
    </row>
    <row r="517" ht="15.75" customHeight="1">
      <c r="H517" s="17"/>
      <c r="P517" s="17"/>
      <c r="S517" s="17"/>
      <c r="U517" s="17"/>
      <c r="W517" s="430"/>
      <c r="X517" s="260"/>
      <c r="Y517" s="367"/>
      <c r="Z517" s="431"/>
    </row>
    <row r="518" ht="15.75" customHeight="1">
      <c r="H518" s="17"/>
      <c r="P518" s="17"/>
      <c r="S518" s="17"/>
      <c r="U518" s="17"/>
      <c r="W518" s="430"/>
      <c r="X518" s="260"/>
      <c r="Y518" s="367"/>
      <c r="Z518" s="431"/>
    </row>
    <row r="519" ht="15.75" customHeight="1">
      <c r="H519" s="17"/>
      <c r="P519" s="17"/>
      <c r="S519" s="17"/>
      <c r="U519" s="17"/>
      <c r="W519" s="430"/>
      <c r="X519" s="260"/>
      <c r="Y519" s="367"/>
      <c r="Z519" s="431"/>
    </row>
    <row r="520" ht="15.75" customHeight="1">
      <c r="H520" s="17"/>
      <c r="P520" s="17"/>
      <c r="S520" s="17"/>
      <c r="U520" s="17"/>
      <c r="W520" s="430"/>
      <c r="X520" s="260"/>
      <c r="Y520" s="367"/>
      <c r="Z520" s="431"/>
    </row>
    <row r="521" ht="15.75" customHeight="1">
      <c r="H521" s="17"/>
      <c r="P521" s="17"/>
      <c r="S521" s="17"/>
      <c r="U521" s="17"/>
      <c r="W521" s="430"/>
      <c r="X521" s="260"/>
      <c r="Y521" s="367"/>
      <c r="Z521" s="431"/>
    </row>
    <row r="522" ht="15.75" customHeight="1">
      <c r="H522" s="17"/>
      <c r="P522" s="17"/>
      <c r="S522" s="17"/>
      <c r="U522" s="17"/>
      <c r="W522" s="430"/>
      <c r="X522" s="260"/>
      <c r="Y522" s="367"/>
      <c r="Z522" s="431"/>
    </row>
    <row r="523" ht="15.75" customHeight="1">
      <c r="H523" s="17"/>
      <c r="P523" s="17"/>
      <c r="S523" s="17"/>
      <c r="U523" s="17"/>
      <c r="W523" s="430"/>
      <c r="X523" s="260"/>
      <c r="Y523" s="367"/>
      <c r="Z523" s="431"/>
    </row>
    <row r="524" ht="15.75" customHeight="1">
      <c r="H524" s="17"/>
      <c r="P524" s="17"/>
      <c r="S524" s="17"/>
      <c r="U524" s="17"/>
      <c r="W524" s="430"/>
      <c r="X524" s="260"/>
      <c r="Y524" s="367"/>
      <c r="Z524" s="431"/>
    </row>
    <row r="525" ht="15.75" customHeight="1">
      <c r="H525" s="17"/>
      <c r="P525" s="17"/>
      <c r="S525" s="17"/>
      <c r="U525" s="17"/>
      <c r="W525" s="430"/>
      <c r="X525" s="260"/>
      <c r="Y525" s="367"/>
      <c r="Z525" s="431"/>
    </row>
    <row r="526" ht="15.75" customHeight="1">
      <c r="H526" s="17"/>
      <c r="P526" s="17"/>
      <c r="S526" s="17"/>
      <c r="U526" s="17"/>
      <c r="W526" s="430"/>
      <c r="X526" s="260"/>
      <c r="Y526" s="367"/>
      <c r="Z526" s="431"/>
    </row>
    <row r="527" ht="15.75" customHeight="1">
      <c r="H527" s="17"/>
      <c r="P527" s="17"/>
      <c r="S527" s="17"/>
      <c r="U527" s="17"/>
      <c r="W527" s="430"/>
      <c r="X527" s="260"/>
      <c r="Y527" s="367"/>
      <c r="Z527" s="431"/>
    </row>
    <row r="528" ht="15.75" customHeight="1">
      <c r="H528" s="17"/>
      <c r="P528" s="17"/>
      <c r="S528" s="17"/>
      <c r="U528" s="17"/>
      <c r="W528" s="430"/>
      <c r="X528" s="260"/>
      <c r="Y528" s="367"/>
      <c r="Z528" s="431"/>
    </row>
    <row r="529" ht="15.75" customHeight="1">
      <c r="H529" s="17"/>
      <c r="P529" s="17"/>
      <c r="S529" s="17"/>
      <c r="U529" s="17"/>
      <c r="W529" s="430"/>
      <c r="X529" s="260"/>
      <c r="Y529" s="367"/>
      <c r="Z529" s="431"/>
    </row>
    <row r="530" ht="15.75" customHeight="1">
      <c r="H530" s="17"/>
      <c r="P530" s="17"/>
      <c r="S530" s="17"/>
      <c r="U530" s="17"/>
      <c r="W530" s="430"/>
      <c r="X530" s="260"/>
      <c r="Y530" s="367"/>
      <c r="Z530" s="431"/>
    </row>
    <row r="531" ht="15.75" customHeight="1">
      <c r="H531" s="17"/>
      <c r="P531" s="17"/>
      <c r="S531" s="17"/>
      <c r="U531" s="17"/>
      <c r="W531" s="430"/>
      <c r="X531" s="260"/>
      <c r="Y531" s="367"/>
      <c r="Z531" s="431"/>
    </row>
    <row r="532" ht="15.75" customHeight="1">
      <c r="H532" s="17"/>
      <c r="P532" s="17"/>
      <c r="S532" s="17"/>
      <c r="U532" s="17"/>
      <c r="W532" s="430"/>
      <c r="X532" s="260"/>
      <c r="Y532" s="367"/>
      <c r="Z532" s="431"/>
    </row>
    <row r="533" ht="15.75" customHeight="1">
      <c r="H533" s="17"/>
      <c r="P533" s="17"/>
      <c r="S533" s="17"/>
      <c r="U533" s="17"/>
      <c r="W533" s="430"/>
      <c r="X533" s="260"/>
      <c r="Y533" s="367"/>
      <c r="Z533" s="431"/>
    </row>
    <row r="534" ht="15.75" customHeight="1">
      <c r="H534" s="17"/>
      <c r="P534" s="17"/>
      <c r="S534" s="17"/>
      <c r="U534" s="17"/>
      <c r="W534" s="430"/>
      <c r="X534" s="260"/>
      <c r="Y534" s="367"/>
      <c r="Z534" s="431"/>
    </row>
    <row r="535" ht="15.75" customHeight="1">
      <c r="H535" s="17"/>
      <c r="P535" s="17"/>
      <c r="S535" s="17"/>
      <c r="U535" s="17"/>
      <c r="W535" s="430"/>
      <c r="X535" s="260"/>
      <c r="Y535" s="367"/>
      <c r="Z535" s="431"/>
    </row>
    <row r="536" ht="15.75" customHeight="1">
      <c r="H536" s="17"/>
      <c r="P536" s="17"/>
      <c r="S536" s="17"/>
      <c r="U536" s="17"/>
      <c r="W536" s="430"/>
      <c r="X536" s="260"/>
      <c r="Y536" s="367"/>
      <c r="Z536" s="431"/>
    </row>
    <row r="537" ht="15.75" customHeight="1">
      <c r="H537" s="17"/>
      <c r="P537" s="17"/>
      <c r="S537" s="17"/>
      <c r="U537" s="17"/>
      <c r="W537" s="430"/>
      <c r="X537" s="260"/>
      <c r="Y537" s="367"/>
      <c r="Z537" s="431"/>
    </row>
    <row r="538" ht="15.75" customHeight="1">
      <c r="H538" s="17"/>
      <c r="P538" s="17"/>
      <c r="S538" s="17"/>
      <c r="U538" s="17"/>
      <c r="W538" s="430"/>
      <c r="X538" s="260"/>
      <c r="Y538" s="367"/>
      <c r="Z538" s="431"/>
    </row>
    <row r="539" ht="15.75" customHeight="1">
      <c r="H539" s="17"/>
      <c r="P539" s="17"/>
      <c r="S539" s="17"/>
      <c r="U539" s="17"/>
      <c r="W539" s="430"/>
      <c r="X539" s="260"/>
      <c r="Y539" s="367"/>
      <c r="Z539" s="431"/>
    </row>
    <row r="540" ht="15.75" customHeight="1">
      <c r="H540" s="17"/>
      <c r="P540" s="17"/>
      <c r="S540" s="17"/>
      <c r="U540" s="17"/>
      <c r="W540" s="430"/>
      <c r="X540" s="260"/>
      <c r="Y540" s="367"/>
      <c r="Z540" s="431"/>
    </row>
    <row r="541" ht="15.75" customHeight="1">
      <c r="H541" s="17"/>
      <c r="P541" s="17"/>
      <c r="S541" s="17"/>
      <c r="U541" s="17"/>
      <c r="W541" s="430"/>
      <c r="X541" s="260"/>
      <c r="Y541" s="367"/>
      <c r="Z541" s="431"/>
    </row>
    <row r="542" ht="15.75" customHeight="1">
      <c r="H542" s="17"/>
      <c r="P542" s="17"/>
      <c r="S542" s="17"/>
      <c r="U542" s="17"/>
      <c r="W542" s="430"/>
      <c r="X542" s="260"/>
      <c r="Y542" s="367"/>
      <c r="Z542" s="431"/>
    </row>
    <row r="543" ht="15.75" customHeight="1">
      <c r="H543" s="17"/>
      <c r="P543" s="17"/>
      <c r="S543" s="17"/>
      <c r="U543" s="17"/>
      <c r="W543" s="430"/>
      <c r="X543" s="260"/>
      <c r="Y543" s="367"/>
      <c r="Z543" s="431"/>
    </row>
    <row r="544" ht="15.75" customHeight="1">
      <c r="H544" s="17"/>
      <c r="P544" s="17"/>
      <c r="S544" s="17"/>
      <c r="U544" s="17"/>
      <c r="W544" s="430"/>
      <c r="X544" s="260"/>
      <c r="Y544" s="367"/>
      <c r="Z544" s="431"/>
    </row>
    <row r="545" ht="15.75" customHeight="1">
      <c r="H545" s="17"/>
      <c r="P545" s="17"/>
      <c r="S545" s="17"/>
      <c r="U545" s="17"/>
      <c r="W545" s="430"/>
      <c r="X545" s="260"/>
      <c r="Y545" s="367"/>
      <c r="Z545" s="431"/>
    </row>
    <row r="546" ht="15.75" customHeight="1">
      <c r="H546" s="17"/>
      <c r="P546" s="17"/>
      <c r="S546" s="17"/>
      <c r="U546" s="17"/>
      <c r="W546" s="430"/>
      <c r="X546" s="260"/>
      <c r="Y546" s="367"/>
      <c r="Z546" s="431"/>
    </row>
    <row r="547" ht="15.75" customHeight="1">
      <c r="H547" s="17"/>
      <c r="P547" s="17"/>
      <c r="S547" s="17"/>
      <c r="U547" s="17"/>
      <c r="W547" s="430"/>
      <c r="X547" s="260"/>
      <c r="Y547" s="367"/>
      <c r="Z547" s="431"/>
    </row>
    <row r="548" ht="15.75" customHeight="1">
      <c r="H548" s="17"/>
      <c r="P548" s="17"/>
      <c r="S548" s="17"/>
      <c r="U548" s="17"/>
      <c r="W548" s="430"/>
      <c r="X548" s="260"/>
      <c r="Y548" s="367"/>
      <c r="Z548" s="431"/>
    </row>
    <row r="549" ht="15.75" customHeight="1">
      <c r="H549" s="17"/>
      <c r="P549" s="17"/>
      <c r="S549" s="17"/>
      <c r="U549" s="17"/>
      <c r="W549" s="430"/>
      <c r="X549" s="260"/>
      <c r="Y549" s="367"/>
      <c r="Z549" s="431"/>
    </row>
    <row r="550" ht="15.75" customHeight="1">
      <c r="H550" s="17"/>
      <c r="P550" s="17"/>
      <c r="S550" s="17"/>
      <c r="U550" s="17"/>
      <c r="W550" s="430"/>
      <c r="X550" s="260"/>
      <c r="Y550" s="367"/>
      <c r="Z550" s="431"/>
    </row>
    <row r="551" ht="15.75" customHeight="1">
      <c r="H551" s="17"/>
      <c r="P551" s="17"/>
      <c r="S551" s="17"/>
      <c r="U551" s="17"/>
      <c r="W551" s="430"/>
      <c r="X551" s="260"/>
      <c r="Y551" s="367"/>
      <c r="Z551" s="431"/>
    </row>
    <row r="552" ht="15.75" customHeight="1">
      <c r="H552" s="17"/>
      <c r="P552" s="17"/>
      <c r="S552" s="17"/>
      <c r="U552" s="17"/>
      <c r="W552" s="430"/>
      <c r="X552" s="260"/>
      <c r="Y552" s="367"/>
      <c r="Z552" s="431"/>
    </row>
    <row r="553" ht="15.75" customHeight="1">
      <c r="H553" s="17"/>
      <c r="P553" s="17"/>
      <c r="S553" s="17"/>
      <c r="U553" s="17"/>
      <c r="W553" s="430"/>
      <c r="X553" s="260"/>
      <c r="Y553" s="367"/>
      <c r="Z553" s="431"/>
    </row>
    <row r="554" ht="15.75" customHeight="1">
      <c r="H554" s="17"/>
      <c r="P554" s="17"/>
      <c r="S554" s="17"/>
      <c r="U554" s="17"/>
      <c r="W554" s="430"/>
      <c r="X554" s="260"/>
      <c r="Y554" s="367"/>
      <c r="Z554" s="431"/>
    </row>
    <row r="555" ht="15.75" customHeight="1">
      <c r="H555" s="17"/>
      <c r="P555" s="17"/>
      <c r="S555" s="17"/>
      <c r="U555" s="17"/>
      <c r="W555" s="430"/>
      <c r="X555" s="260"/>
      <c r="Y555" s="367"/>
      <c r="Z555" s="431"/>
    </row>
    <row r="556" ht="15.75" customHeight="1">
      <c r="H556" s="17"/>
      <c r="P556" s="17"/>
      <c r="S556" s="17"/>
      <c r="U556" s="17"/>
      <c r="W556" s="430"/>
      <c r="X556" s="260"/>
      <c r="Y556" s="367"/>
      <c r="Z556" s="431"/>
    </row>
    <row r="557" ht="15.75" customHeight="1">
      <c r="H557" s="17"/>
      <c r="P557" s="17"/>
      <c r="S557" s="17"/>
      <c r="U557" s="17"/>
      <c r="W557" s="430"/>
      <c r="X557" s="260"/>
      <c r="Y557" s="367"/>
      <c r="Z557" s="431"/>
    </row>
    <row r="558" ht="15.75" customHeight="1">
      <c r="H558" s="17"/>
      <c r="P558" s="17"/>
      <c r="S558" s="17"/>
      <c r="U558" s="17"/>
      <c r="W558" s="430"/>
      <c r="X558" s="260"/>
      <c r="Y558" s="367"/>
      <c r="Z558" s="431"/>
    </row>
    <row r="559" ht="15.75" customHeight="1">
      <c r="H559" s="17"/>
      <c r="P559" s="17"/>
      <c r="S559" s="17"/>
      <c r="U559" s="17"/>
      <c r="W559" s="430"/>
      <c r="X559" s="260"/>
      <c r="Y559" s="367"/>
      <c r="Z559" s="431"/>
    </row>
    <row r="560" ht="15.75" customHeight="1">
      <c r="H560" s="17"/>
      <c r="P560" s="17"/>
      <c r="S560" s="17"/>
      <c r="U560" s="17"/>
      <c r="W560" s="430"/>
      <c r="X560" s="260"/>
      <c r="Y560" s="367"/>
      <c r="Z560" s="431"/>
    </row>
    <row r="561" ht="15.75" customHeight="1">
      <c r="H561" s="17"/>
      <c r="P561" s="17"/>
      <c r="S561" s="17"/>
      <c r="U561" s="17"/>
      <c r="W561" s="430"/>
      <c r="X561" s="260"/>
      <c r="Y561" s="367"/>
      <c r="Z561" s="431"/>
    </row>
    <row r="562" ht="15.75" customHeight="1">
      <c r="H562" s="17"/>
      <c r="P562" s="17"/>
      <c r="S562" s="17"/>
      <c r="U562" s="17"/>
      <c r="W562" s="430"/>
      <c r="X562" s="260"/>
      <c r="Y562" s="367"/>
      <c r="Z562" s="431"/>
    </row>
    <row r="563" ht="15.75" customHeight="1">
      <c r="H563" s="17"/>
      <c r="P563" s="17"/>
      <c r="S563" s="17"/>
      <c r="U563" s="17"/>
      <c r="W563" s="430"/>
      <c r="X563" s="260"/>
      <c r="Y563" s="367"/>
      <c r="Z563" s="431"/>
    </row>
    <row r="564" ht="15.75" customHeight="1">
      <c r="H564" s="17"/>
      <c r="P564" s="17"/>
      <c r="S564" s="17"/>
      <c r="U564" s="17"/>
      <c r="W564" s="430"/>
      <c r="X564" s="260"/>
      <c r="Y564" s="367"/>
      <c r="Z564" s="431"/>
    </row>
    <row r="565" ht="15.75" customHeight="1">
      <c r="H565" s="17"/>
      <c r="P565" s="17"/>
      <c r="S565" s="17"/>
      <c r="U565" s="17"/>
      <c r="W565" s="430"/>
      <c r="X565" s="260"/>
      <c r="Y565" s="367"/>
      <c r="Z565" s="431"/>
    </row>
    <row r="566" ht="15.75" customHeight="1">
      <c r="H566" s="17"/>
      <c r="P566" s="17"/>
      <c r="S566" s="17"/>
      <c r="U566" s="17"/>
      <c r="W566" s="430"/>
      <c r="X566" s="260"/>
      <c r="Y566" s="367"/>
      <c r="Z566" s="431"/>
    </row>
    <row r="567" ht="15.75" customHeight="1">
      <c r="H567" s="17"/>
      <c r="P567" s="17"/>
      <c r="S567" s="17"/>
      <c r="U567" s="17"/>
      <c r="W567" s="430"/>
      <c r="X567" s="260"/>
      <c r="Y567" s="367"/>
      <c r="Z567" s="431"/>
    </row>
    <row r="568" ht="15.75" customHeight="1">
      <c r="H568" s="17"/>
      <c r="P568" s="17"/>
      <c r="S568" s="17"/>
      <c r="U568" s="17"/>
      <c r="W568" s="430"/>
      <c r="X568" s="260"/>
      <c r="Y568" s="367"/>
      <c r="Z568" s="431"/>
    </row>
    <row r="569" ht="15.75" customHeight="1">
      <c r="H569" s="17"/>
      <c r="P569" s="17"/>
      <c r="S569" s="17"/>
      <c r="U569" s="17"/>
      <c r="W569" s="430"/>
      <c r="X569" s="260"/>
      <c r="Y569" s="367"/>
      <c r="Z569" s="431"/>
    </row>
    <row r="570" ht="15.75" customHeight="1">
      <c r="H570" s="17"/>
      <c r="P570" s="17"/>
      <c r="S570" s="17"/>
      <c r="U570" s="17"/>
      <c r="W570" s="430"/>
      <c r="X570" s="260"/>
      <c r="Y570" s="367"/>
      <c r="Z570" s="431"/>
    </row>
    <row r="571" ht="15.75" customHeight="1">
      <c r="H571" s="17"/>
      <c r="P571" s="17"/>
      <c r="S571" s="17"/>
      <c r="U571" s="17"/>
      <c r="W571" s="430"/>
      <c r="X571" s="260"/>
      <c r="Y571" s="367"/>
      <c r="Z571" s="431"/>
    </row>
    <row r="572" ht="15.75" customHeight="1">
      <c r="H572" s="17"/>
      <c r="P572" s="17"/>
      <c r="S572" s="17"/>
      <c r="U572" s="17"/>
      <c r="W572" s="430"/>
      <c r="X572" s="260"/>
      <c r="Y572" s="367"/>
      <c r="Z572" s="431"/>
    </row>
    <row r="573" ht="15.75" customHeight="1">
      <c r="H573" s="17"/>
      <c r="P573" s="17"/>
      <c r="S573" s="17"/>
      <c r="U573" s="17"/>
      <c r="W573" s="430"/>
      <c r="X573" s="260"/>
      <c r="Y573" s="367"/>
      <c r="Z573" s="431"/>
    </row>
    <row r="574" ht="15.75" customHeight="1">
      <c r="H574" s="17"/>
      <c r="P574" s="17"/>
      <c r="S574" s="17"/>
      <c r="U574" s="17"/>
      <c r="W574" s="430"/>
      <c r="X574" s="260"/>
      <c r="Y574" s="367"/>
      <c r="Z574" s="431"/>
    </row>
    <row r="575" ht="15.75" customHeight="1">
      <c r="H575" s="17"/>
      <c r="P575" s="17"/>
      <c r="S575" s="17"/>
      <c r="U575" s="17"/>
      <c r="W575" s="430"/>
      <c r="X575" s="260"/>
      <c r="Y575" s="367"/>
      <c r="Z575" s="431"/>
    </row>
    <row r="576" ht="15.75" customHeight="1">
      <c r="H576" s="17"/>
      <c r="P576" s="17"/>
      <c r="S576" s="17"/>
      <c r="U576" s="17"/>
      <c r="W576" s="430"/>
      <c r="X576" s="260"/>
      <c r="Y576" s="367"/>
      <c r="Z576" s="431"/>
    </row>
    <row r="577" ht="15.75" customHeight="1">
      <c r="H577" s="17"/>
      <c r="P577" s="17"/>
      <c r="S577" s="17"/>
      <c r="U577" s="17"/>
      <c r="W577" s="430"/>
      <c r="X577" s="260"/>
      <c r="Y577" s="367"/>
      <c r="Z577" s="431"/>
    </row>
    <row r="578" ht="15.75" customHeight="1">
      <c r="H578" s="17"/>
      <c r="P578" s="17"/>
      <c r="S578" s="17"/>
      <c r="U578" s="17"/>
      <c r="W578" s="430"/>
      <c r="X578" s="260"/>
      <c r="Y578" s="367"/>
      <c r="Z578" s="431"/>
    </row>
    <row r="579" ht="15.75" customHeight="1">
      <c r="H579" s="17"/>
      <c r="P579" s="17"/>
      <c r="S579" s="17"/>
      <c r="U579" s="17"/>
      <c r="W579" s="430"/>
      <c r="X579" s="260"/>
      <c r="Y579" s="367"/>
      <c r="Z579" s="431"/>
    </row>
    <row r="580" ht="15.75" customHeight="1">
      <c r="H580" s="17"/>
      <c r="P580" s="17"/>
      <c r="S580" s="17"/>
      <c r="U580" s="17"/>
      <c r="W580" s="430"/>
      <c r="X580" s="260"/>
      <c r="Y580" s="367"/>
      <c r="Z580" s="431"/>
    </row>
    <row r="581" ht="15.75" customHeight="1">
      <c r="H581" s="17"/>
      <c r="P581" s="17"/>
      <c r="S581" s="17"/>
      <c r="U581" s="17"/>
      <c r="W581" s="430"/>
      <c r="X581" s="260"/>
      <c r="Y581" s="367"/>
      <c r="Z581" s="431"/>
    </row>
    <row r="582" ht="15.75" customHeight="1">
      <c r="H582" s="17"/>
      <c r="P582" s="17"/>
      <c r="S582" s="17"/>
      <c r="U582" s="17"/>
      <c r="W582" s="430"/>
      <c r="X582" s="260"/>
      <c r="Y582" s="367"/>
      <c r="Z582" s="431"/>
    </row>
    <row r="583" ht="15.75" customHeight="1">
      <c r="H583" s="17"/>
      <c r="P583" s="17"/>
      <c r="S583" s="17"/>
      <c r="U583" s="17"/>
      <c r="W583" s="430"/>
      <c r="X583" s="260"/>
      <c r="Y583" s="367"/>
      <c r="Z583" s="431"/>
    </row>
    <row r="584" ht="15.75" customHeight="1">
      <c r="H584" s="17"/>
      <c r="P584" s="17"/>
      <c r="S584" s="17"/>
      <c r="U584" s="17"/>
      <c r="W584" s="430"/>
      <c r="X584" s="260"/>
      <c r="Y584" s="367"/>
      <c r="Z584" s="431"/>
    </row>
    <row r="585" ht="15.75" customHeight="1">
      <c r="H585" s="17"/>
      <c r="P585" s="17"/>
      <c r="S585" s="17"/>
      <c r="U585" s="17"/>
      <c r="W585" s="430"/>
      <c r="X585" s="260"/>
      <c r="Y585" s="367"/>
      <c r="Z585" s="431"/>
    </row>
    <row r="586" ht="15.75" customHeight="1">
      <c r="H586" s="17"/>
      <c r="P586" s="17"/>
      <c r="S586" s="17"/>
      <c r="U586" s="17"/>
      <c r="W586" s="430"/>
      <c r="X586" s="260"/>
      <c r="Y586" s="367"/>
      <c r="Z586" s="431"/>
    </row>
    <row r="587" ht="15.75" customHeight="1">
      <c r="H587" s="17"/>
      <c r="P587" s="17"/>
      <c r="S587" s="17"/>
      <c r="U587" s="17"/>
      <c r="W587" s="430"/>
      <c r="X587" s="260"/>
      <c r="Y587" s="367"/>
      <c r="Z587" s="431"/>
    </row>
    <row r="588" ht="15.75" customHeight="1">
      <c r="H588" s="17"/>
      <c r="P588" s="17"/>
      <c r="S588" s="17"/>
      <c r="U588" s="17"/>
      <c r="W588" s="430"/>
      <c r="X588" s="260"/>
      <c r="Y588" s="367"/>
      <c r="Z588" s="431"/>
    </row>
    <row r="589" ht="15.75" customHeight="1">
      <c r="H589" s="17"/>
      <c r="P589" s="17"/>
      <c r="S589" s="17"/>
      <c r="U589" s="17"/>
      <c r="W589" s="430"/>
      <c r="X589" s="260"/>
      <c r="Y589" s="367"/>
      <c r="Z589" s="431"/>
    </row>
    <row r="590" ht="15.75" customHeight="1">
      <c r="H590" s="17"/>
      <c r="P590" s="17"/>
      <c r="S590" s="17"/>
      <c r="U590" s="17"/>
      <c r="W590" s="430"/>
      <c r="X590" s="260"/>
      <c r="Y590" s="367"/>
      <c r="Z590" s="431"/>
    </row>
    <row r="591" ht="15.75" customHeight="1">
      <c r="H591" s="17"/>
      <c r="P591" s="17"/>
      <c r="S591" s="17"/>
      <c r="U591" s="17"/>
      <c r="W591" s="430"/>
      <c r="X591" s="260"/>
      <c r="Y591" s="367"/>
      <c r="Z591" s="431"/>
    </row>
    <row r="592" ht="15.75" customHeight="1">
      <c r="H592" s="17"/>
      <c r="P592" s="17"/>
      <c r="S592" s="17"/>
      <c r="U592" s="17"/>
      <c r="W592" s="430"/>
      <c r="X592" s="260"/>
      <c r="Y592" s="367"/>
      <c r="Z592" s="431"/>
    </row>
    <row r="593" ht="15.75" customHeight="1">
      <c r="H593" s="17"/>
      <c r="P593" s="17"/>
      <c r="S593" s="17"/>
      <c r="U593" s="17"/>
      <c r="W593" s="430"/>
      <c r="X593" s="260"/>
      <c r="Y593" s="367"/>
      <c r="Z593" s="431"/>
    </row>
    <row r="594" ht="15.75" customHeight="1">
      <c r="H594" s="17"/>
      <c r="P594" s="17"/>
      <c r="S594" s="17"/>
      <c r="U594" s="17"/>
      <c r="W594" s="430"/>
      <c r="X594" s="260"/>
      <c r="Y594" s="367"/>
      <c r="Z594" s="431"/>
    </row>
    <row r="595" ht="15.75" customHeight="1">
      <c r="H595" s="17"/>
      <c r="P595" s="17"/>
      <c r="S595" s="17"/>
      <c r="U595" s="17"/>
      <c r="W595" s="430"/>
      <c r="X595" s="260"/>
      <c r="Y595" s="367"/>
      <c r="Z595" s="431"/>
    </row>
    <row r="596" ht="15.75" customHeight="1">
      <c r="H596" s="17"/>
      <c r="P596" s="17"/>
      <c r="S596" s="17"/>
      <c r="U596" s="17"/>
      <c r="W596" s="430"/>
      <c r="X596" s="260"/>
      <c r="Y596" s="367"/>
      <c r="Z596" s="431"/>
    </row>
    <row r="597" ht="15.75" customHeight="1">
      <c r="H597" s="17"/>
      <c r="P597" s="17"/>
      <c r="S597" s="17"/>
      <c r="U597" s="17"/>
      <c r="W597" s="430"/>
      <c r="X597" s="260"/>
      <c r="Y597" s="367"/>
      <c r="Z597" s="431"/>
    </row>
    <row r="598" ht="15.75" customHeight="1">
      <c r="H598" s="17"/>
      <c r="P598" s="17"/>
      <c r="S598" s="17"/>
      <c r="U598" s="17"/>
      <c r="W598" s="430"/>
      <c r="X598" s="260"/>
      <c r="Y598" s="367"/>
      <c r="Z598" s="431"/>
    </row>
    <row r="599" ht="15.75" customHeight="1">
      <c r="H599" s="17"/>
      <c r="P599" s="17"/>
      <c r="S599" s="17"/>
      <c r="U599" s="17"/>
      <c r="W599" s="430"/>
      <c r="X599" s="260"/>
      <c r="Y599" s="367"/>
      <c r="Z599" s="431"/>
    </row>
    <row r="600" ht="15.75" customHeight="1">
      <c r="H600" s="17"/>
      <c r="P600" s="17"/>
      <c r="S600" s="17"/>
      <c r="U600" s="17"/>
      <c r="W600" s="430"/>
      <c r="X600" s="260"/>
      <c r="Y600" s="367"/>
      <c r="Z600" s="431"/>
    </row>
    <row r="601" ht="15.75" customHeight="1">
      <c r="H601" s="17"/>
      <c r="P601" s="17"/>
      <c r="S601" s="17"/>
      <c r="U601" s="17"/>
      <c r="W601" s="430"/>
      <c r="X601" s="260"/>
      <c r="Y601" s="367"/>
      <c r="Z601" s="431"/>
    </row>
    <row r="602" ht="15.75" customHeight="1">
      <c r="H602" s="17"/>
      <c r="P602" s="17"/>
      <c r="S602" s="17"/>
      <c r="U602" s="17"/>
      <c r="W602" s="430"/>
      <c r="X602" s="260"/>
      <c r="Y602" s="367"/>
      <c r="Z602" s="431"/>
    </row>
    <row r="603" ht="15.75" customHeight="1">
      <c r="H603" s="17"/>
      <c r="P603" s="17"/>
      <c r="S603" s="17"/>
      <c r="U603" s="17"/>
      <c r="W603" s="430"/>
      <c r="X603" s="260"/>
      <c r="Y603" s="367"/>
      <c r="Z603" s="431"/>
    </row>
    <row r="604" ht="15.75" customHeight="1">
      <c r="H604" s="17"/>
      <c r="P604" s="17"/>
      <c r="S604" s="17"/>
      <c r="U604" s="17"/>
      <c r="W604" s="430"/>
      <c r="X604" s="260"/>
      <c r="Y604" s="367"/>
      <c r="Z604" s="431"/>
    </row>
    <row r="605" ht="15.75" customHeight="1">
      <c r="H605" s="17"/>
      <c r="P605" s="17"/>
      <c r="S605" s="17"/>
      <c r="U605" s="17"/>
      <c r="W605" s="430"/>
      <c r="X605" s="260"/>
      <c r="Y605" s="367"/>
      <c r="Z605" s="431"/>
    </row>
    <row r="606" ht="15.75" customHeight="1">
      <c r="H606" s="17"/>
      <c r="P606" s="17"/>
      <c r="S606" s="17"/>
      <c r="U606" s="17"/>
      <c r="W606" s="430"/>
      <c r="X606" s="260"/>
      <c r="Y606" s="367"/>
      <c r="Z606" s="431"/>
    </row>
    <row r="607" ht="15.75" customHeight="1">
      <c r="H607" s="17"/>
      <c r="P607" s="17"/>
      <c r="S607" s="17"/>
      <c r="U607" s="17"/>
      <c r="W607" s="430"/>
      <c r="X607" s="260"/>
      <c r="Y607" s="367"/>
      <c r="Z607" s="431"/>
    </row>
    <row r="608" ht="15.75" customHeight="1">
      <c r="H608" s="17"/>
      <c r="P608" s="17"/>
      <c r="S608" s="17"/>
      <c r="U608" s="17"/>
      <c r="W608" s="430"/>
      <c r="X608" s="260"/>
      <c r="Y608" s="367"/>
      <c r="Z608" s="431"/>
    </row>
    <row r="609" ht="15.75" customHeight="1">
      <c r="H609" s="17"/>
      <c r="P609" s="17"/>
      <c r="S609" s="17"/>
      <c r="U609" s="17"/>
      <c r="W609" s="430"/>
      <c r="X609" s="260"/>
      <c r="Y609" s="367"/>
      <c r="Z609" s="431"/>
    </row>
    <row r="610" ht="15.75" customHeight="1">
      <c r="H610" s="17"/>
      <c r="P610" s="17"/>
      <c r="S610" s="17"/>
      <c r="U610" s="17"/>
      <c r="W610" s="430"/>
      <c r="X610" s="260"/>
      <c r="Y610" s="367"/>
      <c r="Z610" s="431"/>
    </row>
    <row r="611" ht="15.75" customHeight="1">
      <c r="H611" s="17"/>
      <c r="P611" s="17"/>
      <c r="S611" s="17"/>
      <c r="U611" s="17"/>
      <c r="W611" s="430"/>
      <c r="X611" s="260"/>
      <c r="Y611" s="367"/>
      <c r="Z611" s="431"/>
    </row>
    <row r="612" ht="15.75" customHeight="1">
      <c r="H612" s="17"/>
      <c r="P612" s="17"/>
      <c r="S612" s="17"/>
      <c r="U612" s="17"/>
      <c r="W612" s="430"/>
      <c r="X612" s="260"/>
      <c r="Y612" s="367"/>
      <c r="Z612" s="431"/>
    </row>
    <row r="613" ht="15.75" customHeight="1">
      <c r="H613" s="17"/>
      <c r="P613" s="17"/>
      <c r="S613" s="17"/>
      <c r="U613" s="17"/>
      <c r="W613" s="430"/>
      <c r="X613" s="260"/>
      <c r="Y613" s="367"/>
      <c r="Z613" s="431"/>
    </row>
    <row r="614" ht="15.75" customHeight="1">
      <c r="H614" s="17"/>
      <c r="P614" s="17"/>
      <c r="S614" s="17"/>
      <c r="U614" s="17"/>
      <c r="W614" s="430"/>
      <c r="X614" s="260"/>
      <c r="Y614" s="367"/>
      <c r="Z614" s="431"/>
    </row>
    <row r="615" ht="15.75" customHeight="1">
      <c r="H615" s="17"/>
      <c r="P615" s="17"/>
      <c r="S615" s="17"/>
      <c r="U615" s="17"/>
      <c r="W615" s="430"/>
      <c r="X615" s="260"/>
      <c r="Y615" s="367"/>
      <c r="Z615" s="431"/>
    </row>
    <row r="616" ht="15.75" customHeight="1">
      <c r="H616" s="17"/>
      <c r="P616" s="17"/>
      <c r="S616" s="17"/>
      <c r="U616" s="17"/>
      <c r="W616" s="430"/>
      <c r="X616" s="260"/>
      <c r="Y616" s="367"/>
      <c r="Z616" s="431"/>
    </row>
    <row r="617" ht="15.75" customHeight="1">
      <c r="H617" s="17"/>
      <c r="P617" s="17"/>
      <c r="S617" s="17"/>
      <c r="U617" s="17"/>
      <c r="W617" s="430"/>
      <c r="X617" s="260"/>
      <c r="Y617" s="367"/>
      <c r="Z617" s="431"/>
    </row>
    <row r="618" ht="15.75" customHeight="1">
      <c r="H618" s="17"/>
      <c r="P618" s="17"/>
      <c r="S618" s="17"/>
      <c r="U618" s="17"/>
      <c r="W618" s="430"/>
      <c r="X618" s="260"/>
      <c r="Y618" s="367"/>
      <c r="Z618" s="431"/>
    </row>
    <row r="619" ht="15.75" customHeight="1">
      <c r="H619" s="17"/>
      <c r="P619" s="17"/>
      <c r="S619" s="17"/>
      <c r="U619" s="17"/>
      <c r="W619" s="430"/>
      <c r="X619" s="260"/>
      <c r="Y619" s="367"/>
      <c r="Z619" s="431"/>
    </row>
    <row r="620" ht="15.75" customHeight="1">
      <c r="H620" s="17"/>
      <c r="P620" s="17"/>
      <c r="S620" s="17"/>
      <c r="U620" s="17"/>
      <c r="W620" s="430"/>
      <c r="X620" s="260"/>
      <c r="Y620" s="367"/>
      <c r="Z620" s="431"/>
    </row>
    <row r="621" ht="15.75" customHeight="1">
      <c r="H621" s="17"/>
      <c r="P621" s="17"/>
      <c r="S621" s="17"/>
      <c r="U621" s="17"/>
      <c r="W621" s="430"/>
      <c r="X621" s="260"/>
      <c r="Y621" s="367"/>
      <c r="Z621" s="431"/>
    </row>
    <row r="622" ht="15.75" customHeight="1">
      <c r="H622" s="17"/>
      <c r="P622" s="17"/>
      <c r="S622" s="17"/>
      <c r="U622" s="17"/>
      <c r="W622" s="430"/>
      <c r="X622" s="260"/>
      <c r="Y622" s="367"/>
      <c r="Z622" s="431"/>
    </row>
    <row r="623" ht="15.75" customHeight="1">
      <c r="H623" s="17"/>
      <c r="P623" s="17"/>
      <c r="S623" s="17"/>
      <c r="U623" s="17"/>
      <c r="W623" s="430"/>
      <c r="X623" s="260"/>
      <c r="Y623" s="367"/>
      <c r="Z623" s="431"/>
    </row>
    <row r="624" ht="15.75" customHeight="1">
      <c r="H624" s="17"/>
      <c r="P624" s="17"/>
      <c r="S624" s="17"/>
      <c r="U624" s="17"/>
      <c r="W624" s="430"/>
      <c r="X624" s="260"/>
      <c r="Y624" s="367"/>
      <c r="Z624" s="431"/>
    </row>
    <row r="625" ht="15.75" customHeight="1">
      <c r="H625" s="17"/>
      <c r="P625" s="17"/>
      <c r="S625" s="17"/>
      <c r="U625" s="17"/>
      <c r="W625" s="430"/>
      <c r="X625" s="260"/>
      <c r="Y625" s="367"/>
      <c r="Z625" s="431"/>
    </row>
    <row r="626" ht="15.75" customHeight="1">
      <c r="H626" s="17"/>
      <c r="P626" s="17"/>
      <c r="S626" s="17"/>
      <c r="U626" s="17"/>
      <c r="W626" s="430"/>
      <c r="X626" s="260"/>
      <c r="Y626" s="367"/>
      <c r="Z626" s="431"/>
    </row>
    <row r="627" ht="15.75" customHeight="1">
      <c r="H627" s="17"/>
      <c r="P627" s="17"/>
      <c r="S627" s="17"/>
      <c r="U627" s="17"/>
      <c r="W627" s="430"/>
      <c r="X627" s="260"/>
      <c r="Y627" s="367"/>
      <c r="Z627" s="431"/>
    </row>
    <row r="628" ht="15.75" customHeight="1">
      <c r="H628" s="17"/>
      <c r="P628" s="17"/>
      <c r="S628" s="17"/>
      <c r="U628" s="17"/>
      <c r="W628" s="430"/>
      <c r="X628" s="260"/>
      <c r="Y628" s="367"/>
      <c r="Z628" s="431"/>
    </row>
    <row r="629" ht="15.75" customHeight="1">
      <c r="H629" s="17"/>
      <c r="P629" s="17"/>
      <c r="S629" s="17"/>
      <c r="U629" s="17"/>
      <c r="W629" s="430"/>
      <c r="X629" s="260"/>
      <c r="Y629" s="367"/>
      <c r="Z629" s="431"/>
    </row>
    <row r="630" ht="15.75" customHeight="1">
      <c r="H630" s="17"/>
      <c r="P630" s="17"/>
      <c r="S630" s="17"/>
      <c r="U630" s="17"/>
      <c r="W630" s="430"/>
      <c r="X630" s="260"/>
      <c r="Y630" s="367"/>
      <c r="Z630" s="431"/>
    </row>
    <row r="631" ht="15.75" customHeight="1">
      <c r="H631" s="17"/>
      <c r="P631" s="17"/>
      <c r="S631" s="17"/>
      <c r="U631" s="17"/>
      <c r="W631" s="430"/>
      <c r="X631" s="260"/>
      <c r="Y631" s="367"/>
      <c r="Z631" s="431"/>
    </row>
    <row r="632" ht="15.75" customHeight="1">
      <c r="H632" s="17"/>
      <c r="P632" s="17"/>
      <c r="S632" s="17"/>
      <c r="U632" s="17"/>
      <c r="W632" s="430"/>
      <c r="X632" s="260"/>
      <c r="Y632" s="367"/>
      <c r="Z632" s="431"/>
    </row>
    <row r="633" ht="15.75" customHeight="1">
      <c r="H633" s="17"/>
      <c r="P633" s="17"/>
      <c r="S633" s="17"/>
      <c r="U633" s="17"/>
      <c r="W633" s="430"/>
      <c r="X633" s="260"/>
      <c r="Y633" s="367"/>
      <c r="Z633" s="431"/>
    </row>
    <row r="634" ht="15.75" customHeight="1">
      <c r="H634" s="17"/>
      <c r="P634" s="17"/>
      <c r="S634" s="17"/>
      <c r="U634" s="17"/>
      <c r="W634" s="430"/>
      <c r="X634" s="260"/>
      <c r="Y634" s="367"/>
      <c r="Z634" s="431"/>
    </row>
    <row r="635" ht="15.75" customHeight="1">
      <c r="H635" s="17"/>
      <c r="P635" s="17"/>
      <c r="S635" s="17"/>
      <c r="U635" s="17"/>
      <c r="W635" s="430"/>
      <c r="X635" s="260"/>
      <c r="Y635" s="367"/>
      <c r="Z635" s="431"/>
    </row>
    <row r="636" ht="15.75" customHeight="1">
      <c r="H636" s="17"/>
      <c r="P636" s="17"/>
      <c r="S636" s="17"/>
      <c r="U636" s="17"/>
      <c r="W636" s="430"/>
      <c r="X636" s="260"/>
      <c r="Y636" s="367"/>
      <c r="Z636" s="431"/>
    </row>
    <row r="637" ht="15.75" customHeight="1">
      <c r="H637" s="17"/>
      <c r="P637" s="17"/>
      <c r="S637" s="17"/>
      <c r="U637" s="17"/>
      <c r="W637" s="430"/>
      <c r="X637" s="260"/>
      <c r="Y637" s="367"/>
      <c r="Z637" s="431"/>
    </row>
    <row r="638" ht="15.75" customHeight="1">
      <c r="H638" s="17"/>
      <c r="P638" s="17"/>
      <c r="S638" s="17"/>
      <c r="U638" s="17"/>
      <c r="W638" s="430"/>
      <c r="X638" s="260"/>
      <c r="Y638" s="367"/>
      <c r="Z638" s="431"/>
    </row>
    <row r="639" ht="15.75" customHeight="1">
      <c r="H639" s="17"/>
      <c r="P639" s="17"/>
      <c r="S639" s="17"/>
      <c r="U639" s="17"/>
      <c r="W639" s="430"/>
      <c r="X639" s="260"/>
      <c r="Y639" s="367"/>
      <c r="Z639" s="431"/>
    </row>
    <row r="640" ht="15.75" customHeight="1">
      <c r="H640" s="17"/>
      <c r="P640" s="17"/>
      <c r="S640" s="17"/>
      <c r="U640" s="17"/>
      <c r="W640" s="430"/>
      <c r="X640" s="260"/>
      <c r="Y640" s="367"/>
      <c r="Z640" s="431"/>
    </row>
    <row r="641" ht="15.75" customHeight="1">
      <c r="H641" s="17"/>
      <c r="P641" s="17"/>
      <c r="S641" s="17"/>
      <c r="U641" s="17"/>
      <c r="W641" s="430"/>
      <c r="X641" s="260"/>
      <c r="Y641" s="367"/>
      <c r="Z641" s="431"/>
    </row>
    <row r="642" ht="15.75" customHeight="1">
      <c r="H642" s="17"/>
      <c r="P642" s="17"/>
      <c r="S642" s="17"/>
      <c r="U642" s="17"/>
      <c r="W642" s="430"/>
      <c r="X642" s="260"/>
      <c r="Y642" s="367"/>
      <c r="Z642" s="431"/>
    </row>
    <row r="643" ht="15.75" customHeight="1">
      <c r="H643" s="17"/>
      <c r="P643" s="17"/>
      <c r="S643" s="17"/>
      <c r="U643" s="17"/>
      <c r="W643" s="430"/>
      <c r="X643" s="260"/>
      <c r="Y643" s="367"/>
      <c r="Z643" s="431"/>
    </row>
    <row r="644" ht="15.75" customHeight="1">
      <c r="H644" s="17"/>
      <c r="P644" s="17"/>
      <c r="S644" s="17"/>
      <c r="U644" s="17"/>
      <c r="W644" s="430"/>
      <c r="X644" s="260"/>
      <c r="Y644" s="367"/>
      <c r="Z644" s="431"/>
    </row>
    <row r="645" ht="15.75" customHeight="1">
      <c r="H645" s="17"/>
      <c r="P645" s="17"/>
      <c r="S645" s="17"/>
      <c r="U645" s="17"/>
      <c r="W645" s="430"/>
      <c r="X645" s="260"/>
      <c r="Y645" s="367"/>
      <c r="Z645" s="431"/>
    </row>
    <row r="646" ht="15.75" customHeight="1">
      <c r="H646" s="17"/>
      <c r="P646" s="17"/>
      <c r="S646" s="17"/>
      <c r="U646" s="17"/>
      <c r="W646" s="430"/>
      <c r="X646" s="260"/>
      <c r="Y646" s="367"/>
      <c r="Z646" s="431"/>
    </row>
    <row r="647" ht="15.75" customHeight="1">
      <c r="H647" s="17"/>
      <c r="P647" s="17"/>
      <c r="S647" s="17"/>
      <c r="U647" s="17"/>
      <c r="W647" s="430"/>
      <c r="X647" s="260"/>
      <c r="Y647" s="367"/>
      <c r="Z647" s="431"/>
    </row>
    <row r="648" ht="15.75" customHeight="1">
      <c r="H648" s="17"/>
      <c r="P648" s="17"/>
      <c r="S648" s="17"/>
      <c r="U648" s="17"/>
      <c r="W648" s="430"/>
      <c r="X648" s="260"/>
      <c r="Y648" s="367"/>
      <c r="Z648" s="431"/>
    </row>
    <row r="649" ht="15.75" customHeight="1">
      <c r="H649" s="17"/>
      <c r="P649" s="17"/>
      <c r="S649" s="17"/>
      <c r="U649" s="17"/>
      <c r="W649" s="430"/>
      <c r="X649" s="260"/>
      <c r="Y649" s="367"/>
      <c r="Z649" s="431"/>
    </row>
    <row r="650" ht="15.75" customHeight="1">
      <c r="H650" s="17"/>
      <c r="P650" s="17"/>
      <c r="S650" s="17"/>
      <c r="U650" s="17"/>
      <c r="W650" s="430"/>
      <c r="X650" s="260"/>
      <c r="Y650" s="367"/>
      <c r="Z650" s="431"/>
    </row>
    <row r="651" ht="15.75" customHeight="1">
      <c r="H651" s="17"/>
      <c r="P651" s="17"/>
      <c r="S651" s="17"/>
      <c r="U651" s="17"/>
      <c r="W651" s="430"/>
      <c r="X651" s="260"/>
      <c r="Y651" s="367"/>
      <c r="Z651" s="431"/>
    </row>
    <row r="652" ht="15.75" customHeight="1">
      <c r="H652" s="17"/>
      <c r="P652" s="17"/>
      <c r="S652" s="17"/>
      <c r="U652" s="17"/>
      <c r="W652" s="430"/>
      <c r="X652" s="260"/>
      <c r="Y652" s="367"/>
      <c r="Z652" s="431"/>
    </row>
    <row r="653" ht="15.75" customHeight="1">
      <c r="H653" s="17"/>
      <c r="P653" s="17"/>
      <c r="S653" s="17"/>
      <c r="U653" s="17"/>
      <c r="W653" s="430"/>
      <c r="X653" s="260"/>
      <c r="Y653" s="367"/>
      <c r="Z653" s="431"/>
    </row>
    <row r="654" ht="15.75" customHeight="1">
      <c r="H654" s="17"/>
      <c r="P654" s="17"/>
      <c r="S654" s="17"/>
      <c r="U654" s="17"/>
      <c r="W654" s="430"/>
      <c r="X654" s="260"/>
      <c r="Y654" s="367"/>
      <c r="Z654" s="431"/>
    </row>
    <row r="655" ht="15.75" customHeight="1">
      <c r="H655" s="17"/>
      <c r="P655" s="17"/>
      <c r="S655" s="17"/>
      <c r="U655" s="17"/>
      <c r="W655" s="430"/>
      <c r="X655" s="260"/>
      <c r="Y655" s="367"/>
      <c r="Z655" s="431"/>
    </row>
    <row r="656" ht="15.75" customHeight="1">
      <c r="H656" s="17"/>
      <c r="P656" s="17"/>
      <c r="S656" s="17"/>
      <c r="U656" s="17"/>
      <c r="W656" s="430"/>
      <c r="X656" s="260"/>
      <c r="Y656" s="367"/>
      <c r="Z656" s="431"/>
    </row>
    <row r="657" ht="15.75" customHeight="1">
      <c r="H657" s="17"/>
      <c r="P657" s="17"/>
      <c r="S657" s="17"/>
      <c r="U657" s="17"/>
      <c r="W657" s="430"/>
      <c r="X657" s="260"/>
      <c r="Y657" s="367"/>
      <c r="Z657" s="431"/>
    </row>
    <row r="658" ht="15.75" customHeight="1">
      <c r="H658" s="17"/>
      <c r="P658" s="17"/>
      <c r="S658" s="17"/>
      <c r="U658" s="17"/>
      <c r="W658" s="430"/>
      <c r="X658" s="260"/>
      <c r="Y658" s="367"/>
      <c r="Z658" s="431"/>
    </row>
    <row r="659" ht="15.75" customHeight="1">
      <c r="H659" s="17"/>
      <c r="P659" s="17"/>
      <c r="S659" s="17"/>
      <c r="U659" s="17"/>
      <c r="W659" s="430"/>
      <c r="X659" s="260"/>
      <c r="Y659" s="367"/>
      <c r="Z659" s="431"/>
    </row>
    <row r="660" ht="15.75" customHeight="1">
      <c r="H660" s="17"/>
      <c r="P660" s="17"/>
      <c r="S660" s="17"/>
      <c r="U660" s="17"/>
      <c r="W660" s="430"/>
      <c r="X660" s="260"/>
      <c r="Y660" s="367"/>
      <c r="Z660" s="431"/>
    </row>
    <row r="661" ht="15.75" customHeight="1">
      <c r="H661" s="17"/>
      <c r="P661" s="17"/>
      <c r="S661" s="17"/>
      <c r="U661" s="17"/>
      <c r="W661" s="430"/>
      <c r="X661" s="260"/>
      <c r="Y661" s="367"/>
      <c r="Z661" s="431"/>
    </row>
    <row r="662" ht="15.75" customHeight="1">
      <c r="H662" s="17"/>
      <c r="P662" s="17"/>
      <c r="S662" s="17"/>
      <c r="U662" s="17"/>
      <c r="W662" s="430"/>
      <c r="X662" s="260"/>
      <c r="Y662" s="367"/>
      <c r="Z662" s="431"/>
    </row>
    <row r="663" ht="15.75" customHeight="1">
      <c r="H663" s="17"/>
      <c r="P663" s="17"/>
      <c r="S663" s="17"/>
      <c r="U663" s="17"/>
      <c r="W663" s="430"/>
      <c r="X663" s="260"/>
      <c r="Y663" s="367"/>
      <c r="Z663" s="431"/>
    </row>
    <row r="664" ht="15.75" customHeight="1">
      <c r="H664" s="17"/>
      <c r="P664" s="17"/>
      <c r="S664" s="17"/>
      <c r="U664" s="17"/>
      <c r="W664" s="430"/>
      <c r="X664" s="260"/>
      <c r="Y664" s="367"/>
      <c r="Z664" s="431"/>
    </row>
    <row r="665" ht="15.75" customHeight="1">
      <c r="H665" s="17"/>
      <c r="P665" s="17"/>
      <c r="S665" s="17"/>
      <c r="U665" s="17"/>
      <c r="W665" s="430"/>
      <c r="X665" s="260"/>
      <c r="Y665" s="367"/>
      <c r="Z665" s="431"/>
    </row>
    <row r="666" ht="15.75" customHeight="1">
      <c r="H666" s="17"/>
      <c r="P666" s="17"/>
      <c r="S666" s="17"/>
      <c r="U666" s="17"/>
      <c r="W666" s="430"/>
      <c r="X666" s="260"/>
      <c r="Y666" s="367"/>
      <c r="Z666" s="431"/>
    </row>
    <row r="667" ht="15.75" customHeight="1">
      <c r="H667" s="17"/>
      <c r="P667" s="17"/>
      <c r="S667" s="17"/>
      <c r="U667" s="17"/>
      <c r="W667" s="430"/>
      <c r="X667" s="260"/>
      <c r="Y667" s="367"/>
      <c r="Z667" s="431"/>
    </row>
    <row r="668" ht="15.75" customHeight="1">
      <c r="H668" s="17"/>
      <c r="P668" s="17"/>
      <c r="S668" s="17"/>
      <c r="U668" s="17"/>
      <c r="W668" s="430"/>
      <c r="X668" s="260"/>
      <c r="Y668" s="367"/>
      <c r="Z668" s="431"/>
    </row>
    <row r="669" ht="15.75" customHeight="1">
      <c r="H669" s="17"/>
      <c r="P669" s="17"/>
      <c r="S669" s="17"/>
      <c r="U669" s="17"/>
      <c r="W669" s="430"/>
      <c r="X669" s="260"/>
      <c r="Y669" s="367"/>
      <c r="Z669" s="431"/>
    </row>
    <row r="670" ht="15.75" customHeight="1">
      <c r="H670" s="17"/>
      <c r="P670" s="17"/>
      <c r="S670" s="17"/>
      <c r="U670" s="17"/>
      <c r="W670" s="430"/>
      <c r="X670" s="260"/>
      <c r="Y670" s="367"/>
      <c r="Z670" s="431"/>
    </row>
    <row r="671" ht="15.75" customHeight="1">
      <c r="H671" s="17"/>
      <c r="P671" s="17"/>
      <c r="S671" s="17"/>
      <c r="U671" s="17"/>
      <c r="W671" s="430"/>
      <c r="X671" s="260"/>
      <c r="Y671" s="367"/>
      <c r="Z671" s="431"/>
    </row>
    <row r="672" ht="15.75" customHeight="1">
      <c r="H672" s="17"/>
      <c r="P672" s="17"/>
      <c r="S672" s="17"/>
      <c r="U672" s="17"/>
      <c r="W672" s="430"/>
      <c r="X672" s="260"/>
      <c r="Y672" s="367"/>
      <c r="Z672" s="431"/>
    </row>
    <row r="673" ht="15.75" customHeight="1">
      <c r="H673" s="17"/>
      <c r="P673" s="17"/>
      <c r="S673" s="17"/>
      <c r="U673" s="17"/>
      <c r="W673" s="430"/>
      <c r="X673" s="260"/>
      <c r="Y673" s="367"/>
      <c r="Z673" s="431"/>
    </row>
    <row r="674" ht="15.75" customHeight="1">
      <c r="H674" s="17"/>
      <c r="P674" s="17"/>
      <c r="S674" s="17"/>
      <c r="U674" s="17"/>
      <c r="W674" s="430"/>
      <c r="X674" s="260"/>
      <c r="Y674" s="367"/>
      <c r="Z674" s="431"/>
    </row>
    <row r="675" ht="15.75" customHeight="1">
      <c r="H675" s="17"/>
      <c r="P675" s="17"/>
      <c r="S675" s="17"/>
      <c r="U675" s="17"/>
      <c r="W675" s="430"/>
      <c r="X675" s="260"/>
      <c r="Y675" s="367"/>
      <c r="Z675" s="431"/>
    </row>
    <row r="676" ht="15.75" customHeight="1">
      <c r="H676" s="17"/>
      <c r="P676" s="17"/>
      <c r="S676" s="17"/>
      <c r="U676" s="17"/>
      <c r="W676" s="430"/>
      <c r="X676" s="260"/>
      <c r="Y676" s="367"/>
      <c r="Z676" s="431"/>
    </row>
    <row r="677" ht="15.75" customHeight="1">
      <c r="H677" s="17"/>
      <c r="P677" s="17"/>
      <c r="S677" s="17"/>
      <c r="U677" s="17"/>
      <c r="W677" s="430"/>
      <c r="X677" s="260"/>
      <c r="Y677" s="367"/>
      <c r="Z677" s="431"/>
    </row>
    <row r="678" ht="15.75" customHeight="1">
      <c r="H678" s="17"/>
      <c r="P678" s="17"/>
      <c r="S678" s="17"/>
      <c r="U678" s="17"/>
      <c r="W678" s="430"/>
      <c r="X678" s="260"/>
      <c r="Y678" s="367"/>
      <c r="Z678" s="431"/>
    </row>
    <row r="679" ht="15.75" customHeight="1">
      <c r="H679" s="17"/>
      <c r="P679" s="17"/>
      <c r="S679" s="17"/>
      <c r="U679" s="17"/>
      <c r="W679" s="430"/>
      <c r="X679" s="260"/>
      <c r="Y679" s="367"/>
      <c r="Z679" s="431"/>
    </row>
    <row r="680" ht="15.75" customHeight="1">
      <c r="H680" s="17"/>
      <c r="P680" s="17"/>
      <c r="S680" s="17"/>
      <c r="U680" s="17"/>
      <c r="W680" s="430"/>
      <c r="X680" s="260"/>
      <c r="Y680" s="367"/>
      <c r="Z680" s="431"/>
    </row>
    <row r="681" ht="15.75" customHeight="1">
      <c r="H681" s="17"/>
      <c r="P681" s="17"/>
      <c r="S681" s="17"/>
      <c r="U681" s="17"/>
      <c r="W681" s="430"/>
      <c r="X681" s="260"/>
      <c r="Y681" s="367"/>
      <c r="Z681" s="431"/>
    </row>
    <row r="682" ht="15.75" customHeight="1">
      <c r="H682" s="17"/>
      <c r="P682" s="17"/>
      <c r="S682" s="17"/>
      <c r="U682" s="17"/>
      <c r="W682" s="430"/>
      <c r="X682" s="260"/>
      <c r="Y682" s="367"/>
      <c r="Z682" s="431"/>
    </row>
    <row r="683" ht="15.75" customHeight="1">
      <c r="H683" s="17"/>
      <c r="P683" s="17"/>
      <c r="S683" s="17"/>
      <c r="U683" s="17"/>
      <c r="W683" s="430"/>
      <c r="X683" s="260"/>
      <c r="Y683" s="367"/>
      <c r="Z683" s="431"/>
    </row>
    <row r="684" ht="15.75" customHeight="1">
      <c r="H684" s="17"/>
      <c r="P684" s="17"/>
      <c r="S684" s="17"/>
      <c r="U684" s="17"/>
      <c r="W684" s="430"/>
      <c r="X684" s="260"/>
      <c r="Y684" s="367"/>
      <c r="Z684" s="431"/>
    </row>
    <row r="685" ht="15.75" customHeight="1">
      <c r="H685" s="17"/>
      <c r="P685" s="17"/>
      <c r="S685" s="17"/>
      <c r="U685" s="17"/>
      <c r="W685" s="430"/>
      <c r="X685" s="260"/>
      <c r="Y685" s="367"/>
      <c r="Z685" s="431"/>
    </row>
    <row r="686" ht="15.75" customHeight="1">
      <c r="H686" s="17"/>
      <c r="P686" s="17"/>
      <c r="S686" s="17"/>
      <c r="U686" s="17"/>
      <c r="W686" s="430"/>
      <c r="X686" s="260"/>
      <c r="Y686" s="367"/>
      <c r="Z686" s="431"/>
    </row>
    <row r="687" ht="15.75" customHeight="1">
      <c r="H687" s="17"/>
      <c r="P687" s="17"/>
      <c r="S687" s="17"/>
      <c r="U687" s="17"/>
      <c r="W687" s="430"/>
      <c r="X687" s="260"/>
      <c r="Y687" s="367"/>
      <c r="Z687" s="431"/>
    </row>
    <row r="688" ht="15.75" customHeight="1">
      <c r="H688" s="17"/>
      <c r="P688" s="17"/>
      <c r="S688" s="17"/>
      <c r="U688" s="17"/>
      <c r="W688" s="430"/>
      <c r="X688" s="260"/>
      <c r="Y688" s="367"/>
      <c r="Z688" s="431"/>
    </row>
    <row r="689" ht="15.75" customHeight="1">
      <c r="H689" s="17"/>
      <c r="P689" s="17"/>
      <c r="S689" s="17"/>
      <c r="U689" s="17"/>
      <c r="W689" s="430"/>
      <c r="X689" s="260"/>
      <c r="Y689" s="367"/>
      <c r="Z689" s="431"/>
    </row>
    <row r="690" ht="15.75" customHeight="1">
      <c r="H690" s="17"/>
      <c r="P690" s="17"/>
      <c r="S690" s="17"/>
      <c r="U690" s="17"/>
      <c r="W690" s="430"/>
      <c r="X690" s="260"/>
      <c r="Y690" s="367"/>
      <c r="Z690" s="431"/>
    </row>
    <row r="691" ht="15.75" customHeight="1">
      <c r="H691" s="17"/>
      <c r="P691" s="17"/>
      <c r="S691" s="17"/>
      <c r="U691" s="17"/>
      <c r="W691" s="430"/>
      <c r="X691" s="260"/>
      <c r="Y691" s="367"/>
      <c r="Z691" s="431"/>
    </row>
    <row r="692" ht="15.75" customHeight="1">
      <c r="H692" s="17"/>
      <c r="P692" s="17"/>
      <c r="S692" s="17"/>
      <c r="U692" s="17"/>
      <c r="W692" s="430"/>
      <c r="X692" s="260"/>
      <c r="Y692" s="367"/>
      <c r="Z692" s="431"/>
    </row>
    <row r="693" ht="15.75" customHeight="1">
      <c r="H693" s="17"/>
      <c r="P693" s="17"/>
      <c r="S693" s="17"/>
      <c r="U693" s="17"/>
      <c r="W693" s="430"/>
      <c r="X693" s="260"/>
      <c r="Y693" s="367"/>
      <c r="Z693" s="431"/>
    </row>
    <row r="694" ht="15.75" customHeight="1">
      <c r="H694" s="17"/>
      <c r="P694" s="17"/>
      <c r="S694" s="17"/>
      <c r="U694" s="17"/>
      <c r="W694" s="430"/>
      <c r="X694" s="260"/>
      <c r="Y694" s="367"/>
      <c r="Z694" s="431"/>
    </row>
    <row r="695" ht="15.75" customHeight="1">
      <c r="H695" s="17"/>
      <c r="P695" s="17"/>
      <c r="S695" s="17"/>
      <c r="U695" s="17"/>
      <c r="W695" s="430"/>
      <c r="X695" s="260"/>
      <c r="Y695" s="367"/>
      <c r="Z695" s="431"/>
    </row>
    <row r="696" ht="15.75" customHeight="1">
      <c r="H696" s="17"/>
      <c r="P696" s="17"/>
      <c r="S696" s="17"/>
      <c r="U696" s="17"/>
      <c r="W696" s="430"/>
      <c r="X696" s="260"/>
      <c r="Y696" s="367"/>
      <c r="Z696" s="431"/>
    </row>
    <row r="697" ht="15.75" customHeight="1">
      <c r="H697" s="17"/>
      <c r="P697" s="17"/>
      <c r="S697" s="17"/>
      <c r="U697" s="17"/>
      <c r="W697" s="430"/>
      <c r="X697" s="260"/>
      <c r="Y697" s="367"/>
      <c r="Z697" s="431"/>
    </row>
    <row r="698" ht="15.75" customHeight="1">
      <c r="H698" s="17"/>
      <c r="P698" s="17"/>
      <c r="S698" s="17"/>
      <c r="U698" s="17"/>
      <c r="W698" s="430"/>
      <c r="X698" s="260"/>
      <c r="Y698" s="367"/>
      <c r="Z698" s="431"/>
    </row>
    <row r="699" ht="15.75" customHeight="1">
      <c r="H699" s="17"/>
      <c r="P699" s="17"/>
      <c r="S699" s="17"/>
      <c r="U699" s="17"/>
      <c r="W699" s="430"/>
      <c r="X699" s="260"/>
      <c r="Y699" s="367"/>
      <c r="Z699" s="431"/>
    </row>
    <row r="700" ht="15.75" customHeight="1">
      <c r="H700" s="17"/>
      <c r="P700" s="17"/>
      <c r="S700" s="17"/>
      <c r="U700" s="17"/>
      <c r="W700" s="430"/>
      <c r="X700" s="260"/>
      <c r="Y700" s="367"/>
      <c r="Z700" s="431"/>
    </row>
    <row r="701" ht="15.75" customHeight="1">
      <c r="H701" s="17"/>
      <c r="P701" s="17"/>
      <c r="S701" s="17"/>
      <c r="U701" s="17"/>
      <c r="W701" s="430"/>
      <c r="X701" s="260"/>
      <c r="Y701" s="367"/>
      <c r="Z701" s="431"/>
    </row>
    <row r="702" ht="15.75" customHeight="1">
      <c r="H702" s="17"/>
      <c r="P702" s="17"/>
      <c r="S702" s="17"/>
      <c r="U702" s="17"/>
      <c r="W702" s="430"/>
      <c r="X702" s="260"/>
      <c r="Y702" s="367"/>
      <c r="Z702" s="431"/>
    </row>
    <row r="703" ht="15.75" customHeight="1">
      <c r="H703" s="17"/>
      <c r="P703" s="17"/>
      <c r="S703" s="17"/>
      <c r="U703" s="17"/>
      <c r="W703" s="430"/>
      <c r="X703" s="260"/>
      <c r="Y703" s="367"/>
      <c r="Z703" s="431"/>
    </row>
    <row r="704" ht="15.75" customHeight="1">
      <c r="H704" s="17"/>
      <c r="P704" s="17"/>
      <c r="S704" s="17"/>
      <c r="U704" s="17"/>
      <c r="W704" s="430"/>
      <c r="X704" s="260"/>
      <c r="Y704" s="367"/>
      <c r="Z704" s="431"/>
    </row>
    <row r="705" ht="15.75" customHeight="1">
      <c r="H705" s="17"/>
      <c r="P705" s="17"/>
      <c r="S705" s="17"/>
      <c r="U705" s="17"/>
      <c r="W705" s="430"/>
      <c r="X705" s="260"/>
      <c r="Y705" s="367"/>
      <c r="Z705" s="431"/>
    </row>
    <row r="706" ht="15.75" customHeight="1">
      <c r="H706" s="17"/>
      <c r="P706" s="17"/>
      <c r="S706" s="17"/>
      <c r="U706" s="17"/>
      <c r="W706" s="430"/>
      <c r="X706" s="260"/>
      <c r="Y706" s="367"/>
      <c r="Z706" s="431"/>
    </row>
    <row r="707" ht="15.75" customHeight="1">
      <c r="H707" s="17"/>
      <c r="P707" s="17"/>
      <c r="S707" s="17"/>
      <c r="U707" s="17"/>
      <c r="W707" s="430"/>
      <c r="X707" s="260"/>
      <c r="Y707" s="367"/>
      <c r="Z707" s="431"/>
    </row>
    <row r="708" ht="15.75" customHeight="1">
      <c r="H708" s="17"/>
      <c r="P708" s="17"/>
      <c r="S708" s="17"/>
      <c r="U708" s="17"/>
      <c r="W708" s="430"/>
      <c r="X708" s="260"/>
      <c r="Y708" s="367"/>
      <c r="Z708" s="431"/>
    </row>
    <row r="709" ht="15.75" customHeight="1">
      <c r="H709" s="17"/>
      <c r="P709" s="17"/>
      <c r="S709" s="17"/>
      <c r="U709" s="17"/>
      <c r="W709" s="430"/>
      <c r="X709" s="260"/>
      <c r="Y709" s="367"/>
      <c r="Z709" s="431"/>
    </row>
    <row r="710" ht="15.75" customHeight="1">
      <c r="H710" s="17"/>
      <c r="P710" s="17"/>
      <c r="S710" s="17"/>
      <c r="U710" s="17"/>
      <c r="W710" s="430"/>
      <c r="X710" s="260"/>
      <c r="Y710" s="367"/>
      <c r="Z710" s="431"/>
    </row>
    <row r="711" ht="15.75" customHeight="1">
      <c r="H711" s="17"/>
      <c r="P711" s="17"/>
      <c r="S711" s="17"/>
      <c r="U711" s="17"/>
      <c r="W711" s="430"/>
      <c r="X711" s="260"/>
      <c r="Y711" s="367"/>
      <c r="Z711" s="431"/>
    </row>
    <row r="712" ht="15.75" customHeight="1">
      <c r="H712" s="17"/>
      <c r="P712" s="17"/>
      <c r="S712" s="17"/>
      <c r="U712" s="17"/>
      <c r="W712" s="430"/>
      <c r="X712" s="260"/>
      <c r="Y712" s="367"/>
      <c r="Z712" s="431"/>
    </row>
    <row r="713" ht="15.75" customHeight="1">
      <c r="H713" s="17"/>
      <c r="P713" s="17"/>
      <c r="S713" s="17"/>
      <c r="U713" s="17"/>
      <c r="W713" s="430"/>
      <c r="X713" s="260"/>
      <c r="Y713" s="367"/>
      <c r="Z713" s="431"/>
    </row>
    <row r="714" ht="15.75" customHeight="1">
      <c r="H714" s="17"/>
      <c r="P714" s="17"/>
      <c r="S714" s="17"/>
      <c r="U714" s="17"/>
      <c r="W714" s="430"/>
      <c r="X714" s="260"/>
      <c r="Y714" s="367"/>
      <c r="Z714" s="431"/>
    </row>
    <row r="715" ht="15.75" customHeight="1">
      <c r="H715" s="17"/>
      <c r="P715" s="17"/>
      <c r="S715" s="17"/>
      <c r="U715" s="17"/>
      <c r="W715" s="430"/>
      <c r="X715" s="260"/>
      <c r="Y715" s="367"/>
      <c r="Z715" s="431"/>
    </row>
    <row r="716" ht="15.75" customHeight="1">
      <c r="H716" s="17"/>
      <c r="P716" s="17"/>
      <c r="S716" s="17"/>
      <c r="U716" s="17"/>
      <c r="W716" s="430"/>
      <c r="X716" s="260"/>
      <c r="Y716" s="367"/>
      <c r="Z716" s="431"/>
    </row>
    <row r="717" ht="15.75" customHeight="1">
      <c r="H717" s="17"/>
      <c r="P717" s="17"/>
      <c r="S717" s="17"/>
      <c r="U717" s="17"/>
      <c r="W717" s="430"/>
      <c r="X717" s="260"/>
      <c r="Y717" s="367"/>
      <c r="Z717" s="431"/>
    </row>
    <row r="718" ht="15.75" customHeight="1">
      <c r="H718" s="17"/>
      <c r="P718" s="17"/>
      <c r="S718" s="17"/>
      <c r="U718" s="17"/>
      <c r="W718" s="430"/>
      <c r="X718" s="260"/>
      <c r="Y718" s="367"/>
      <c r="Z718" s="431"/>
    </row>
    <row r="719" ht="15.75" customHeight="1">
      <c r="H719" s="17"/>
      <c r="P719" s="17"/>
      <c r="S719" s="17"/>
      <c r="U719" s="17"/>
      <c r="W719" s="430"/>
      <c r="X719" s="260"/>
      <c r="Y719" s="367"/>
      <c r="Z719" s="431"/>
    </row>
    <row r="720" ht="15.75" customHeight="1">
      <c r="H720" s="17"/>
      <c r="P720" s="17"/>
      <c r="S720" s="17"/>
      <c r="U720" s="17"/>
      <c r="W720" s="430"/>
      <c r="X720" s="260"/>
      <c r="Y720" s="367"/>
      <c r="Z720" s="431"/>
    </row>
    <row r="721" ht="15.75" customHeight="1">
      <c r="H721" s="17"/>
      <c r="P721" s="17"/>
      <c r="S721" s="17"/>
      <c r="U721" s="17"/>
      <c r="W721" s="430"/>
      <c r="X721" s="260"/>
      <c r="Y721" s="367"/>
      <c r="Z721" s="431"/>
    </row>
    <row r="722" ht="15.75" customHeight="1">
      <c r="H722" s="17"/>
      <c r="P722" s="17"/>
      <c r="S722" s="17"/>
      <c r="U722" s="17"/>
      <c r="W722" s="430"/>
      <c r="X722" s="260"/>
      <c r="Y722" s="367"/>
      <c r="Z722" s="431"/>
    </row>
    <row r="723" ht="15.75" customHeight="1">
      <c r="H723" s="17"/>
      <c r="P723" s="17"/>
      <c r="S723" s="17"/>
      <c r="U723" s="17"/>
      <c r="W723" s="430"/>
      <c r="X723" s="260"/>
      <c r="Y723" s="367"/>
      <c r="Z723" s="431"/>
    </row>
    <row r="724" ht="15.75" customHeight="1">
      <c r="H724" s="17"/>
      <c r="P724" s="17"/>
      <c r="S724" s="17"/>
      <c r="U724" s="17"/>
      <c r="W724" s="430"/>
      <c r="X724" s="260"/>
      <c r="Y724" s="367"/>
      <c r="Z724" s="431"/>
    </row>
    <row r="725" ht="15.75" customHeight="1">
      <c r="H725" s="17"/>
      <c r="P725" s="17"/>
      <c r="S725" s="17"/>
      <c r="U725" s="17"/>
      <c r="W725" s="430"/>
      <c r="X725" s="260"/>
      <c r="Y725" s="367"/>
      <c r="Z725" s="431"/>
    </row>
    <row r="726" ht="15.75" customHeight="1">
      <c r="H726" s="17"/>
      <c r="P726" s="17"/>
      <c r="S726" s="17"/>
      <c r="U726" s="17"/>
      <c r="W726" s="430"/>
      <c r="X726" s="260"/>
      <c r="Y726" s="367"/>
      <c r="Z726" s="431"/>
    </row>
    <row r="727" ht="15.75" customHeight="1">
      <c r="H727" s="17"/>
      <c r="P727" s="17"/>
      <c r="S727" s="17"/>
      <c r="U727" s="17"/>
      <c r="W727" s="430"/>
      <c r="X727" s="260"/>
      <c r="Y727" s="367"/>
      <c r="Z727" s="431"/>
    </row>
    <row r="728" ht="15.75" customHeight="1">
      <c r="H728" s="17"/>
      <c r="P728" s="17"/>
      <c r="S728" s="17"/>
      <c r="U728" s="17"/>
      <c r="W728" s="430"/>
      <c r="X728" s="260"/>
      <c r="Y728" s="367"/>
      <c r="Z728" s="431"/>
    </row>
    <row r="729" ht="15.75" customHeight="1">
      <c r="H729" s="17"/>
      <c r="P729" s="17"/>
      <c r="S729" s="17"/>
      <c r="U729" s="17"/>
      <c r="W729" s="430"/>
      <c r="X729" s="260"/>
      <c r="Y729" s="367"/>
      <c r="Z729" s="431"/>
    </row>
    <row r="730" ht="15.75" customHeight="1">
      <c r="H730" s="17"/>
      <c r="P730" s="17"/>
      <c r="S730" s="17"/>
      <c r="U730" s="17"/>
      <c r="W730" s="430"/>
      <c r="X730" s="260"/>
      <c r="Y730" s="367"/>
      <c r="Z730" s="431"/>
    </row>
    <row r="731" ht="15.75" customHeight="1">
      <c r="H731" s="17"/>
      <c r="P731" s="17"/>
      <c r="S731" s="17"/>
      <c r="U731" s="17"/>
      <c r="W731" s="430"/>
      <c r="X731" s="260"/>
      <c r="Y731" s="367"/>
      <c r="Z731" s="431"/>
    </row>
    <row r="732" ht="15.75" customHeight="1">
      <c r="H732" s="17"/>
      <c r="P732" s="17"/>
      <c r="S732" s="17"/>
      <c r="U732" s="17"/>
      <c r="W732" s="430"/>
      <c r="X732" s="260"/>
      <c r="Y732" s="367"/>
      <c r="Z732" s="431"/>
    </row>
    <row r="733" ht="15.75" customHeight="1">
      <c r="H733" s="17"/>
      <c r="P733" s="17"/>
      <c r="S733" s="17"/>
      <c r="U733" s="17"/>
      <c r="W733" s="430"/>
      <c r="X733" s="260"/>
      <c r="Y733" s="367"/>
      <c r="Z733" s="431"/>
    </row>
    <row r="734" ht="15.75" customHeight="1">
      <c r="H734" s="17"/>
      <c r="P734" s="17"/>
      <c r="S734" s="17"/>
      <c r="U734" s="17"/>
      <c r="W734" s="430"/>
      <c r="X734" s="260"/>
      <c r="Y734" s="367"/>
      <c r="Z734" s="431"/>
    </row>
    <row r="735" ht="15.75" customHeight="1">
      <c r="H735" s="17"/>
      <c r="P735" s="17"/>
      <c r="S735" s="17"/>
      <c r="U735" s="17"/>
      <c r="W735" s="430"/>
      <c r="X735" s="260"/>
      <c r="Y735" s="367"/>
      <c r="Z735" s="431"/>
    </row>
    <row r="736" ht="15.75" customHeight="1">
      <c r="H736" s="17"/>
      <c r="P736" s="17"/>
      <c r="S736" s="17"/>
      <c r="U736" s="17"/>
      <c r="W736" s="430"/>
      <c r="X736" s="260"/>
      <c r="Y736" s="367"/>
      <c r="Z736" s="431"/>
    </row>
    <row r="737" ht="15.75" customHeight="1">
      <c r="H737" s="17"/>
      <c r="P737" s="17"/>
      <c r="S737" s="17"/>
      <c r="U737" s="17"/>
      <c r="W737" s="430"/>
      <c r="X737" s="260"/>
      <c r="Y737" s="367"/>
      <c r="Z737" s="431"/>
    </row>
    <row r="738" ht="15.75" customHeight="1">
      <c r="H738" s="17"/>
      <c r="P738" s="17"/>
      <c r="S738" s="17"/>
      <c r="U738" s="17"/>
      <c r="W738" s="430"/>
      <c r="X738" s="260"/>
      <c r="Y738" s="367"/>
      <c r="Z738" s="431"/>
    </row>
    <row r="739" ht="15.75" customHeight="1">
      <c r="H739" s="17"/>
      <c r="P739" s="17"/>
      <c r="S739" s="17"/>
      <c r="U739" s="17"/>
      <c r="W739" s="430"/>
      <c r="X739" s="260"/>
      <c r="Y739" s="367"/>
      <c r="Z739" s="431"/>
    </row>
    <row r="740" ht="15.75" customHeight="1">
      <c r="H740" s="17"/>
      <c r="P740" s="17"/>
      <c r="S740" s="17"/>
      <c r="U740" s="17"/>
      <c r="W740" s="430"/>
      <c r="X740" s="260"/>
      <c r="Y740" s="367"/>
      <c r="Z740" s="431"/>
    </row>
    <row r="741" ht="15.75" customHeight="1">
      <c r="H741" s="17"/>
      <c r="P741" s="17"/>
      <c r="S741" s="17"/>
      <c r="U741" s="17"/>
      <c r="W741" s="430"/>
      <c r="X741" s="260"/>
      <c r="Y741" s="367"/>
      <c r="Z741" s="431"/>
    </row>
    <row r="742" ht="15.75" customHeight="1">
      <c r="H742" s="17"/>
      <c r="P742" s="17"/>
      <c r="S742" s="17"/>
      <c r="U742" s="17"/>
      <c r="W742" s="430"/>
      <c r="X742" s="260"/>
      <c r="Y742" s="367"/>
      <c r="Z742" s="431"/>
    </row>
    <row r="743" ht="15.75" customHeight="1">
      <c r="H743" s="17"/>
      <c r="P743" s="17"/>
      <c r="S743" s="17"/>
      <c r="U743" s="17"/>
      <c r="W743" s="430"/>
      <c r="X743" s="260"/>
      <c r="Y743" s="367"/>
      <c r="Z743" s="431"/>
    </row>
    <row r="744" ht="15.75" customHeight="1">
      <c r="H744" s="17"/>
      <c r="P744" s="17"/>
      <c r="S744" s="17"/>
      <c r="U744" s="17"/>
      <c r="W744" s="430"/>
      <c r="X744" s="260"/>
      <c r="Y744" s="367"/>
      <c r="Z744" s="431"/>
    </row>
    <row r="745" ht="15.75" customHeight="1">
      <c r="H745" s="17"/>
      <c r="P745" s="17"/>
      <c r="S745" s="17"/>
      <c r="U745" s="17"/>
      <c r="W745" s="430"/>
      <c r="X745" s="260"/>
      <c r="Y745" s="367"/>
      <c r="Z745" s="431"/>
    </row>
    <row r="746" ht="15.75" customHeight="1">
      <c r="H746" s="17"/>
      <c r="P746" s="17"/>
      <c r="S746" s="17"/>
      <c r="U746" s="17"/>
      <c r="W746" s="430"/>
      <c r="X746" s="260"/>
      <c r="Y746" s="367"/>
      <c r="Z746" s="431"/>
    </row>
    <row r="747" ht="15.75" customHeight="1">
      <c r="H747" s="17"/>
      <c r="P747" s="17"/>
      <c r="S747" s="17"/>
      <c r="U747" s="17"/>
      <c r="W747" s="430"/>
      <c r="X747" s="260"/>
      <c r="Y747" s="367"/>
      <c r="Z747" s="431"/>
    </row>
    <row r="748" ht="15.75" customHeight="1">
      <c r="H748" s="17"/>
      <c r="P748" s="17"/>
      <c r="S748" s="17"/>
      <c r="U748" s="17"/>
      <c r="W748" s="430"/>
      <c r="X748" s="260"/>
      <c r="Y748" s="367"/>
      <c r="Z748" s="431"/>
    </row>
    <row r="749" ht="15.75" customHeight="1">
      <c r="H749" s="17"/>
      <c r="P749" s="17"/>
      <c r="S749" s="17"/>
      <c r="U749" s="17"/>
      <c r="W749" s="430"/>
      <c r="X749" s="260"/>
      <c r="Y749" s="367"/>
      <c r="Z749" s="431"/>
    </row>
    <row r="750" ht="15.75" customHeight="1">
      <c r="H750" s="17"/>
      <c r="P750" s="17"/>
      <c r="S750" s="17"/>
      <c r="U750" s="17"/>
      <c r="W750" s="430"/>
      <c r="X750" s="260"/>
      <c r="Y750" s="367"/>
      <c r="Z750" s="431"/>
    </row>
    <row r="751" ht="15.75" customHeight="1">
      <c r="H751" s="17"/>
      <c r="P751" s="17"/>
      <c r="S751" s="17"/>
      <c r="U751" s="17"/>
      <c r="W751" s="430"/>
      <c r="X751" s="260"/>
      <c r="Y751" s="367"/>
      <c r="Z751" s="431"/>
    </row>
    <row r="752" ht="15.75" customHeight="1">
      <c r="H752" s="17"/>
      <c r="P752" s="17"/>
      <c r="S752" s="17"/>
      <c r="U752" s="17"/>
      <c r="W752" s="430"/>
      <c r="X752" s="260"/>
      <c r="Y752" s="367"/>
      <c r="Z752" s="431"/>
    </row>
    <row r="753" ht="15.75" customHeight="1">
      <c r="H753" s="17"/>
      <c r="P753" s="17"/>
      <c r="S753" s="17"/>
      <c r="U753" s="17"/>
      <c r="W753" s="430"/>
      <c r="X753" s="260"/>
      <c r="Y753" s="367"/>
      <c r="Z753" s="431"/>
    </row>
    <row r="754" ht="15.75" customHeight="1">
      <c r="H754" s="17"/>
      <c r="P754" s="17"/>
      <c r="S754" s="17"/>
      <c r="U754" s="17"/>
      <c r="W754" s="430"/>
      <c r="X754" s="260"/>
      <c r="Y754" s="367"/>
      <c r="Z754" s="431"/>
    </row>
    <row r="755" ht="15.75" customHeight="1">
      <c r="H755" s="17"/>
      <c r="P755" s="17"/>
      <c r="S755" s="17"/>
      <c r="U755" s="17"/>
      <c r="W755" s="430"/>
      <c r="X755" s="260"/>
      <c r="Y755" s="367"/>
      <c r="Z755" s="431"/>
    </row>
    <row r="756" ht="15.75" customHeight="1">
      <c r="H756" s="17"/>
      <c r="P756" s="17"/>
      <c r="S756" s="17"/>
      <c r="U756" s="17"/>
      <c r="W756" s="430"/>
      <c r="X756" s="260"/>
      <c r="Y756" s="367"/>
      <c r="Z756" s="431"/>
    </row>
    <row r="757" ht="15.75" customHeight="1">
      <c r="H757" s="17"/>
      <c r="P757" s="17"/>
      <c r="S757" s="17"/>
      <c r="U757" s="17"/>
      <c r="W757" s="430"/>
      <c r="X757" s="260"/>
      <c r="Y757" s="367"/>
      <c r="Z757" s="431"/>
    </row>
    <row r="758" ht="15.75" customHeight="1">
      <c r="H758" s="17"/>
      <c r="P758" s="17"/>
      <c r="S758" s="17"/>
      <c r="U758" s="17"/>
      <c r="W758" s="430"/>
      <c r="X758" s="260"/>
      <c r="Y758" s="367"/>
      <c r="Z758" s="431"/>
    </row>
    <row r="759" ht="15.75" customHeight="1">
      <c r="H759" s="17"/>
      <c r="P759" s="17"/>
      <c r="S759" s="17"/>
      <c r="U759" s="17"/>
      <c r="W759" s="430"/>
      <c r="X759" s="260"/>
      <c r="Y759" s="367"/>
      <c r="Z759" s="431"/>
    </row>
    <row r="760" ht="15.75" customHeight="1">
      <c r="H760" s="17"/>
      <c r="P760" s="17"/>
      <c r="S760" s="17"/>
      <c r="U760" s="17"/>
      <c r="W760" s="430"/>
      <c r="X760" s="260"/>
      <c r="Y760" s="367"/>
      <c r="Z760" s="431"/>
    </row>
    <row r="761" ht="15.75" customHeight="1">
      <c r="H761" s="17"/>
      <c r="P761" s="17"/>
      <c r="S761" s="17"/>
      <c r="U761" s="17"/>
      <c r="W761" s="430"/>
      <c r="X761" s="260"/>
      <c r="Y761" s="367"/>
      <c r="Z761" s="431"/>
    </row>
    <row r="762" ht="15.75" customHeight="1">
      <c r="H762" s="17"/>
      <c r="P762" s="17"/>
      <c r="S762" s="17"/>
      <c r="U762" s="17"/>
      <c r="W762" s="430"/>
      <c r="X762" s="260"/>
      <c r="Y762" s="367"/>
      <c r="Z762" s="431"/>
    </row>
    <row r="763" ht="15.75" customHeight="1">
      <c r="H763" s="17"/>
      <c r="P763" s="17"/>
      <c r="S763" s="17"/>
      <c r="U763" s="17"/>
      <c r="W763" s="430"/>
      <c r="X763" s="260"/>
      <c r="Y763" s="367"/>
      <c r="Z763" s="431"/>
    </row>
    <row r="764" ht="15.75" customHeight="1">
      <c r="H764" s="17"/>
      <c r="P764" s="17"/>
      <c r="S764" s="17"/>
      <c r="U764" s="17"/>
      <c r="W764" s="430"/>
      <c r="X764" s="260"/>
      <c r="Y764" s="367"/>
      <c r="Z764" s="431"/>
    </row>
    <row r="765" ht="15.75" customHeight="1">
      <c r="H765" s="17"/>
      <c r="P765" s="17"/>
      <c r="S765" s="17"/>
      <c r="U765" s="17"/>
      <c r="W765" s="430"/>
      <c r="X765" s="260"/>
      <c r="Y765" s="367"/>
      <c r="Z765" s="431"/>
    </row>
    <row r="766" ht="15.75" customHeight="1">
      <c r="H766" s="17"/>
      <c r="P766" s="17"/>
      <c r="S766" s="17"/>
      <c r="U766" s="17"/>
      <c r="W766" s="430"/>
      <c r="X766" s="260"/>
      <c r="Y766" s="367"/>
      <c r="Z766" s="431"/>
    </row>
    <row r="767" ht="15.75" customHeight="1">
      <c r="H767" s="17"/>
      <c r="P767" s="17"/>
      <c r="S767" s="17"/>
      <c r="U767" s="17"/>
      <c r="W767" s="430"/>
      <c r="X767" s="260"/>
      <c r="Y767" s="367"/>
      <c r="Z767" s="431"/>
    </row>
    <row r="768" ht="15.75" customHeight="1">
      <c r="H768" s="17"/>
      <c r="P768" s="17"/>
      <c r="S768" s="17"/>
      <c r="U768" s="17"/>
      <c r="W768" s="430"/>
      <c r="X768" s="260"/>
      <c r="Y768" s="367"/>
      <c r="Z768" s="431"/>
    </row>
    <row r="769" ht="15.75" customHeight="1">
      <c r="H769" s="17"/>
      <c r="P769" s="17"/>
      <c r="S769" s="17"/>
      <c r="U769" s="17"/>
      <c r="W769" s="430"/>
      <c r="X769" s="260"/>
      <c r="Y769" s="367"/>
      <c r="Z769" s="431"/>
    </row>
    <row r="770" ht="15.75" customHeight="1">
      <c r="H770" s="17"/>
      <c r="P770" s="17"/>
      <c r="S770" s="17"/>
      <c r="U770" s="17"/>
      <c r="W770" s="430"/>
      <c r="X770" s="260"/>
      <c r="Y770" s="367"/>
      <c r="Z770" s="431"/>
    </row>
    <row r="771" ht="15.75" customHeight="1">
      <c r="H771" s="17"/>
      <c r="P771" s="17"/>
      <c r="S771" s="17"/>
      <c r="U771" s="17"/>
      <c r="W771" s="430"/>
      <c r="X771" s="260"/>
      <c r="Y771" s="367"/>
      <c r="Z771" s="431"/>
    </row>
    <row r="772" ht="15.75" customHeight="1">
      <c r="H772" s="17"/>
      <c r="P772" s="17"/>
      <c r="S772" s="17"/>
      <c r="U772" s="17"/>
      <c r="W772" s="430"/>
      <c r="X772" s="260"/>
      <c r="Y772" s="367"/>
      <c r="Z772" s="431"/>
    </row>
    <row r="773" ht="15.75" customHeight="1">
      <c r="H773" s="17"/>
      <c r="P773" s="17"/>
      <c r="S773" s="17"/>
      <c r="U773" s="17"/>
      <c r="W773" s="430"/>
      <c r="X773" s="260"/>
      <c r="Y773" s="367"/>
      <c r="Z773" s="431"/>
    </row>
    <row r="774" ht="15.75" customHeight="1">
      <c r="H774" s="17"/>
      <c r="P774" s="17"/>
      <c r="S774" s="17"/>
      <c r="U774" s="17"/>
      <c r="W774" s="430"/>
      <c r="X774" s="260"/>
      <c r="Y774" s="367"/>
      <c r="Z774" s="431"/>
    </row>
    <row r="775" ht="15.75" customHeight="1">
      <c r="H775" s="17"/>
      <c r="P775" s="17"/>
      <c r="S775" s="17"/>
      <c r="U775" s="17"/>
      <c r="W775" s="430"/>
      <c r="X775" s="260"/>
      <c r="Y775" s="367"/>
      <c r="Z775" s="431"/>
    </row>
    <row r="776" ht="15.75" customHeight="1">
      <c r="H776" s="17"/>
      <c r="P776" s="17"/>
      <c r="S776" s="17"/>
      <c r="U776" s="17"/>
      <c r="W776" s="430"/>
      <c r="X776" s="260"/>
      <c r="Y776" s="367"/>
      <c r="Z776" s="431"/>
    </row>
    <row r="777" ht="15.75" customHeight="1">
      <c r="H777" s="17"/>
      <c r="P777" s="17"/>
      <c r="S777" s="17"/>
      <c r="U777" s="17"/>
      <c r="W777" s="430"/>
      <c r="X777" s="260"/>
      <c r="Y777" s="367"/>
      <c r="Z777" s="431"/>
    </row>
    <row r="778" ht="15.75" customHeight="1">
      <c r="H778" s="17"/>
      <c r="P778" s="17"/>
      <c r="S778" s="17"/>
      <c r="U778" s="17"/>
      <c r="W778" s="430"/>
      <c r="X778" s="260"/>
      <c r="Y778" s="367"/>
      <c r="Z778" s="431"/>
    </row>
    <row r="779" ht="15.75" customHeight="1">
      <c r="H779" s="17"/>
      <c r="P779" s="17"/>
      <c r="S779" s="17"/>
      <c r="U779" s="17"/>
      <c r="W779" s="430"/>
      <c r="X779" s="260"/>
      <c r="Y779" s="367"/>
      <c r="Z779" s="431"/>
    </row>
    <row r="780" ht="15.75" customHeight="1">
      <c r="H780" s="17"/>
      <c r="P780" s="17"/>
      <c r="S780" s="17"/>
      <c r="U780" s="17"/>
      <c r="W780" s="430"/>
      <c r="X780" s="260"/>
      <c r="Y780" s="367"/>
      <c r="Z780" s="431"/>
    </row>
    <row r="781" ht="15.75" customHeight="1">
      <c r="H781" s="17"/>
      <c r="P781" s="17"/>
      <c r="S781" s="17"/>
      <c r="U781" s="17"/>
      <c r="W781" s="430"/>
      <c r="X781" s="260"/>
      <c r="Y781" s="367"/>
      <c r="Z781" s="431"/>
    </row>
    <row r="782" ht="15.75" customHeight="1">
      <c r="H782" s="17"/>
      <c r="P782" s="17"/>
      <c r="S782" s="17"/>
      <c r="U782" s="17"/>
      <c r="W782" s="430"/>
      <c r="X782" s="260"/>
      <c r="Y782" s="367"/>
      <c r="Z782" s="431"/>
    </row>
    <row r="783" ht="15.75" customHeight="1">
      <c r="H783" s="17"/>
      <c r="P783" s="17"/>
      <c r="S783" s="17"/>
      <c r="U783" s="17"/>
      <c r="W783" s="430"/>
      <c r="X783" s="260"/>
      <c r="Y783" s="367"/>
      <c r="Z783" s="431"/>
    </row>
    <row r="784" ht="15.75" customHeight="1">
      <c r="H784" s="17"/>
      <c r="P784" s="17"/>
      <c r="S784" s="17"/>
      <c r="U784" s="17"/>
      <c r="W784" s="430"/>
      <c r="X784" s="260"/>
      <c r="Y784" s="367"/>
      <c r="Z784" s="431"/>
    </row>
    <row r="785" ht="15.75" customHeight="1">
      <c r="H785" s="17"/>
      <c r="P785" s="17"/>
      <c r="S785" s="17"/>
      <c r="U785" s="17"/>
      <c r="W785" s="430"/>
      <c r="X785" s="260"/>
      <c r="Y785" s="367"/>
      <c r="Z785" s="431"/>
    </row>
    <row r="786" ht="15.75" customHeight="1">
      <c r="H786" s="17"/>
      <c r="P786" s="17"/>
      <c r="S786" s="17"/>
      <c r="U786" s="17"/>
      <c r="W786" s="430"/>
      <c r="X786" s="260"/>
      <c r="Y786" s="367"/>
      <c r="Z786" s="431"/>
    </row>
    <row r="787" ht="15.75" customHeight="1">
      <c r="H787" s="17"/>
      <c r="P787" s="17"/>
      <c r="S787" s="17"/>
      <c r="U787" s="17"/>
      <c r="W787" s="430"/>
      <c r="X787" s="260"/>
      <c r="Y787" s="367"/>
      <c r="Z787" s="431"/>
    </row>
    <row r="788" ht="15.75" customHeight="1">
      <c r="H788" s="17"/>
      <c r="P788" s="17"/>
      <c r="S788" s="17"/>
      <c r="U788" s="17"/>
      <c r="W788" s="430"/>
      <c r="X788" s="260"/>
      <c r="Y788" s="367"/>
      <c r="Z788" s="431"/>
    </row>
    <row r="789" ht="15.75" customHeight="1">
      <c r="H789" s="17"/>
      <c r="P789" s="17"/>
      <c r="S789" s="17"/>
      <c r="U789" s="17"/>
      <c r="W789" s="430"/>
      <c r="X789" s="260"/>
      <c r="Y789" s="367"/>
      <c r="Z789" s="431"/>
    </row>
    <row r="790" ht="15.75" customHeight="1">
      <c r="H790" s="17"/>
      <c r="P790" s="17"/>
      <c r="S790" s="17"/>
      <c r="U790" s="17"/>
      <c r="W790" s="430"/>
      <c r="X790" s="260"/>
      <c r="Y790" s="367"/>
      <c r="Z790" s="431"/>
    </row>
    <row r="791" ht="15.75" customHeight="1">
      <c r="H791" s="17"/>
      <c r="P791" s="17"/>
      <c r="S791" s="17"/>
      <c r="U791" s="17"/>
      <c r="W791" s="430"/>
      <c r="X791" s="260"/>
      <c r="Y791" s="367"/>
      <c r="Z791" s="431"/>
    </row>
    <row r="792" ht="15.75" customHeight="1">
      <c r="H792" s="17"/>
      <c r="P792" s="17"/>
      <c r="S792" s="17"/>
      <c r="U792" s="17"/>
      <c r="W792" s="430"/>
      <c r="X792" s="260"/>
      <c r="Y792" s="367"/>
      <c r="Z792" s="431"/>
    </row>
    <row r="793" ht="15.75" customHeight="1">
      <c r="H793" s="17"/>
      <c r="P793" s="17"/>
      <c r="S793" s="17"/>
      <c r="U793" s="17"/>
      <c r="W793" s="430"/>
      <c r="X793" s="260"/>
      <c r="Y793" s="367"/>
      <c r="Z793" s="431"/>
    </row>
    <row r="794" ht="15.75" customHeight="1">
      <c r="H794" s="17"/>
      <c r="P794" s="17"/>
      <c r="S794" s="17"/>
      <c r="U794" s="17"/>
      <c r="W794" s="430"/>
      <c r="X794" s="260"/>
      <c r="Y794" s="367"/>
      <c r="Z794" s="431"/>
    </row>
    <row r="795" ht="15.75" customHeight="1">
      <c r="H795" s="17"/>
      <c r="P795" s="17"/>
      <c r="S795" s="17"/>
      <c r="U795" s="17"/>
      <c r="W795" s="430"/>
      <c r="X795" s="260"/>
      <c r="Y795" s="367"/>
      <c r="Z795" s="431"/>
    </row>
    <row r="796" ht="15.75" customHeight="1">
      <c r="H796" s="17"/>
      <c r="P796" s="17"/>
      <c r="S796" s="17"/>
      <c r="U796" s="17"/>
      <c r="W796" s="430"/>
      <c r="X796" s="260"/>
      <c r="Y796" s="367"/>
      <c r="Z796" s="431"/>
    </row>
    <row r="797" ht="15.75" customHeight="1">
      <c r="H797" s="17"/>
      <c r="P797" s="17"/>
      <c r="S797" s="17"/>
      <c r="U797" s="17"/>
      <c r="W797" s="430"/>
      <c r="X797" s="260"/>
      <c r="Y797" s="367"/>
      <c r="Z797" s="431"/>
    </row>
    <row r="798" ht="15.75" customHeight="1">
      <c r="H798" s="17"/>
      <c r="P798" s="17"/>
      <c r="S798" s="17"/>
      <c r="U798" s="17"/>
      <c r="W798" s="430"/>
      <c r="X798" s="260"/>
      <c r="Y798" s="367"/>
      <c r="Z798" s="431"/>
    </row>
    <row r="799" ht="15.75" customHeight="1">
      <c r="H799" s="17"/>
      <c r="P799" s="17"/>
      <c r="S799" s="17"/>
      <c r="U799" s="17"/>
      <c r="W799" s="430"/>
      <c r="X799" s="260"/>
      <c r="Y799" s="367"/>
      <c r="Z799" s="431"/>
    </row>
    <row r="800" ht="15.75" customHeight="1">
      <c r="H800" s="17"/>
      <c r="P800" s="17"/>
      <c r="S800" s="17"/>
      <c r="U800" s="17"/>
      <c r="W800" s="430"/>
      <c r="X800" s="260"/>
      <c r="Y800" s="367"/>
      <c r="Z800" s="431"/>
    </row>
    <row r="801" ht="15.75" customHeight="1">
      <c r="H801" s="17"/>
      <c r="P801" s="17"/>
      <c r="S801" s="17"/>
      <c r="U801" s="17"/>
      <c r="W801" s="430"/>
      <c r="X801" s="260"/>
      <c r="Y801" s="367"/>
      <c r="Z801" s="431"/>
    </row>
    <row r="802" ht="15.75" customHeight="1">
      <c r="H802" s="17"/>
      <c r="P802" s="17"/>
      <c r="S802" s="17"/>
      <c r="U802" s="17"/>
      <c r="W802" s="430"/>
      <c r="X802" s="260"/>
      <c r="Y802" s="367"/>
      <c r="Z802" s="431"/>
    </row>
    <row r="803" ht="15.75" customHeight="1">
      <c r="H803" s="17"/>
      <c r="P803" s="17"/>
      <c r="S803" s="17"/>
      <c r="U803" s="17"/>
      <c r="W803" s="430"/>
      <c r="X803" s="260"/>
      <c r="Y803" s="367"/>
      <c r="Z803" s="431"/>
    </row>
    <row r="804" ht="15.75" customHeight="1">
      <c r="H804" s="17"/>
      <c r="P804" s="17"/>
      <c r="S804" s="17"/>
      <c r="U804" s="17"/>
      <c r="W804" s="430"/>
      <c r="X804" s="260"/>
      <c r="Y804" s="367"/>
      <c r="Z804" s="431"/>
    </row>
    <row r="805" ht="15.75" customHeight="1">
      <c r="H805" s="17"/>
      <c r="P805" s="17"/>
      <c r="S805" s="17"/>
      <c r="U805" s="17"/>
      <c r="W805" s="430"/>
      <c r="X805" s="260"/>
      <c r="Y805" s="367"/>
      <c r="Z805" s="431"/>
    </row>
    <row r="806" ht="15.75" customHeight="1">
      <c r="H806" s="17"/>
      <c r="P806" s="17"/>
      <c r="S806" s="17"/>
      <c r="U806" s="17"/>
      <c r="W806" s="430"/>
      <c r="X806" s="260"/>
      <c r="Y806" s="367"/>
      <c r="Z806" s="431"/>
    </row>
    <row r="807" ht="15.75" customHeight="1">
      <c r="H807" s="17"/>
      <c r="P807" s="17"/>
      <c r="S807" s="17"/>
      <c r="U807" s="17"/>
      <c r="W807" s="430"/>
      <c r="X807" s="260"/>
      <c r="Y807" s="367"/>
      <c r="Z807" s="431"/>
    </row>
    <row r="808" ht="15.75" customHeight="1">
      <c r="H808" s="17"/>
      <c r="P808" s="17"/>
      <c r="S808" s="17"/>
      <c r="U808" s="17"/>
      <c r="W808" s="430"/>
      <c r="X808" s="260"/>
      <c r="Y808" s="367"/>
      <c r="Z808" s="431"/>
    </row>
    <row r="809" ht="15.75" customHeight="1">
      <c r="H809" s="17"/>
      <c r="P809" s="17"/>
      <c r="S809" s="17"/>
      <c r="U809" s="17"/>
      <c r="W809" s="430"/>
      <c r="X809" s="260"/>
      <c r="Y809" s="367"/>
      <c r="Z809" s="431"/>
    </row>
    <row r="810" ht="15.75" customHeight="1">
      <c r="H810" s="17"/>
      <c r="P810" s="17"/>
      <c r="S810" s="17"/>
      <c r="U810" s="17"/>
      <c r="W810" s="430"/>
      <c r="X810" s="260"/>
      <c r="Y810" s="367"/>
      <c r="Z810" s="431"/>
    </row>
    <row r="811" ht="15.75" customHeight="1">
      <c r="H811" s="17"/>
      <c r="P811" s="17"/>
      <c r="S811" s="17"/>
      <c r="U811" s="17"/>
      <c r="W811" s="430"/>
      <c r="X811" s="260"/>
      <c r="Y811" s="367"/>
      <c r="Z811" s="431"/>
    </row>
    <row r="812" ht="15.75" customHeight="1">
      <c r="H812" s="17"/>
      <c r="P812" s="17"/>
      <c r="S812" s="17"/>
      <c r="U812" s="17"/>
      <c r="W812" s="430"/>
      <c r="X812" s="260"/>
      <c r="Y812" s="367"/>
      <c r="Z812" s="431"/>
    </row>
    <row r="813" ht="15.75" customHeight="1">
      <c r="H813" s="17"/>
      <c r="P813" s="17"/>
      <c r="S813" s="17"/>
      <c r="U813" s="17"/>
      <c r="W813" s="430"/>
      <c r="X813" s="260"/>
      <c r="Y813" s="367"/>
      <c r="Z813" s="431"/>
    </row>
    <row r="814" ht="15.75" customHeight="1">
      <c r="H814" s="17"/>
      <c r="P814" s="17"/>
      <c r="S814" s="17"/>
      <c r="U814" s="17"/>
      <c r="W814" s="430"/>
      <c r="X814" s="260"/>
      <c r="Y814" s="367"/>
      <c r="Z814" s="431"/>
    </row>
    <row r="815" ht="15.75" customHeight="1">
      <c r="H815" s="17"/>
      <c r="P815" s="17"/>
      <c r="S815" s="17"/>
      <c r="U815" s="17"/>
      <c r="W815" s="430"/>
      <c r="X815" s="260"/>
      <c r="Y815" s="367"/>
      <c r="Z815" s="431"/>
    </row>
    <row r="816" ht="15.75" customHeight="1">
      <c r="H816" s="17"/>
      <c r="P816" s="17"/>
      <c r="S816" s="17"/>
      <c r="U816" s="17"/>
      <c r="W816" s="430"/>
      <c r="X816" s="260"/>
      <c r="Y816" s="367"/>
      <c r="Z816" s="431"/>
    </row>
    <row r="817" ht="15.75" customHeight="1">
      <c r="H817" s="17"/>
      <c r="P817" s="17"/>
      <c r="S817" s="17"/>
      <c r="U817" s="17"/>
      <c r="W817" s="430"/>
      <c r="X817" s="260"/>
      <c r="Y817" s="367"/>
      <c r="Z817" s="431"/>
    </row>
    <row r="818" ht="15.75" customHeight="1">
      <c r="H818" s="17"/>
      <c r="P818" s="17"/>
      <c r="S818" s="17"/>
      <c r="U818" s="17"/>
      <c r="W818" s="430"/>
      <c r="X818" s="260"/>
      <c r="Y818" s="367"/>
      <c r="Z818" s="431"/>
    </row>
    <row r="819" ht="15.75" customHeight="1">
      <c r="H819" s="17"/>
      <c r="P819" s="17"/>
      <c r="S819" s="17"/>
      <c r="U819" s="17"/>
      <c r="W819" s="430"/>
      <c r="X819" s="260"/>
      <c r="Y819" s="367"/>
      <c r="Z819" s="431"/>
    </row>
    <row r="820" ht="15.75" customHeight="1">
      <c r="H820" s="17"/>
      <c r="P820" s="17"/>
      <c r="S820" s="17"/>
      <c r="U820" s="17"/>
      <c r="W820" s="430"/>
      <c r="X820" s="260"/>
      <c r="Y820" s="367"/>
      <c r="Z820" s="431"/>
    </row>
    <row r="821" ht="15.75" customHeight="1">
      <c r="H821" s="17"/>
      <c r="P821" s="17"/>
      <c r="S821" s="17"/>
      <c r="U821" s="17"/>
      <c r="W821" s="430"/>
      <c r="X821" s="260"/>
      <c r="Y821" s="367"/>
      <c r="Z821" s="431"/>
    </row>
    <row r="822" ht="15.75" customHeight="1">
      <c r="H822" s="17"/>
      <c r="P822" s="17"/>
      <c r="S822" s="17"/>
      <c r="U822" s="17"/>
      <c r="W822" s="430"/>
      <c r="X822" s="260"/>
      <c r="Y822" s="367"/>
      <c r="Z822" s="431"/>
    </row>
    <row r="823" ht="15.75" customHeight="1">
      <c r="H823" s="17"/>
      <c r="P823" s="17"/>
      <c r="S823" s="17"/>
      <c r="U823" s="17"/>
      <c r="W823" s="430"/>
      <c r="X823" s="260"/>
      <c r="Y823" s="367"/>
      <c r="Z823" s="431"/>
    </row>
    <row r="824" ht="15.75" customHeight="1">
      <c r="H824" s="17"/>
      <c r="P824" s="17"/>
      <c r="S824" s="17"/>
      <c r="U824" s="17"/>
      <c r="W824" s="430"/>
      <c r="X824" s="260"/>
      <c r="Y824" s="367"/>
      <c r="Z824" s="431"/>
    </row>
    <row r="825" ht="15.75" customHeight="1">
      <c r="H825" s="17"/>
      <c r="P825" s="17"/>
      <c r="S825" s="17"/>
      <c r="U825" s="17"/>
      <c r="W825" s="430"/>
      <c r="X825" s="260"/>
      <c r="Y825" s="367"/>
      <c r="Z825" s="431"/>
    </row>
    <row r="826" ht="15.75" customHeight="1">
      <c r="H826" s="17"/>
      <c r="P826" s="17"/>
      <c r="S826" s="17"/>
      <c r="U826" s="17"/>
      <c r="W826" s="430"/>
      <c r="X826" s="260"/>
      <c r="Y826" s="367"/>
      <c r="Z826" s="431"/>
    </row>
    <row r="827" ht="15.75" customHeight="1">
      <c r="H827" s="17"/>
      <c r="P827" s="17"/>
      <c r="S827" s="17"/>
      <c r="U827" s="17"/>
      <c r="W827" s="430"/>
      <c r="X827" s="260"/>
      <c r="Y827" s="367"/>
      <c r="Z827" s="431"/>
    </row>
    <row r="828" ht="15.75" customHeight="1">
      <c r="H828" s="17"/>
      <c r="P828" s="17"/>
      <c r="S828" s="17"/>
      <c r="U828" s="17"/>
      <c r="W828" s="430"/>
      <c r="X828" s="260"/>
      <c r="Y828" s="367"/>
      <c r="Z828" s="431"/>
    </row>
    <row r="829" ht="15.75" customHeight="1">
      <c r="H829" s="17"/>
      <c r="P829" s="17"/>
      <c r="S829" s="17"/>
      <c r="U829" s="17"/>
      <c r="W829" s="430"/>
      <c r="X829" s="260"/>
      <c r="Y829" s="367"/>
      <c r="Z829" s="431"/>
    </row>
    <row r="830" ht="15.75" customHeight="1">
      <c r="H830" s="17"/>
      <c r="P830" s="17"/>
      <c r="S830" s="17"/>
      <c r="U830" s="17"/>
      <c r="W830" s="430"/>
      <c r="X830" s="260"/>
      <c r="Y830" s="367"/>
      <c r="Z830" s="431"/>
    </row>
    <row r="831" ht="15.75" customHeight="1">
      <c r="H831" s="17"/>
      <c r="P831" s="17"/>
      <c r="S831" s="17"/>
      <c r="U831" s="17"/>
      <c r="W831" s="430"/>
      <c r="X831" s="260"/>
      <c r="Y831" s="367"/>
      <c r="Z831" s="431"/>
    </row>
    <row r="832" ht="15.75" customHeight="1">
      <c r="H832" s="17"/>
      <c r="P832" s="17"/>
      <c r="S832" s="17"/>
      <c r="U832" s="17"/>
      <c r="W832" s="430"/>
      <c r="X832" s="260"/>
      <c r="Y832" s="367"/>
      <c r="Z832" s="431"/>
    </row>
    <row r="833" ht="15.75" customHeight="1">
      <c r="H833" s="17"/>
      <c r="P833" s="17"/>
      <c r="S833" s="17"/>
      <c r="U833" s="17"/>
      <c r="W833" s="430"/>
      <c r="X833" s="260"/>
      <c r="Y833" s="367"/>
      <c r="Z833" s="431"/>
    </row>
    <row r="834" ht="15.75" customHeight="1">
      <c r="H834" s="17"/>
      <c r="P834" s="17"/>
      <c r="S834" s="17"/>
      <c r="U834" s="17"/>
      <c r="W834" s="430"/>
      <c r="X834" s="260"/>
      <c r="Y834" s="367"/>
      <c r="Z834" s="431"/>
    </row>
    <row r="835" ht="15.75" customHeight="1">
      <c r="H835" s="17"/>
      <c r="P835" s="17"/>
      <c r="S835" s="17"/>
      <c r="U835" s="17"/>
      <c r="W835" s="430"/>
      <c r="X835" s="260"/>
      <c r="Y835" s="367"/>
      <c r="Z835" s="431"/>
    </row>
    <row r="836" ht="15.75" customHeight="1">
      <c r="H836" s="17"/>
      <c r="P836" s="17"/>
      <c r="S836" s="17"/>
      <c r="U836" s="17"/>
      <c r="W836" s="430"/>
      <c r="X836" s="260"/>
      <c r="Y836" s="367"/>
      <c r="Z836" s="431"/>
    </row>
    <row r="837" ht="15.75" customHeight="1">
      <c r="H837" s="17"/>
      <c r="P837" s="17"/>
      <c r="S837" s="17"/>
      <c r="U837" s="17"/>
      <c r="W837" s="430"/>
      <c r="X837" s="260"/>
      <c r="Y837" s="367"/>
      <c r="Z837" s="431"/>
    </row>
    <row r="838" ht="15.75" customHeight="1">
      <c r="H838" s="17"/>
      <c r="P838" s="17"/>
      <c r="S838" s="17"/>
      <c r="U838" s="17"/>
      <c r="W838" s="430"/>
      <c r="X838" s="260"/>
      <c r="Y838" s="367"/>
      <c r="Z838" s="431"/>
    </row>
    <row r="839" ht="15.75" customHeight="1">
      <c r="H839" s="17"/>
      <c r="P839" s="17"/>
      <c r="S839" s="17"/>
      <c r="U839" s="17"/>
      <c r="W839" s="430"/>
      <c r="X839" s="260"/>
      <c r="Y839" s="367"/>
      <c r="Z839" s="431"/>
    </row>
    <row r="840" ht="15.75" customHeight="1">
      <c r="H840" s="17"/>
      <c r="P840" s="17"/>
      <c r="S840" s="17"/>
      <c r="U840" s="17"/>
      <c r="W840" s="430"/>
      <c r="X840" s="260"/>
      <c r="Y840" s="367"/>
      <c r="Z840" s="431"/>
    </row>
    <row r="841" ht="15.75" customHeight="1">
      <c r="H841" s="17"/>
      <c r="P841" s="17"/>
      <c r="S841" s="17"/>
      <c r="U841" s="17"/>
      <c r="W841" s="430"/>
      <c r="X841" s="260"/>
      <c r="Y841" s="367"/>
      <c r="Z841" s="431"/>
    </row>
    <row r="842" ht="15.75" customHeight="1">
      <c r="H842" s="17"/>
      <c r="P842" s="17"/>
      <c r="S842" s="17"/>
      <c r="U842" s="17"/>
      <c r="W842" s="430"/>
      <c r="X842" s="260"/>
      <c r="Y842" s="367"/>
      <c r="Z842" s="431"/>
    </row>
    <row r="843" ht="15.75" customHeight="1">
      <c r="H843" s="17"/>
      <c r="P843" s="17"/>
      <c r="S843" s="17"/>
      <c r="U843" s="17"/>
      <c r="W843" s="430"/>
      <c r="X843" s="260"/>
      <c r="Y843" s="367"/>
      <c r="Z843" s="431"/>
    </row>
    <row r="844" ht="15.75" customHeight="1">
      <c r="H844" s="17"/>
      <c r="P844" s="17"/>
      <c r="S844" s="17"/>
      <c r="U844" s="17"/>
      <c r="W844" s="430"/>
      <c r="X844" s="260"/>
      <c r="Y844" s="367"/>
      <c r="Z844" s="431"/>
    </row>
    <row r="845" ht="15.75" customHeight="1">
      <c r="H845" s="17"/>
      <c r="P845" s="17"/>
      <c r="S845" s="17"/>
      <c r="U845" s="17"/>
      <c r="W845" s="430"/>
      <c r="X845" s="260"/>
      <c r="Y845" s="367"/>
      <c r="Z845" s="431"/>
    </row>
    <row r="846" ht="15.75" customHeight="1">
      <c r="H846" s="17"/>
      <c r="P846" s="17"/>
      <c r="S846" s="17"/>
      <c r="U846" s="17"/>
      <c r="W846" s="430"/>
      <c r="X846" s="260"/>
      <c r="Y846" s="367"/>
      <c r="Z846" s="431"/>
    </row>
    <row r="847" ht="15.75" customHeight="1">
      <c r="H847" s="17"/>
      <c r="P847" s="17"/>
      <c r="S847" s="17"/>
      <c r="U847" s="17"/>
      <c r="W847" s="430"/>
      <c r="X847" s="260"/>
      <c r="Y847" s="367"/>
      <c r="Z847" s="431"/>
    </row>
    <row r="848" ht="15.75" customHeight="1">
      <c r="H848" s="17"/>
      <c r="P848" s="17"/>
      <c r="S848" s="17"/>
      <c r="U848" s="17"/>
      <c r="W848" s="430"/>
      <c r="X848" s="260"/>
      <c r="Y848" s="367"/>
      <c r="Z848" s="431"/>
    </row>
    <row r="849" ht="15.75" customHeight="1">
      <c r="H849" s="17"/>
      <c r="P849" s="17"/>
      <c r="S849" s="17"/>
      <c r="U849" s="17"/>
      <c r="W849" s="430"/>
      <c r="X849" s="260"/>
      <c r="Y849" s="367"/>
      <c r="Z849" s="431"/>
    </row>
    <row r="850" ht="15.75" customHeight="1">
      <c r="H850" s="17"/>
      <c r="P850" s="17"/>
      <c r="S850" s="17"/>
      <c r="U850" s="17"/>
      <c r="W850" s="430"/>
      <c r="X850" s="260"/>
      <c r="Y850" s="367"/>
      <c r="Z850" s="431"/>
    </row>
    <row r="851" ht="15.75" customHeight="1">
      <c r="H851" s="17"/>
      <c r="P851" s="17"/>
      <c r="S851" s="17"/>
      <c r="U851" s="17"/>
      <c r="W851" s="430"/>
      <c r="X851" s="260"/>
      <c r="Y851" s="367"/>
      <c r="Z851" s="431"/>
    </row>
    <row r="852" ht="15.75" customHeight="1">
      <c r="H852" s="17"/>
      <c r="P852" s="17"/>
      <c r="S852" s="17"/>
      <c r="U852" s="17"/>
      <c r="W852" s="430"/>
      <c r="X852" s="260"/>
      <c r="Y852" s="367"/>
      <c r="Z852" s="431"/>
    </row>
    <row r="853" ht="15.75" customHeight="1">
      <c r="H853" s="17"/>
      <c r="P853" s="17"/>
      <c r="S853" s="17"/>
      <c r="U853" s="17"/>
      <c r="W853" s="430"/>
      <c r="X853" s="260"/>
      <c r="Y853" s="367"/>
      <c r="Z853" s="431"/>
    </row>
    <row r="854" ht="15.75" customHeight="1">
      <c r="H854" s="17"/>
      <c r="P854" s="17"/>
      <c r="S854" s="17"/>
      <c r="U854" s="17"/>
      <c r="W854" s="430"/>
      <c r="X854" s="260"/>
      <c r="Y854" s="367"/>
      <c r="Z854" s="431"/>
    </row>
    <row r="855" ht="15.75" customHeight="1">
      <c r="H855" s="17"/>
      <c r="P855" s="17"/>
      <c r="S855" s="17"/>
      <c r="U855" s="17"/>
      <c r="W855" s="430"/>
      <c r="X855" s="260"/>
      <c r="Y855" s="367"/>
      <c r="Z855" s="431"/>
    </row>
    <row r="856" ht="15.75" customHeight="1">
      <c r="H856" s="17"/>
      <c r="P856" s="17"/>
      <c r="S856" s="17"/>
      <c r="U856" s="17"/>
      <c r="W856" s="430"/>
      <c r="X856" s="260"/>
      <c r="Y856" s="367"/>
      <c r="Z856" s="431"/>
    </row>
    <row r="857" ht="15.75" customHeight="1">
      <c r="H857" s="17"/>
      <c r="P857" s="17"/>
      <c r="S857" s="17"/>
      <c r="U857" s="17"/>
      <c r="W857" s="430"/>
      <c r="X857" s="260"/>
      <c r="Y857" s="367"/>
      <c r="Z857" s="431"/>
    </row>
    <row r="858" ht="15.75" customHeight="1">
      <c r="H858" s="17"/>
      <c r="P858" s="17"/>
      <c r="S858" s="17"/>
      <c r="U858" s="17"/>
      <c r="W858" s="430"/>
      <c r="X858" s="260"/>
      <c r="Y858" s="367"/>
      <c r="Z858" s="431"/>
    </row>
    <row r="859" ht="15.75" customHeight="1">
      <c r="H859" s="17"/>
      <c r="P859" s="17"/>
      <c r="S859" s="17"/>
      <c r="U859" s="17"/>
      <c r="W859" s="430"/>
      <c r="X859" s="260"/>
      <c r="Y859" s="367"/>
      <c r="Z859" s="431"/>
    </row>
    <row r="860" ht="15.75" customHeight="1">
      <c r="H860" s="17"/>
      <c r="P860" s="17"/>
      <c r="S860" s="17"/>
      <c r="U860" s="17"/>
      <c r="W860" s="430"/>
      <c r="X860" s="260"/>
      <c r="Y860" s="367"/>
      <c r="Z860" s="431"/>
    </row>
    <row r="861" ht="15.75" customHeight="1">
      <c r="H861" s="17"/>
      <c r="P861" s="17"/>
      <c r="S861" s="17"/>
      <c r="U861" s="17"/>
      <c r="W861" s="430"/>
      <c r="X861" s="260"/>
      <c r="Y861" s="367"/>
      <c r="Z861" s="431"/>
    </row>
    <row r="862" ht="15.75" customHeight="1">
      <c r="H862" s="17"/>
      <c r="P862" s="17"/>
      <c r="S862" s="17"/>
      <c r="U862" s="17"/>
      <c r="W862" s="430"/>
      <c r="X862" s="260"/>
      <c r="Y862" s="367"/>
      <c r="Z862" s="431"/>
    </row>
    <row r="863" ht="15.75" customHeight="1">
      <c r="H863" s="17"/>
      <c r="P863" s="17"/>
      <c r="S863" s="17"/>
      <c r="U863" s="17"/>
      <c r="W863" s="430"/>
      <c r="X863" s="260"/>
      <c r="Y863" s="367"/>
      <c r="Z863" s="431"/>
    </row>
    <row r="864" ht="15.75" customHeight="1">
      <c r="H864" s="17"/>
      <c r="P864" s="17"/>
      <c r="S864" s="17"/>
      <c r="U864" s="17"/>
      <c r="W864" s="430"/>
      <c r="X864" s="260"/>
      <c r="Y864" s="367"/>
      <c r="Z864" s="431"/>
    </row>
    <row r="865" ht="15.75" customHeight="1">
      <c r="H865" s="17"/>
      <c r="P865" s="17"/>
      <c r="S865" s="17"/>
      <c r="U865" s="17"/>
      <c r="W865" s="430"/>
      <c r="X865" s="260"/>
      <c r="Y865" s="367"/>
      <c r="Z865" s="431"/>
    </row>
    <row r="866" ht="15.75" customHeight="1">
      <c r="H866" s="17"/>
      <c r="P866" s="17"/>
      <c r="S866" s="17"/>
      <c r="U866" s="17"/>
      <c r="W866" s="430"/>
      <c r="X866" s="260"/>
      <c r="Y866" s="367"/>
      <c r="Z866" s="431"/>
    </row>
    <row r="867" ht="15.75" customHeight="1">
      <c r="H867" s="17"/>
      <c r="P867" s="17"/>
      <c r="S867" s="17"/>
      <c r="U867" s="17"/>
      <c r="W867" s="430"/>
      <c r="X867" s="260"/>
      <c r="Y867" s="367"/>
      <c r="Z867" s="431"/>
    </row>
    <row r="868" ht="15.75" customHeight="1">
      <c r="H868" s="17"/>
      <c r="P868" s="17"/>
      <c r="S868" s="17"/>
      <c r="U868" s="17"/>
      <c r="W868" s="430"/>
      <c r="X868" s="260"/>
      <c r="Y868" s="367"/>
      <c r="Z868" s="431"/>
    </row>
    <row r="869" ht="15.75" customHeight="1">
      <c r="H869" s="17"/>
      <c r="P869" s="17"/>
      <c r="S869" s="17"/>
      <c r="U869" s="17"/>
      <c r="W869" s="430"/>
      <c r="X869" s="260"/>
      <c r="Y869" s="367"/>
      <c r="Z869" s="431"/>
    </row>
    <row r="870" ht="15.75" customHeight="1">
      <c r="H870" s="17"/>
      <c r="P870" s="17"/>
      <c r="S870" s="17"/>
      <c r="U870" s="17"/>
      <c r="W870" s="430"/>
      <c r="X870" s="260"/>
      <c r="Y870" s="367"/>
      <c r="Z870" s="431"/>
    </row>
    <row r="871" ht="15.75" customHeight="1">
      <c r="H871" s="17"/>
      <c r="P871" s="17"/>
      <c r="S871" s="17"/>
      <c r="U871" s="17"/>
      <c r="W871" s="430"/>
      <c r="X871" s="260"/>
      <c r="Y871" s="367"/>
      <c r="Z871" s="431"/>
    </row>
    <row r="872" ht="15.75" customHeight="1">
      <c r="H872" s="17"/>
      <c r="P872" s="17"/>
      <c r="S872" s="17"/>
      <c r="U872" s="17"/>
      <c r="W872" s="430"/>
      <c r="X872" s="260"/>
      <c r="Y872" s="367"/>
      <c r="Z872" s="431"/>
    </row>
    <row r="873" ht="15.75" customHeight="1">
      <c r="H873" s="17"/>
      <c r="P873" s="17"/>
      <c r="S873" s="17"/>
      <c r="U873" s="17"/>
      <c r="W873" s="430"/>
      <c r="X873" s="260"/>
      <c r="Y873" s="367"/>
      <c r="Z873" s="431"/>
    </row>
    <row r="874" ht="15.75" customHeight="1">
      <c r="H874" s="17"/>
      <c r="P874" s="17"/>
      <c r="S874" s="17"/>
      <c r="U874" s="17"/>
      <c r="W874" s="430"/>
      <c r="X874" s="260"/>
      <c r="Y874" s="367"/>
      <c r="Z874" s="431"/>
    </row>
    <row r="875" ht="15.75" customHeight="1">
      <c r="H875" s="17"/>
      <c r="P875" s="17"/>
      <c r="S875" s="17"/>
      <c r="U875" s="17"/>
      <c r="W875" s="430"/>
      <c r="X875" s="260"/>
      <c r="Y875" s="367"/>
      <c r="Z875" s="431"/>
    </row>
    <row r="876" ht="15.75" customHeight="1">
      <c r="H876" s="17"/>
      <c r="P876" s="17"/>
      <c r="S876" s="17"/>
      <c r="U876" s="17"/>
      <c r="W876" s="430"/>
      <c r="X876" s="260"/>
      <c r="Y876" s="367"/>
      <c r="Z876" s="431"/>
    </row>
    <row r="877" ht="15.75" customHeight="1">
      <c r="H877" s="17"/>
      <c r="P877" s="17"/>
      <c r="S877" s="17"/>
      <c r="U877" s="17"/>
      <c r="W877" s="430"/>
      <c r="X877" s="260"/>
      <c r="Y877" s="367"/>
      <c r="Z877" s="431"/>
    </row>
    <row r="878" ht="15.75" customHeight="1">
      <c r="H878" s="17"/>
      <c r="P878" s="17"/>
      <c r="S878" s="17"/>
      <c r="U878" s="17"/>
      <c r="W878" s="430"/>
      <c r="X878" s="260"/>
      <c r="Y878" s="367"/>
      <c r="Z878" s="431"/>
    </row>
    <row r="879" ht="15.75" customHeight="1">
      <c r="H879" s="17"/>
      <c r="P879" s="17"/>
      <c r="S879" s="17"/>
      <c r="U879" s="17"/>
      <c r="W879" s="430"/>
      <c r="X879" s="260"/>
      <c r="Y879" s="367"/>
      <c r="Z879" s="431"/>
    </row>
    <row r="880" ht="15.75" customHeight="1">
      <c r="H880" s="17"/>
      <c r="P880" s="17"/>
      <c r="S880" s="17"/>
      <c r="U880" s="17"/>
      <c r="W880" s="430"/>
      <c r="X880" s="260"/>
      <c r="Y880" s="367"/>
      <c r="Z880" s="431"/>
    </row>
    <row r="881" ht="15.75" customHeight="1">
      <c r="H881" s="17"/>
      <c r="P881" s="17"/>
      <c r="S881" s="17"/>
      <c r="U881" s="17"/>
      <c r="W881" s="430"/>
      <c r="X881" s="260"/>
      <c r="Y881" s="367"/>
      <c r="Z881" s="431"/>
    </row>
    <row r="882" ht="15.75" customHeight="1">
      <c r="H882" s="17"/>
      <c r="P882" s="17"/>
      <c r="S882" s="17"/>
      <c r="U882" s="17"/>
      <c r="W882" s="430"/>
      <c r="X882" s="260"/>
      <c r="Y882" s="367"/>
      <c r="Z882" s="431"/>
    </row>
    <row r="883" ht="15.75" customHeight="1">
      <c r="H883" s="17"/>
      <c r="P883" s="17"/>
      <c r="S883" s="17"/>
      <c r="U883" s="17"/>
      <c r="W883" s="430"/>
      <c r="X883" s="260"/>
      <c r="Y883" s="367"/>
      <c r="Z883" s="431"/>
    </row>
    <row r="884" ht="15.75" customHeight="1">
      <c r="H884" s="17"/>
      <c r="P884" s="17"/>
      <c r="S884" s="17"/>
      <c r="U884" s="17"/>
      <c r="W884" s="430"/>
      <c r="X884" s="260"/>
      <c r="Y884" s="367"/>
      <c r="Z884" s="431"/>
    </row>
    <row r="885" ht="15.75" customHeight="1">
      <c r="H885" s="17"/>
      <c r="P885" s="17"/>
      <c r="S885" s="17"/>
      <c r="U885" s="17"/>
      <c r="W885" s="430"/>
      <c r="X885" s="260"/>
      <c r="Y885" s="367"/>
      <c r="Z885" s="431"/>
    </row>
    <row r="886" ht="15.75" customHeight="1">
      <c r="H886" s="17"/>
      <c r="P886" s="17"/>
      <c r="S886" s="17"/>
      <c r="U886" s="17"/>
      <c r="W886" s="430"/>
      <c r="X886" s="260"/>
      <c r="Y886" s="367"/>
      <c r="Z886" s="431"/>
    </row>
    <row r="887" ht="15.75" customHeight="1">
      <c r="H887" s="17"/>
      <c r="P887" s="17"/>
      <c r="S887" s="17"/>
      <c r="U887" s="17"/>
      <c r="W887" s="430"/>
      <c r="X887" s="260"/>
      <c r="Y887" s="367"/>
      <c r="Z887" s="431"/>
    </row>
    <row r="888" ht="15.75" customHeight="1">
      <c r="H888" s="17"/>
      <c r="P888" s="17"/>
      <c r="S888" s="17"/>
      <c r="U888" s="17"/>
      <c r="W888" s="430"/>
      <c r="X888" s="260"/>
      <c r="Y888" s="367"/>
      <c r="Z888" s="431"/>
    </row>
    <row r="889" ht="15.75" customHeight="1">
      <c r="H889" s="17"/>
      <c r="P889" s="17"/>
      <c r="S889" s="17"/>
      <c r="U889" s="17"/>
      <c r="W889" s="430"/>
      <c r="X889" s="260"/>
      <c r="Y889" s="367"/>
      <c r="Z889" s="431"/>
    </row>
    <row r="890" ht="15.75" customHeight="1">
      <c r="H890" s="17"/>
      <c r="P890" s="17"/>
      <c r="S890" s="17"/>
      <c r="U890" s="17"/>
      <c r="W890" s="430"/>
      <c r="X890" s="260"/>
      <c r="Y890" s="367"/>
      <c r="Z890" s="431"/>
    </row>
    <row r="891" ht="15.75" customHeight="1">
      <c r="H891" s="17"/>
      <c r="P891" s="17"/>
      <c r="S891" s="17"/>
      <c r="U891" s="17"/>
      <c r="W891" s="430"/>
      <c r="X891" s="260"/>
      <c r="Y891" s="367"/>
      <c r="Z891" s="431"/>
    </row>
    <row r="892" ht="15.75" customHeight="1">
      <c r="H892" s="17"/>
      <c r="P892" s="17"/>
      <c r="S892" s="17"/>
      <c r="U892" s="17"/>
      <c r="W892" s="430"/>
      <c r="X892" s="260"/>
      <c r="Y892" s="367"/>
      <c r="Z892" s="431"/>
    </row>
    <row r="893" ht="15.75" customHeight="1">
      <c r="H893" s="17"/>
      <c r="P893" s="17"/>
      <c r="S893" s="17"/>
      <c r="U893" s="17"/>
      <c r="W893" s="430"/>
      <c r="X893" s="260"/>
      <c r="Y893" s="367"/>
      <c r="Z893" s="431"/>
    </row>
    <row r="894" ht="15.75" customHeight="1">
      <c r="H894" s="17"/>
      <c r="P894" s="17"/>
      <c r="S894" s="17"/>
      <c r="U894" s="17"/>
      <c r="W894" s="430"/>
      <c r="X894" s="260"/>
      <c r="Y894" s="367"/>
      <c r="Z894" s="431"/>
    </row>
    <row r="895" ht="15.75" customHeight="1">
      <c r="H895" s="17"/>
      <c r="P895" s="17"/>
      <c r="S895" s="17"/>
      <c r="U895" s="17"/>
      <c r="W895" s="430"/>
      <c r="X895" s="260"/>
      <c r="Y895" s="367"/>
      <c r="Z895" s="431"/>
    </row>
    <row r="896" ht="15.75" customHeight="1">
      <c r="H896" s="17"/>
      <c r="P896" s="17"/>
      <c r="S896" s="17"/>
      <c r="U896" s="17"/>
      <c r="W896" s="430"/>
      <c r="X896" s="260"/>
      <c r="Y896" s="367"/>
      <c r="Z896" s="431"/>
    </row>
    <row r="897" ht="15.75" customHeight="1">
      <c r="H897" s="17"/>
      <c r="P897" s="17"/>
      <c r="S897" s="17"/>
      <c r="U897" s="17"/>
      <c r="W897" s="430"/>
      <c r="X897" s="260"/>
      <c r="Y897" s="367"/>
      <c r="Z897" s="431"/>
    </row>
    <row r="898" ht="15.75" customHeight="1">
      <c r="H898" s="17"/>
      <c r="P898" s="17"/>
      <c r="S898" s="17"/>
      <c r="U898" s="17"/>
      <c r="W898" s="430"/>
      <c r="X898" s="260"/>
      <c r="Y898" s="367"/>
      <c r="Z898" s="431"/>
    </row>
    <row r="899" ht="15.75" customHeight="1">
      <c r="H899" s="17"/>
      <c r="P899" s="17"/>
      <c r="S899" s="17"/>
      <c r="U899" s="17"/>
      <c r="W899" s="430"/>
      <c r="X899" s="260"/>
      <c r="Y899" s="367"/>
      <c r="Z899" s="431"/>
    </row>
    <row r="900" ht="15.75" customHeight="1">
      <c r="H900" s="17"/>
      <c r="P900" s="17"/>
      <c r="S900" s="17"/>
      <c r="U900" s="17"/>
      <c r="W900" s="430"/>
      <c r="X900" s="260"/>
      <c r="Y900" s="367"/>
      <c r="Z900" s="431"/>
    </row>
    <row r="901" ht="15.75" customHeight="1">
      <c r="H901" s="17"/>
      <c r="P901" s="17"/>
      <c r="S901" s="17"/>
      <c r="U901" s="17"/>
      <c r="W901" s="430"/>
      <c r="X901" s="260"/>
      <c r="Y901" s="367"/>
      <c r="Z901" s="431"/>
    </row>
    <row r="902" ht="15.75" customHeight="1">
      <c r="H902" s="17"/>
      <c r="P902" s="17"/>
      <c r="S902" s="17"/>
      <c r="U902" s="17"/>
      <c r="W902" s="430"/>
      <c r="X902" s="260"/>
      <c r="Y902" s="367"/>
      <c r="Z902" s="431"/>
    </row>
    <row r="903" ht="15.75" customHeight="1">
      <c r="H903" s="17"/>
      <c r="P903" s="17"/>
      <c r="S903" s="17"/>
      <c r="U903" s="17"/>
      <c r="W903" s="430"/>
      <c r="X903" s="260"/>
      <c r="Y903" s="367"/>
      <c r="Z903" s="431"/>
    </row>
    <row r="904" ht="15.75" customHeight="1">
      <c r="H904" s="17"/>
      <c r="P904" s="17"/>
      <c r="S904" s="17"/>
      <c r="U904" s="17"/>
      <c r="W904" s="430"/>
      <c r="X904" s="260"/>
      <c r="Y904" s="367"/>
      <c r="Z904" s="431"/>
    </row>
    <row r="905" ht="15.75" customHeight="1">
      <c r="H905" s="17"/>
      <c r="P905" s="17"/>
      <c r="S905" s="17"/>
      <c r="U905" s="17"/>
      <c r="W905" s="430"/>
      <c r="X905" s="260"/>
      <c r="Y905" s="367"/>
      <c r="Z905" s="431"/>
    </row>
    <row r="906" ht="15.75" customHeight="1">
      <c r="H906" s="17"/>
      <c r="P906" s="17"/>
      <c r="S906" s="17"/>
      <c r="U906" s="17"/>
      <c r="W906" s="430"/>
      <c r="X906" s="260"/>
      <c r="Y906" s="367"/>
      <c r="Z906" s="431"/>
    </row>
    <row r="907" ht="15.75" customHeight="1">
      <c r="H907" s="17"/>
      <c r="P907" s="17"/>
      <c r="S907" s="17"/>
      <c r="U907" s="17"/>
      <c r="W907" s="430"/>
      <c r="X907" s="260"/>
      <c r="Y907" s="367"/>
      <c r="Z907" s="431"/>
    </row>
    <row r="908" ht="15.75" customHeight="1">
      <c r="H908" s="17"/>
      <c r="P908" s="17"/>
      <c r="S908" s="17"/>
      <c r="U908" s="17"/>
      <c r="W908" s="430"/>
      <c r="X908" s="260"/>
      <c r="Y908" s="367"/>
      <c r="Z908" s="431"/>
    </row>
    <row r="909" ht="15.75" customHeight="1">
      <c r="H909" s="17"/>
      <c r="P909" s="17"/>
      <c r="S909" s="17"/>
      <c r="U909" s="17"/>
      <c r="W909" s="430"/>
      <c r="X909" s="260"/>
      <c r="Y909" s="367"/>
      <c r="Z909" s="431"/>
    </row>
    <row r="910" ht="15.75" customHeight="1">
      <c r="H910" s="17"/>
      <c r="P910" s="17"/>
      <c r="S910" s="17"/>
      <c r="U910" s="17"/>
      <c r="W910" s="430"/>
      <c r="X910" s="260"/>
      <c r="Y910" s="367"/>
      <c r="Z910" s="431"/>
    </row>
    <row r="911" ht="15.75" customHeight="1">
      <c r="H911" s="17"/>
      <c r="P911" s="17"/>
      <c r="S911" s="17"/>
      <c r="U911" s="17"/>
      <c r="W911" s="430"/>
      <c r="X911" s="260"/>
      <c r="Y911" s="367"/>
      <c r="Z911" s="431"/>
    </row>
    <row r="912" ht="15.75" customHeight="1">
      <c r="H912" s="17"/>
      <c r="P912" s="17"/>
      <c r="S912" s="17"/>
      <c r="U912" s="17"/>
      <c r="W912" s="430"/>
      <c r="X912" s="260"/>
      <c r="Y912" s="367"/>
      <c r="Z912" s="431"/>
    </row>
    <row r="913" ht="15.75" customHeight="1">
      <c r="H913" s="17"/>
      <c r="P913" s="17"/>
      <c r="S913" s="17"/>
      <c r="U913" s="17"/>
      <c r="W913" s="430"/>
      <c r="X913" s="260"/>
      <c r="Y913" s="367"/>
      <c r="Z913" s="431"/>
    </row>
    <row r="914" ht="15.75" customHeight="1">
      <c r="H914" s="17"/>
      <c r="P914" s="17"/>
      <c r="S914" s="17"/>
      <c r="U914" s="17"/>
      <c r="W914" s="430"/>
      <c r="X914" s="260"/>
      <c r="Y914" s="367"/>
      <c r="Z914" s="431"/>
    </row>
    <row r="915" ht="15.75" customHeight="1">
      <c r="H915" s="17"/>
      <c r="P915" s="17"/>
      <c r="S915" s="17"/>
      <c r="U915" s="17"/>
      <c r="W915" s="430"/>
      <c r="X915" s="260"/>
      <c r="Y915" s="367"/>
      <c r="Z915" s="431"/>
    </row>
    <row r="916" ht="15.75" customHeight="1">
      <c r="H916" s="17"/>
      <c r="P916" s="17"/>
      <c r="S916" s="17"/>
      <c r="U916" s="17"/>
      <c r="W916" s="430"/>
      <c r="X916" s="260"/>
      <c r="Y916" s="367"/>
      <c r="Z916" s="431"/>
    </row>
    <row r="917" ht="15.75" customHeight="1">
      <c r="H917" s="17"/>
      <c r="P917" s="17"/>
      <c r="S917" s="17"/>
      <c r="U917" s="17"/>
      <c r="W917" s="430"/>
      <c r="X917" s="260"/>
      <c r="Y917" s="367"/>
      <c r="Z917" s="431"/>
    </row>
    <row r="918" ht="15.75" customHeight="1">
      <c r="H918" s="17"/>
      <c r="P918" s="17"/>
      <c r="S918" s="17"/>
      <c r="U918" s="17"/>
      <c r="W918" s="430"/>
      <c r="X918" s="260"/>
      <c r="Y918" s="367"/>
      <c r="Z918" s="431"/>
    </row>
    <row r="919" ht="15.75" customHeight="1">
      <c r="H919" s="17"/>
      <c r="P919" s="17"/>
      <c r="S919" s="17"/>
      <c r="U919" s="17"/>
      <c r="W919" s="430"/>
      <c r="X919" s="260"/>
      <c r="Y919" s="367"/>
      <c r="Z919" s="431"/>
    </row>
    <row r="920" ht="15.75" customHeight="1">
      <c r="H920" s="17"/>
      <c r="P920" s="17"/>
      <c r="S920" s="17"/>
      <c r="U920" s="17"/>
      <c r="W920" s="430"/>
      <c r="X920" s="260"/>
      <c r="Y920" s="367"/>
      <c r="Z920" s="431"/>
    </row>
    <row r="921" ht="15.75" customHeight="1">
      <c r="H921" s="17"/>
      <c r="P921" s="17"/>
      <c r="S921" s="17"/>
      <c r="U921" s="17"/>
      <c r="W921" s="430"/>
      <c r="X921" s="260"/>
      <c r="Y921" s="367"/>
      <c r="Z921" s="431"/>
    </row>
    <row r="922" ht="15.75" customHeight="1">
      <c r="H922" s="17"/>
      <c r="P922" s="17"/>
      <c r="S922" s="17"/>
      <c r="U922" s="17"/>
      <c r="W922" s="430"/>
      <c r="X922" s="260"/>
      <c r="Y922" s="367"/>
      <c r="Z922" s="431"/>
    </row>
    <row r="923" ht="15.75" customHeight="1">
      <c r="H923" s="17"/>
      <c r="P923" s="17"/>
      <c r="S923" s="17"/>
      <c r="U923" s="17"/>
      <c r="W923" s="430"/>
      <c r="X923" s="260"/>
      <c r="Y923" s="367"/>
      <c r="Z923" s="431"/>
    </row>
    <row r="924" ht="15.75" customHeight="1">
      <c r="H924" s="17"/>
      <c r="P924" s="17"/>
      <c r="S924" s="17"/>
      <c r="U924" s="17"/>
      <c r="W924" s="430"/>
      <c r="X924" s="260"/>
      <c r="Y924" s="367"/>
      <c r="Z924" s="431"/>
    </row>
    <row r="925" ht="15.75" customHeight="1">
      <c r="H925" s="17"/>
      <c r="P925" s="17"/>
      <c r="S925" s="17"/>
      <c r="U925" s="17"/>
      <c r="W925" s="430"/>
      <c r="X925" s="260"/>
      <c r="Y925" s="367"/>
      <c r="Z925" s="431"/>
    </row>
    <row r="926" ht="15.75" customHeight="1">
      <c r="H926" s="17"/>
      <c r="P926" s="17"/>
      <c r="S926" s="17"/>
      <c r="U926" s="17"/>
      <c r="W926" s="430"/>
      <c r="X926" s="260"/>
      <c r="Y926" s="367"/>
      <c r="Z926" s="431"/>
    </row>
    <row r="927" ht="15.75" customHeight="1">
      <c r="H927" s="17"/>
      <c r="P927" s="17"/>
      <c r="S927" s="17"/>
      <c r="U927" s="17"/>
      <c r="W927" s="430"/>
      <c r="X927" s="260"/>
      <c r="Y927" s="367"/>
      <c r="Z927" s="431"/>
    </row>
    <row r="928" ht="15.75" customHeight="1">
      <c r="H928" s="17"/>
      <c r="P928" s="17"/>
      <c r="S928" s="17"/>
      <c r="U928" s="17"/>
      <c r="W928" s="430"/>
      <c r="X928" s="260"/>
      <c r="Y928" s="367"/>
      <c r="Z928" s="431"/>
    </row>
    <row r="929" ht="15.75" customHeight="1">
      <c r="H929" s="17"/>
      <c r="P929" s="17"/>
      <c r="S929" s="17"/>
      <c r="U929" s="17"/>
      <c r="W929" s="430"/>
      <c r="X929" s="260"/>
      <c r="Y929" s="367"/>
      <c r="Z929" s="431"/>
    </row>
    <row r="930" ht="15.75" customHeight="1">
      <c r="H930" s="17"/>
      <c r="P930" s="17"/>
      <c r="S930" s="17"/>
      <c r="U930" s="17"/>
      <c r="W930" s="430"/>
      <c r="X930" s="260"/>
      <c r="Y930" s="367"/>
      <c r="Z930" s="431"/>
    </row>
    <row r="931" ht="15.75" customHeight="1">
      <c r="H931" s="17"/>
      <c r="P931" s="17"/>
      <c r="S931" s="17"/>
      <c r="U931" s="17"/>
      <c r="W931" s="430"/>
      <c r="X931" s="260"/>
      <c r="Y931" s="367"/>
      <c r="Z931" s="431"/>
    </row>
    <row r="932" ht="15.75" customHeight="1">
      <c r="H932" s="17"/>
      <c r="P932" s="17"/>
      <c r="S932" s="17"/>
      <c r="U932" s="17"/>
      <c r="W932" s="430"/>
      <c r="X932" s="260"/>
      <c r="Y932" s="367"/>
      <c r="Z932" s="431"/>
    </row>
    <row r="933" ht="15.75" customHeight="1">
      <c r="H933" s="17"/>
      <c r="P933" s="17"/>
      <c r="S933" s="17"/>
      <c r="U933" s="17"/>
      <c r="W933" s="430"/>
      <c r="X933" s="260"/>
      <c r="Y933" s="367"/>
      <c r="Z933" s="431"/>
    </row>
    <row r="934" ht="15.75" customHeight="1">
      <c r="H934" s="17"/>
      <c r="P934" s="17"/>
      <c r="S934" s="17"/>
      <c r="U934" s="17"/>
      <c r="W934" s="430"/>
      <c r="X934" s="260"/>
      <c r="Y934" s="367"/>
      <c r="Z934" s="431"/>
    </row>
    <row r="935" ht="15.75" customHeight="1">
      <c r="H935" s="17"/>
      <c r="P935" s="17"/>
      <c r="S935" s="17"/>
      <c r="U935" s="17"/>
      <c r="W935" s="430"/>
      <c r="X935" s="260"/>
      <c r="Y935" s="367"/>
      <c r="Z935" s="431"/>
    </row>
    <row r="936" ht="15.75" customHeight="1">
      <c r="H936" s="17"/>
      <c r="P936" s="17"/>
      <c r="S936" s="17"/>
      <c r="U936" s="17"/>
      <c r="W936" s="430"/>
      <c r="X936" s="260"/>
      <c r="Y936" s="367"/>
      <c r="Z936" s="431"/>
    </row>
    <row r="937" ht="15.75" customHeight="1">
      <c r="H937" s="17"/>
      <c r="P937" s="17"/>
      <c r="S937" s="17"/>
      <c r="U937" s="17"/>
      <c r="W937" s="430"/>
      <c r="X937" s="260"/>
      <c r="Y937" s="367"/>
      <c r="Z937" s="431"/>
    </row>
    <row r="938" ht="15.75" customHeight="1">
      <c r="H938" s="17"/>
      <c r="P938" s="17"/>
      <c r="S938" s="17"/>
      <c r="U938" s="17"/>
      <c r="W938" s="430"/>
      <c r="X938" s="260"/>
      <c r="Y938" s="367"/>
      <c r="Z938" s="431"/>
    </row>
    <row r="939" ht="15.75" customHeight="1">
      <c r="H939" s="17"/>
      <c r="P939" s="17"/>
      <c r="S939" s="17"/>
      <c r="U939" s="17"/>
      <c r="W939" s="430"/>
      <c r="X939" s="260"/>
      <c r="Y939" s="367"/>
      <c r="Z939" s="431"/>
    </row>
    <row r="940" ht="15.75" customHeight="1">
      <c r="H940" s="17"/>
      <c r="P940" s="17"/>
      <c r="S940" s="17"/>
      <c r="U940" s="17"/>
      <c r="W940" s="430"/>
      <c r="X940" s="260"/>
      <c r="Y940" s="367"/>
      <c r="Z940" s="431"/>
    </row>
    <row r="941" ht="15.75" customHeight="1">
      <c r="H941" s="17"/>
      <c r="P941" s="17"/>
      <c r="S941" s="17"/>
      <c r="U941" s="17"/>
      <c r="W941" s="430"/>
      <c r="X941" s="260"/>
      <c r="Y941" s="367"/>
      <c r="Z941" s="431"/>
    </row>
    <row r="942" ht="15.75" customHeight="1">
      <c r="H942" s="17"/>
      <c r="P942" s="17"/>
      <c r="S942" s="17"/>
      <c r="U942" s="17"/>
      <c r="W942" s="430"/>
      <c r="X942" s="260"/>
      <c r="Y942" s="367"/>
      <c r="Z942" s="431"/>
    </row>
    <row r="943" ht="15.75" customHeight="1">
      <c r="H943" s="17"/>
      <c r="P943" s="17"/>
      <c r="S943" s="17"/>
      <c r="U943" s="17"/>
      <c r="W943" s="430"/>
      <c r="X943" s="260"/>
      <c r="Y943" s="367"/>
      <c r="Z943" s="431"/>
    </row>
    <row r="944" ht="15.75" customHeight="1">
      <c r="H944" s="17"/>
      <c r="P944" s="17"/>
      <c r="S944" s="17"/>
      <c r="U944" s="17"/>
      <c r="W944" s="430"/>
      <c r="X944" s="260"/>
      <c r="Y944" s="367"/>
      <c r="Z944" s="431"/>
    </row>
    <row r="945" ht="15.75" customHeight="1">
      <c r="H945" s="17"/>
      <c r="P945" s="17"/>
      <c r="S945" s="17"/>
      <c r="U945" s="17"/>
      <c r="W945" s="430"/>
      <c r="X945" s="260"/>
      <c r="Y945" s="367"/>
      <c r="Z945" s="431"/>
    </row>
    <row r="946" ht="15.75" customHeight="1">
      <c r="H946" s="17"/>
      <c r="P946" s="17"/>
      <c r="S946" s="17"/>
      <c r="U946" s="17"/>
      <c r="W946" s="430"/>
      <c r="X946" s="260"/>
      <c r="Y946" s="367"/>
      <c r="Z946" s="431"/>
    </row>
    <row r="947" ht="15.75" customHeight="1">
      <c r="H947" s="17"/>
      <c r="P947" s="17"/>
      <c r="S947" s="17"/>
      <c r="U947" s="17"/>
      <c r="W947" s="430"/>
      <c r="X947" s="260"/>
      <c r="Y947" s="367"/>
      <c r="Z947" s="431"/>
    </row>
    <row r="948" ht="15.75" customHeight="1">
      <c r="H948" s="17"/>
      <c r="P948" s="17"/>
      <c r="S948" s="17"/>
      <c r="U948" s="17"/>
      <c r="W948" s="430"/>
      <c r="X948" s="260"/>
      <c r="Y948" s="367"/>
      <c r="Z948" s="431"/>
    </row>
    <row r="949" ht="15.75" customHeight="1">
      <c r="H949" s="17"/>
      <c r="P949" s="17"/>
      <c r="S949" s="17"/>
      <c r="U949" s="17"/>
      <c r="W949" s="430"/>
      <c r="X949" s="260"/>
      <c r="Y949" s="367"/>
      <c r="Z949" s="431"/>
    </row>
    <row r="950" ht="15.75" customHeight="1">
      <c r="H950" s="17"/>
      <c r="P950" s="17"/>
      <c r="S950" s="17"/>
      <c r="U950" s="17"/>
      <c r="W950" s="430"/>
      <c r="X950" s="260"/>
      <c r="Y950" s="367"/>
      <c r="Z950" s="431"/>
    </row>
    <row r="951" ht="15.75" customHeight="1">
      <c r="H951" s="17"/>
      <c r="P951" s="17"/>
      <c r="S951" s="17"/>
      <c r="U951" s="17"/>
      <c r="W951" s="430"/>
      <c r="X951" s="260"/>
      <c r="Y951" s="367"/>
      <c r="Z951" s="431"/>
    </row>
    <row r="952" ht="15.75" customHeight="1">
      <c r="H952" s="17"/>
      <c r="P952" s="17"/>
      <c r="S952" s="17"/>
      <c r="U952" s="17"/>
      <c r="W952" s="430"/>
      <c r="X952" s="260"/>
      <c r="Y952" s="367"/>
      <c r="Z952" s="431"/>
    </row>
    <row r="953" ht="15.75" customHeight="1">
      <c r="H953" s="17"/>
      <c r="P953" s="17"/>
      <c r="S953" s="17"/>
      <c r="U953" s="17"/>
      <c r="W953" s="430"/>
      <c r="X953" s="260"/>
      <c r="Y953" s="367"/>
      <c r="Z953" s="431"/>
    </row>
    <row r="954" ht="15.75" customHeight="1">
      <c r="H954" s="17"/>
      <c r="P954" s="17"/>
      <c r="S954" s="17"/>
      <c r="U954" s="17"/>
      <c r="W954" s="430"/>
      <c r="X954" s="260"/>
      <c r="Y954" s="367"/>
      <c r="Z954" s="431"/>
    </row>
    <row r="955" ht="15.75" customHeight="1">
      <c r="H955" s="17"/>
      <c r="P955" s="17"/>
      <c r="S955" s="17"/>
      <c r="U955" s="17"/>
      <c r="W955" s="430"/>
      <c r="X955" s="260"/>
      <c r="Y955" s="367"/>
      <c r="Z955" s="431"/>
    </row>
    <row r="956" ht="15.75" customHeight="1">
      <c r="H956" s="17"/>
      <c r="P956" s="17"/>
      <c r="S956" s="17"/>
      <c r="U956" s="17"/>
      <c r="W956" s="430"/>
      <c r="X956" s="260"/>
      <c r="Y956" s="367"/>
      <c r="Z956" s="431"/>
    </row>
    <row r="957" ht="15.75" customHeight="1">
      <c r="H957" s="17"/>
      <c r="P957" s="17"/>
      <c r="S957" s="17"/>
      <c r="U957" s="17"/>
      <c r="W957" s="430"/>
      <c r="X957" s="260"/>
      <c r="Y957" s="367"/>
      <c r="Z957" s="431"/>
    </row>
    <row r="958" ht="15.75" customHeight="1">
      <c r="H958" s="17"/>
      <c r="P958" s="17"/>
      <c r="S958" s="17"/>
      <c r="U958" s="17"/>
      <c r="W958" s="430"/>
      <c r="X958" s="260"/>
      <c r="Y958" s="367"/>
      <c r="Z958" s="431"/>
    </row>
    <row r="959" ht="15.75" customHeight="1">
      <c r="H959" s="17"/>
      <c r="P959" s="17"/>
      <c r="S959" s="17"/>
      <c r="U959" s="17"/>
      <c r="W959" s="430"/>
      <c r="X959" s="260"/>
      <c r="Y959" s="367"/>
      <c r="Z959" s="431"/>
    </row>
    <row r="960" ht="15.75" customHeight="1">
      <c r="H960" s="17"/>
      <c r="P960" s="17"/>
      <c r="S960" s="17"/>
      <c r="U960" s="17"/>
      <c r="W960" s="430"/>
      <c r="X960" s="260"/>
      <c r="Y960" s="367"/>
      <c r="Z960" s="431"/>
    </row>
    <row r="961" ht="15.75" customHeight="1">
      <c r="H961" s="17"/>
      <c r="P961" s="17"/>
      <c r="S961" s="17"/>
      <c r="U961" s="17"/>
      <c r="W961" s="430"/>
      <c r="X961" s="260"/>
      <c r="Y961" s="367"/>
      <c r="Z961" s="431"/>
    </row>
    <row r="962" ht="15.75" customHeight="1">
      <c r="H962" s="17"/>
      <c r="P962" s="17"/>
      <c r="S962" s="17"/>
      <c r="U962" s="17"/>
      <c r="W962" s="430"/>
      <c r="X962" s="260"/>
      <c r="Y962" s="367"/>
      <c r="Z962" s="431"/>
    </row>
    <row r="963" ht="15.75" customHeight="1">
      <c r="H963" s="17"/>
      <c r="P963" s="17"/>
      <c r="S963" s="17"/>
      <c r="U963" s="17"/>
      <c r="W963" s="430"/>
      <c r="X963" s="260"/>
      <c r="Y963" s="367"/>
      <c r="Z963" s="431"/>
    </row>
    <row r="964" ht="15.75" customHeight="1">
      <c r="H964" s="17"/>
      <c r="P964" s="17"/>
      <c r="S964" s="17"/>
      <c r="U964" s="17"/>
      <c r="W964" s="430"/>
      <c r="X964" s="260"/>
      <c r="Y964" s="367"/>
      <c r="Z964" s="431"/>
    </row>
    <row r="965" ht="15.75" customHeight="1">
      <c r="H965" s="17"/>
      <c r="P965" s="17"/>
      <c r="S965" s="17"/>
      <c r="U965" s="17"/>
      <c r="W965" s="430"/>
      <c r="X965" s="260"/>
      <c r="Y965" s="367"/>
      <c r="Z965" s="431"/>
    </row>
    <row r="966" ht="15.75" customHeight="1">
      <c r="H966" s="17"/>
      <c r="P966" s="17"/>
      <c r="S966" s="17"/>
      <c r="U966" s="17"/>
      <c r="W966" s="430"/>
      <c r="X966" s="260"/>
      <c r="Y966" s="367"/>
      <c r="Z966" s="431"/>
    </row>
    <row r="967" ht="15.75" customHeight="1">
      <c r="H967" s="17"/>
      <c r="P967" s="17"/>
      <c r="S967" s="17"/>
      <c r="U967" s="17"/>
      <c r="W967" s="430"/>
      <c r="X967" s="260"/>
      <c r="Y967" s="367"/>
      <c r="Z967" s="431"/>
    </row>
    <row r="968" ht="15.75" customHeight="1">
      <c r="H968" s="17"/>
      <c r="P968" s="17"/>
      <c r="S968" s="17"/>
      <c r="U968" s="17"/>
      <c r="W968" s="430"/>
      <c r="X968" s="260"/>
      <c r="Y968" s="367"/>
      <c r="Z968" s="431"/>
    </row>
    <row r="969" ht="15.75" customHeight="1">
      <c r="H969" s="17"/>
      <c r="P969" s="17"/>
      <c r="S969" s="17"/>
      <c r="U969" s="17"/>
      <c r="W969" s="430"/>
      <c r="X969" s="260"/>
      <c r="Y969" s="367"/>
      <c r="Z969" s="431"/>
    </row>
    <row r="970" ht="15.75" customHeight="1">
      <c r="H970" s="17"/>
      <c r="P970" s="17"/>
      <c r="S970" s="17"/>
      <c r="U970" s="17"/>
      <c r="W970" s="430"/>
      <c r="X970" s="260"/>
      <c r="Y970" s="367"/>
      <c r="Z970" s="431"/>
    </row>
    <row r="971" ht="15.75" customHeight="1">
      <c r="H971" s="17"/>
      <c r="P971" s="17"/>
      <c r="S971" s="17"/>
      <c r="U971" s="17"/>
      <c r="W971" s="430"/>
      <c r="X971" s="260"/>
      <c r="Y971" s="367"/>
      <c r="Z971" s="431"/>
    </row>
    <row r="972" ht="15.75" customHeight="1">
      <c r="H972" s="17"/>
      <c r="P972" s="17"/>
      <c r="S972" s="17"/>
      <c r="U972" s="17"/>
      <c r="W972" s="430"/>
      <c r="X972" s="260"/>
      <c r="Y972" s="367"/>
      <c r="Z972" s="431"/>
    </row>
    <row r="973" ht="15.75" customHeight="1">
      <c r="H973" s="17"/>
      <c r="P973" s="17"/>
      <c r="S973" s="17"/>
      <c r="U973" s="17"/>
      <c r="W973" s="430"/>
      <c r="X973" s="260"/>
      <c r="Y973" s="367"/>
      <c r="Z973" s="431"/>
    </row>
    <row r="974" ht="15.75" customHeight="1">
      <c r="H974" s="17"/>
      <c r="P974" s="17"/>
      <c r="S974" s="17"/>
      <c r="U974" s="17"/>
      <c r="W974" s="430"/>
      <c r="X974" s="260"/>
      <c r="Y974" s="367"/>
      <c r="Z974" s="431"/>
    </row>
    <row r="975" ht="15.75" customHeight="1">
      <c r="H975" s="17"/>
      <c r="P975" s="17"/>
      <c r="S975" s="17"/>
      <c r="U975" s="17"/>
      <c r="W975" s="430"/>
      <c r="X975" s="260"/>
      <c r="Y975" s="367"/>
      <c r="Z975" s="431"/>
    </row>
    <row r="976" ht="15.75" customHeight="1">
      <c r="H976" s="17"/>
      <c r="P976" s="17"/>
      <c r="S976" s="17"/>
      <c r="U976" s="17"/>
      <c r="W976" s="430"/>
      <c r="X976" s="260"/>
      <c r="Y976" s="367"/>
      <c r="Z976" s="431"/>
    </row>
    <row r="977" ht="15.75" customHeight="1">
      <c r="H977" s="17"/>
      <c r="P977" s="17"/>
      <c r="S977" s="17"/>
      <c r="U977" s="17"/>
      <c r="W977" s="430"/>
      <c r="X977" s="260"/>
      <c r="Y977" s="367"/>
      <c r="Z977" s="431"/>
    </row>
    <row r="978" ht="15.75" customHeight="1">
      <c r="H978" s="17"/>
      <c r="P978" s="17"/>
      <c r="S978" s="17"/>
      <c r="U978" s="17"/>
      <c r="W978" s="430"/>
      <c r="X978" s="260"/>
      <c r="Y978" s="367"/>
      <c r="Z978" s="431"/>
    </row>
    <row r="979" ht="15.75" customHeight="1">
      <c r="H979" s="17"/>
      <c r="P979" s="17"/>
      <c r="S979" s="17"/>
      <c r="U979" s="17"/>
      <c r="W979" s="430"/>
      <c r="X979" s="260"/>
      <c r="Y979" s="367"/>
      <c r="Z979" s="431"/>
    </row>
    <row r="980" ht="15.75" customHeight="1">
      <c r="H980" s="17"/>
      <c r="P980" s="17"/>
      <c r="S980" s="17"/>
      <c r="U980" s="17"/>
      <c r="W980" s="430"/>
      <c r="X980" s="260"/>
      <c r="Y980" s="367"/>
      <c r="Z980" s="431"/>
    </row>
    <row r="981" ht="15.75" customHeight="1">
      <c r="H981" s="17"/>
      <c r="P981" s="17"/>
      <c r="S981" s="17"/>
      <c r="U981" s="17"/>
      <c r="W981" s="430"/>
      <c r="X981" s="260"/>
      <c r="Y981" s="367"/>
      <c r="Z981" s="431"/>
    </row>
    <row r="982" ht="15.75" customHeight="1">
      <c r="H982" s="17"/>
      <c r="P982" s="17"/>
      <c r="S982" s="17"/>
      <c r="U982" s="17"/>
      <c r="W982" s="430"/>
      <c r="X982" s="260"/>
      <c r="Y982" s="367"/>
      <c r="Z982" s="431"/>
    </row>
    <row r="983" ht="15.75" customHeight="1">
      <c r="H983" s="17"/>
      <c r="P983" s="17"/>
      <c r="S983" s="17"/>
      <c r="U983" s="17"/>
      <c r="W983" s="430"/>
      <c r="X983" s="260"/>
      <c r="Y983" s="367"/>
      <c r="Z983" s="431"/>
    </row>
    <row r="984" ht="15.75" customHeight="1">
      <c r="H984" s="17"/>
      <c r="P984" s="17"/>
      <c r="S984" s="17"/>
      <c r="U984" s="17"/>
      <c r="W984" s="430"/>
      <c r="X984" s="260"/>
      <c r="Y984" s="367"/>
      <c r="Z984" s="431"/>
    </row>
    <row r="985" ht="15.75" customHeight="1">
      <c r="H985" s="17"/>
      <c r="P985" s="17"/>
      <c r="S985" s="17"/>
      <c r="U985" s="17"/>
      <c r="W985" s="430"/>
      <c r="X985" s="260"/>
      <c r="Y985" s="367"/>
      <c r="Z985" s="431"/>
    </row>
    <row r="986" ht="15.75" customHeight="1">
      <c r="H986" s="17"/>
      <c r="P986" s="17"/>
      <c r="S986" s="17"/>
      <c r="U986" s="17"/>
      <c r="W986" s="430"/>
      <c r="X986" s="260"/>
      <c r="Y986" s="367"/>
      <c r="Z986" s="431"/>
    </row>
    <row r="987" ht="15.75" customHeight="1">
      <c r="H987" s="17"/>
      <c r="P987" s="17"/>
      <c r="S987" s="17"/>
      <c r="U987" s="17"/>
      <c r="W987" s="430"/>
      <c r="X987" s="260"/>
      <c r="Y987" s="367"/>
      <c r="Z987" s="431"/>
    </row>
    <row r="988" ht="15.75" customHeight="1">
      <c r="H988" s="17"/>
      <c r="P988" s="17"/>
      <c r="S988" s="17"/>
      <c r="U988" s="17"/>
      <c r="W988" s="430"/>
      <c r="X988" s="260"/>
      <c r="Y988" s="367"/>
      <c r="Z988" s="431"/>
    </row>
    <row r="989" ht="15.75" customHeight="1">
      <c r="H989" s="17"/>
      <c r="P989" s="17"/>
      <c r="S989" s="17"/>
      <c r="U989" s="17"/>
      <c r="W989" s="430"/>
      <c r="X989" s="260"/>
      <c r="Y989" s="367"/>
      <c r="Z989" s="431"/>
    </row>
    <row r="990" ht="15.75" customHeight="1">
      <c r="H990" s="17"/>
      <c r="P990" s="17"/>
      <c r="S990" s="17"/>
      <c r="U990" s="17"/>
      <c r="W990" s="430"/>
      <c r="X990" s="260"/>
      <c r="Y990" s="367"/>
      <c r="Z990" s="431"/>
    </row>
    <row r="991" ht="15.75" customHeight="1">
      <c r="H991" s="17"/>
      <c r="P991" s="17"/>
      <c r="S991" s="17"/>
      <c r="U991" s="17"/>
      <c r="W991" s="430"/>
      <c r="X991" s="260"/>
      <c r="Y991" s="367"/>
      <c r="Z991" s="431"/>
    </row>
    <row r="992" ht="15.75" customHeight="1">
      <c r="H992" s="17"/>
      <c r="P992" s="17"/>
      <c r="S992" s="17"/>
      <c r="U992" s="17"/>
      <c r="W992" s="430"/>
      <c r="X992" s="260"/>
      <c r="Y992" s="367"/>
      <c r="Z992" s="431"/>
    </row>
    <row r="993" ht="15.75" customHeight="1">
      <c r="H993" s="17"/>
      <c r="P993" s="17"/>
      <c r="S993" s="17"/>
      <c r="U993" s="17"/>
      <c r="W993" s="430"/>
      <c r="X993" s="260"/>
      <c r="Y993" s="367"/>
      <c r="Z993" s="431"/>
    </row>
    <row r="994" ht="15.75" customHeight="1">
      <c r="H994" s="17"/>
      <c r="P994" s="17"/>
      <c r="S994" s="17"/>
      <c r="U994" s="17"/>
      <c r="W994" s="430"/>
      <c r="X994" s="260"/>
      <c r="Y994" s="367"/>
      <c r="Z994" s="431"/>
    </row>
    <row r="995" ht="15.75" customHeight="1">
      <c r="H995" s="17"/>
      <c r="P995" s="17"/>
      <c r="S995" s="17"/>
      <c r="U995" s="17"/>
      <c r="W995" s="430"/>
      <c r="X995" s="260"/>
      <c r="Y995" s="367"/>
      <c r="Z995" s="431"/>
    </row>
    <row r="996" ht="15.75" customHeight="1">
      <c r="H996" s="17"/>
      <c r="P996" s="17"/>
      <c r="S996" s="17"/>
      <c r="U996" s="17"/>
      <c r="W996" s="430"/>
      <c r="X996" s="260"/>
      <c r="Y996" s="367"/>
      <c r="Z996" s="431"/>
    </row>
    <row r="997" ht="15.75" customHeight="1">
      <c r="H997" s="17"/>
      <c r="P997" s="17"/>
      <c r="S997" s="17"/>
      <c r="U997" s="17"/>
      <c r="W997" s="430"/>
      <c r="X997" s="260"/>
      <c r="Y997" s="367"/>
      <c r="Z997" s="431"/>
    </row>
    <row r="998" ht="15.75" customHeight="1">
      <c r="H998" s="17"/>
      <c r="P998" s="17"/>
      <c r="S998" s="17"/>
      <c r="U998" s="17"/>
      <c r="W998" s="430"/>
      <c r="X998" s="260"/>
      <c r="Y998" s="367"/>
      <c r="Z998" s="431"/>
    </row>
    <row r="999" ht="15.75" customHeight="1">
      <c r="H999" s="17"/>
      <c r="P999" s="17"/>
      <c r="S999" s="17"/>
      <c r="U999" s="17"/>
      <c r="W999" s="430"/>
      <c r="X999" s="260"/>
      <c r="Y999" s="367"/>
      <c r="Z999" s="431"/>
    </row>
    <row r="1000" ht="15.75" customHeight="1">
      <c r="H1000" s="17"/>
      <c r="P1000" s="17"/>
      <c r="S1000" s="17"/>
      <c r="U1000" s="17"/>
      <c r="W1000" s="430"/>
      <c r="X1000" s="260"/>
      <c r="Y1000" s="367"/>
      <c r="Z1000" s="431"/>
    </row>
  </sheetData>
  <autoFilter ref="$A$4:$AQ$44"/>
  <mergeCells count="6">
    <mergeCell ref="B1:AA1"/>
    <mergeCell ref="B2:K3"/>
    <mergeCell ref="L2:Q3"/>
    <mergeCell ref="R2:V3"/>
    <mergeCell ref="W2:Z3"/>
    <mergeCell ref="AA2:AA3"/>
  </mergeCells>
  <dataValidations>
    <dataValidation type="list" allowBlank="1" sqref="C45:C84">
      <formula1>"Conversão,Separação,Acabamento"</formula1>
    </dataValidation>
    <dataValidation type="list" allowBlank="1" sqref="O4">
      <formula1>'Energia CEMIG'!$A$2:$A$5</formula1>
    </dataValidation>
    <dataValidation type="list" allowBlank="1" sqref="C5:C44">
      <formula1>$AF$6:$AF$10</formula1>
    </dataValidation>
    <dataValidation type="list" allowBlank="1" sqref="D5:D44">
      <formula1>$AG$6:$AG$17</formula1>
    </dataValidation>
  </dataValidations>
  <printOptions/>
  <pageMargins bottom="0.7874015750000001" footer="0.0" header="0.0" left="0.511811024" right="0.511811024" top="0.7874015750000001"/>
  <pageSetup paperSize="9" scale="60"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9.0"/>
    <col customWidth="1" min="2" max="2" width="16.29"/>
    <col customWidth="1" min="3" max="3" width="12.14"/>
    <col customWidth="1" min="4" max="4" width="14.43"/>
    <col customWidth="1" min="5" max="5" width="20.14"/>
    <col customWidth="1" min="6" max="6" width="14.43"/>
    <col customWidth="1" min="8" max="8" width="41.0"/>
    <col customWidth="1" min="10" max="10" width="16.29"/>
  </cols>
  <sheetData>
    <row r="1">
      <c r="A1" s="432" t="s">
        <v>605</v>
      </c>
      <c r="B1" s="432" t="s">
        <v>606</v>
      </c>
      <c r="C1" s="432" t="s">
        <v>607</v>
      </c>
      <c r="E1" s="433" t="s">
        <v>608</v>
      </c>
      <c r="H1" s="434" t="s">
        <v>609</v>
      </c>
    </row>
    <row r="2">
      <c r="A2" s="415" t="s">
        <v>610</v>
      </c>
      <c r="B2" s="435">
        <v>0.64463</v>
      </c>
      <c r="C2" s="436">
        <f t="shared" ref="C2:C5" si="1">B2*1.33</f>
        <v>0.8573579</v>
      </c>
      <c r="E2" s="437">
        <v>44111.0</v>
      </c>
      <c r="H2" s="434"/>
    </row>
    <row r="3">
      <c r="A3" s="415" t="s">
        <v>611</v>
      </c>
      <c r="B3" s="435">
        <v>0.65803</v>
      </c>
      <c r="C3" s="436">
        <f t="shared" si="1"/>
        <v>0.8751799</v>
      </c>
      <c r="H3" s="438" t="s">
        <v>612</v>
      </c>
    </row>
    <row r="4">
      <c r="A4" s="415" t="s">
        <v>613</v>
      </c>
      <c r="B4" s="435">
        <v>0.68623</v>
      </c>
      <c r="C4" s="436">
        <f t="shared" si="1"/>
        <v>0.9126859</v>
      </c>
      <c r="H4" s="438" t="s">
        <v>614</v>
      </c>
    </row>
    <row r="5">
      <c r="A5" s="415" t="s">
        <v>615</v>
      </c>
      <c r="B5" s="435">
        <v>0.70703</v>
      </c>
      <c r="C5" s="436">
        <f t="shared" si="1"/>
        <v>0.9403499</v>
      </c>
      <c r="H5" s="438" t="s">
        <v>616</v>
      </c>
    </row>
    <row r="6">
      <c r="B6" s="3"/>
      <c r="H6" s="438" t="s">
        <v>617</v>
      </c>
    </row>
    <row r="7">
      <c r="H7" s="434" t="s">
        <v>618</v>
      </c>
      <c r="I7" s="439"/>
    </row>
    <row r="8">
      <c r="A8" s="440" t="s">
        <v>619</v>
      </c>
      <c r="B8" s="441" t="s">
        <v>605</v>
      </c>
      <c r="H8" s="442" t="s">
        <v>620</v>
      </c>
      <c r="I8" s="443" t="s">
        <v>621</v>
      </c>
      <c r="J8" s="443" t="s">
        <v>622</v>
      </c>
      <c r="K8" s="443" t="s">
        <v>623</v>
      </c>
      <c r="L8" s="443" t="s">
        <v>624</v>
      </c>
    </row>
    <row r="9">
      <c r="A9" s="444">
        <v>43604.0</v>
      </c>
      <c r="B9" s="415" t="s">
        <v>625</v>
      </c>
      <c r="H9" s="445" t="s">
        <v>626</v>
      </c>
    </row>
    <row r="10">
      <c r="A10" s="444">
        <v>43635.0</v>
      </c>
      <c r="B10" s="415" t="s">
        <v>627</v>
      </c>
      <c r="H10" s="446" t="s">
        <v>628</v>
      </c>
    </row>
    <row r="11">
      <c r="A11" s="417"/>
      <c r="B11" s="415"/>
      <c r="H11" s="447" t="s">
        <v>629</v>
      </c>
      <c r="I11" s="448" t="s">
        <v>630</v>
      </c>
      <c r="J11" s="448" t="s">
        <v>630</v>
      </c>
      <c r="K11" s="449" t="s">
        <v>631</v>
      </c>
      <c r="L11" s="449" t="s">
        <v>632</v>
      </c>
    </row>
    <row r="12">
      <c r="A12" s="417"/>
      <c r="B12" s="415"/>
      <c r="H12" s="450" t="s">
        <v>633</v>
      </c>
      <c r="I12" s="451" t="s">
        <v>634</v>
      </c>
      <c r="J12" s="452" t="s">
        <v>635</v>
      </c>
      <c r="K12" s="452" t="s">
        <v>636</v>
      </c>
      <c r="L12" s="451" t="s">
        <v>637</v>
      </c>
    </row>
    <row r="13">
      <c r="A13" s="417"/>
      <c r="B13" s="415"/>
      <c r="H13" s="447" t="s">
        <v>638</v>
      </c>
      <c r="I13" s="448" t="s">
        <v>630</v>
      </c>
      <c r="J13" s="453" t="s">
        <v>630</v>
      </c>
      <c r="K13" s="453" t="s">
        <v>639</v>
      </c>
      <c r="L13" s="453" t="s">
        <v>640</v>
      </c>
    </row>
    <row r="14">
      <c r="A14" s="417"/>
      <c r="B14" s="415"/>
      <c r="H14" s="450" t="s">
        <v>641</v>
      </c>
      <c r="I14" s="451">
        <v>0.19712</v>
      </c>
      <c r="J14" s="451">
        <v>0.20237</v>
      </c>
      <c r="K14" s="452">
        <v>0.21112</v>
      </c>
      <c r="L14" s="451" t="s">
        <v>642</v>
      </c>
    </row>
    <row r="15">
      <c r="A15" s="417"/>
      <c r="B15" s="415"/>
      <c r="H15" s="450" t="s">
        <v>643</v>
      </c>
      <c r="I15" s="451">
        <v>0.33793</v>
      </c>
      <c r="J15" s="451" t="s">
        <v>644</v>
      </c>
      <c r="K15" s="452" t="s">
        <v>645</v>
      </c>
      <c r="L15" s="452" t="s">
        <v>646</v>
      </c>
    </row>
    <row r="16">
      <c r="A16" s="454"/>
      <c r="B16" s="455"/>
      <c r="H16" s="450" t="s">
        <v>647</v>
      </c>
      <c r="I16" s="451">
        <v>0.50689</v>
      </c>
      <c r="J16" s="452" t="s">
        <v>648</v>
      </c>
      <c r="K16" s="452" t="s">
        <v>649</v>
      </c>
      <c r="L16" s="451" t="s">
        <v>650</v>
      </c>
    </row>
    <row r="17">
      <c r="A17" s="454"/>
      <c r="B17" s="455"/>
      <c r="H17" s="450" t="s">
        <v>651</v>
      </c>
      <c r="I17" s="451">
        <v>0.56321</v>
      </c>
      <c r="J17" s="451" t="s">
        <v>652</v>
      </c>
      <c r="K17" s="452" t="s">
        <v>653</v>
      </c>
      <c r="L17" s="451">
        <v>0.62321</v>
      </c>
    </row>
    <row r="18">
      <c r="B18" s="3"/>
      <c r="H18" s="447" t="s">
        <v>654</v>
      </c>
      <c r="I18" s="448" t="s">
        <v>630</v>
      </c>
      <c r="J18" s="453" t="s">
        <v>630</v>
      </c>
      <c r="K18" s="453" t="s">
        <v>631</v>
      </c>
      <c r="L18" s="453" t="s">
        <v>640</v>
      </c>
    </row>
    <row r="19">
      <c r="B19" s="3"/>
      <c r="H19" s="450" t="s">
        <v>655</v>
      </c>
      <c r="I19" s="451">
        <v>0.47753</v>
      </c>
      <c r="J19" s="451" t="s">
        <v>656</v>
      </c>
      <c r="K19" s="452" t="s">
        <v>657</v>
      </c>
      <c r="L19" s="451" t="s">
        <v>658</v>
      </c>
    </row>
    <row r="20">
      <c r="B20" s="3"/>
      <c r="H20" s="450" t="s">
        <v>659</v>
      </c>
      <c r="I20" s="451">
        <v>0.12893</v>
      </c>
      <c r="J20" s="451" t="s">
        <v>660</v>
      </c>
      <c r="K20" s="452">
        <v>0.13973</v>
      </c>
      <c r="L20" s="451" t="s">
        <v>661</v>
      </c>
    </row>
    <row r="21" ht="15.75" customHeight="1">
      <c r="B21" s="3"/>
      <c r="H21" s="450" t="s">
        <v>662</v>
      </c>
      <c r="I21" s="451">
        <v>0.15758</v>
      </c>
      <c r="J21" s="451" t="s">
        <v>663</v>
      </c>
      <c r="K21" s="452">
        <v>0.17078</v>
      </c>
      <c r="L21" s="451" t="s">
        <v>664</v>
      </c>
    </row>
    <row r="22" ht="15.75" customHeight="1">
      <c r="B22" s="3"/>
      <c r="H22" s="447" t="s">
        <v>665</v>
      </c>
      <c r="I22" s="448" t="s">
        <v>630</v>
      </c>
      <c r="J22" s="453" t="s">
        <v>630</v>
      </c>
      <c r="K22" s="453" t="s">
        <v>666</v>
      </c>
      <c r="L22" s="453" t="s">
        <v>632</v>
      </c>
    </row>
    <row r="23" ht="15.75" customHeight="1">
      <c r="B23" s="3"/>
      <c r="H23" s="450" t="s">
        <v>667</v>
      </c>
      <c r="I23" s="451">
        <v>0.62833</v>
      </c>
      <c r="J23" s="451" t="s">
        <v>668</v>
      </c>
      <c r="K23" s="452" t="s">
        <v>636</v>
      </c>
      <c r="L23" s="451" t="s">
        <v>669</v>
      </c>
    </row>
    <row r="24" ht="15.75" customHeight="1">
      <c r="B24" s="3"/>
      <c r="H24" s="447" t="s">
        <v>670</v>
      </c>
      <c r="I24" s="453" t="s">
        <v>630</v>
      </c>
      <c r="J24" s="453" t="s">
        <v>630</v>
      </c>
      <c r="K24" s="453" t="s">
        <v>666</v>
      </c>
      <c r="L24" s="453" t="s">
        <v>640</v>
      </c>
    </row>
    <row r="25" ht="15.75" customHeight="1">
      <c r="B25" s="3"/>
      <c r="H25" s="450" t="s">
        <v>671</v>
      </c>
      <c r="I25" s="451">
        <v>0.34559</v>
      </c>
      <c r="J25" s="451">
        <v>0.36059</v>
      </c>
      <c r="K25" s="452" t="s">
        <v>672</v>
      </c>
      <c r="L25" s="452" t="s">
        <v>673</v>
      </c>
    </row>
    <row r="26" ht="15.75" customHeight="1">
      <c r="B26" s="3"/>
      <c r="H26" s="450" t="s">
        <v>674</v>
      </c>
      <c r="I26" s="451">
        <v>0.377</v>
      </c>
      <c r="J26" s="451" t="s">
        <v>675</v>
      </c>
      <c r="K26" s="452" t="s">
        <v>676</v>
      </c>
      <c r="L26" s="451" t="s">
        <v>677</v>
      </c>
    </row>
    <row r="27" ht="15.75" customHeight="1">
      <c r="B27" s="3"/>
      <c r="H27" s="456" t="s">
        <v>678</v>
      </c>
    </row>
    <row r="28" ht="15.75" customHeight="1">
      <c r="B28" s="3"/>
      <c r="H28" s="457" t="s">
        <v>679</v>
      </c>
      <c r="I28" s="458" t="s">
        <v>630</v>
      </c>
      <c r="J28" s="459" t="s">
        <v>630</v>
      </c>
      <c r="K28" s="459" t="s">
        <v>666</v>
      </c>
      <c r="L28" s="459" t="s">
        <v>680</v>
      </c>
    </row>
    <row r="29" ht="15.75" customHeight="1">
      <c r="B29" s="3"/>
      <c r="H29" s="460" t="s">
        <v>681</v>
      </c>
      <c r="I29" s="461">
        <v>1.19806</v>
      </c>
      <c r="J29" s="461">
        <v>1.21303</v>
      </c>
      <c r="K29" s="461" t="s">
        <v>682</v>
      </c>
      <c r="L29" s="461">
        <v>1.25806</v>
      </c>
    </row>
    <row r="30" ht="15.75" customHeight="1">
      <c r="B30" s="3"/>
      <c r="H30" s="460" t="s">
        <v>683</v>
      </c>
      <c r="I30" s="461">
        <v>0.76971</v>
      </c>
      <c r="J30" s="461" t="s">
        <v>684</v>
      </c>
      <c r="K30" s="461">
        <v>0.80971</v>
      </c>
      <c r="L30" s="461" t="s">
        <v>685</v>
      </c>
    </row>
    <row r="31" ht="15.75" customHeight="1">
      <c r="B31" s="3"/>
      <c r="H31" s="460" t="s">
        <v>686</v>
      </c>
      <c r="I31" s="461">
        <v>0.51894</v>
      </c>
      <c r="J31" s="461" t="s">
        <v>687</v>
      </c>
      <c r="K31" s="461">
        <v>0.55894</v>
      </c>
      <c r="L31" s="461" t="s">
        <v>688</v>
      </c>
    </row>
    <row r="32" ht="15.75" customHeight="1">
      <c r="B32" s="3"/>
      <c r="H32" s="460" t="s">
        <v>689</v>
      </c>
      <c r="I32" s="461" t="s">
        <v>690</v>
      </c>
      <c r="J32" s="461" t="s">
        <v>691</v>
      </c>
      <c r="K32" s="461" t="s">
        <v>692</v>
      </c>
      <c r="L32" s="462">
        <v>1.01232</v>
      </c>
    </row>
    <row r="33" ht="15.75" customHeight="1">
      <c r="B33" s="3"/>
      <c r="H33" s="460" t="s">
        <v>693</v>
      </c>
      <c r="I33" s="461" t="s">
        <v>694</v>
      </c>
      <c r="J33" s="461" t="s">
        <v>695</v>
      </c>
      <c r="K33" s="462">
        <v>0.65006</v>
      </c>
      <c r="L33" s="462">
        <v>0.67006</v>
      </c>
    </row>
    <row r="34" ht="15.75" customHeight="1">
      <c r="B34" s="3"/>
      <c r="H34" s="460" t="s">
        <v>696</v>
      </c>
      <c r="I34" s="461" t="s">
        <v>697</v>
      </c>
      <c r="J34" s="462">
        <v>0.41776</v>
      </c>
      <c r="K34" s="461" t="s">
        <v>698</v>
      </c>
      <c r="L34" s="462">
        <v>0.46276</v>
      </c>
    </row>
    <row r="35" ht="15.75" customHeight="1">
      <c r="B35" s="3"/>
      <c r="H35" s="460" t="s">
        <v>699</v>
      </c>
      <c r="I35" s="463">
        <v>1.24205</v>
      </c>
      <c r="J35" s="463">
        <v>1.25705</v>
      </c>
      <c r="K35" s="463">
        <v>1.28205</v>
      </c>
      <c r="L35" s="463">
        <v>1.30205</v>
      </c>
    </row>
    <row r="36" ht="15.75" customHeight="1">
      <c r="B36" s="3"/>
      <c r="H36" s="460" t="s">
        <v>700</v>
      </c>
      <c r="I36" s="462">
        <v>0.7961</v>
      </c>
      <c r="J36" s="461" t="s">
        <v>701</v>
      </c>
      <c r="K36" s="462">
        <v>0.8361</v>
      </c>
      <c r="L36" s="461" t="s">
        <v>702</v>
      </c>
    </row>
    <row r="37" ht="15.75" customHeight="1">
      <c r="B37" s="3"/>
      <c r="H37" s="460" t="s">
        <v>703</v>
      </c>
      <c r="I37" s="461" t="s">
        <v>704</v>
      </c>
      <c r="J37" s="461" t="s">
        <v>705</v>
      </c>
      <c r="K37" s="461" t="s">
        <v>706</v>
      </c>
      <c r="L37" s="461" t="s">
        <v>707</v>
      </c>
    </row>
    <row r="38" ht="15.75" customHeight="1">
      <c r="B38" s="3"/>
      <c r="H38" s="464"/>
    </row>
    <row r="39" ht="15.75" customHeight="1">
      <c r="B39" s="3"/>
      <c r="H39" s="465" t="s">
        <v>708</v>
      </c>
    </row>
    <row r="40" ht="15.75" customHeight="1">
      <c r="B40" s="3"/>
      <c r="H40" s="465" t="s">
        <v>709</v>
      </c>
    </row>
    <row r="41" ht="15.75" customHeight="1">
      <c r="B41" s="3"/>
      <c r="H41" s="465" t="s">
        <v>710</v>
      </c>
    </row>
    <row r="42" ht="15.75" customHeight="1">
      <c r="B42" s="3"/>
      <c r="H42" s="465" t="s">
        <v>711</v>
      </c>
    </row>
    <row r="43" ht="15.75" customHeight="1">
      <c r="B43" s="3"/>
      <c r="H43" s="466" t="s">
        <v>712</v>
      </c>
    </row>
    <row r="44" ht="15.75" customHeight="1">
      <c r="B44" s="3"/>
      <c r="H44" s="467" t="s">
        <v>626</v>
      </c>
    </row>
    <row r="45" ht="15.75" customHeight="1">
      <c r="B45" s="3"/>
      <c r="H45" s="468" t="s">
        <v>713</v>
      </c>
    </row>
    <row r="46" ht="15.75" customHeight="1">
      <c r="B46" s="3"/>
      <c r="H46" s="469" t="s">
        <v>714</v>
      </c>
    </row>
    <row r="47" ht="15.75" customHeight="1">
      <c r="B47" s="3"/>
      <c r="H47" s="469" t="s">
        <v>715</v>
      </c>
    </row>
    <row r="48" ht="15.75" customHeight="1">
      <c r="B48" s="3"/>
      <c r="H48" s="470" t="s">
        <v>620</v>
      </c>
    </row>
    <row r="49" ht="15.75" customHeight="1">
      <c r="B49" s="3"/>
      <c r="H49" s="471"/>
    </row>
    <row r="50" ht="15.75" customHeight="1">
      <c r="B50" s="3"/>
      <c r="H50" s="446" t="s">
        <v>716</v>
      </c>
    </row>
    <row r="51" ht="15.75" customHeight="1">
      <c r="B51" s="3"/>
      <c r="H51" s="472" t="s">
        <v>717</v>
      </c>
      <c r="I51" s="473" t="s">
        <v>718</v>
      </c>
      <c r="J51" s="474" t="s">
        <v>719</v>
      </c>
      <c r="K51" s="474" t="s">
        <v>720</v>
      </c>
      <c r="L51" s="474" t="s">
        <v>721</v>
      </c>
      <c r="M51" s="474" t="s">
        <v>722</v>
      </c>
    </row>
    <row r="52" ht="15.75" customHeight="1">
      <c r="B52" s="3"/>
      <c r="H52" s="475" t="s">
        <v>723</v>
      </c>
      <c r="I52" s="473" t="s">
        <v>724</v>
      </c>
      <c r="J52" s="474" t="s">
        <v>626</v>
      </c>
      <c r="K52" s="474" t="s">
        <v>626</v>
      </c>
      <c r="L52" s="474" t="s">
        <v>626</v>
      </c>
      <c r="M52" s="476" t="s">
        <v>626</v>
      </c>
    </row>
    <row r="53" ht="15.75" customHeight="1">
      <c r="B53" s="3"/>
      <c r="H53" s="475" t="s">
        <v>725</v>
      </c>
      <c r="I53" s="473" t="s">
        <v>726</v>
      </c>
      <c r="J53" s="474" t="s">
        <v>626</v>
      </c>
      <c r="K53" s="474" t="s">
        <v>626</v>
      </c>
      <c r="L53" s="474" t="s">
        <v>626</v>
      </c>
      <c r="M53" s="476" t="s">
        <v>626</v>
      </c>
    </row>
    <row r="54" ht="15.75" customHeight="1">
      <c r="B54" s="3"/>
      <c r="H54" s="475" t="s">
        <v>727</v>
      </c>
      <c r="I54" s="473" t="s">
        <v>728</v>
      </c>
      <c r="J54" s="474" t="s">
        <v>626</v>
      </c>
      <c r="K54" s="474" t="s">
        <v>626</v>
      </c>
      <c r="L54" s="474" t="s">
        <v>626</v>
      </c>
      <c r="M54" s="476" t="s">
        <v>626</v>
      </c>
    </row>
    <row r="55" ht="15.75" customHeight="1">
      <c r="B55" s="3"/>
      <c r="H55" s="475" t="s">
        <v>729</v>
      </c>
      <c r="I55" s="474" t="s">
        <v>728</v>
      </c>
      <c r="J55" s="474" t="s">
        <v>626</v>
      </c>
      <c r="K55" s="474" t="s">
        <v>626</v>
      </c>
      <c r="L55" s="474" t="s">
        <v>626</v>
      </c>
      <c r="M55" s="476" t="s">
        <v>626</v>
      </c>
    </row>
    <row r="56" ht="15.75" customHeight="1">
      <c r="B56" s="3"/>
      <c r="H56" s="476" t="s">
        <v>730</v>
      </c>
      <c r="I56" s="474" t="s">
        <v>731</v>
      </c>
      <c r="J56" s="473">
        <v>0.0</v>
      </c>
      <c r="K56" s="474" t="s">
        <v>732</v>
      </c>
      <c r="L56" s="474" t="s">
        <v>733</v>
      </c>
      <c r="M56" s="477" t="s">
        <v>734</v>
      </c>
    </row>
    <row r="57" ht="15.75" customHeight="1">
      <c r="B57" s="3"/>
      <c r="H57" s="475" t="s">
        <v>735</v>
      </c>
      <c r="I57" s="474" t="s">
        <v>731</v>
      </c>
      <c r="J57" s="474" t="s">
        <v>732</v>
      </c>
      <c r="K57" s="474" t="s">
        <v>734</v>
      </c>
      <c r="L57" s="474" t="s">
        <v>733</v>
      </c>
      <c r="M57" s="477" t="s">
        <v>734</v>
      </c>
    </row>
    <row r="58" ht="15.75" customHeight="1">
      <c r="B58" s="3"/>
      <c r="H58" s="476" t="s">
        <v>736</v>
      </c>
      <c r="I58" s="474" t="s">
        <v>731</v>
      </c>
      <c r="J58" s="473" t="s">
        <v>737</v>
      </c>
      <c r="K58" s="474" t="s">
        <v>733</v>
      </c>
      <c r="L58" s="474" t="s">
        <v>733</v>
      </c>
      <c r="M58" s="478" t="s">
        <v>737</v>
      </c>
    </row>
    <row r="59" ht="15.75" customHeight="1">
      <c r="B59" s="3"/>
      <c r="H59" s="479" t="s">
        <v>738</v>
      </c>
      <c r="I59" s="474" t="s">
        <v>731</v>
      </c>
      <c r="J59" s="473" t="s">
        <v>737</v>
      </c>
      <c r="K59" s="473" t="s">
        <v>739</v>
      </c>
      <c r="L59" s="474" t="s">
        <v>733</v>
      </c>
      <c r="M59" s="477" t="s">
        <v>734</v>
      </c>
    </row>
    <row r="60" ht="15.75" customHeight="1">
      <c r="B60" s="3"/>
      <c r="H60" s="472" t="s">
        <v>740</v>
      </c>
      <c r="I60" s="473" t="s">
        <v>741</v>
      </c>
      <c r="J60" s="474" t="s">
        <v>742</v>
      </c>
      <c r="K60" s="474" t="s">
        <v>743</v>
      </c>
      <c r="L60" s="474" t="s">
        <v>744</v>
      </c>
      <c r="M60" s="477" t="s">
        <v>745</v>
      </c>
    </row>
    <row r="61" ht="15.75" customHeight="1">
      <c r="B61" s="3"/>
      <c r="H61" s="476" t="s">
        <v>746</v>
      </c>
      <c r="I61" s="474" t="s">
        <v>747</v>
      </c>
      <c r="J61" s="474" t="s">
        <v>626</v>
      </c>
      <c r="K61" s="474" t="s">
        <v>626</v>
      </c>
      <c r="L61" s="474" t="s">
        <v>626</v>
      </c>
      <c r="M61" s="477" t="s">
        <v>626</v>
      </c>
    </row>
    <row r="62" ht="15.75" customHeight="1">
      <c r="B62" s="3"/>
      <c r="H62" s="476" t="s">
        <v>748</v>
      </c>
      <c r="I62" s="473" t="s">
        <v>749</v>
      </c>
      <c r="J62" s="474" t="s">
        <v>626</v>
      </c>
      <c r="K62" s="474" t="s">
        <v>626</v>
      </c>
      <c r="L62" s="474" t="s">
        <v>626</v>
      </c>
      <c r="M62" s="477" t="s">
        <v>626</v>
      </c>
    </row>
    <row r="63" ht="15.75" customHeight="1">
      <c r="B63" s="3"/>
      <c r="H63" s="476" t="s">
        <v>750</v>
      </c>
      <c r="I63" s="473" t="s">
        <v>751</v>
      </c>
      <c r="J63" s="474" t="s">
        <v>626</v>
      </c>
      <c r="K63" s="474" t="s">
        <v>626</v>
      </c>
      <c r="L63" s="474" t="s">
        <v>626</v>
      </c>
      <c r="M63" s="477" t="s">
        <v>626</v>
      </c>
    </row>
    <row r="64" ht="15.75" customHeight="1">
      <c r="B64" s="3"/>
      <c r="H64" s="476" t="s">
        <v>752</v>
      </c>
      <c r="I64" s="473" t="s">
        <v>753</v>
      </c>
      <c r="J64" s="474" t="s">
        <v>626</v>
      </c>
      <c r="K64" s="474" t="s">
        <v>626</v>
      </c>
      <c r="L64" s="474" t="s">
        <v>626</v>
      </c>
      <c r="M64" s="477" t="s">
        <v>626</v>
      </c>
    </row>
    <row r="65" ht="15.75" customHeight="1">
      <c r="B65" s="3"/>
      <c r="H65" s="476" t="s">
        <v>730</v>
      </c>
      <c r="I65" s="474"/>
      <c r="J65" s="474" t="s">
        <v>754</v>
      </c>
      <c r="K65" s="474" t="s">
        <v>755</v>
      </c>
      <c r="L65" s="474" t="s">
        <v>756</v>
      </c>
      <c r="M65" s="477" t="s">
        <v>757</v>
      </c>
    </row>
    <row r="66" ht="15.75" customHeight="1">
      <c r="B66" s="3"/>
      <c r="H66" s="476" t="s">
        <v>758</v>
      </c>
      <c r="I66" s="474" t="s">
        <v>626</v>
      </c>
      <c r="J66" s="474" t="s">
        <v>754</v>
      </c>
      <c r="K66" s="474" t="s">
        <v>755</v>
      </c>
      <c r="L66" s="473" t="s">
        <v>759</v>
      </c>
      <c r="M66" s="477" t="s">
        <v>757</v>
      </c>
    </row>
    <row r="67" ht="15.75" customHeight="1">
      <c r="B67" s="3"/>
      <c r="H67" s="476" t="s">
        <v>760</v>
      </c>
      <c r="I67" s="474" t="s">
        <v>626</v>
      </c>
      <c r="J67" s="474" t="s">
        <v>761</v>
      </c>
      <c r="K67" s="474" t="s">
        <v>762</v>
      </c>
      <c r="L67" s="473" t="s">
        <v>763</v>
      </c>
      <c r="M67" s="477" t="s">
        <v>764</v>
      </c>
    </row>
    <row r="68" ht="15.75" customHeight="1">
      <c r="B68" s="3"/>
      <c r="H68" s="476" t="s">
        <v>765</v>
      </c>
      <c r="I68" s="474" t="s">
        <v>626</v>
      </c>
      <c r="J68" s="474" t="s">
        <v>761</v>
      </c>
      <c r="K68" s="474" t="s">
        <v>762</v>
      </c>
      <c r="L68" s="474" t="s">
        <v>766</v>
      </c>
      <c r="M68" s="477" t="s">
        <v>767</v>
      </c>
    </row>
    <row r="69" ht="15.75" customHeight="1">
      <c r="B69" s="3"/>
      <c r="H69" s="476" t="s">
        <v>768</v>
      </c>
      <c r="I69" s="480" t="s">
        <v>769</v>
      </c>
      <c r="J69" s="481" t="s">
        <v>630</v>
      </c>
      <c r="K69" s="482" t="s">
        <v>770</v>
      </c>
      <c r="L69" s="481" t="s">
        <v>771</v>
      </c>
      <c r="M69" s="482" t="s">
        <v>745</v>
      </c>
    </row>
    <row r="70" ht="15.75" customHeight="1">
      <c r="B70" s="3"/>
      <c r="H70" s="483" t="s">
        <v>772</v>
      </c>
      <c r="I70" s="484" t="s">
        <v>773</v>
      </c>
      <c r="J70" s="485" t="s">
        <v>626</v>
      </c>
      <c r="K70" s="485" t="s">
        <v>626</v>
      </c>
      <c r="L70" s="485" t="s">
        <v>626</v>
      </c>
      <c r="M70" s="485" t="s">
        <v>626</v>
      </c>
    </row>
    <row r="71" ht="15.75" customHeight="1">
      <c r="B71" s="3"/>
      <c r="H71" s="486" t="s">
        <v>774</v>
      </c>
      <c r="I71" s="484">
        <v>6.68</v>
      </c>
      <c r="J71" s="485" t="s">
        <v>626</v>
      </c>
      <c r="K71" s="485" t="s">
        <v>626</v>
      </c>
      <c r="L71" s="485" t="s">
        <v>626</v>
      </c>
      <c r="M71" s="485" t="s">
        <v>626</v>
      </c>
    </row>
    <row r="72" ht="15.75" customHeight="1">
      <c r="B72" s="3"/>
      <c r="H72" s="486" t="s">
        <v>775</v>
      </c>
      <c r="I72" s="484" t="s">
        <v>776</v>
      </c>
      <c r="J72" s="485" t="s">
        <v>626</v>
      </c>
      <c r="K72" s="485" t="s">
        <v>626</v>
      </c>
      <c r="L72" s="485" t="s">
        <v>626</v>
      </c>
      <c r="M72" s="485" t="s">
        <v>626</v>
      </c>
    </row>
    <row r="73" ht="15.75" customHeight="1">
      <c r="B73" s="3"/>
      <c r="H73" s="486" t="s">
        <v>750</v>
      </c>
      <c r="I73" s="484" t="s">
        <v>777</v>
      </c>
      <c r="J73" s="485" t="s">
        <v>626</v>
      </c>
      <c r="K73" s="485" t="s">
        <v>626</v>
      </c>
      <c r="L73" s="485" t="s">
        <v>626</v>
      </c>
      <c r="M73" s="485" t="s">
        <v>626</v>
      </c>
    </row>
    <row r="74" ht="15.75" customHeight="1">
      <c r="B74" s="3"/>
      <c r="H74" s="486" t="s">
        <v>778</v>
      </c>
      <c r="I74" s="485" t="s">
        <v>626</v>
      </c>
      <c r="J74" s="484">
        <v>0.52219</v>
      </c>
      <c r="K74" s="484">
        <v>0.53719</v>
      </c>
      <c r="L74" s="484" t="s">
        <v>779</v>
      </c>
      <c r="M74" s="484">
        <v>0.58219</v>
      </c>
    </row>
    <row r="75" ht="15.75" customHeight="1">
      <c r="B75" s="3"/>
      <c r="H75" s="486" t="s">
        <v>780</v>
      </c>
      <c r="I75" s="485" t="s">
        <v>626</v>
      </c>
      <c r="J75" s="484" t="s">
        <v>781</v>
      </c>
      <c r="K75" s="484">
        <v>53719.0</v>
      </c>
      <c r="L75" s="484">
        <v>0.56219</v>
      </c>
      <c r="M75" s="484" t="s">
        <v>782</v>
      </c>
    </row>
    <row r="76" ht="15.75" customHeight="1">
      <c r="B76" s="3"/>
      <c r="H76" s="486" t="s">
        <v>783</v>
      </c>
      <c r="I76" s="485" t="s">
        <v>626</v>
      </c>
      <c r="J76" s="484" t="s">
        <v>784</v>
      </c>
      <c r="K76" s="484" t="s">
        <v>785</v>
      </c>
      <c r="L76" s="484" t="s">
        <v>786</v>
      </c>
      <c r="M76" s="484" t="s">
        <v>787</v>
      </c>
    </row>
    <row r="77" ht="15.75" customHeight="1">
      <c r="B77" s="3"/>
      <c r="H77" s="486" t="s">
        <v>788</v>
      </c>
      <c r="I77" s="484" t="s">
        <v>626</v>
      </c>
      <c r="J77" s="484" t="s">
        <v>784</v>
      </c>
      <c r="K77" s="484" t="s">
        <v>785</v>
      </c>
      <c r="L77" s="484" t="s">
        <v>786</v>
      </c>
      <c r="M77" s="487" t="s">
        <v>787</v>
      </c>
    </row>
    <row r="78" ht="15.75" customHeight="1">
      <c r="B78" s="3"/>
      <c r="H78" s="488" t="s">
        <v>789</v>
      </c>
      <c r="I78" s="480" t="s">
        <v>769</v>
      </c>
      <c r="J78" s="482" t="s">
        <v>790</v>
      </c>
      <c r="K78" s="482" t="s">
        <v>791</v>
      </c>
      <c r="L78" s="481" t="s">
        <v>792</v>
      </c>
      <c r="M78" s="482" t="s">
        <v>793</v>
      </c>
    </row>
    <row r="79" ht="15.75" customHeight="1">
      <c r="B79" s="3"/>
      <c r="H79" s="483" t="s">
        <v>772</v>
      </c>
      <c r="I79" s="484">
        <v>43.85</v>
      </c>
      <c r="J79" s="485"/>
      <c r="K79" s="485" t="s">
        <v>626</v>
      </c>
      <c r="L79" s="485" t="s">
        <v>626</v>
      </c>
      <c r="M79" s="485" t="s">
        <v>626</v>
      </c>
    </row>
    <row r="80" ht="15.75" customHeight="1">
      <c r="B80" s="3"/>
      <c r="H80" s="486" t="s">
        <v>748</v>
      </c>
      <c r="I80" s="484">
        <v>13.95</v>
      </c>
      <c r="J80" s="485" t="s">
        <v>626</v>
      </c>
      <c r="K80" s="485" t="s">
        <v>626</v>
      </c>
      <c r="L80" s="485" t="s">
        <v>626</v>
      </c>
      <c r="M80" s="485" t="s">
        <v>626</v>
      </c>
    </row>
    <row r="81" ht="15.75" customHeight="1">
      <c r="B81" s="3"/>
      <c r="H81" s="486" t="s">
        <v>794</v>
      </c>
      <c r="I81" s="484">
        <v>87.7</v>
      </c>
      <c r="J81" s="485" t="s">
        <v>626</v>
      </c>
      <c r="K81" s="485" t="s">
        <v>626</v>
      </c>
      <c r="L81" s="485" t="s">
        <v>626</v>
      </c>
      <c r="M81" s="485" t="s">
        <v>626</v>
      </c>
    </row>
    <row r="82" ht="15.75" customHeight="1">
      <c r="B82" s="3"/>
      <c r="H82" s="486" t="s">
        <v>750</v>
      </c>
      <c r="I82" s="484">
        <v>27.9</v>
      </c>
      <c r="J82" s="485" t="s">
        <v>626</v>
      </c>
      <c r="K82" s="485" t="s">
        <v>626</v>
      </c>
      <c r="L82" s="485" t="s">
        <v>626</v>
      </c>
      <c r="M82" s="485" t="s">
        <v>626</v>
      </c>
    </row>
    <row r="83" ht="15.75" customHeight="1">
      <c r="B83" s="3"/>
      <c r="H83" s="486" t="s">
        <v>730</v>
      </c>
      <c r="I83" s="485" t="s">
        <v>626</v>
      </c>
      <c r="J83" s="484">
        <v>0.53425</v>
      </c>
      <c r="K83" s="484">
        <v>0.54925</v>
      </c>
      <c r="L83" s="484" t="s">
        <v>795</v>
      </c>
      <c r="M83" s="484" t="s">
        <v>796</v>
      </c>
    </row>
    <row r="84" ht="15.75" customHeight="1">
      <c r="B84" s="3"/>
      <c r="H84" s="486" t="s">
        <v>780</v>
      </c>
      <c r="I84" s="485" t="s">
        <v>626</v>
      </c>
      <c r="J84" s="484">
        <v>0.53425</v>
      </c>
      <c r="K84" s="484" t="s">
        <v>797</v>
      </c>
      <c r="L84" s="484" t="s">
        <v>795</v>
      </c>
      <c r="M84" s="484" t="s">
        <v>796</v>
      </c>
    </row>
    <row r="85" ht="15.75" customHeight="1">
      <c r="B85" s="3"/>
      <c r="H85" s="486" t="s">
        <v>783</v>
      </c>
      <c r="I85" s="484" t="s">
        <v>626</v>
      </c>
      <c r="J85" s="484" t="s">
        <v>798</v>
      </c>
      <c r="K85" s="484" t="s">
        <v>799</v>
      </c>
      <c r="L85" s="484">
        <v>0.39666</v>
      </c>
      <c r="M85" s="484" t="s">
        <v>800</v>
      </c>
    </row>
    <row r="86" ht="15.75" customHeight="1">
      <c r="B86" s="3"/>
      <c r="H86" s="486" t="s">
        <v>765</v>
      </c>
      <c r="I86" s="485" t="s">
        <v>626</v>
      </c>
      <c r="J86" s="484" t="s">
        <v>798</v>
      </c>
      <c r="K86" s="484" t="s">
        <v>799</v>
      </c>
      <c r="L86" s="484" t="s">
        <v>801</v>
      </c>
      <c r="M86" s="487" t="s">
        <v>800</v>
      </c>
    </row>
    <row r="87" ht="15.75" customHeight="1">
      <c r="B87" s="3"/>
      <c r="H87" s="489" t="s">
        <v>802</v>
      </c>
      <c r="I87" s="480" t="s">
        <v>803</v>
      </c>
      <c r="J87" s="481" t="s">
        <v>790</v>
      </c>
      <c r="K87" s="481" t="s">
        <v>790</v>
      </c>
      <c r="L87" s="481" t="s">
        <v>792</v>
      </c>
      <c r="M87" s="482" t="s">
        <v>804</v>
      </c>
    </row>
    <row r="88" ht="15.75" customHeight="1">
      <c r="B88" s="3"/>
      <c r="H88" s="483" t="s">
        <v>772</v>
      </c>
      <c r="I88" s="484" t="s">
        <v>805</v>
      </c>
      <c r="J88" s="485" t="s">
        <v>626</v>
      </c>
      <c r="K88" s="485" t="s">
        <v>626</v>
      </c>
      <c r="L88" s="485" t="s">
        <v>626</v>
      </c>
      <c r="M88" s="485" t="s">
        <v>626</v>
      </c>
    </row>
    <row r="89" ht="15.75" customHeight="1">
      <c r="B89" s="3"/>
      <c r="H89" s="486" t="s">
        <v>748</v>
      </c>
      <c r="I89" s="484" t="s">
        <v>806</v>
      </c>
      <c r="J89" s="485"/>
      <c r="K89" s="485" t="s">
        <v>626</v>
      </c>
      <c r="L89" s="485" t="s">
        <v>626</v>
      </c>
      <c r="M89" s="485" t="s">
        <v>626</v>
      </c>
    </row>
    <row r="90" ht="15.75" customHeight="1">
      <c r="B90" s="3"/>
      <c r="H90" s="486" t="s">
        <v>794</v>
      </c>
      <c r="I90" s="484">
        <v>87.7</v>
      </c>
      <c r="J90" s="485" t="s">
        <v>626</v>
      </c>
      <c r="K90" s="485" t="s">
        <v>626</v>
      </c>
      <c r="L90" s="485" t="s">
        <v>626</v>
      </c>
      <c r="M90" s="485" t="s">
        <v>626</v>
      </c>
    </row>
    <row r="91" ht="15.75" customHeight="1">
      <c r="B91" s="3"/>
      <c r="H91" s="486" t="s">
        <v>752</v>
      </c>
      <c r="I91" s="484">
        <v>27.9</v>
      </c>
      <c r="J91" s="485" t="s">
        <v>626</v>
      </c>
      <c r="K91" s="485" t="s">
        <v>626</v>
      </c>
      <c r="L91" s="485" t="s">
        <v>626</v>
      </c>
      <c r="M91" s="485" t="s">
        <v>626</v>
      </c>
    </row>
    <row r="92" ht="15.75" customHeight="1">
      <c r="B92" s="3"/>
      <c r="H92" s="486" t="s">
        <v>807</v>
      </c>
      <c r="I92" s="485" t="s">
        <v>626</v>
      </c>
      <c r="J92" s="484" t="s">
        <v>808</v>
      </c>
      <c r="K92" s="484">
        <v>0.54925</v>
      </c>
      <c r="L92" s="484">
        <v>0.57425</v>
      </c>
      <c r="M92" s="484" t="s">
        <v>796</v>
      </c>
    </row>
    <row r="93" ht="15.75" customHeight="1">
      <c r="B93" s="3"/>
      <c r="H93" s="486" t="s">
        <v>758</v>
      </c>
      <c r="I93" s="484" t="s">
        <v>626</v>
      </c>
      <c r="J93" s="484" t="s">
        <v>808</v>
      </c>
      <c r="K93" s="484">
        <v>0.54925</v>
      </c>
      <c r="L93" s="484" t="s">
        <v>809</v>
      </c>
      <c r="M93" s="484" t="s">
        <v>796</v>
      </c>
    </row>
    <row r="94" ht="15.75" customHeight="1">
      <c r="B94" s="3"/>
      <c r="H94" s="486" t="s">
        <v>783</v>
      </c>
      <c r="I94" s="485" t="s">
        <v>626</v>
      </c>
      <c r="J94" s="484" t="s">
        <v>798</v>
      </c>
      <c r="K94" s="484" t="s">
        <v>799</v>
      </c>
      <c r="L94" s="484">
        <v>0.39666</v>
      </c>
      <c r="M94" s="484" t="s">
        <v>800</v>
      </c>
    </row>
    <row r="95" ht="15.75" customHeight="1">
      <c r="B95" s="3"/>
      <c r="H95" s="486" t="s">
        <v>765</v>
      </c>
      <c r="I95" s="484" t="s">
        <v>626</v>
      </c>
      <c r="J95" s="484" t="s">
        <v>798</v>
      </c>
      <c r="K95" s="484" t="s">
        <v>799</v>
      </c>
      <c r="L95" s="484" t="s">
        <v>801</v>
      </c>
      <c r="M95" s="487" t="s">
        <v>810</v>
      </c>
    </row>
    <row r="96" ht="15.75" customHeight="1">
      <c r="B96" s="3"/>
      <c r="H96" s="475" t="s">
        <v>811</v>
      </c>
      <c r="I96" s="480" t="s">
        <v>812</v>
      </c>
      <c r="J96" s="481" t="s">
        <v>791</v>
      </c>
      <c r="K96" s="481" t="s">
        <v>791</v>
      </c>
      <c r="L96" s="481" t="s">
        <v>666</v>
      </c>
      <c r="M96" s="482" t="s">
        <v>793</v>
      </c>
    </row>
    <row r="97" ht="15.75" customHeight="1">
      <c r="B97" s="3"/>
      <c r="H97" s="483" t="s">
        <v>772</v>
      </c>
      <c r="I97" s="484" t="s">
        <v>813</v>
      </c>
      <c r="J97" s="485" t="s">
        <v>626</v>
      </c>
      <c r="K97" s="485" t="s">
        <v>626</v>
      </c>
      <c r="L97" s="485" t="s">
        <v>626</v>
      </c>
      <c r="M97" s="485" t="s">
        <v>626</v>
      </c>
    </row>
    <row r="98" ht="15.75" customHeight="1">
      <c r="B98" s="3"/>
      <c r="H98" s="486" t="s">
        <v>748</v>
      </c>
      <c r="I98" s="484">
        <v>13.75</v>
      </c>
      <c r="J98" s="485"/>
      <c r="K98" s="485" t="s">
        <v>626</v>
      </c>
      <c r="L98" s="485" t="s">
        <v>626</v>
      </c>
      <c r="M98" s="485" t="s">
        <v>626</v>
      </c>
    </row>
    <row r="99" ht="15.75" customHeight="1">
      <c r="B99" s="3"/>
      <c r="H99" s="486" t="s">
        <v>794</v>
      </c>
      <c r="I99" s="484">
        <v>141.66</v>
      </c>
      <c r="J99" s="485" t="s">
        <v>626</v>
      </c>
      <c r="K99" s="485" t="s">
        <v>626</v>
      </c>
      <c r="L99" s="485" t="s">
        <v>626</v>
      </c>
      <c r="M99" s="485" t="s">
        <v>626</v>
      </c>
    </row>
    <row r="100" ht="15.75" customHeight="1">
      <c r="B100" s="3"/>
      <c r="H100" s="486" t="s">
        <v>775</v>
      </c>
      <c r="I100" s="484">
        <v>27.5</v>
      </c>
      <c r="J100" s="485" t="s">
        <v>626</v>
      </c>
      <c r="K100" s="485" t="s">
        <v>626</v>
      </c>
      <c r="L100" s="485" t="s">
        <v>626</v>
      </c>
      <c r="M100" s="485" t="s">
        <v>626</v>
      </c>
    </row>
    <row r="101" ht="15.75" customHeight="1">
      <c r="B101" s="3"/>
      <c r="H101" s="486" t="s">
        <v>807</v>
      </c>
      <c r="I101" s="485" t="s">
        <v>626</v>
      </c>
      <c r="J101" s="484" t="s">
        <v>814</v>
      </c>
      <c r="K101" s="484" t="s">
        <v>815</v>
      </c>
      <c r="L101" s="484" t="s">
        <v>816</v>
      </c>
      <c r="M101" s="484" t="s">
        <v>817</v>
      </c>
    </row>
    <row r="102" ht="15.75" customHeight="1">
      <c r="B102" s="3"/>
      <c r="H102" s="486" t="s">
        <v>780</v>
      </c>
      <c r="I102" s="485" t="s">
        <v>626</v>
      </c>
      <c r="J102" s="484" t="s">
        <v>818</v>
      </c>
      <c r="K102" s="484" t="s">
        <v>815</v>
      </c>
      <c r="L102" s="484">
        <v>0.61179</v>
      </c>
      <c r="M102" s="484" t="s">
        <v>817</v>
      </c>
    </row>
    <row r="103" ht="15.75" customHeight="1">
      <c r="B103" s="3"/>
      <c r="H103" s="486" t="s">
        <v>783</v>
      </c>
      <c r="I103" s="484" t="s">
        <v>626</v>
      </c>
      <c r="J103" s="484" t="s">
        <v>819</v>
      </c>
      <c r="K103" s="484" t="s">
        <v>820</v>
      </c>
      <c r="L103" s="484" t="s">
        <v>821</v>
      </c>
      <c r="M103" s="484" t="s">
        <v>822</v>
      </c>
    </row>
    <row r="104" ht="15.75" customHeight="1">
      <c r="B104" s="3"/>
      <c r="H104" s="486" t="s">
        <v>823</v>
      </c>
      <c r="I104" s="480" t="s">
        <v>626</v>
      </c>
      <c r="J104" s="487" t="s">
        <v>819</v>
      </c>
      <c r="K104" s="484" t="s">
        <v>820</v>
      </c>
      <c r="L104" s="484" t="s">
        <v>821</v>
      </c>
      <c r="M104" s="487" t="s">
        <v>822</v>
      </c>
    </row>
    <row r="105" ht="15.75" customHeight="1">
      <c r="B105" s="3"/>
      <c r="H105" s="446" t="s">
        <v>824</v>
      </c>
    </row>
    <row r="106" ht="15.75" customHeight="1">
      <c r="B106" s="3"/>
      <c r="H106" s="490" t="s">
        <v>825</v>
      </c>
      <c r="I106" s="491" t="s">
        <v>812</v>
      </c>
      <c r="J106" s="492" t="s">
        <v>791</v>
      </c>
      <c r="K106" s="492" t="s">
        <v>826</v>
      </c>
      <c r="L106" s="492" t="s">
        <v>666</v>
      </c>
      <c r="M106" s="493" t="s">
        <v>827</v>
      </c>
    </row>
    <row r="107" ht="15.75" customHeight="1">
      <c r="B107" s="3"/>
      <c r="H107" s="494" t="s">
        <v>828</v>
      </c>
      <c r="I107" s="484">
        <v>13.95</v>
      </c>
      <c r="J107" s="485" t="s">
        <v>626</v>
      </c>
      <c r="K107" s="485" t="s">
        <v>626</v>
      </c>
      <c r="L107" s="485" t="s">
        <v>626</v>
      </c>
      <c r="M107" s="485" t="s">
        <v>626</v>
      </c>
    </row>
    <row r="108" ht="15.75" customHeight="1">
      <c r="B108" s="3"/>
      <c r="H108" s="494" t="s">
        <v>752</v>
      </c>
      <c r="I108" s="484">
        <v>27.9</v>
      </c>
      <c r="J108" s="485" t="s">
        <v>626</v>
      </c>
      <c r="K108" s="485" t="s">
        <v>626</v>
      </c>
      <c r="L108" s="485" t="s">
        <v>626</v>
      </c>
      <c r="M108" s="485" t="s">
        <v>626</v>
      </c>
    </row>
    <row r="109" ht="15.75" customHeight="1">
      <c r="B109" s="3"/>
      <c r="H109" s="494" t="s">
        <v>778</v>
      </c>
      <c r="I109" s="485" t="s">
        <v>626</v>
      </c>
      <c r="J109" s="484">
        <v>1.59969</v>
      </c>
      <c r="K109" s="484" t="s">
        <v>829</v>
      </c>
      <c r="L109" s="484">
        <v>1.63969</v>
      </c>
      <c r="M109" s="484">
        <v>1.65969</v>
      </c>
    </row>
    <row r="110" ht="15.75" customHeight="1">
      <c r="B110" s="3"/>
      <c r="H110" s="494" t="s">
        <v>758</v>
      </c>
      <c r="I110" s="495" t="s">
        <v>626</v>
      </c>
      <c r="J110" s="484" t="s">
        <v>830</v>
      </c>
      <c r="K110" s="484" t="s">
        <v>829</v>
      </c>
      <c r="L110" s="484" t="s">
        <v>831</v>
      </c>
      <c r="M110" s="487" t="s">
        <v>832</v>
      </c>
    </row>
    <row r="111" ht="15.75" customHeight="1">
      <c r="B111" s="3"/>
      <c r="H111" s="494" t="s">
        <v>783</v>
      </c>
      <c r="I111" s="495" t="s">
        <v>626</v>
      </c>
      <c r="J111" s="484" t="s">
        <v>798</v>
      </c>
      <c r="K111" s="484" t="s">
        <v>799</v>
      </c>
      <c r="L111" s="484" t="s">
        <v>801</v>
      </c>
      <c r="M111" s="487" t="s">
        <v>800</v>
      </c>
    </row>
    <row r="112" ht="15.75" customHeight="1">
      <c r="B112" s="3"/>
      <c r="H112" s="485" t="s">
        <v>765</v>
      </c>
      <c r="I112" s="485" t="s">
        <v>626</v>
      </c>
      <c r="J112" s="484" t="s">
        <v>833</v>
      </c>
      <c r="K112" s="484" t="s">
        <v>799</v>
      </c>
      <c r="L112" s="484" t="s">
        <v>801</v>
      </c>
      <c r="M112" s="487" t="s">
        <v>810</v>
      </c>
    </row>
    <row r="113" ht="15.75" customHeight="1">
      <c r="B113" s="3"/>
      <c r="H113" s="496" t="s">
        <v>834</v>
      </c>
      <c r="I113" s="491" t="s">
        <v>812</v>
      </c>
      <c r="J113" s="492" t="s">
        <v>835</v>
      </c>
      <c r="K113" s="492" t="s">
        <v>791</v>
      </c>
      <c r="L113" s="492" t="s">
        <v>666</v>
      </c>
      <c r="M113" s="493" t="s">
        <v>827</v>
      </c>
    </row>
    <row r="114" ht="15.75" customHeight="1">
      <c r="B114" s="3"/>
      <c r="H114" s="485" t="s">
        <v>836</v>
      </c>
      <c r="I114" s="484">
        <v>13.95</v>
      </c>
      <c r="J114" s="485" t="s">
        <v>626</v>
      </c>
      <c r="K114" s="485" t="s">
        <v>626</v>
      </c>
      <c r="L114" s="485" t="s">
        <v>626</v>
      </c>
      <c r="M114" s="485" t="s">
        <v>626</v>
      </c>
    </row>
    <row r="115" ht="15.75" customHeight="1">
      <c r="B115" s="3"/>
      <c r="H115" s="494" t="s">
        <v>752</v>
      </c>
      <c r="I115" s="487">
        <v>27.9</v>
      </c>
      <c r="J115" s="495" t="s">
        <v>626</v>
      </c>
      <c r="K115" s="495" t="s">
        <v>626</v>
      </c>
      <c r="L115" s="495" t="s">
        <v>626</v>
      </c>
      <c r="M115" s="495" t="s">
        <v>626</v>
      </c>
    </row>
    <row r="116" ht="15.75" customHeight="1">
      <c r="B116" s="3"/>
      <c r="H116" s="494" t="s">
        <v>778</v>
      </c>
      <c r="I116" s="485" t="s">
        <v>626</v>
      </c>
      <c r="J116" s="484" t="s">
        <v>830</v>
      </c>
      <c r="K116" s="484" t="s">
        <v>829</v>
      </c>
      <c r="L116" s="484">
        <v>1.63969</v>
      </c>
      <c r="M116" s="484">
        <v>1.65969</v>
      </c>
    </row>
    <row r="117" ht="15.75" customHeight="1">
      <c r="B117" s="3"/>
      <c r="H117" s="485" t="s">
        <v>780</v>
      </c>
      <c r="I117" s="485" t="s">
        <v>626</v>
      </c>
      <c r="J117" s="484" t="s">
        <v>830</v>
      </c>
      <c r="K117" s="484" t="s">
        <v>837</v>
      </c>
      <c r="L117" s="484">
        <v>1.63969</v>
      </c>
      <c r="M117" s="487" t="s">
        <v>832</v>
      </c>
    </row>
    <row r="118" ht="15.75" customHeight="1">
      <c r="B118" s="3"/>
      <c r="H118" s="494" t="s">
        <v>760</v>
      </c>
      <c r="I118" s="495" t="s">
        <v>626</v>
      </c>
      <c r="J118" s="487" t="s">
        <v>798</v>
      </c>
      <c r="K118" s="484" t="s">
        <v>799</v>
      </c>
      <c r="L118" s="484" t="s">
        <v>801</v>
      </c>
      <c r="M118" s="487" t="s">
        <v>800</v>
      </c>
    </row>
    <row r="119" ht="15.75" customHeight="1">
      <c r="B119" s="3"/>
      <c r="H119" s="494" t="s">
        <v>765</v>
      </c>
      <c r="I119" s="485" t="s">
        <v>626</v>
      </c>
      <c r="J119" s="484" t="s">
        <v>833</v>
      </c>
      <c r="K119" s="484" t="s">
        <v>799</v>
      </c>
      <c r="L119" s="484" t="s">
        <v>801</v>
      </c>
      <c r="M119" s="487" t="s">
        <v>800</v>
      </c>
    </row>
    <row r="120" ht="15.75" customHeight="1">
      <c r="B120" s="3"/>
      <c r="H120" s="490" t="s">
        <v>838</v>
      </c>
      <c r="I120" s="491" t="s">
        <v>812</v>
      </c>
      <c r="J120" s="492" t="s">
        <v>839</v>
      </c>
      <c r="K120" s="492" t="s">
        <v>791</v>
      </c>
      <c r="L120" s="492" t="s">
        <v>666</v>
      </c>
      <c r="M120" s="493" t="s">
        <v>827</v>
      </c>
    </row>
    <row r="121" ht="15.75" customHeight="1">
      <c r="B121" s="3"/>
      <c r="H121" s="494" t="s">
        <v>836</v>
      </c>
      <c r="I121" s="484">
        <v>13.75</v>
      </c>
      <c r="J121" s="485" t="s">
        <v>626</v>
      </c>
      <c r="K121" s="485" t="s">
        <v>626</v>
      </c>
      <c r="L121" s="485" t="s">
        <v>626</v>
      </c>
      <c r="M121" s="485" t="s">
        <v>626</v>
      </c>
    </row>
    <row r="122" ht="15.75" customHeight="1">
      <c r="B122" s="3"/>
      <c r="H122" s="494" t="s">
        <v>752</v>
      </c>
      <c r="I122" s="497">
        <v>27.5</v>
      </c>
      <c r="J122" s="495" t="s">
        <v>626</v>
      </c>
      <c r="K122" s="495" t="s">
        <v>626</v>
      </c>
      <c r="L122" s="495" t="s">
        <v>626</v>
      </c>
      <c r="M122" s="495" t="s">
        <v>626</v>
      </c>
    </row>
    <row r="123" ht="15.75" customHeight="1">
      <c r="B123" s="3"/>
      <c r="H123" s="494" t="s">
        <v>778</v>
      </c>
      <c r="I123" s="485" t="s">
        <v>626</v>
      </c>
      <c r="J123" s="484">
        <v>2.29256</v>
      </c>
      <c r="K123" s="484">
        <v>2.30756</v>
      </c>
      <c r="L123" s="484">
        <v>2.33256</v>
      </c>
      <c r="M123" s="484">
        <v>2.35256</v>
      </c>
    </row>
    <row r="124" ht="15.75" customHeight="1">
      <c r="B124" s="3"/>
      <c r="H124" s="485" t="s">
        <v>758</v>
      </c>
      <c r="I124" s="485" t="s">
        <v>626</v>
      </c>
      <c r="J124" s="484">
        <v>2.29256</v>
      </c>
      <c r="K124" s="484" t="s">
        <v>840</v>
      </c>
      <c r="L124" s="484">
        <v>2.33256</v>
      </c>
      <c r="M124" s="487">
        <v>2.35256</v>
      </c>
    </row>
    <row r="125" ht="15.75" customHeight="1">
      <c r="B125" s="3"/>
      <c r="H125" s="494" t="s">
        <v>736</v>
      </c>
      <c r="I125" s="485" t="s">
        <v>626</v>
      </c>
      <c r="J125" s="484" t="s">
        <v>819</v>
      </c>
      <c r="K125" s="484" t="s">
        <v>820</v>
      </c>
      <c r="L125" s="484" t="s">
        <v>821</v>
      </c>
      <c r="M125" s="487" t="s">
        <v>822</v>
      </c>
    </row>
    <row r="126" ht="15.75" customHeight="1">
      <c r="B126" s="3"/>
      <c r="H126" s="480" t="s">
        <v>841</v>
      </c>
      <c r="I126" s="480" t="s">
        <v>626</v>
      </c>
      <c r="J126" s="487" t="s">
        <v>819</v>
      </c>
      <c r="K126" s="484" t="s">
        <v>842</v>
      </c>
      <c r="L126" s="484" t="s">
        <v>821</v>
      </c>
      <c r="M126" s="487" t="s">
        <v>843</v>
      </c>
    </row>
    <row r="127" ht="15.75" customHeight="1">
      <c r="B127" s="3"/>
      <c r="H127" s="498" t="s">
        <v>708</v>
      </c>
    </row>
    <row r="128" ht="15.75" customHeight="1">
      <c r="B128" s="3"/>
      <c r="H128" s="471" t="s">
        <v>711</v>
      </c>
    </row>
    <row r="129" ht="15.75" customHeight="1">
      <c r="B129" s="3"/>
      <c r="H129" s="499" t="s">
        <v>844</v>
      </c>
    </row>
    <row r="130" ht="15.75" customHeight="1">
      <c r="B130" s="3"/>
      <c r="H130" s="500"/>
    </row>
    <row r="131" ht="15.75" customHeight="1">
      <c r="B131" s="3"/>
      <c r="H131" s="501" t="s">
        <v>845</v>
      </c>
    </row>
    <row r="132" ht="15.75" customHeight="1">
      <c r="B132" s="3"/>
      <c r="H132" s="502" t="s">
        <v>846</v>
      </c>
    </row>
    <row r="133" ht="15.75" customHeight="1">
      <c r="B133" s="3"/>
      <c r="H133" s="500" t="s">
        <v>847</v>
      </c>
    </row>
    <row r="134" ht="15.75" customHeight="1">
      <c r="B134" s="3"/>
      <c r="H134" s="500"/>
    </row>
    <row r="135" ht="15.75" customHeight="1">
      <c r="B135" s="3"/>
      <c r="H135" s="503" t="s">
        <v>848</v>
      </c>
    </row>
    <row r="136" ht="15.75" customHeight="1">
      <c r="B136" s="3"/>
      <c r="H136" s="504" t="s">
        <v>849</v>
      </c>
    </row>
    <row r="137" ht="15.75" customHeight="1">
      <c r="B137" s="3"/>
      <c r="H137" s="505" t="s">
        <v>850</v>
      </c>
      <c r="I137" s="506" t="s">
        <v>851</v>
      </c>
      <c r="J137" s="506" t="s">
        <v>852</v>
      </c>
      <c r="K137" s="506" t="s">
        <v>853</v>
      </c>
      <c r="L137" s="506" t="s">
        <v>854</v>
      </c>
    </row>
    <row r="138" ht="15.75" customHeight="1">
      <c r="B138" s="3"/>
      <c r="H138" s="507" t="s">
        <v>855</v>
      </c>
      <c r="I138" s="508">
        <v>9.05</v>
      </c>
      <c r="J138" s="508">
        <v>15.08</v>
      </c>
      <c r="K138" s="508">
        <v>20.1</v>
      </c>
      <c r="L138" s="508">
        <v>100.63</v>
      </c>
    </row>
    <row r="139" ht="15.75" customHeight="1">
      <c r="B139" s="3"/>
      <c r="H139" s="509" t="s">
        <v>856</v>
      </c>
      <c r="I139" s="510">
        <v>21.07</v>
      </c>
      <c r="J139" s="510">
        <v>30.15</v>
      </c>
      <c r="K139" s="510">
        <v>60.3</v>
      </c>
      <c r="L139" s="510">
        <v>181.09</v>
      </c>
    </row>
    <row r="140" ht="15.75" customHeight="1">
      <c r="B140" s="3"/>
      <c r="H140" s="507" t="s">
        <v>857</v>
      </c>
      <c r="I140" s="508">
        <v>119.35</v>
      </c>
      <c r="J140" s="508">
        <v>179.08</v>
      </c>
      <c r="K140" s="508">
        <v>298.54</v>
      </c>
      <c r="L140" s="511">
        <v>3980.49</v>
      </c>
    </row>
    <row r="141" ht="15.75" customHeight="1">
      <c r="B141" s="3"/>
      <c r="H141" s="509" t="s">
        <v>858</v>
      </c>
      <c r="I141" s="510">
        <v>40.23</v>
      </c>
      <c r="J141" s="510">
        <v>60.36</v>
      </c>
      <c r="K141" s="510">
        <v>100.63</v>
      </c>
      <c r="L141" s="510">
        <v>201.26</v>
      </c>
    </row>
    <row r="142" ht="15.75" customHeight="1">
      <c r="B142" s="3"/>
      <c r="H142" s="507" t="s">
        <v>859</v>
      </c>
      <c r="I142" s="508" t="s">
        <v>860</v>
      </c>
      <c r="J142" s="508" t="s">
        <v>860</v>
      </c>
      <c r="K142" s="508" t="s">
        <v>860</v>
      </c>
      <c r="L142" s="508" t="s">
        <v>860</v>
      </c>
    </row>
    <row r="143" ht="15.75" customHeight="1">
      <c r="B143" s="3"/>
      <c r="H143" s="509" t="s">
        <v>861</v>
      </c>
      <c r="I143" s="510" t="s">
        <v>860</v>
      </c>
      <c r="J143" s="510" t="s">
        <v>860</v>
      </c>
      <c r="K143" s="510" t="s">
        <v>860</v>
      </c>
      <c r="L143" s="510" t="s">
        <v>860</v>
      </c>
    </row>
    <row r="144" ht="15.75" customHeight="1">
      <c r="B144" s="3"/>
      <c r="H144" s="507" t="s">
        <v>862</v>
      </c>
      <c r="I144" s="508">
        <v>7.02</v>
      </c>
      <c r="J144" s="508">
        <v>10.05</v>
      </c>
      <c r="K144" s="508">
        <v>20.1</v>
      </c>
      <c r="L144" s="508">
        <v>60.36</v>
      </c>
    </row>
    <row r="145" ht="15.75" customHeight="1">
      <c r="B145" s="3"/>
      <c r="H145" s="509" t="s">
        <v>863</v>
      </c>
      <c r="I145" s="510">
        <v>7.02</v>
      </c>
      <c r="J145" s="510">
        <v>10.05</v>
      </c>
      <c r="K145" s="510">
        <v>20.1</v>
      </c>
      <c r="L145" s="510">
        <v>60.36</v>
      </c>
    </row>
    <row r="146" ht="15.75" customHeight="1">
      <c r="B146" s="3"/>
      <c r="H146" s="509" t="s">
        <v>864</v>
      </c>
      <c r="I146" s="510">
        <v>8.02</v>
      </c>
      <c r="J146" s="510">
        <v>11.05</v>
      </c>
      <c r="K146" s="510">
        <v>33.18</v>
      </c>
      <c r="L146" s="510">
        <v>100.63</v>
      </c>
    </row>
    <row r="147" ht="15.75" customHeight="1">
      <c r="B147" s="3"/>
      <c r="H147" s="512" t="s">
        <v>865</v>
      </c>
      <c r="I147" s="513">
        <v>40.23</v>
      </c>
      <c r="J147" s="513">
        <v>60.36</v>
      </c>
      <c r="K147" s="513">
        <v>100.63</v>
      </c>
      <c r="L147" s="513">
        <v>201.26</v>
      </c>
    </row>
    <row r="148" ht="15.75" customHeight="1">
      <c r="B148" s="3"/>
      <c r="H148" s="509" t="s">
        <v>866</v>
      </c>
      <c r="I148" s="510">
        <v>3.0</v>
      </c>
      <c r="J148" s="510">
        <v>3.0</v>
      </c>
      <c r="K148" s="510">
        <v>3.0</v>
      </c>
      <c r="L148" s="510">
        <v>6.02</v>
      </c>
    </row>
    <row r="149" ht="15.75" customHeight="1">
      <c r="B149" s="3"/>
      <c r="H149" s="512" t="s">
        <v>867</v>
      </c>
      <c r="I149" s="514">
        <v>3.0</v>
      </c>
      <c r="J149" s="514">
        <v>3.0</v>
      </c>
      <c r="K149" s="514">
        <v>3.0</v>
      </c>
      <c r="L149" s="514" t="s">
        <v>868</v>
      </c>
    </row>
    <row r="150" ht="15.75" customHeight="1">
      <c r="B150" s="3"/>
      <c r="H150" s="515" t="s">
        <v>869</v>
      </c>
      <c r="I150" s="516">
        <v>0.0</v>
      </c>
      <c r="J150" s="516">
        <v>0.0</v>
      </c>
      <c r="K150" s="516" t="s">
        <v>724</v>
      </c>
      <c r="L150" s="513" t="s">
        <v>870</v>
      </c>
    </row>
    <row r="151" ht="15.75" customHeight="1">
      <c r="B151" s="3"/>
      <c r="H151" s="509" t="s">
        <v>871</v>
      </c>
      <c r="I151" s="510">
        <v>9.05</v>
      </c>
      <c r="J151" s="510">
        <v>15.08</v>
      </c>
      <c r="K151" s="510">
        <v>18.1</v>
      </c>
      <c r="L151" s="510">
        <v>100.63</v>
      </c>
    </row>
    <row r="152" ht="15.75" customHeight="1">
      <c r="B152" s="3"/>
      <c r="H152" s="507" t="s">
        <v>872</v>
      </c>
      <c r="I152" s="508">
        <v>7.02</v>
      </c>
      <c r="J152" s="508">
        <v>10.05</v>
      </c>
      <c r="K152" s="508">
        <v>20.1</v>
      </c>
      <c r="L152" s="508">
        <v>60.36</v>
      </c>
    </row>
    <row r="153" ht="15.75" customHeight="1">
      <c r="B153" s="3"/>
      <c r="H153" s="509" t="s">
        <v>873</v>
      </c>
      <c r="I153" s="510">
        <v>7.02</v>
      </c>
      <c r="J153" s="510">
        <v>10.05</v>
      </c>
      <c r="K153" s="510">
        <v>20.1</v>
      </c>
      <c r="L153" s="510">
        <v>60.36</v>
      </c>
    </row>
    <row r="154" ht="15.75" customHeight="1">
      <c r="B154" s="3"/>
    </row>
    <row r="155" ht="15.75" customHeight="1">
      <c r="B155" s="3"/>
    </row>
    <row r="156" ht="15.75" customHeight="1">
      <c r="B156" s="3"/>
    </row>
    <row r="157" ht="15.75" customHeight="1">
      <c r="B157" s="3"/>
    </row>
    <row r="158" ht="15.75" customHeight="1">
      <c r="B158" s="3"/>
    </row>
    <row r="159" ht="15.75" customHeight="1">
      <c r="B159" s="3"/>
    </row>
    <row r="160" ht="15.75" customHeight="1">
      <c r="B160" s="3"/>
    </row>
    <row r="161" ht="15.75" customHeight="1">
      <c r="B161" s="3"/>
    </row>
    <row r="162" ht="15.75" customHeight="1">
      <c r="B162" s="3"/>
    </row>
    <row r="163" ht="15.75" customHeight="1">
      <c r="B163" s="3"/>
    </row>
    <row r="164" ht="15.75" customHeight="1">
      <c r="B164" s="3"/>
    </row>
    <row r="165" ht="15.75" customHeight="1">
      <c r="B165" s="3"/>
    </row>
    <row r="166" ht="15.75" customHeight="1">
      <c r="B166" s="3"/>
    </row>
    <row r="167" ht="15.75" customHeight="1">
      <c r="B167" s="3"/>
    </row>
    <row r="168" ht="15.75" customHeight="1">
      <c r="B168" s="3"/>
    </row>
    <row r="169" ht="15.75" customHeight="1">
      <c r="B169" s="3"/>
    </row>
    <row r="170" ht="15.75" customHeight="1">
      <c r="B170" s="3"/>
    </row>
    <row r="171" ht="15.75" customHeight="1">
      <c r="B171" s="3"/>
    </row>
    <row r="172" ht="15.75" customHeight="1">
      <c r="B172" s="3"/>
    </row>
    <row r="173" ht="15.75" customHeight="1">
      <c r="B173" s="3"/>
    </row>
    <row r="174" ht="15.75" customHeight="1">
      <c r="B174" s="3"/>
    </row>
    <row r="175" ht="15.75" customHeight="1">
      <c r="B175" s="3"/>
    </row>
    <row r="176" ht="15.75" customHeight="1">
      <c r="B176" s="3"/>
    </row>
    <row r="177" ht="15.75" customHeight="1">
      <c r="B177" s="3"/>
    </row>
    <row r="178" ht="15.75" customHeight="1">
      <c r="B178" s="3"/>
    </row>
    <row r="179" ht="15.75" customHeight="1">
      <c r="B179" s="3"/>
    </row>
    <row r="180" ht="15.75" customHeight="1">
      <c r="B180" s="3"/>
    </row>
    <row r="181" ht="15.75" customHeight="1">
      <c r="B181" s="3"/>
    </row>
    <row r="182" ht="15.75" customHeight="1">
      <c r="B182" s="3"/>
    </row>
    <row r="183" ht="15.75" customHeight="1">
      <c r="B183" s="3"/>
    </row>
    <row r="184" ht="15.75" customHeight="1">
      <c r="B184" s="3"/>
    </row>
    <row r="185" ht="15.75" customHeight="1">
      <c r="B185" s="3"/>
    </row>
    <row r="186" ht="15.75" customHeight="1">
      <c r="B186" s="3"/>
    </row>
    <row r="187" ht="15.75" customHeight="1">
      <c r="B187" s="3"/>
    </row>
    <row r="188" ht="15.75" customHeight="1">
      <c r="B188" s="3"/>
    </row>
    <row r="189" ht="15.75" customHeight="1">
      <c r="B189" s="3"/>
    </row>
    <row r="190" ht="15.75" customHeight="1">
      <c r="B190" s="3"/>
    </row>
    <row r="191" ht="15.75" customHeight="1">
      <c r="B191" s="3"/>
    </row>
    <row r="192" ht="15.75" customHeight="1">
      <c r="B192" s="3"/>
    </row>
    <row r="193" ht="15.75" customHeight="1">
      <c r="B193" s="3"/>
    </row>
    <row r="194" ht="15.75" customHeight="1">
      <c r="B194" s="3"/>
    </row>
    <row r="195" ht="15.75" customHeight="1">
      <c r="B195" s="3"/>
    </row>
    <row r="196" ht="15.75" customHeight="1">
      <c r="B196" s="3"/>
    </row>
    <row r="197" ht="15.75" customHeight="1">
      <c r="B197" s="3"/>
    </row>
    <row r="198" ht="15.75" customHeight="1">
      <c r="B198" s="3"/>
    </row>
    <row r="199" ht="15.75" customHeight="1">
      <c r="B199" s="3"/>
    </row>
    <row r="200" ht="15.75" customHeight="1">
      <c r="B200" s="3"/>
    </row>
    <row r="201" ht="15.75" customHeight="1">
      <c r="B201" s="3"/>
    </row>
    <row r="202" ht="15.75" customHeight="1">
      <c r="B202" s="3"/>
    </row>
    <row r="203" ht="15.75" customHeight="1">
      <c r="B203" s="3"/>
    </row>
    <row r="204" ht="15.75" customHeight="1">
      <c r="B204" s="3"/>
    </row>
    <row r="205" ht="15.75" customHeight="1">
      <c r="B205" s="3"/>
    </row>
    <row r="206" ht="15.75" customHeight="1">
      <c r="B206" s="3"/>
    </row>
    <row r="207" ht="15.75" customHeight="1">
      <c r="B207" s="3"/>
    </row>
    <row r="208" ht="15.75" customHeight="1">
      <c r="B208" s="3"/>
    </row>
    <row r="209" ht="15.75" customHeight="1">
      <c r="B209" s="3"/>
    </row>
    <row r="210" ht="15.75" customHeight="1">
      <c r="B210" s="3"/>
    </row>
    <row r="211" ht="15.75" customHeight="1">
      <c r="B211" s="3"/>
    </row>
    <row r="212" ht="15.75" customHeight="1">
      <c r="B212" s="3"/>
    </row>
    <row r="213" ht="15.75" customHeight="1">
      <c r="B213" s="3"/>
    </row>
    <row r="214" ht="15.75" customHeight="1">
      <c r="B214" s="3"/>
    </row>
    <row r="215" ht="15.75" customHeight="1">
      <c r="B215" s="3"/>
    </row>
    <row r="216" ht="15.75" customHeight="1">
      <c r="B216" s="3"/>
    </row>
    <row r="217" ht="15.75" customHeight="1">
      <c r="B217" s="3"/>
    </row>
    <row r="218" ht="15.75" customHeight="1">
      <c r="B218" s="3"/>
    </row>
    <row r="219" ht="15.75" customHeight="1">
      <c r="B219" s="3"/>
    </row>
    <row r="220" ht="15.75" customHeight="1">
      <c r="B220" s="3"/>
    </row>
    <row r="221" ht="15.75" customHeight="1">
      <c r="B221" s="3"/>
    </row>
    <row r="222" ht="15.75" customHeight="1">
      <c r="B222" s="3"/>
    </row>
    <row r="223" ht="15.75" customHeight="1">
      <c r="B223" s="3"/>
    </row>
    <row r="224" ht="15.75" customHeight="1">
      <c r="B224" s="3"/>
    </row>
    <row r="225" ht="15.75" customHeight="1">
      <c r="B225" s="3"/>
    </row>
    <row r="226" ht="15.75" customHeight="1">
      <c r="B226" s="3"/>
    </row>
    <row r="227" ht="15.75" customHeight="1">
      <c r="B227" s="3"/>
    </row>
    <row r="228" ht="15.75" customHeight="1">
      <c r="B228" s="3"/>
    </row>
    <row r="229" ht="15.75" customHeight="1">
      <c r="B229" s="3"/>
    </row>
    <row r="230" ht="15.75" customHeight="1">
      <c r="B230" s="3"/>
    </row>
    <row r="231" ht="15.75" customHeight="1">
      <c r="B231" s="3"/>
    </row>
    <row r="232" ht="15.75" customHeight="1">
      <c r="B232" s="3"/>
    </row>
    <row r="233" ht="15.75" customHeight="1">
      <c r="B233" s="3"/>
    </row>
    <row r="234" ht="15.75" customHeight="1">
      <c r="B234" s="3"/>
    </row>
    <row r="235" ht="15.75" customHeight="1">
      <c r="B235" s="3"/>
    </row>
    <row r="236" ht="15.75" customHeight="1">
      <c r="B236" s="3"/>
    </row>
    <row r="237" ht="15.75" customHeight="1">
      <c r="B237" s="3"/>
    </row>
    <row r="238" ht="15.75" customHeight="1">
      <c r="B238" s="3"/>
    </row>
    <row r="239" ht="15.75" customHeight="1">
      <c r="B239" s="3"/>
    </row>
    <row r="240" ht="15.75" customHeight="1">
      <c r="B240" s="3"/>
    </row>
    <row r="241" ht="15.75" customHeight="1">
      <c r="B241" s="3"/>
    </row>
    <row r="242" ht="15.75" customHeight="1">
      <c r="B242" s="3"/>
    </row>
    <row r="243" ht="15.75" customHeight="1">
      <c r="B243" s="3"/>
    </row>
    <row r="244" ht="15.75" customHeight="1">
      <c r="B244" s="3"/>
    </row>
    <row r="245" ht="15.75" customHeight="1">
      <c r="B245" s="3"/>
    </row>
    <row r="246" ht="15.75" customHeight="1">
      <c r="B246" s="3"/>
    </row>
    <row r="247" ht="15.75" customHeight="1">
      <c r="B247" s="3"/>
    </row>
    <row r="248" ht="15.75" customHeight="1">
      <c r="B248" s="3"/>
    </row>
    <row r="249" ht="15.75" customHeight="1">
      <c r="B249" s="3"/>
    </row>
    <row r="250" ht="15.75" customHeight="1">
      <c r="B250" s="3"/>
    </row>
    <row r="251" ht="15.75" customHeight="1">
      <c r="B251" s="3"/>
    </row>
    <row r="252" ht="15.75" customHeight="1">
      <c r="B252" s="3"/>
    </row>
    <row r="253" ht="15.75" customHeight="1">
      <c r="B253" s="3"/>
    </row>
    <row r="254" ht="15.75" customHeight="1">
      <c r="B254" s="3"/>
    </row>
    <row r="255" ht="15.75" customHeight="1">
      <c r="B255" s="3"/>
    </row>
    <row r="256" ht="15.75" customHeight="1">
      <c r="B256" s="3"/>
    </row>
    <row r="257" ht="15.75" customHeight="1">
      <c r="B257" s="3"/>
    </row>
    <row r="258" ht="15.75" customHeight="1">
      <c r="B258" s="3"/>
    </row>
    <row r="259" ht="15.75" customHeight="1">
      <c r="B259" s="3"/>
    </row>
    <row r="260" ht="15.75" customHeight="1">
      <c r="B260" s="3"/>
    </row>
    <row r="261" ht="15.75" customHeight="1">
      <c r="B261" s="3"/>
    </row>
    <row r="262" ht="15.75" customHeight="1">
      <c r="B262" s="3"/>
    </row>
    <row r="263" ht="15.75" customHeight="1">
      <c r="B263" s="3"/>
    </row>
    <row r="264" ht="15.75" customHeight="1">
      <c r="B264" s="3"/>
    </row>
    <row r="265" ht="15.75" customHeight="1">
      <c r="B265" s="3"/>
    </row>
    <row r="266" ht="15.75" customHeight="1">
      <c r="B266" s="3"/>
    </row>
    <row r="267" ht="15.75" customHeight="1">
      <c r="B267" s="3"/>
    </row>
    <row r="268" ht="15.75" customHeight="1">
      <c r="B268" s="3"/>
    </row>
    <row r="269" ht="15.75" customHeight="1">
      <c r="B269" s="3"/>
    </row>
    <row r="270" ht="15.75" customHeight="1">
      <c r="B270" s="3"/>
    </row>
    <row r="271" ht="15.75" customHeight="1">
      <c r="B271" s="3"/>
    </row>
    <row r="272" ht="15.75" customHeight="1">
      <c r="B272" s="3"/>
    </row>
    <row r="273" ht="15.75" customHeight="1">
      <c r="B273" s="3"/>
    </row>
    <row r="274" ht="15.75" customHeight="1">
      <c r="B274" s="3"/>
    </row>
    <row r="275" ht="15.75" customHeight="1">
      <c r="B275" s="3"/>
    </row>
    <row r="276" ht="15.75" customHeight="1">
      <c r="B276" s="3"/>
    </row>
    <row r="277" ht="15.75" customHeight="1">
      <c r="B277" s="3"/>
    </row>
    <row r="278" ht="15.75" customHeight="1">
      <c r="B278" s="3"/>
    </row>
    <row r="279" ht="15.75" customHeight="1">
      <c r="B279" s="3"/>
    </row>
    <row r="280" ht="15.75" customHeight="1">
      <c r="B280" s="3"/>
    </row>
    <row r="281" ht="15.75" customHeight="1">
      <c r="B281" s="3"/>
    </row>
    <row r="282" ht="15.75" customHeight="1">
      <c r="B282" s="3"/>
    </row>
    <row r="283" ht="15.75" customHeight="1">
      <c r="B283" s="3"/>
    </row>
    <row r="284" ht="15.75" customHeight="1">
      <c r="B284" s="3"/>
    </row>
    <row r="285" ht="15.75" customHeight="1">
      <c r="B285" s="3"/>
    </row>
    <row r="286" ht="15.75" customHeight="1">
      <c r="B286" s="3"/>
    </row>
    <row r="287" ht="15.75" customHeight="1">
      <c r="B287" s="3"/>
    </row>
    <row r="288" ht="15.75" customHeight="1">
      <c r="B288" s="3"/>
    </row>
    <row r="289" ht="15.75" customHeight="1">
      <c r="B289" s="3"/>
    </row>
    <row r="290" ht="15.75" customHeight="1">
      <c r="B290" s="3"/>
    </row>
    <row r="291" ht="15.75" customHeight="1">
      <c r="B291" s="3"/>
    </row>
    <row r="292" ht="15.75" customHeight="1">
      <c r="B292" s="3"/>
    </row>
    <row r="293" ht="15.75" customHeight="1">
      <c r="B293" s="3"/>
    </row>
    <row r="294" ht="15.75" customHeight="1">
      <c r="B294" s="3"/>
    </row>
    <row r="295" ht="15.75" customHeight="1">
      <c r="B295" s="3"/>
    </row>
    <row r="296" ht="15.75" customHeight="1">
      <c r="B296" s="3"/>
    </row>
    <row r="297" ht="15.75" customHeight="1">
      <c r="B297" s="3"/>
    </row>
    <row r="298" ht="15.75" customHeight="1">
      <c r="B298" s="3"/>
    </row>
    <row r="299" ht="15.75" customHeight="1">
      <c r="B299" s="3"/>
    </row>
    <row r="300" ht="15.75" customHeight="1">
      <c r="B300" s="3"/>
    </row>
    <row r="301" ht="15.75" customHeight="1">
      <c r="B301" s="3"/>
    </row>
    <row r="302" ht="15.75" customHeight="1">
      <c r="B302" s="3"/>
    </row>
    <row r="303" ht="15.75" customHeight="1">
      <c r="B303" s="3"/>
    </row>
    <row r="304" ht="15.75" customHeight="1">
      <c r="B304" s="3"/>
    </row>
    <row r="305" ht="15.75" customHeight="1">
      <c r="B305" s="3"/>
    </row>
    <row r="306" ht="15.75" customHeight="1">
      <c r="B306" s="3"/>
    </row>
    <row r="307" ht="15.75" customHeight="1">
      <c r="B307" s="3"/>
    </row>
    <row r="308" ht="15.75" customHeight="1">
      <c r="B308" s="3"/>
    </row>
    <row r="309" ht="15.75" customHeight="1">
      <c r="B309" s="3"/>
    </row>
    <row r="310" ht="15.75" customHeight="1">
      <c r="B310" s="3"/>
    </row>
    <row r="311" ht="15.75" customHeight="1">
      <c r="B311" s="3"/>
    </row>
    <row r="312" ht="15.75" customHeight="1">
      <c r="B312" s="3"/>
    </row>
    <row r="313" ht="15.75" customHeight="1">
      <c r="B313" s="3"/>
    </row>
    <row r="314" ht="15.75" customHeight="1">
      <c r="B314" s="3"/>
    </row>
    <row r="315" ht="15.75" customHeight="1">
      <c r="B315" s="3"/>
    </row>
    <row r="316" ht="15.75" customHeight="1">
      <c r="B316" s="3"/>
    </row>
    <row r="317" ht="15.75" customHeight="1">
      <c r="B317" s="3"/>
    </row>
    <row r="318" ht="15.75" customHeight="1">
      <c r="B318" s="3"/>
    </row>
    <row r="319" ht="15.75" customHeight="1">
      <c r="B319" s="3"/>
    </row>
    <row r="320" ht="15.75" customHeight="1">
      <c r="B320" s="3"/>
    </row>
    <row r="321" ht="15.75" customHeight="1">
      <c r="B321" s="3"/>
    </row>
    <row r="322" ht="15.75" customHeight="1">
      <c r="B322" s="3"/>
    </row>
    <row r="323" ht="15.75" customHeight="1">
      <c r="B323" s="3"/>
    </row>
    <row r="324" ht="15.75" customHeight="1">
      <c r="B324" s="3"/>
    </row>
    <row r="325" ht="15.75" customHeight="1">
      <c r="B325" s="3"/>
    </row>
    <row r="326" ht="15.75" customHeight="1">
      <c r="B326" s="3"/>
    </row>
    <row r="327" ht="15.75" customHeight="1">
      <c r="B327" s="3"/>
    </row>
    <row r="328" ht="15.75" customHeight="1">
      <c r="B328" s="3"/>
    </row>
    <row r="329" ht="15.75" customHeight="1">
      <c r="B329" s="3"/>
    </row>
    <row r="330" ht="15.75" customHeight="1">
      <c r="B330" s="3"/>
    </row>
    <row r="331" ht="15.75" customHeight="1">
      <c r="B331" s="3"/>
    </row>
    <row r="332" ht="15.75" customHeight="1">
      <c r="B332" s="3"/>
    </row>
    <row r="333" ht="15.75" customHeight="1">
      <c r="B333" s="3"/>
    </row>
    <row r="334" ht="15.75" customHeight="1">
      <c r="B334" s="3"/>
    </row>
    <row r="335" ht="15.75" customHeight="1">
      <c r="B335" s="3"/>
    </row>
    <row r="336" ht="15.75" customHeight="1">
      <c r="B336" s="3"/>
    </row>
    <row r="337" ht="15.75" customHeight="1">
      <c r="B337" s="3"/>
    </row>
    <row r="338" ht="15.75" customHeight="1">
      <c r="B338" s="3"/>
    </row>
    <row r="339" ht="15.75" customHeight="1">
      <c r="B339" s="3"/>
    </row>
    <row r="340" ht="15.75" customHeight="1">
      <c r="B340" s="3"/>
    </row>
    <row r="341" ht="15.75" customHeight="1">
      <c r="B341" s="3"/>
    </row>
    <row r="342" ht="15.75" customHeight="1">
      <c r="B342" s="3"/>
    </row>
    <row r="343" ht="15.75" customHeight="1">
      <c r="B343" s="3"/>
    </row>
    <row r="344" ht="15.75" customHeight="1">
      <c r="B344" s="3"/>
    </row>
    <row r="345" ht="15.75" customHeight="1">
      <c r="B345" s="3"/>
    </row>
    <row r="346" ht="15.75" customHeight="1">
      <c r="B346" s="3"/>
    </row>
    <row r="347" ht="15.75" customHeight="1">
      <c r="B347" s="3"/>
    </row>
    <row r="348" ht="15.75" customHeight="1">
      <c r="B348" s="3"/>
    </row>
    <row r="349" ht="15.75" customHeight="1">
      <c r="B349" s="3"/>
    </row>
    <row r="350" ht="15.75" customHeight="1">
      <c r="B350" s="3"/>
    </row>
    <row r="351" ht="15.75" customHeight="1">
      <c r="B351" s="3"/>
    </row>
    <row r="352" ht="15.75" customHeight="1">
      <c r="B352" s="3"/>
    </row>
    <row r="353" ht="15.75" customHeight="1">
      <c r="B353" s="3"/>
    </row>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I8:I9"/>
    <mergeCell ref="J8:J9"/>
    <mergeCell ref="K8:K9"/>
    <mergeCell ref="L8:L9"/>
  </mergeCells>
  <dataValidations>
    <dataValidation type="list" allowBlank="1" sqref="B9:B17">
      <formula1>"Amarela,Verde,Vermelha 1,Vermelha 2"</formula1>
    </dataValidation>
  </dataValidations>
  <hyperlinks>
    <hyperlink r:id="rId1" ref="H43"/>
    <hyperlink r:id="rId2" ref="H129"/>
  </hyperlinks>
  <printOptions/>
  <pageMargins bottom="0.7519685039370079" footer="0.0" header="0.0" left="0.7007874015748032" right="0.7007874015748032" top="0.7519685039370079"/>
  <pageSetup paperSize="9" orientation="portrait"/>
  <drawing r:id="rId3"/>
</worksheet>
</file>